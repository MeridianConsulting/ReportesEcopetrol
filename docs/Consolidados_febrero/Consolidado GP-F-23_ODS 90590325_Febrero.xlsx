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19200" windowHeight="6600" activeTab="1"/>
  </bookViews>
  <sheets>
    <sheet name="ENERO" sheetId="19" r:id="rId1"/>
    <sheet name="FEBRERO" sheetId="2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20" l="1"/>
  <c r="H54" i="20"/>
  <c r="H53" i="20"/>
  <c r="J52" i="20"/>
  <c r="J51" i="20"/>
  <c r="J50" i="20"/>
  <c r="J49" i="20"/>
  <c r="J48" i="20"/>
  <c r="J47" i="20"/>
  <c r="J46" i="20"/>
  <c r="J45" i="20"/>
  <c r="J44" i="20"/>
  <c r="J43" i="20"/>
  <c r="J42" i="20"/>
  <c r="J41" i="20"/>
  <c r="J40" i="20"/>
  <c r="J39" i="20"/>
  <c r="J38" i="20"/>
  <c r="J37" i="20"/>
  <c r="J36" i="20"/>
  <c r="J35" i="20"/>
  <c r="J34" i="20"/>
  <c r="J33" i="20"/>
  <c r="J32" i="20"/>
  <c r="J31" i="20"/>
  <c r="J30" i="20"/>
  <c r="J29" i="20"/>
  <c r="J28" i="20"/>
  <c r="J27" i="20"/>
  <c r="J26" i="20"/>
  <c r="J25" i="20"/>
  <c r="J24" i="20"/>
  <c r="J23" i="20"/>
  <c r="J22" i="20"/>
  <c r="J21" i="20"/>
  <c r="J20" i="20"/>
  <c r="J19" i="20"/>
  <c r="J18" i="20"/>
  <c r="J17" i="20"/>
  <c r="J16" i="20"/>
  <c r="J15" i="20"/>
  <c r="J14" i="20"/>
  <c r="J13" i="20"/>
  <c r="J54" i="20" l="1"/>
  <c r="I54" i="19"/>
  <c r="H54" i="19"/>
  <c r="J54" i="19" l="1"/>
  <c r="K40" i="19"/>
  <c r="K40" i="20" s="1"/>
  <c r="L40" i="20" s="1"/>
  <c r="J40" i="19"/>
  <c r="K39" i="19"/>
  <c r="K39" i="20" s="1"/>
  <c r="L39" i="20" s="1"/>
  <c r="J39" i="19"/>
  <c r="K38" i="19"/>
  <c r="K38" i="20" s="1"/>
  <c r="L38" i="20" s="1"/>
  <c r="J38" i="19"/>
  <c r="K37" i="19"/>
  <c r="K37" i="20" s="1"/>
  <c r="L37" i="20" s="1"/>
  <c r="J37" i="19"/>
  <c r="K36" i="19"/>
  <c r="K36" i="20" s="1"/>
  <c r="L36" i="20" s="1"/>
  <c r="J36" i="19"/>
  <c r="K35" i="19"/>
  <c r="K35" i="20" s="1"/>
  <c r="L35" i="20" s="1"/>
  <c r="J35" i="19"/>
  <c r="K34" i="19"/>
  <c r="K34" i="20" s="1"/>
  <c r="L34" i="20" s="1"/>
  <c r="J34" i="19"/>
  <c r="K33" i="19"/>
  <c r="K33" i="20" s="1"/>
  <c r="L33" i="20" s="1"/>
  <c r="J33" i="19"/>
  <c r="K32" i="19"/>
  <c r="K32" i="20" s="1"/>
  <c r="L32" i="20" s="1"/>
  <c r="J32" i="19"/>
  <c r="K31" i="19"/>
  <c r="K31" i="20" s="1"/>
  <c r="L31" i="20" s="1"/>
  <c r="J31" i="19"/>
  <c r="L37" i="19" l="1"/>
  <c r="L33" i="19"/>
  <c r="L34" i="19"/>
  <c r="L39" i="19"/>
  <c r="L38" i="19"/>
  <c r="L31" i="19"/>
  <c r="L35" i="19"/>
  <c r="L32" i="19"/>
  <c r="L36" i="19"/>
  <c r="L40" i="19"/>
  <c r="K20" i="19"/>
  <c r="K20" i="20" s="1"/>
  <c r="L20" i="20" s="1"/>
  <c r="J20" i="19"/>
  <c r="K19" i="19"/>
  <c r="K19" i="20" s="1"/>
  <c r="L19" i="20" s="1"/>
  <c r="J19" i="19"/>
  <c r="K18" i="19"/>
  <c r="K18" i="20" s="1"/>
  <c r="L18" i="20" s="1"/>
  <c r="J18" i="19"/>
  <c r="K17" i="19"/>
  <c r="K17" i="20" s="1"/>
  <c r="L17" i="20" s="1"/>
  <c r="J17" i="19"/>
  <c r="K16" i="19"/>
  <c r="K16" i="20" s="1"/>
  <c r="L16" i="20" s="1"/>
  <c r="J16" i="19"/>
  <c r="K15" i="19"/>
  <c r="K15" i="20" s="1"/>
  <c r="L15" i="20" s="1"/>
  <c r="J15" i="19"/>
  <c r="K14" i="19"/>
  <c r="K14" i="20" s="1"/>
  <c r="L14" i="20" s="1"/>
  <c r="J14" i="19"/>
  <c r="K13" i="19"/>
  <c r="K13" i="20" s="1"/>
  <c r="J13" i="19"/>
  <c r="L13" i="20" l="1"/>
  <c r="L19" i="19"/>
  <c r="L16" i="19"/>
  <c r="L15" i="19"/>
  <c r="L13" i="19"/>
  <c r="L17" i="19"/>
  <c r="L20" i="19"/>
  <c r="L14" i="19"/>
  <c r="L18" i="19"/>
  <c r="K48" i="19"/>
  <c r="K48" i="20" s="1"/>
  <c r="L48" i="20" s="1"/>
  <c r="J48" i="19"/>
  <c r="K47" i="19"/>
  <c r="K47" i="20" s="1"/>
  <c r="L47" i="20" s="1"/>
  <c r="J47" i="19"/>
  <c r="K46" i="19"/>
  <c r="K46" i="20" s="1"/>
  <c r="L46" i="20" s="1"/>
  <c r="J46" i="19"/>
  <c r="K45" i="19"/>
  <c r="K45" i="20" s="1"/>
  <c r="L45" i="20" s="1"/>
  <c r="J45" i="19"/>
  <c r="K44" i="19"/>
  <c r="K44" i="20" s="1"/>
  <c r="L44" i="20" s="1"/>
  <c r="J44" i="19"/>
  <c r="K43" i="19"/>
  <c r="K43" i="20" s="1"/>
  <c r="L43" i="20" s="1"/>
  <c r="J43" i="19"/>
  <c r="K42" i="19"/>
  <c r="K42" i="20" s="1"/>
  <c r="L42" i="20" s="1"/>
  <c r="J42" i="19"/>
  <c r="K41" i="19"/>
  <c r="K41" i="20" s="1"/>
  <c r="L41" i="20" s="1"/>
  <c r="J41" i="19"/>
  <c r="L43" i="19" l="1"/>
  <c r="L44" i="19"/>
  <c r="L48" i="19"/>
  <c r="L45" i="19"/>
  <c r="L47" i="19"/>
  <c r="L41" i="19"/>
  <c r="L42" i="19"/>
  <c r="L46" i="19"/>
  <c r="K52" i="19"/>
  <c r="K52" i="20" s="1"/>
  <c r="L52" i="20" s="1"/>
  <c r="J52" i="19"/>
  <c r="K51" i="19"/>
  <c r="K51" i="20" s="1"/>
  <c r="L51" i="20" s="1"/>
  <c r="J51" i="19"/>
  <c r="K50" i="19"/>
  <c r="K50" i="20" s="1"/>
  <c r="L50" i="20" s="1"/>
  <c r="J50" i="19"/>
  <c r="K49" i="19"/>
  <c r="K49" i="20" s="1"/>
  <c r="L49" i="20" s="1"/>
  <c r="J49" i="19"/>
  <c r="L51" i="19" l="1"/>
  <c r="L52" i="19"/>
  <c r="L49" i="19"/>
  <c r="L50" i="19"/>
  <c r="K30" i="19"/>
  <c r="K30" i="20" s="1"/>
  <c r="L30" i="20" s="1"/>
  <c r="J30" i="19"/>
  <c r="K29" i="19"/>
  <c r="K29" i="20" s="1"/>
  <c r="L29" i="20" s="1"/>
  <c r="J29" i="19"/>
  <c r="K28" i="19"/>
  <c r="K28" i="20" s="1"/>
  <c r="L28" i="20" s="1"/>
  <c r="J28" i="19"/>
  <c r="K27" i="19"/>
  <c r="K27" i="20" s="1"/>
  <c r="L27" i="20" s="1"/>
  <c r="J27" i="19"/>
  <c r="K26" i="19"/>
  <c r="K26" i="20" s="1"/>
  <c r="L26" i="20" s="1"/>
  <c r="J26" i="19"/>
  <c r="K25" i="19"/>
  <c r="K25" i="20" s="1"/>
  <c r="L25" i="20" s="1"/>
  <c r="J25" i="19"/>
  <c r="K24" i="19"/>
  <c r="K24" i="20" s="1"/>
  <c r="L24" i="20" s="1"/>
  <c r="J24" i="19"/>
  <c r="K23" i="19"/>
  <c r="K23" i="20" s="1"/>
  <c r="L23" i="20" s="1"/>
  <c r="J23" i="19"/>
  <c r="K22" i="19"/>
  <c r="K22" i="20" s="1"/>
  <c r="L22" i="20" s="1"/>
  <c r="J22" i="19"/>
  <c r="K21" i="19"/>
  <c r="J21" i="19"/>
  <c r="K54" i="19" l="1"/>
  <c r="L54" i="19" s="1"/>
  <c r="K21" i="20"/>
  <c r="L21" i="19"/>
  <c r="L25" i="19"/>
  <c r="L29" i="19"/>
  <c r="L30" i="19"/>
  <c r="L22" i="19"/>
  <c r="L26" i="19"/>
  <c r="L23" i="19"/>
  <c r="L27" i="19"/>
  <c r="L24" i="19"/>
  <c r="L28" i="19"/>
  <c r="H53" i="19"/>
  <c r="L21" i="20" l="1"/>
  <c r="K54" i="20"/>
  <c r="L54" i="20" s="1"/>
</calcChain>
</file>

<file path=xl/comments1.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74" authorId="0" shapeId="0">
      <text>
        <r>
          <rPr>
            <sz val="9"/>
            <color indexed="81"/>
            <rFont val="Tahoma"/>
            <family val="2"/>
          </rPr>
          <t>Firma de quién revisa</t>
        </r>
      </text>
    </comment>
    <comment ref="H74" authorId="0" shapeId="0">
      <text>
        <r>
          <rPr>
            <sz val="9"/>
            <color indexed="81"/>
            <rFont val="Tahoma"/>
            <family val="2"/>
          </rPr>
          <t>Firma del interventor</t>
        </r>
      </text>
    </comment>
    <comment ref="C75" authorId="0" shapeId="0">
      <text>
        <r>
          <rPr>
            <sz val="9"/>
            <color rgb="FF000000"/>
            <rFont val="Tahoma"/>
            <family val="2"/>
          </rPr>
          <t>Nombre completo de quién revisa</t>
        </r>
      </text>
    </comment>
    <comment ref="I75"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74" authorId="0" shapeId="0">
      <text>
        <r>
          <rPr>
            <sz val="9"/>
            <color indexed="81"/>
            <rFont val="Tahoma"/>
            <family val="2"/>
          </rPr>
          <t>Firma de quién revisa</t>
        </r>
      </text>
    </comment>
    <comment ref="H74" authorId="0" shapeId="0">
      <text>
        <r>
          <rPr>
            <sz val="9"/>
            <color indexed="81"/>
            <rFont val="Tahoma"/>
            <family val="2"/>
          </rPr>
          <t>Firma del interventor</t>
        </r>
      </text>
    </comment>
    <comment ref="C75" authorId="0" shapeId="0">
      <text>
        <r>
          <rPr>
            <sz val="9"/>
            <color rgb="FF000000"/>
            <rFont val="Tahoma"/>
            <family val="2"/>
          </rPr>
          <t>Nombre completo de quién revisa</t>
        </r>
      </text>
    </comment>
    <comment ref="I75"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<sst xmlns="http://schemas.openxmlformats.org/spreadsheetml/2006/main" count="460" uniqueCount="159">
  <si>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</si>
  <si>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</si>
  <si>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</si>
  <si>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</si>
  <si>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</si>
  <si>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</si>
  <si>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</si>
  <si>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</si>
  <si>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</si>
  <si>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</si>
  <si>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</si>
  <si>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</si>
  <si>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</si>
  <si>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</si>
  <si>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</si>
  <si>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</si>
  <si>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</si>
  <si>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</si>
  <si>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</si>
  <si>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</si>
  <si>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</si>
  <si>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</si>
  <si>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</si>
  <si>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</si>
  <si>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</si>
  <si>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</si>
  <si>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</si>
  <si>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 contratados</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</si>
  <si>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</si>
  <si>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</si>
  <si>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</si>
  <si>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</si>
  <si>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</si>
  <si>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</si>
  <si>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</si>
  <si>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</si>
  <si>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</si>
  <si>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</si>
  <si>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</si>
  <si>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</si>
  <si>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</si>
  <si>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</si>
  <si>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Interventor:</t>
  </si>
  <si>
    <t xml:space="preserve">QAQC e Interpretación de información de Corazones </t>
  </si>
  <si>
    <t>2.2</t>
  </si>
  <si>
    <t xml:space="preserve">Generación Modelo Petrofísico </t>
  </si>
  <si>
    <t xml:space="preserve">Modelo Petrofísico - Informe Modelo - Base de Datos </t>
  </si>
  <si>
    <t xml:space="preserve">2.3 </t>
  </si>
  <si>
    <t>2.4</t>
  </si>
  <si>
    <t xml:space="preserve">Realizar inventario y análisis de información petrofísica </t>
  </si>
  <si>
    <t xml:space="preserve">Realizar caracterización Scal (interpretación) </t>
  </si>
  <si>
    <t>2.6</t>
  </si>
  <si>
    <t>2.7</t>
  </si>
  <si>
    <t xml:space="preserve">Realizar la implementación y poblamiento (y/o extrapolación) del modelo petrofísico </t>
  </si>
  <si>
    <t xml:space="preserve">Modelo - Informe del modelo </t>
  </si>
  <si>
    <t>Realizar el diagnóstico e interpretación de los análisis de laboratorio (Básicos y Scal)</t>
  </si>
  <si>
    <t xml:space="preserve">Generar tipos de roca / unidades de flujo por yacimiento y/o campo </t>
  </si>
  <si>
    <t>2.10</t>
  </si>
  <si>
    <t xml:space="preserve">Generar base de datos petrofísicos </t>
  </si>
  <si>
    <t xml:space="preserve">Base de Datos </t>
  </si>
  <si>
    <t>Profesional Responsable</t>
  </si>
  <si>
    <t>3.3</t>
  </si>
  <si>
    <t>Modelo Dinámico
Perfiles de Producción
Informe</t>
  </si>
  <si>
    <t>8.2</t>
  </si>
  <si>
    <t>8.4</t>
  </si>
  <si>
    <t>8.5</t>
  </si>
  <si>
    <t>3.4</t>
  </si>
  <si>
    <t>3.5</t>
  </si>
  <si>
    <t>3.6</t>
  </si>
  <si>
    <t>Generar Modelo analítico del yacimiento integrando la información disponible en un software específico</t>
  </si>
  <si>
    <t>3.13</t>
  </si>
  <si>
    <t>Generar base de datos de producción (OFM o la que se requiera)</t>
  </si>
  <si>
    <t>3.15</t>
  </si>
  <si>
    <t>Generar Balance de Materia por campo y/o por subunidad y/o por compartimiento</t>
  </si>
  <si>
    <t>3.16</t>
  </si>
  <si>
    <t>Análisis de Declinaciones por pozo y/o subunidad</t>
  </si>
  <si>
    <t>3.18</t>
  </si>
  <si>
    <t xml:space="preserve">1.2 </t>
  </si>
  <si>
    <t>Modelo generado -Informe del Modelo</t>
  </si>
  <si>
    <t>Modelo estructural -Informe del modelo</t>
  </si>
  <si>
    <t>1.7</t>
  </si>
  <si>
    <t>Generación Modelo Geocelular</t>
  </si>
  <si>
    <t>1.14</t>
  </si>
  <si>
    <t>Malla de Geomodelamiento</t>
  </si>
  <si>
    <t>1.16</t>
  </si>
  <si>
    <t>1.17</t>
  </si>
  <si>
    <t>Calculo Volumétrico - Bases de Datos</t>
  </si>
  <si>
    <t>-</t>
  </si>
  <si>
    <t>Información georeferenciada</t>
  </si>
  <si>
    <t>Informe y/o presentación</t>
  </si>
  <si>
    <t xml:space="preserve">Informe de la interpretación de Corazones - Base de Datos </t>
  </si>
  <si>
    <t xml:space="preserve">Base de Datos - Modelo Generado - Informe del modelo </t>
  </si>
  <si>
    <t xml:space="preserve">Informe </t>
  </si>
  <si>
    <t xml:space="preserve">Información digital - Informe </t>
  </si>
  <si>
    <t xml:space="preserve">Información - Informe </t>
  </si>
  <si>
    <t>Codigo</t>
  </si>
  <si>
    <t>Modelo Estático - Informe de Modelo 
- Cálculo de Volúmenes in Place</t>
  </si>
  <si>
    <t xml:space="preserve">1.3 </t>
  </si>
  <si>
    <t xml:space="preserve">Interpretación Sísmica </t>
  </si>
  <si>
    <t xml:space="preserve">1.4 </t>
  </si>
  <si>
    <t xml:space="preserve">Generación Modelo estructural </t>
  </si>
  <si>
    <t xml:space="preserve">Generación de grid estructurales </t>
  </si>
  <si>
    <t xml:space="preserve">Calculo probabilístico de Volúmenes In situ. </t>
  </si>
  <si>
    <t>Edna Miled Niño Orozco</t>
  </si>
  <si>
    <t xml:space="preserve">Alexandra Isabel  Mesa Cardenas </t>
  </si>
  <si>
    <t>Laura Maria Hernandez Riveros</t>
  </si>
  <si>
    <t>Diana Paola  Solano Sua</t>
  </si>
  <si>
    <t>Carlos Alejandro Forero Peña</t>
  </si>
  <si>
    <t>Generación Bases de Datos de Pozos (Registros. Topes e información 
disponible)</t>
  </si>
  <si>
    <t xml:space="preserve">Georeferenciación de Mapas. pozos. Imágenes satélite. etc. y 
Definición de CRS (Cordinates Reference System) </t>
  </si>
  <si>
    <t>2.1</t>
  </si>
  <si>
    <t>Definir Contactos de Fluidos. Arena neta. Net pay. por pozo y por zona</t>
  </si>
  <si>
    <t>2.5</t>
  </si>
  <si>
    <t xml:space="preserve">Realizar la digitalización de registros. normalización de curvas. edición y corrección de curvas </t>
  </si>
  <si>
    <t>2.8</t>
  </si>
  <si>
    <t>2.9</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</si>
  <si>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t>
  </si>
  <si>
    <t xml:space="preserve">Construya un estudio de modelos conceptuales y modelos de laboratorio: para construir un modelo conceptual que investigue temas específicos. Problemas de conformance. aplicabilidad del polímero en un campo específico. investigar el efecto del espaciamiento de pozos y los tipos de patrones (5 puntos. 5 puntos invertidos. 7 puntos. unidad de línea) en proyectos EOR químicos. </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</si>
  <si>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t>
  </si>
  <si>
    <t>Generar perfiles de Producción por pozos para pozos existente en escenarios Bajo. Medio y Alto</t>
  </si>
  <si>
    <t xml:space="preserve">Carga de datos. procesamiento de datos. Análisis Estadístico descriptivo considerando hipótesis desde la teoría. y análisis descriptivo considerando hipótesis generadas desde la misma data (pasos 1. 2 y 3 teoría CRISP-DM). </t>
  </si>
  <si>
    <t xml:space="preserve">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 </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</si>
  <si>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 La predicción se basaría en el plan de desarrollo de campo. las ubicaciones de perforación de relleno. el análisis de patrones. la optimización de la inyección de agua. la tasa de inyección óptima y el proceso de recuperación terciaria (química y térmica). Realizar evaluaciones económicas y evaluaciones de cada proceso y presentar la mejor solución óptima.</t>
  </si>
  <si>
    <t>Programación del modelo matemático en las herramientas que se considere más adecuada. e.g. R. Python. SAS. C++. Java. Matlab. Visual. etc. Los scripts deben respetar los planteamientos y consideraciones contenidas en el informe. debe contener buenas prácticas de programación (e.g. comentarios. identación (anglicismo de “identation”). separación por métodos o funciones. etc. – el programa no necesariamente debe estar orientado a objetos y otros paradigmas. e.g. la programación funcional podría ser altamente recomendable).</t>
  </si>
  <si>
    <t>Generar Modelo Estático del yacimiento integrando la información 
disponible,</t>
  </si>
  <si>
    <t xml:space="preserve">Se gestionó la solicitud de acceso a carpeta de red \\10.100.25.27\Fusiones_Adquisiciones_Germanicus y la creación del puesto digital.
Se atendió a reuniones del campo Brillante, se revisó la propuesta del operador y basados en los cálculos de OGIP del análisis probabilístico de DAT, se inicia la evaluación de la oportunidad. </t>
  </si>
  <si>
    <t>Realizacion de bases GAP de la Oportunidad Rodano, a partir del caso de reservas 2025. Inicio con la comparación entre Plan Inversion vs. Reservas YE2025 para la Extension de Cosecha.</t>
  </si>
  <si>
    <t>Realizacion de bases GAP de la Oportunidad Rodano, a partir del caso de reservas 2025.</t>
  </si>
  <si>
    <t>Inicio del proyecto Bremen, consolidando y depurando la base de datos, insumo esencial para la evaluación que se desarrollará en los próximos meses por el equipo DAT.</t>
  </si>
  <si>
    <r>
      <t xml:space="preserve">3.3. 3.4. 3.5. 3.6. 3.13. 3.15. 3.16. 3.18. 8.2. 8.4 Senior (LH):
</t>
    </r>
    <r>
      <rPr>
        <sz val="9"/>
        <color theme="1"/>
        <rFont val="Verdana"/>
        <family val="2"/>
      </rPr>
      <t xml:space="preserve">Se gestiona la creación del puesto digital y acceso a la carpeta compartida Fusiones y Adquisiciones. Se generarn las bases GAP de la oportunidad Alabama- Caso Reservas 2025 y se inicia la evaluación del campo Brillante. </t>
    </r>
    <r>
      <rPr>
        <b/>
        <sz val="9"/>
        <color theme="1"/>
        <rFont val="Verdana"/>
        <family val="2"/>
      </rPr>
      <t xml:space="preserve">      
</t>
    </r>
  </si>
  <si>
    <r>
      <t xml:space="preserve">1.1. 1.2. 1.3. 1.4. 1.7. 1.14. 1.16. 1.17 Especialista (EN):
</t>
    </r>
    <r>
      <rPr>
        <sz val="9"/>
        <color theme="1"/>
        <rFont val="Verdana"/>
        <family val="2"/>
      </rPr>
      <t xml:space="preserve">* Se trabajó en actividades de inducción, divulgación y conocimiento de las diferentes asignaciones y oportunidades visualizadas para esta ODS.
* Se sostendrán reuniones con los profesionales de Ecopetrol para conocer las oportunidades, objetivos, establecer las prioridades de las actividades a realizar y el correspondiente cronograma. Así mismo, conocer los entregables y demás información necesaria para el desarrollo de las oportunidades
A continuación. se describen brevemente las actividades principales:
* Se realizaron las solicitudes de accesos a puesto digital, licencias de Petrel, carpetas compartidas y demás recursos necesarios para las labores como geomodeladora.
* Se participó en las reuniones convocadas por DAT
* Se participo en una presentación de la herramienta Welligence.
* Se realizo la preparación de la presentación para participar en las jornadas de geomodelamiento. 
* Se realizo una última revisión del material con miras a ser presentado en febrero de 2026. 
Continuar dando todo el soporte técnico requerido para el desarrollo de las diferentes oportunidades de interés de la gerencia.
Adicionalmente se requiere hacer una revisión de la información disponible, y el correspondiente control de calidad, para establecer las incertidumbres asociadas al desarrollo de las oportunidades y elaborar un plan de acción basado en esta revisión. </t>
    </r>
  </si>
  <si>
    <r>
      <t xml:space="preserve">2.1. 2.2. 2.3. 2.4. 2.5. 2.6. 2.7. 2.8. 2.9. 2.10 Especialista (AM):
</t>
    </r>
    <r>
      <rPr>
        <sz val="9"/>
        <color theme="1"/>
        <rFont val="Verdana"/>
        <family val="2"/>
      </rPr>
      <t>Revision Workover para el pozo Caricare-17, para la revisión de este pozo se cargaron en DS los siguientes pozos, a los cuales se les genero el resumen de propiedades petrofísicas. .Revision Workover  La Yuca-78, para esta revisión se cargaron en DS los pozos offSET. .Revision de Workover para el pozo Caricare-5: para esta revisión se cargaron los pozos offset y se generaron sus respectivas tablas petrofisicas: Se hizo la revisión en conjunto con el equipo de Sierracol de los intervalos para ser registrados en los futuros RST en los pozos Calamaro-1, Caricare-5 y Caricare-7.</t>
    </r>
    <r>
      <rPr>
        <b/>
        <sz val="9"/>
        <color theme="1"/>
        <rFont val="Verdana"/>
        <family val="2"/>
      </rPr>
      <t xml:space="preserve">    </t>
    </r>
  </si>
  <si>
    <t>Se generaron las bases GAP de Alabama – Caseo Reservas 2025. Las bases fueron generadas con las siguientes premisas:
•	La fuente de los perfiles de Volúmenes Técnicos es "Reserves-VT Monthly-Well 20260115.xlsx". 
•	La fuente del OPEX es "1. Anexo Tarifas OPEX Reservas 2025 GGN 111225.xlsx".
•	El CAPEX de ICOS y WO lo tomamos de las Plantillas de CAPEX 2025, compartidas por Vianey (Este CAPEX coincide con la Cartilla del Plan de Inversiones).
•	Al verificar los valores del CAPEX de los ICOS con los Flujos de Caja, los valores no coinciden.
•	El ABEX lo tomamos del archivo "Anexo 1. Costo técnico de abandono 2025_ Producción.xlsx", compartidas por Vianey.</t>
  </si>
  <si>
    <t>\\10.100.25.27\Fusiones_Adquisiciones_Germanicus\61.Oportunidad Rodano</t>
  </si>
  <si>
    <t>\\10.100.25.27\Fusiones_Adquisiciones_Germanicus\64.Oportunidad Bremen\02_Informacion Tecnica Disponible\INGENIERIA\Historia_de_Produccion</t>
  </si>
  <si>
    <t>Informe, con estadísticas descriptivas, histogramas, pruebas de ajuste, etc.</t>
  </si>
  <si>
    <t>Base de Datos</t>
  </si>
  <si>
    <t xml:space="preserve">Modelo Geocelular - Informe del Modelo </t>
  </si>
  <si>
    <t>Juan Carlos Morales Obando</t>
  </si>
  <si>
    <t xml:space="preserve">Inventario - Informe </t>
  </si>
  <si>
    <r>
      <t xml:space="preserve">2.1. 2.2. 2.3. 2.4. 2.5. 2.6. 2.7. 2.8. 2.9. 2.10 Especialista (AM):
</t>
    </r>
    <r>
      <rPr>
        <sz val="9"/>
        <color theme="1"/>
        <rFont val="Verdana"/>
        <family val="2"/>
      </rPr>
      <t>1. Seguimiento a perforación y evaluación petrofísica del pozo CRCE-31.   Se hizo el seguimiento de la perforación, junto con las reuniones para concretar los intervalos de completamiento con el socio SCE. 2. Carga y revisión de los pozos: LY-269, MN-32, LY-20, LY-44, esta carga de pozos se hace con el fin de la revisión de Workover para el pozo LY-20 en la unidad M1A1. Para cada pozo se genera la tabla de propiedades petrofísicas para poder generar los respectivos perfiles de produccion.  LY_20: 7264-7294, LY_75: 7296-7301, LY_56: 7263-7283, LY_249: 7349-7353. 3. Carga y discusión de los datos de RST para el pozo LY-44: Se visualizan las cuentas de los detectores cercanos y lejanos con el fin de implementar la metodología de la revisión de cuentas para definir intervalos prospectivos. 4. Secciones de trabajo con el socio SCE, con el fin de discutir los intervalos a ser probados para el trabajo de WO en el pozo MN-32, se procede también a cargar los datos de RST de este pozo.5.Revisión de Workovers para los pozos CO-1 (M1); CCOG_6 (K3), COSG-07 (M1A2). Para la revisión y elaboración de perfiles se generaron los promedios petrofísicos. 6.Se hizo la revisión de los WO en los pozos REX-2 y REX-8 (K2).  Se generaron las respectivas tablas de propiedades petrofísicas. Se hizo la revisión de Sor para ver el potencial de la unidad.</t>
    </r>
  </si>
  <si>
    <t xml:space="preserve"> Base de Datos</t>
  </si>
  <si>
    <t xml:space="preserve"> Modelo Geocelular - Informe del Modelo </t>
  </si>
  <si>
    <r>
      <t xml:space="preserve">1.1. 1.2. 1.3. 1.4. 1.7. 1.14. 1.16. 1.17 Especialista (EN):
</t>
    </r>
    <r>
      <rPr>
        <sz val="9"/>
        <color theme="1"/>
        <rFont val="Verdana"/>
        <family val="2"/>
      </rPr>
      <t>Durante el mes de Febrero se realizaron diferentes actividades de acuerdo con las prioridades determinadas por el equipo de DAT. 
A continuación, se describen brevemente las actividades principales para cada uno de los activos:
1. Oportunidad Apus
- Durante el mes de febrero se inició el apoyo en la Oportunidad Apus, realizando reuniones de empalme con los profesionales que han estado trabajando en esta oportunidad.
- Se ha revisado y analizado información disponible de la oportunidad. 
- Se ha estado revisando y descargando la nueva información compartida en el Data Site por parte de la compañía operadora.
- A partir del modelo petrel creado previamente se ha estado cargando la información de pozos, surveys, registros etc. que esta disponible en el data site. 
- Se ha hecho control de calidad de la información contenida en el proyecto petrel y se han hecho ajustes de acuerdo con la nueva información disponible.
- Se ha dado soporte a los profesionales de la oportunidad, en la revisión, análisis de la información de la oportunidad.
- Se ha participado en diferentes reuniones relacionadas con la oportunidad. 
2. Oportunidad Nashville
- Durante el mes de Febrero se han recibido requerimientos por parte de la compañía oferente relacionados con suministro de información disponible, en donde se ha trabajado en la revisión de inventarios, información compartida en VDR, carga de nueva información etc. 
-  Se han realizado reuniones con el activo para revisar los requerimientos y demás avances y apoyo requerido para el avance de las negociaciones de esta oportunidad. 
3. Otras Actividades
- Se participó en las reuniones sistemáticas convocadas por el equipo de DAT.
- Se participó en diferentes charlas tecnicas realizadas en la gerencia y por compañias aliadas.
- Durante el mes de febrero se llevó a cabo la Jornada de Geomodelamiento donde se realizó la presentación del trabajo construido junto con el Geomodelador de DAT, para mostrar las metodologías y procesos utilizados durante la labor de evaluación de oportunidades en DAT.</t>
    </r>
  </si>
  <si>
    <t>5)	Se generaron las bases GAP de Abanico y Gigante, incluyendo información de Reservas 2025. 
a.	Los perfiles de Reservas 2025 se tomaron de los archivos "VAO_GIGANTE MONSERRATE_VT-FID_20260120.xlsx" - Gigante y "VAO_ABANICO_VT-FID_20260120.xlsx" - Abanico.
b.	Las bases no incluyen costos de OPEX asociados a las PDP.
c.	Las bases de Abanico y Gigante incluyen el costo de ABEX en las PDP, usado en la propuesta del Plan conceptual de Desarrollo.
d.	En las Bases PDP de Gigante se contempla el abandono de un pozo al final del perfil de producción.
e.	En las Bases PDP de Abanico se contempla el abandono de seis pozos al final del perfil de producción. 
6)	Se generó una nueva versión de las bases GAP de Alabama – Caso Extensión, ajustando el CAPEX del piloto de inyección y su distribución:
a.	El costo asociado a los trazadores lo colocamos en la columna de workover, en una segunda fila.
b.	El costo de integridad lo colocamos en la columna "Pipelines (Oil, Gas)", asumiendo que es integridad de superficie y no de pozo.
c.	La contingencia la colocamos en la columna "Other investments".
d.	Se incluye la perforación de los pozos nuevos Jaguar-53 y Jaguar-55.
e.	Se incluyen los perfiles de los pilotos de inyección CCS-C13 y JAGU-35H (C1, C2 y C3).
f.	Se incluye el CAPEX asociado en las hojas C1 de los pilotos de inyección.
g.	Se actualizan las tarifas de OPEX y ABEX, reservas 2025.
h.	En las hojas de los pilotos de inyección, se tomó el costo del pozo disposal activo y se aplicó al pozo inyector activo.
i.	Las tarifas de inyección de agua, se toman de la presentación suministrada por Vianey.
j.	Se incluyen las hojas de los pozos Bengala-11 y Jaguar-54, por si se requiere realizar corridas de sensibilidad.</t>
  </si>
  <si>
    <t>7)	Actualmente me encuentro trabajando en el desarrollo de un programa, para generar las bases de ingeniería, a partir de las bases GAP. Este trabajo se está realizando en conjunto con el equipo de Nuevos Negocios.</t>
  </si>
  <si>
    <t xml:space="preserve">4)	Se realizó la evaluación del campo Brillante y se generó un plan de desarrollo conceptual PCD. 
a.	Se generó presentación de la parte de ingeniería de yacimientos.
b.	Se generó el acta de la reunión, atendiendo las recomendaciones de los peers.
c.	Se generaron las bases GAP del Plan conceptual de desarrollo del campo Brillante. </t>
  </si>
  <si>
    <t>1)	Se generaron las bases GAP de Támesis Escenario 3NN C - Caso 1. Las bases fueron generadas teniendo en cuenta las siguientes recomendaciones:
a.	A partir de Enero/2032 toda el agua se reporta como disposición.
b.	Asociado a lo anterior, se realiza nuevamente el cálculo de los costos variables con las tarifas correspondientes a disposición de agua.
c.	Se reportan los ICOS del CAPEX Escenario 1NN en las hojas "CAJUA_PDP" y "QUIFA_PDP".
d.	Se incluye el abandono de los 3 pozos disposal en la hoja "QUIFA_PND".
e.	Se incluye la perforación y abandono de dos pozos en la hoja "QUIFA_C1".
f.	A partir de Enero/2032 toda el agua se reporta como disposición.
g.	Asociado a lo anterior, se realiza nuevamente el cálculo de los costos variables con las tarifas correspondientes a disposición de agua.
h.	Se reportan los ICOS del CAPEX Escenario 1NN en las hojas "CAJUA_PDP" y "QUIFA_PDP".
i.	Se incluye el abandono de los 3 pozos disposal en la hoja "QUIFA_PND".
j.	Se incluye la perforación y abandono de dos pozos en la hoja "QUIFA_C1".
2)	Se generaron nuevamente las bases GAP de Támesis, correspondientes al Escenario 3NN A - Caso 1 y B - Caso 1. Las bases fueron generadas con las siguientes modificaciones:
a.	Se incluyen los costos de ICOS del escenario 1NN en las hojas "CAJUA_PDP" y "QUIFA_PDP".
b.	Se incluyen los costos de CAPEX del escenario 1NN en las hojas "CAJUA_PND" y "QUIFA_PND".
c.	Se ajusta el CAPEX de los escenarios A y B y se toma del archivo "EDC TAMESIS Esc 1 Sin CPFs V1 Entrega_24122025_campo_reserva_caso1_3NN-AB.xlsx" (Ver archivo adjunto).
3)	Se generaron las bases GAP de Támesis - Reservas 2025. Las bases fueron generadas con las siguientes premisas:
a.	Los perfiles de Cajua se tomaron del archivo "VT FID CAJUA (PDP) Reserves-VT Monthly-Field.xlsx".
b.	Los perfiles de Quifa se tomaron del archivo "QUIFA_Reserves-VT Monthly-Field_LPV.xlsx".
c.	El CAPEX de Cajua se tomó del archivo "Plantilla CAPEX 2025_CAMPO CAJUA.xlsx".
d.	El CAPEX de Quifa se tomó del archivo "Plantilla CAPEX 2025_CAMPO QUIFA.xlsx".
e.	Los costos de OPEX se tomaron del archivo "1. Anexo Tarifas OPEX Reservas 2025 GGN 111225.xlsx".
f.	Los costos de ABEX se tomaron del archivo "Anexo 1. Costo técnico de abandono 2025_ Producción.xlsx".
g.	El perfil de agua de aspersión se reporta en la columna "steam (BWPD)".</t>
  </si>
  <si>
    <r>
      <t xml:space="preserve">3.3. 3.4. 3.5. 3.6. 3.13. 3.15. 3.16. 3.18. 8.2. 8.4 Senior (LH):
</t>
    </r>
    <r>
      <rPr>
        <sz val="9"/>
        <color theme="1"/>
        <rFont val="Verdana"/>
        <family val="2"/>
      </rPr>
      <t>Se generaron las bases GAP de Tamesis, Abanico, Alabama, Gigante, Brillante. Se realizó la evaluación y presentación del Plan Conceptual de Desarrollo del campo Brillante. Se está desarrollando programa para generar las bases de ingeniería.</t>
    </r>
    <r>
      <rPr>
        <b/>
        <sz val="9"/>
        <color theme="1"/>
        <rFont val="Verdana"/>
        <family val="2"/>
      </rPr>
      <t xml:space="preserve">
</t>
    </r>
    <r>
      <rPr>
        <sz val="9"/>
        <color theme="1"/>
        <rFont val="Verdana"/>
        <family val="2"/>
      </rPr>
      <t/>
    </r>
  </si>
  <si>
    <t>Realizacion de bases GAP de la Oportunidad Rodano, a partir del caso de Reservas YE2025 para la Extension de Cosecha.</t>
  </si>
  <si>
    <t>Continuidad del proyecto Bremen con la digitalización de información de producción (PDF a Excel) para consolidar la base en OFM y soportar el análisis DAT.</t>
  </si>
  <si>
    <t>Desarrollo de casos de declinación exponencial e hiperbólica en pozos activos para evaluación de perfiles PDP. Oportunidad Bremen</t>
  </si>
  <si>
    <t>Integración del análisis de declinaciones con la comparación de casos 2025 (Activo vs. DAT) para detectar cambios relevantes en producción y reservas.</t>
  </si>
  <si>
    <t>\\10.100.25.27\Fusiones_Adquisiciones_Germanicus\64.Oportunidad Bremen\02_Informacion Tecnica Disponible\INGENIERIA\Historia_de_Produccion\OFM</t>
  </si>
  <si>
    <t>\\10.100.25.27\Fusiones_Adquisiciones_Germanicus\64.Oportunidad Bremen\03_Evaluacion_DAT\04 Ing Yacimiento\Produccion</t>
  </si>
  <si>
    <r>
      <t>3.3. 3.4.3 .5. 3.6. 3.13. 3.15. 3.16. 3.18 Senior (DS):</t>
    </r>
    <r>
      <rPr>
        <sz val="9"/>
        <color theme="1"/>
        <rFont val="Verdana"/>
        <family val="2"/>
      </rPr>
      <t xml:space="preserve">  </t>
    </r>
    <r>
      <rPr>
        <b/>
        <sz val="9"/>
        <color theme="1"/>
        <rFont val="Verdana"/>
        <family val="2"/>
      </rPr>
      <t xml:space="preserve">    
</t>
    </r>
    <r>
      <rPr>
        <sz val="9"/>
        <color theme="1"/>
        <rFont val="Verdana"/>
        <family val="2"/>
      </rPr>
      <t>Realización de bases GAP de la Oportunidad Ródano a partir del caso de Reservas YE2025 para la extensión de Cosecha, e inicio del proyecto Bremen con la consolidación y depuración de la base de datos. En este marco, se digitalizó y estructuró la información histórica de producción para la construcción de la base en OFM, desarrollando análisis de declinación (exponencial e hiperbólica) en pozos activos para la generación de perfiles PDP. Actualmente se estan realizando las comparaciones de casos 2025 del activo vs. DAT 2026, identificando variaciones relevantes en producción y reservas.</t>
    </r>
  </si>
  <si>
    <r>
      <t xml:space="preserve">3.3. 3.4.3 .5. 3.6. 3.13. 3.15. 3.16. 3.18 Senior (DS):
* </t>
    </r>
    <r>
      <rPr>
        <sz val="9"/>
        <color theme="1"/>
        <rFont val="Verdana"/>
        <family val="2"/>
      </rPr>
      <t xml:space="preserve">Realización de bases GAP de la Oportunidad Rodano, a partir del caso de reservas 2025, iniciando con la comparación entre el Plan de Inversión vs. Reservas YE2025 para la extensión de Cosecha, e inicio del proyecto Bremen, consolidando y depurando la base de datos como insumo esencial para la evaluación que se desarrollará en los próximos meses por el equipo DAT.
* Aun en proceso de configuración de procesos de red, gestión de accesos, permisos y demás autorizaciones requeridas. </t>
    </r>
    <r>
      <rPr>
        <b/>
        <sz val="9"/>
        <color theme="1"/>
        <rFont val="Verdana"/>
        <family val="2"/>
      </rPr>
      <t xml:space="preserve">    
</t>
    </r>
  </si>
  <si>
    <r>
      <t>3.3. 8.2. 8.4. 8.5 Senior (CF):</t>
    </r>
    <r>
      <rPr>
        <sz val="9"/>
        <color theme="1"/>
        <rFont val="Verdana"/>
        <family val="2"/>
      </rPr>
      <t xml:space="preserve">
A continuación, se describen las actividades realizadas en el marco de la Orden de Servicio, orientadas a la prestación de servicios especializados en ingeniería de yacimientos y data analytics, para la evaluación integral y el desarrollo de oportunidades de negocio estratégicas gestionadas por el Departamento de Análisis Técnico de Nuevos Negocios (DAT).
Oportunidad Arizona: 
a) Bases GAP de reservas 2026 para los campos Palagua y Caipal, incluyendo archivos en formato Excel y script de procesamiento.
Archivos:
• BASE CAIPAL.xlsx
• BASE PALAGUA.xlsx
• Script de procesamiento: basesgap_valnav_Arizona_Aud.ipynb, Graficas_Arizona.ipynb, GenerarHojaResumenBasesGAP.ipynb
Ubicación: 
• Correo del 17 de febrero de 2026 a las 3:46 p. m. (asunto: “Bases GAP Arizona caso reservas”) y se encuentran almacenados en OneDrive – Ecopetrol S.A., según el respaldo del correo.
b) Plan estratégico de desarrollo para la perforación de pozos infill en recuperación primaria + WO para Palagua–Caipal, que incluye la generación de archivos para la construcción y automatización de perfiles, así como la definición de cronogramas de ejecución.
Archivos:
• Export_FieldProfile_2Perf_C2.xlsx– Construcción de perfiles y cronogramas.
• Export_FieldProfile_7Perf_PND.xlsx– Construcción de perfiles y cronogramas
• Export_FieldProfile_7Perf_PND.xlsx– Construcción de perfiles y cronogramas
• Export_FieldProfile_16Perf_C3.xlsx– Construcción de perfiles y cronogramas
• Export_FieldProfile_17Perf_C1.xlsx– Construcción de perfiles y cronogramas
• Export_FieldProfile_14WOC2.xlsx– Construcción de perfiles y cronogramas
• Export_FieldProfile_24WOC1.xlsx– Construcción de perfiles y cronogramas
• Export_FieldProfile_30WOPND.xlsx– Construcción de perfiles y cronogramas
• FieldProfile_ARZ.ipynb – Generación y automatización de perfiles
Ubicación: 
• Repositorio en red corporativa, Carpeta Fusiones_Adquisiciones_Germanicus (\10.100.25.27)
Tablero buscador de análogos: 
a) Definición de metodología para el desarrollo del tablero interactivo en Power BI para la búsqueda y comparación de campos análogos, mediante la integración de variables técnicas, productivas y de reservas.
Archivos:
• TABLERO BUSCADOR DE ANALOGOS-DAT.xlsx
Ubicación: 
• Repositorio en red corporativa, Carpeta Fusiones_Adquisiciones_Germanicus (\10.100.25.27)
• Presentación periódica de avances del Tablero Análogos – Power BI en el marco de la sesión sistemática del proyecto, desarrollada semanalmente los miércoles.</t>
    </r>
  </si>
  <si>
    <r>
      <t xml:space="preserve">3.3. 8.2. 8.4. 8.5 Senior (CF):
</t>
    </r>
    <r>
      <rPr>
        <sz val="9"/>
        <color theme="1"/>
        <rFont val="Verdana"/>
        <family val="2"/>
      </rPr>
      <t>A continuación, se describen las actividades realizadas en el marco de la Orden de Servicio, orientadas a la prestación de servicios especializados en ingeniería de yacimientos y data analytics, para la evaluación integral y el desarrollo de oportunidades de negocio estratégicas gestionadas por el Departamento de Análisis Técnico de Nuevos Negocios (DAT).
Oportunidad Uyuni: 
a)	Bases GAP de reservas 2026 para los campos Provincia y Bonanza, incluyendo archivos en formato Excel y script de procesamiento.
Archivos:
* BASE BONANZA.xlsx
* BASE PROVINCIA.xlsx
* Script de procesamiento: basesgap_valnav_Uyuni_Aud.ipynb
* Correo del 22 de enero de 2026 a las 2:58 p. m. (asunto: “Bases actualizadas – Reservas 2026 Uyuni”) y se encuentran almacenados en OneDrive – Ecopetrol S.A., según el respaldo del correo.
b)	Plan de desarrollo del prospecto NFE Bonanza Norte, con archivos para la construcción y automatización de perfiles y la definición de cronogramas.
Archivos:
* FieldProfile_7NewProd_NFE_Bza.xlsx – Construcción de perfiles y cronogramas
* FieldProfile_NewProd_NFE_Bza.ipynb – Generación y automatización de perfiles
Ubicación: 
* Repositorio en red corporativa, Carpeta Fusiones_Adquisiciones_Germanicus (\10.100.25.27)
c)	Actualización de bases GAP de los costos unitarios 2026 para los campos Provincia y Bonanza, con inclusión del plan de desarrollo NFE Bonanza Norte en formato Base GAP.
Archivos:
* BASE_BONANZA_TELPICO.xlsx
* BASE_PROVINCIA_TELPICO.xlsx
* Correo del 22 de enero de 2026 a las 2:58 p. m. (asunto: “Bases actualizadas – Reservas 2026 Uyuni”) y se encuentran almacenados en OneDrive – Ecopetrol S.A., según el respaldo del correo.
Oportunidad Nashville: 
a)	Procesamiento y resumen de los perfiles de reservas 2026 correspondientes a las categorías P1, P2 y P3 de los campos Casabe, Casabe Sur, Peñas Blancas y Llanito Unificado, , incluyendo archivos en formato Excel y script de procesamiento.
Archivos:
* Script de procesamiento: Script_Consolidado_Nashville.ipynb
Ubicación: 
* Correo del 16 de enero de 2026 a las 4:45 p. m. (asunto: “Resumen perfiles de reservas 2026 – Oportunidad Nashville”) y se encuentran almacenados en OneDrive – Ecopetrol S.A., según el respaldo del correo.
Oportunidad Yakarta: 
a)	Comparativo de volúmenes técnicos reservas 2025 vs 2026 para los campos Tisquirama y San Roque, con ajuste de volumetría a partir del límite técnico, incorporando la corrección correspondiente para la base 2025 y el análisis de diferencias entre escenarios. 
Archivos:
* YAKARTA VT 2026 vs 2025.xlsx
Ubicación: 
* Repositorio en red corporativa, Carpeta Fusiones_Adquisiciones_Germanicus (\10.100.25.27)</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</si>
</sst>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4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hair">
        <color indexed="64"/>
      </left>
      <right style="hair">
        <color indexed="64"/>
      </right>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medium">
        <color indexed="64"/>
      </left>
      <right style="hair">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hair">
        <color indexed="64"/>
      </right>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139">
    <xf numFmtId="0" fontId="0" fillId="0" borderId="0" xfId="0"/>
    <xf numFmtId="0" fontId="2" fillId="0" borderId="0" xfId="0" applyFont="1"/>
    <xf numFmtId="0" fontId="3" fillId="0" borderId="0" xfId="0" applyFont="1"/>
    <xf numFmtId="0" fontId="2" fillId="0" borderId="6" xfId="0" applyFont="1" applyBorder="1"/>
    <xf numFmtId="0" fontId="2" fillId="0" borderId="7" xfId="0" applyFont="1" applyBorder="1"/>
    <xf numFmtId="0" fontId="4" fillId="0" borderId="0" xfId="0" applyFont="1" applyAlignment="1">
      <alignment horizontal="center" vertical="center"/>
    </xf>
    <xf numFmtId="0" fontId="2" fillId="0" borderId="0" xfId="0" applyFont="1" applyAlignment="1">
      <alignment vertical="center"/>
    </xf>
    <xf numFmtId="0" fontId="2" fillId="0" borderId="9" xfId="0" applyFont="1" applyBorder="1" applyAlignment="1">
      <alignment vertical="center"/>
    </xf>
    <xf numFmtId="0" fontId="3" fillId="0" borderId="0" xfId="0" applyFont="1" applyAlignment="1">
      <alignment vertical="center"/>
    </xf>
    <xf numFmtId="0" fontId="2" fillId="0" borderId="9" xfId="0" applyFont="1" applyBorder="1"/>
    <xf numFmtId="49" fontId="4" fillId="0" borderId="0" xfId="0" applyNumberFormat="1" applyFont="1" applyAlignment="1">
      <alignment horizontal="center"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14" fontId="4" fillId="0" borderId="0" xfId="0" applyNumberFormat="1" applyFont="1" applyAlignment="1">
      <alignment horizontal="center" vertical="center"/>
    </xf>
    <xf numFmtId="0" fontId="0" fillId="0" borderId="0" xfId="0" applyAlignment="1">
      <alignment vertical="center"/>
    </xf>
    <xf numFmtId="164" fontId="4" fillId="0" borderId="8" xfId="1" applyNumberFormat="1" applyFont="1" applyBorder="1" applyAlignment="1" applyProtection="1">
      <alignment horizontal="center" vertical="center"/>
    </xf>
    <xf numFmtId="0" fontId="4" fillId="4" borderId="0" xfId="0" applyFont="1" applyFill="1" applyAlignment="1">
      <alignment vertical="center"/>
    </xf>
    <xf numFmtId="0" fontId="4" fillId="4" borderId="4" xfId="0" applyFont="1" applyFill="1" applyBorder="1" applyAlignment="1">
      <alignment vertical="center"/>
    </xf>
    <xf numFmtId="0" fontId="2" fillId="0" borderId="8" xfId="0" applyFont="1" applyBorder="1" applyAlignment="1">
      <alignment horizontal="center" vertical="center"/>
    </xf>
    <xf numFmtId="0" fontId="6" fillId="0" borderId="8" xfId="0" applyFont="1" applyBorder="1" applyAlignment="1">
      <alignment horizontal="center"/>
    </xf>
    <xf numFmtId="0" fontId="2" fillId="0" borderId="0" xfId="0" applyFont="1" applyAlignment="1">
      <alignment horizontal="center" vertical="center"/>
    </xf>
    <xf numFmtId="0" fontId="4" fillId="4" borderId="2" xfId="0" applyFont="1" applyFill="1" applyBorder="1" applyAlignment="1">
      <alignment horizontal="center" vertical="center"/>
    </xf>
    <xf numFmtId="0" fontId="3" fillId="0" borderId="0" xfId="0" applyFont="1" applyAlignment="1">
      <alignment horizontal="center" vertical="center"/>
    </xf>
    <xf numFmtId="0" fontId="2" fillId="0" borderId="5" xfId="0" applyFont="1" applyBorder="1" applyAlignment="1">
      <alignment horizontal="center" vertical="center"/>
    </xf>
    <xf numFmtId="0" fontId="2" fillId="0" borderId="10" xfId="0" applyFont="1" applyBorder="1" applyAlignment="1">
      <alignment horizontal="center" vertical="center"/>
    </xf>
    <xf numFmtId="164" fontId="4" fillId="0" borderId="0" xfId="1" applyNumberFormat="1" applyFont="1" applyBorder="1" applyAlignment="1" applyProtection="1">
      <alignment horizontal="center" vertical="center"/>
    </xf>
    <xf numFmtId="1" fontId="4" fillId="0" borderId="0" xfId="0" applyNumberFormat="1" applyFont="1" applyAlignment="1">
      <alignment horizontal="center" vertical="center"/>
    </xf>
    <xf numFmtId="9" fontId="2" fillId="0" borderId="20" xfId="1" applyFont="1" applyBorder="1" applyAlignment="1" applyProtection="1">
      <alignment horizontal="center" vertical="center" wrapText="1"/>
    </xf>
    <xf numFmtId="9" fontId="2" fillId="0" borderId="22" xfId="1" applyFont="1" applyBorder="1" applyAlignment="1" applyProtection="1">
      <alignment horizontal="center" vertical="center" wrapText="1"/>
    </xf>
    <xf numFmtId="9" fontId="2" fillId="0" borderId="20" xfId="1" applyFont="1" applyFill="1" applyBorder="1" applyAlignment="1" applyProtection="1">
      <alignment horizontal="center" vertical="center" wrapText="1"/>
    </xf>
    <xf numFmtId="9" fontId="2" fillId="0" borderId="27" xfId="1" applyFont="1" applyBorder="1" applyAlignment="1" applyProtection="1">
      <alignment horizontal="center" vertical="center" wrapText="1"/>
    </xf>
    <xf numFmtId="0" fontId="4" fillId="2" borderId="8" xfId="0" applyFont="1" applyFill="1" applyBorder="1" applyAlignment="1">
      <alignment horizontal="center" vertical="center"/>
    </xf>
    <xf numFmtId="49" fontId="4" fillId="2" borderId="8" xfId="0" applyNumberFormat="1" applyFont="1" applyFill="1" applyBorder="1" applyAlignment="1">
      <alignment horizontal="center" vertical="center"/>
    </xf>
    <xf numFmtId="14" fontId="4" fillId="2" borderId="8" xfId="0" applyNumberFormat="1" applyFont="1" applyFill="1" applyBorder="1" applyAlignment="1">
      <alignment horizontal="center" vertical="center"/>
    </xf>
    <xf numFmtId="0" fontId="2" fillId="0" borderId="20"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14" xfId="0" applyFont="1" applyBorder="1" applyAlignment="1">
      <alignment horizontal="left" vertical="center"/>
    </xf>
    <xf numFmtId="0" fontId="2" fillId="0" borderId="24" xfId="0" applyFont="1" applyBorder="1" applyAlignment="1">
      <alignment horizontal="left" vertical="center"/>
    </xf>
    <xf numFmtId="0" fontId="2" fillId="0" borderId="27" xfId="0" applyFont="1" applyBorder="1" applyAlignment="1">
      <alignment horizontal="left" vertical="center"/>
    </xf>
    <xf numFmtId="0" fontId="2" fillId="0" borderId="20" xfId="0" applyFont="1" applyBorder="1" applyAlignment="1">
      <alignment horizontal="left" vertical="center"/>
    </xf>
    <xf numFmtId="0" fontId="2" fillId="0" borderId="22" xfId="0" applyFont="1" applyBorder="1" applyAlignment="1">
      <alignment horizontal="left"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0" fontId="2" fillId="0" borderId="25" xfId="0" applyFont="1" applyBorder="1" applyAlignment="1">
      <alignment horizontal="center" vertical="center"/>
    </xf>
    <xf numFmtId="0" fontId="2" fillId="0" borderId="19" xfId="0" applyFont="1" applyBorder="1" applyAlignment="1">
      <alignment horizontal="center" vertical="center"/>
    </xf>
    <xf numFmtId="0" fontId="2" fillId="2" borderId="3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0" borderId="32" xfId="0" applyFont="1" applyBorder="1" applyAlignment="1">
      <alignment horizontal="center" vertical="center" wrapText="1"/>
    </xf>
    <xf numFmtId="0" fontId="2" fillId="0" borderId="32" xfId="0" applyFont="1" applyBorder="1" applyAlignment="1">
      <alignment horizontal="left" vertical="center"/>
    </xf>
    <xf numFmtId="0" fontId="2" fillId="0" borderId="21" xfId="0" applyFont="1" applyBorder="1" applyAlignment="1">
      <alignment horizontal="center" vertical="center" wrapText="1"/>
    </xf>
    <xf numFmtId="9" fontId="2" fillId="0" borderId="21" xfId="1" applyFont="1" applyBorder="1" applyAlignment="1" applyProtection="1">
      <alignment horizontal="center" vertical="center" wrapText="1"/>
    </xf>
    <xf numFmtId="0" fontId="2" fillId="0" borderId="25" xfId="0" applyFont="1" applyBorder="1" applyAlignment="1">
      <alignment horizontal="center" vertical="center" wrapText="1"/>
    </xf>
    <xf numFmtId="9" fontId="2" fillId="0" borderId="33" xfId="1" applyFont="1" applyBorder="1" applyAlignment="1" applyProtection="1">
      <alignment horizontal="center" vertical="center" wrapText="1"/>
    </xf>
    <xf numFmtId="9" fontId="2" fillId="0" borderId="34" xfId="1" applyFont="1" applyBorder="1" applyAlignment="1" applyProtection="1">
      <alignment horizontal="center" vertical="center" wrapText="1"/>
    </xf>
    <xf numFmtId="9" fontId="2" fillId="0" borderId="34" xfId="1" applyFont="1" applyFill="1" applyBorder="1" applyAlignment="1" applyProtection="1">
      <alignment horizontal="center" vertical="center" wrapText="1"/>
    </xf>
    <xf numFmtId="9" fontId="2" fillId="0" borderId="35" xfId="1" applyFont="1" applyBorder="1" applyAlignment="1" applyProtection="1">
      <alignment horizontal="center" vertical="center" wrapText="1"/>
    </xf>
    <xf numFmtId="0" fontId="2" fillId="0" borderId="36" xfId="0" applyFont="1" applyBorder="1" applyAlignment="1">
      <alignment horizontal="center" vertical="center" wrapText="1"/>
    </xf>
    <xf numFmtId="9" fontId="2" fillId="0" borderId="37" xfId="1" applyFont="1" applyBorder="1" applyAlignment="1" applyProtection="1">
      <alignment horizontal="center" vertical="center"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40" xfId="0" applyFont="1" applyBorder="1" applyAlignment="1">
      <alignment horizontal="left" vertical="center"/>
    </xf>
    <xf numFmtId="0" fontId="2" fillId="0" borderId="40" xfId="0" applyFont="1" applyBorder="1" applyAlignment="1">
      <alignment horizontal="center" vertical="center" wrapText="1"/>
    </xf>
    <xf numFmtId="9" fontId="2" fillId="0" borderId="40" xfId="1" applyFont="1" applyBorder="1" applyAlignment="1" applyProtection="1">
      <alignment horizontal="center" vertical="center" wrapText="1"/>
    </xf>
    <xf numFmtId="9" fontId="2" fillId="0" borderId="42" xfId="1" applyFont="1" applyBorder="1" applyAlignment="1" applyProtection="1">
      <alignment horizontal="center" vertical="center" wrapText="1"/>
    </xf>
    <xf numFmtId="0" fontId="4" fillId="0" borderId="8" xfId="0" applyFont="1" applyBorder="1" applyAlignment="1">
      <alignment horizontal="center" vertical="center"/>
    </xf>
    <xf numFmtId="0" fontId="2" fillId="3" borderId="27"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0" xfId="0" applyFont="1" applyFill="1" applyBorder="1" applyAlignment="1">
      <alignment horizontal="center" vertical="center" wrapText="1"/>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22" xfId="0" applyFont="1" applyBorder="1" applyAlignment="1">
      <alignment horizontal="center" vertical="center"/>
    </xf>
    <xf numFmtId="0" fontId="2" fillId="0" borderId="32" xfId="0" applyFont="1" applyBorder="1" applyAlignment="1">
      <alignment horizontal="center" vertical="center"/>
    </xf>
    <xf numFmtId="0" fontId="2" fillId="0" borderId="24" xfId="0" applyFont="1" applyBorder="1" applyAlignment="1">
      <alignment horizontal="center" vertical="center"/>
    </xf>
    <xf numFmtId="0" fontId="2" fillId="0" borderId="40" xfId="0" applyFont="1" applyBorder="1" applyAlignment="1">
      <alignment horizontal="center" vertical="center"/>
    </xf>
    <xf numFmtId="0" fontId="2" fillId="0" borderId="43" xfId="0" applyFont="1" applyBorder="1" applyAlignment="1">
      <alignment horizontal="left" vertical="center"/>
    </xf>
    <xf numFmtId="0" fontId="2" fillId="0" borderId="44" xfId="0" applyFont="1" applyBorder="1" applyAlignment="1">
      <alignment horizontal="left" vertical="center"/>
    </xf>
    <xf numFmtId="0" fontId="2" fillId="0" borderId="45" xfId="0" applyFont="1" applyBorder="1" applyAlignment="1">
      <alignment horizontal="left" vertical="center"/>
    </xf>
    <xf numFmtId="0" fontId="2" fillId="2" borderId="8" xfId="0" applyFont="1" applyFill="1" applyBorder="1" applyAlignment="1">
      <alignment horizontal="center" vertical="center" wrapText="1"/>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0" fillId="0" borderId="28"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48" xfId="0" applyFont="1" applyBorder="1" applyAlignment="1">
      <alignment horizontal="center" vertical="center"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10" fillId="3" borderId="28"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3" xfId="0" applyFont="1" applyBorder="1" applyAlignment="1">
      <alignment horizontal="center" vertical="center" wrapText="1"/>
    </xf>
    <xf numFmtId="0" fontId="2" fillId="0" borderId="6" xfId="0" applyFont="1" applyBorder="1" applyAlignment="1">
      <alignment horizontal="center" vertical="center"/>
    </xf>
    <xf numFmtId="0" fontId="4" fillId="2" borderId="3"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4" fillId="3" borderId="10"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9"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2" fillId="0" borderId="12" xfId="0" applyFont="1" applyBorder="1" applyAlignment="1">
      <alignment horizontal="center"/>
    </xf>
    <xf numFmtId="0" fontId="4" fillId="2" borderId="5"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2" xfId="0" applyFont="1" applyFill="1" applyBorder="1" applyAlignment="1">
      <alignment horizontal="left" vertical="top" wrapText="1"/>
    </xf>
    <xf numFmtId="0" fontId="4" fillId="2" borderId="4" xfId="0" applyFont="1" applyFill="1" applyBorder="1" applyAlignment="1">
      <alignment horizontal="left" vertical="top" wrapText="1"/>
    </xf>
  </cellXfs>
  <cellStyles count="2">
    <cellStyle name="Normal" xfId="0" builtinId="0"/>
    <cellStyle name="Porcentaje" xfId="1" builtinId="5"/>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331" y="194787"/>
          <a:ext cx="196976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331" y="194787"/>
          <a:ext cx="196976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430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430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19"/>
  <sheetViews>
    <sheetView showGridLines="0" zoomScaleNormal="100" zoomScaleSheetLayoutView="85" workbookViewId="0">
      <selection activeCell="B2" sqref="B2:L2"/>
    </sheetView>
  </sheetViews>
  <sheetFormatPr baseColWidth="10" defaultColWidth="8.6328125" defaultRowHeight="14.5" x14ac:dyDescent="0.35"/>
  <cols>
    <col min="1" max="1" width="4.453125" style="2" customWidth="1"/>
    <col min="2" max="2" width="8.54296875" style="20" customWidth="1"/>
    <col min="3" max="3" width="8.36328125" style="1" customWidth="1"/>
    <col min="4" max="4" width="43.36328125" style="1" customWidth="1"/>
    <col min="5" max="5" width="21.90625" style="1" customWidth="1"/>
    <col min="6" max="6" width="14.08984375" style="1" customWidth="1"/>
    <col min="7" max="7" width="13.453125" style="1" customWidth="1"/>
    <col min="8" max="8" width="13.6328125" style="1" customWidth="1"/>
    <col min="9" max="9" width="13.453125" style="1" customWidth="1"/>
    <col min="10" max="10" width="10.453125" style="1" customWidth="1"/>
    <col min="11" max="11" width="12.453125" style="1" customWidth="1"/>
    <col min="12" max="12" width="32.453125" style="1" customWidth="1"/>
    <col min="13" max="13" width="6.632812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x14ac:dyDescent="0.35">
      <c r="Q1" t="s">
        <v>0</v>
      </c>
    </row>
    <row r="2" spans="2:17" ht="49.5" customHeight="1" x14ac:dyDescent="0.35">
      <c r="B2" s="92" t="s">
        <v>1</v>
      </c>
      <c r="C2" s="92"/>
      <c r="D2" s="92"/>
      <c r="E2" s="92"/>
      <c r="F2" s="92"/>
      <c r="G2" s="92"/>
      <c r="H2" s="92"/>
      <c r="I2" s="92"/>
      <c r="J2" s="92"/>
      <c r="K2" s="92"/>
      <c r="L2" s="92"/>
      <c r="Q2" t="s">
        <v>2</v>
      </c>
    </row>
    <row r="3" spans="2:17" ht="18.75" customHeight="1" x14ac:dyDescent="0.35">
      <c r="B3" s="93" t="s">
        <v>3</v>
      </c>
      <c r="C3" s="94"/>
      <c r="D3" s="94"/>
      <c r="E3" s="94" t="s">
        <v>4</v>
      </c>
      <c r="F3" s="94"/>
      <c r="G3" s="94"/>
      <c r="H3" s="94"/>
      <c r="I3" s="94"/>
      <c r="J3" s="94" t="s">
        <v>5</v>
      </c>
      <c r="K3" s="94"/>
      <c r="L3" s="95"/>
    </row>
    <row r="4" spans="2:17" x14ac:dyDescent="0.35">
      <c r="B4" s="23"/>
      <c r="C4" s="3"/>
      <c r="L4" s="4"/>
      <c r="Q4" t="s">
        <v>6</v>
      </c>
    </row>
    <row r="5" spans="2:17" s="8" customFormat="1" ht="27.65" customHeight="1" x14ac:dyDescent="0.35">
      <c r="B5" s="87" t="s">
        <v>7</v>
      </c>
      <c r="C5" s="87"/>
      <c r="D5" s="31">
        <v>90590325</v>
      </c>
      <c r="E5" s="5"/>
      <c r="F5" s="5"/>
      <c r="G5" s="5"/>
      <c r="H5" s="6"/>
      <c r="I5" s="6"/>
      <c r="J5" s="6"/>
      <c r="K5" s="6"/>
      <c r="L5" s="7"/>
      <c r="O5"/>
      <c r="Q5" t="s">
        <v>8</v>
      </c>
    </row>
    <row r="6" spans="2:17" x14ac:dyDescent="0.35">
      <c r="B6" s="24"/>
      <c r="L6" s="9"/>
      <c r="Q6" t="s">
        <v>9</v>
      </c>
    </row>
    <row r="7" spans="2:17" s="8" customFormat="1" x14ac:dyDescent="0.35">
      <c r="B7" s="87" t="s">
        <v>12</v>
      </c>
      <c r="C7" s="87"/>
      <c r="D7" s="32" t="s">
        <v>2</v>
      </c>
      <c r="E7"/>
      <c r="F7"/>
      <c r="G7"/>
      <c r="H7"/>
      <c r="I7"/>
      <c r="J7" s="6"/>
      <c r="K7" s="6"/>
      <c r="L7" s="7"/>
      <c r="O7"/>
      <c r="Q7" t="s">
        <v>13</v>
      </c>
    </row>
    <row r="8" spans="2:17" s="8" customFormat="1" x14ac:dyDescent="0.35">
      <c r="B8" s="11"/>
      <c r="C8" s="12"/>
      <c r="D8" s="10"/>
      <c r="E8" s="10"/>
      <c r="F8" s="10"/>
      <c r="G8" s="10"/>
      <c r="H8" s="6"/>
      <c r="I8" s="6"/>
      <c r="J8" s="6"/>
      <c r="K8" s="6"/>
      <c r="L8" s="7"/>
      <c r="O8"/>
      <c r="Q8" t="s">
        <v>14</v>
      </c>
    </row>
    <row r="9" spans="2:17" s="8" customFormat="1" x14ac:dyDescent="0.35">
      <c r="B9" s="87" t="s">
        <v>15</v>
      </c>
      <c r="C9" s="87"/>
      <c r="D9" s="33">
        <v>46053</v>
      </c>
      <c r="E9" s="13"/>
      <c r="F9" s="13"/>
      <c r="G9" s="13"/>
      <c r="H9" s="6"/>
      <c r="I9" s="6"/>
      <c r="J9" s="6"/>
      <c r="K9" s="6"/>
      <c r="L9" s="7"/>
      <c r="O9"/>
      <c r="Q9" t="s">
        <v>16</v>
      </c>
    </row>
    <row r="10" spans="2:17" ht="15" thickBot="1" x14ac:dyDescent="0.4">
      <c r="B10" s="24"/>
      <c r="L10" s="9"/>
      <c r="Q10" t="s">
        <v>17</v>
      </c>
    </row>
    <row r="11" spans="2:17" ht="26.9" customHeight="1" x14ac:dyDescent="0.35">
      <c r="B11" s="88" t="s">
        <v>18</v>
      </c>
      <c r="C11" s="89"/>
      <c r="D11" s="89"/>
      <c r="E11" s="89"/>
      <c r="F11" s="89"/>
      <c r="G11" s="89"/>
      <c r="H11" s="89"/>
      <c r="I11" s="90" t="s">
        <v>19</v>
      </c>
      <c r="J11" s="90"/>
      <c r="K11" s="90" t="s">
        <v>20</v>
      </c>
      <c r="L11" s="91"/>
      <c r="Q11" t="s">
        <v>21</v>
      </c>
    </row>
    <row r="12" spans="2:17" ht="57.65" customHeight="1" x14ac:dyDescent="0.35">
      <c r="B12" s="51" t="s">
        <v>22</v>
      </c>
      <c r="C12" s="52" t="s">
        <v>23</v>
      </c>
      <c r="D12" s="52" t="s">
        <v>24</v>
      </c>
      <c r="E12" s="52" t="s">
        <v>25</v>
      </c>
      <c r="F12" s="52" t="s">
        <v>60</v>
      </c>
      <c r="G12" s="52" t="s">
        <v>26</v>
      </c>
      <c r="H12" s="52" t="s">
        <v>27</v>
      </c>
      <c r="I12" s="52" t="s">
        <v>28</v>
      </c>
      <c r="J12" s="52" t="s">
        <v>29</v>
      </c>
      <c r="K12" s="52" t="s">
        <v>30</v>
      </c>
      <c r="L12" s="53" t="s">
        <v>29</v>
      </c>
      <c r="Q12" t="s">
        <v>31</v>
      </c>
    </row>
    <row r="13" spans="2:17" ht="14.4" customHeight="1" x14ac:dyDescent="0.35">
      <c r="B13" s="58">
        <v>1</v>
      </c>
      <c r="C13" s="40">
        <v>1.1000000000000001</v>
      </c>
      <c r="D13" s="44" t="s">
        <v>124</v>
      </c>
      <c r="E13" s="44" t="s">
        <v>96</v>
      </c>
      <c r="F13" s="96" t="s">
        <v>103</v>
      </c>
      <c r="G13" s="78" t="s">
        <v>32</v>
      </c>
      <c r="H13" s="72">
        <v>28</v>
      </c>
      <c r="I13" s="72">
        <v>2</v>
      </c>
      <c r="J13" s="30">
        <f t="shared" ref="J13:J20" si="0">IFERROR(I13/H13,0)</f>
        <v>7.1428571428571425E-2</v>
      </c>
      <c r="K13" s="41">
        <f>I13</f>
        <v>2</v>
      </c>
      <c r="L13" s="59">
        <f>IFERROR(K13/H13,0)</f>
        <v>7.1428571428571425E-2</v>
      </c>
    </row>
    <row r="14" spans="2:17" x14ac:dyDescent="0.35">
      <c r="B14" s="35">
        <v>1</v>
      </c>
      <c r="C14" s="36" t="s">
        <v>77</v>
      </c>
      <c r="D14" s="45" t="s">
        <v>108</v>
      </c>
      <c r="E14" s="45" t="s">
        <v>136</v>
      </c>
      <c r="F14" s="97"/>
      <c r="G14" s="79" t="s">
        <v>32</v>
      </c>
      <c r="H14" s="73">
        <v>28</v>
      </c>
      <c r="I14" s="73">
        <v>3</v>
      </c>
      <c r="J14" s="27">
        <f t="shared" si="0"/>
        <v>0.10714285714285714</v>
      </c>
      <c r="K14" s="34">
        <f>I14</f>
        <v>3</v>
      </c>
      <c r="L14" s="60">
        <f>IFERROR(K14/H14,0)</f>
        <v>0.10714285714285714</v>
      </c>
    </row>
    <row r="15" spans="2:17" s="8" customFormat="1" x14ac:dyDescent="0.35">
      <c r="B15" s="35">
        <v>1</v>
      </c>
      <c r="C15" s="36" t="s">
        <v>97</v>
      </c>
      <c r="D15" s="45" t="s">
        <v>98</v>
      </c>
      <c r="E15" s="45" t="s">
        <v>78</v>
      </c>
      <c r="F15" s="97"/>
      <c r="G15" s="79" t="s">
        <v>32</v>
      </c>
      <c r="H15" s="73">
        <v>28</v>
      </c>
      <c r="I15" s="73">
        <v>2</v>
      </c>
      <c r="J15" s="27">
        <f t="shared" si="0"/>
        <v>7.1428571428571425E-2</v>
      </c>
      <c r="K15" s="34">
        <f>I15</f>
        <v>2</v>
      </c>
      <c r="L15" s="60">
        <f>IFERROR(K15/H15,0)</f>
        <v>7.1428571428571425E-2</v>
      </c>
      <c r="O15" s="14"/>
      <c r="Q15" s="14"/>
    </row>
    <row r="16" spans="2:17" x14ac:dyDescent="0.35">
      <c r="B16" s="35">
        <v>1</v>
      </c>
      <c r="C16" s="36" t="s">
        <v>99</v>
      </c>
      <c r="D16" s="45" t="s">
        <v>100</v>
      </c>
      <c r="E16" s="45" t="s">
        <v>79</v>
      </c>
      <c r="F16" s="97"/>
      <c r="G16" s="79" t="s">
        <v>32</v>
      </c>
      <c r="H16" s="73">
        <v>28</v>
      </c>
      <c r="I16" s="73">
        <v>2</v>
      </c>
      <c r="J16" s="27">
        <f t="shared" si="0"/>
        <v>7.1428571428571425E-2</v>
      </c>
      <c r="K16" s="34">
        <f t="shared" ref="K16:K20" si="1">I16</f>
        <v>2</v>
      </c>
      <c r="L16" s="60">
        <f t="shared" ref="L16:L20" si="2">IFERROR(K16/H16,0)</f>
        <v>7.1428571428571425E-2</v>
      </c>
    </row>
    <row r="17" spans="2:17" x14ac:dyDescent="0.35">
      <c r="B17" s="35">
        <v>1</v>
      </c>
      <c r="C17" s="36" t="s">
        <v>80</v>
      </c>
      <c r="D17" s="45" t="s">
        <v>81</v>
      </c>
      <c r="E17" s="45" t="s">
        <v>137</v>
      </c>
      <c r="F17" s="97"/>
      <c r="G17" s="79" t="s">
        <v>32</v>
      </c>
      <c r="H17" s="34">
        <v>29</v>
      </c>
      <c r="I17" s="34">
        <v>2</v>
      </c>
      <c r="J17" s="29">
        <f t="shared" si="0"/>
        <v>6.8965517241379309E-2</v>
      </c>
      <c r="K17" s="34">
        <f t="shared" si="1"/>
        <v>2</v>
      </c>
      <c r="L17" s="61">
        <f t="shared" si="2"/>
        <v>6.8965517241379309E-2</v>
      </c>
    </row>
    <row r="18" spans="2:17" x14ac:dyDescent="0.35">
      <c r="B18" s="35">
        <v>1</v>
      </c>
      <c r="C18" s="36" t="s">
        <v>82</v>
      </c>
      <c r="D18" s="45" t="s">
        <v>101</v>
      </c>
      <c r="E18" s="45" t="s">
        <v>83</v>
      </c>
      <c r="F18" s="97"/>
      <c r="G18" s="79" t="s">
        <v>32</v>
      </c>
      <c r="H18" s="34">
        <v>29</v>
      </c>
      <c r="I18" s="34">
        <v>2</v>
      </c>
      <c r="J18" s="29">
        <f t="shared" si="0"/>
        <v>6.8965517241379309E-2</v>
      </c>
      <c r="K18" s="34">
        <f t="shared" si="1"/>
        <v>2</v>
      </c>
      <c r="L18" s="61">
        <f t="shared" si="2"/>
        <v>6.8965517241379309E-2</v>
      </c>
    </row>
    <row r="19" spans="2:17" x14ac:dyDescent="0.35">
      <c r="B19" s="35">
        <v>1</v>
      </c>
      <c r="C19" s="36" t="s">
        <v>84</v>
      </c>
      <c r="D19" s="45" t="s">
        <v>109</v>
      </c>
      <c r="E19" s="45" t="s">
        <v>88</v>
      </c>
      <c r="F19" s="97"/>
      <c r="G19" s="79" t="s">
        <v>32</v>
      </c>
      <c r="H19" s="73">
        <v>29</v>
      </c>
      <c r="I19" s="73">
        <v>3</v>
      </c>
      <c r="J19" s="27">
        <f t="shared" si="0"/>
        <v>0.10344827586206896</v>
      </c>
      <c r="K19" s="34">
        <f t="shared" si="1"/>
        <v>3</v>
      </c>
      <c r="L19" s="60">
        <f t="shared" si="2"/>
        <v>0.10344827586206896</v>
      </c>
    </row>
    <row r="20" spans="2:17" x14ac:dyDescent="0.35">
      <c r="B20" s="37">
        <v>1</v>
      </c>
      <c r="C20" s="38" t="s">
        <v>85</v>
      </c>
      <c r="D20" s="46" t="s">
        <v>102</v>
      </c>
      <c r="E20" s="46" t="s">
        <v>86</v>
      </c>
      <c r="F20" s="98"/>
      <c r="G20" s="80" t="s">
        <v>32</v>
      </c>
      <c r="H20" s="74">
        <v>29</v>
      </c>
      <c r="I20" s="74">
        <v>2</v>
      </c>
      <c r="J20" s="28">
        <f t="shared" si="0"/>
        <v>6.8965517241379309E-2</v>
      </c>
      <c r="K20" s="39">
        <f t="shared" si="1"/>
        <v>2</v>
      </c>
      <c r="L20" s="62">
        <f t="shared" si="2"/>
        <v>6.8965517241379309E-2</v>
      </c>
    </row>
    <row r="21" spans="2:17" ht="14.4" customHeight="1" x14ac:dyDescent="0.35">
      <c r="B21" s="63">
        <v>2</v>
      </c>
      <c r="C21" s="54" t="s">
        <v>110</v>
      </c>
      <c r="D21" s="55" t="s">
        <v>43</v>
      </c>
      <c r="E21" s="55" t="s">
        <v>90</v>
      </c>
      <c r="F21" s="108" t="s">
        <v>104</v>
      </c>
      <c r="G21" s="81" t="s">
        <v>32</v>
      </c>
      <c r="H21" s="75">
        <v>22</v>
      </c>
      <c r="I21" s="75">
        <v>3</v>
      </c>
      <c r="J21" s="57">
        <f t="shared" ref="J21:J30" si="3">IFERROR(I21/H21,0)</f>
        <v>0.13636363636363635</v>
      </c>
      <c r="K21" s="56">
        <f>I21</f>
        <v>3</v>
      </c>
      <c r="L21" s="64">
        <f>IFERROR(K21/H21,0)</f>
        <v>0.13636363636363635</v>
      </c>
    </row>
    <row r="22" spans="2:17" x14ac:dyDescent="0.35">
      <c r="B22" s="35">
        <v>2</v>
      </c>
      <c r="C22" s="36" t="s">
        <v>44</v>
      </c>
      <c r="D22" s="42" t="s">
        <v>45</v>
      </c>
      <c r="E22" s="42" t="s">
        <v>46</v>
      </c>
      <c r="F22" s="108"/>
      <c r="G22" s="48" t="s">
        <v>32</v>
      </c>
      <c r="H22" s="73">
        <v>23</v>
      </c>
      <c r="I22" s="73">
        <v>1</v>
      </c>
      <c r="J22" s="27">
        <f t="shared" si="3"/>
        <v>4.3478260869565216E-2</v>
      </c>
      <c r="K22" s="34">
        <f>I22</f>
        <v>1</v>
      </c>
      <c r="L22" s="60">
        <f>IFERROR(K22/H22,0)</f>
        <v>4.3478260869565216E-2</v>
      </c>
    </row>
    <row r="23" spans="2:17" x14ac:dyDescent="0.35">
      <c r="B23" s="35">
        <v>2</v>
      </c>
      <c r="C23" s="36" t="s">
        <v>47</v>
      </c>
      <c r="D23" s="42" t="s">
        <v>111</v>
      </c>
      <c r="E23" s="42" t="s">
        <v>91</v>
      </c>
      <c r="F23" s="108"/>
      <c r="G23" s="48" t="s">
        <v>32</v>
      </c>
      <c r="H23" s="73">
        <v>23</v>
      </c>
      <c r="I23" s="73">
        <v>3</v>
      </c>
      <c r="J23" s="27">
        <f t="shared" si="3"/>
        <v>0.13043478260869565</v>
      </c>
      <c r="K23" s="34">
        <f>I23</f>
        <v>3</v>
      </c>
      <c r="L23" s="60">
        <f>IFERROR(K23/H23,0)</f>
        <v>0.13043478260869565</v>
      </c>
    </row>
    <row r="24" spans="2:17" x14ac:dyDescent="0.35">
      <c r="B24" s="35">
        <v>2</v>
      </c>
      <c r="C24" s="36" t="s">
        <v>48</v>
      </c>
      <c r="D24" s="42" t="s">
        <v>49</v>
      </c>
      <c r="E24" s="42" t="s">
        <v>87</v>
      </c>
      <c r="F24" s="108"/>
      <c r="G24" s="48" t="s">
        <v>87</v>
      </c>
      <c r="H24" s="73">
        <v>23</v>
      </c>
      <c r="I24" s="73">
        <v>0</v>
      </c>
      <c r="J24" s="27">
        <f t="shared" si="3"/>
        <v>0</v>
      </c>
      <c r="K24" s="34">
        <f t="shared" ref="K24:K29" si="4">I24</f>
        <v>0</v>
      </c>
      <c r="L24" s="60">
        <f t="shared" ref="L24:L29" si="5">IFERROR(K24/H24,0)</f>
        <v>0</v>
      </c>
    </row>
    <row r="25" spans="2:17" s="8" customFormat="1" x14ac:dyDescent="0.35">
      <c r="B25" s="35">
        <v>2</v>
      </c>
      <c r="C25" s="36" t="s">
        <v>112</v>
      </c>
      <c r="D25" s="42" t="s">
        <v>50</v>
      </c>
      <c r="E25" s="42" t="s">
        <v>92</v>
      </c>
      <c r="F25" s="108"/>
      <c r="G25" s="48" t="s">
        <v>32</v>
      </c>
      <c r="H25" s="73">
        <v>23</v>
      </c>
      <c r="I25" s="73">
        <v>3</v>
      </c>
      <c r="J25" s="27">
        <f t="shared" si="3"/>
        <v>0.13043478260869565</v>
      </c>
      <c r="K25" s="34">
        <f t="shared" si="4"/>
        <v>3</v>
      </c>
      <c r="L25" s="60">
        <f t="shared" si="5"/>
        <v>0.13043478260869565</v>
      </c>
      <c r="O25" s="14"/>
      <c r="Q25" s="14"/>
    </row>
    <row r="26" spans="2:17" x14ac:dyDescent="0.35">
      <c r="B26" s="35">
        <v>2</v>
      </c>
      <c r="C26" s="36" t="s">
        <v>51</v>
      </c>
      <c r="D26" s="42" t="s">
        <v>113</v>
      </c>
      <c r="E26" s="42" t="s">
        <v>93</v>
      </c>
      <c r="F26" s="108"/>
      <c r="G26" s="48" t="s">
        <v>32</v>
      </c>
      <c r="H26" s="73">
        <v>23</v>
      </c>
      <c r="I26" s="73">
        <v>2</v>
      </c>
      <c r="J26" s="27">
        <f t="shared" si="3"/>
        <v>8.6956521739130432E-2</v>
      </c>
      <c r="K26" s="34">
        <f t="shared" si="4"/>
        <v>2</v>
      </c>
      <c r="L26" s="60">
        <f t="shared" si="5"/>
        <v>8.6956521739130432E-2</v>
      </c>
    </row>
    <row r="27" spans="2:17" x14ac:dyDescent="0.35">
      <c r="B27" s="35">
        <v>2</v>
      </c>
      <c r="C27" s="36" t="s">
        <v>52</v>
      </c>
      <c r="D27" s="42" t="s">
        <v>53</v>
      </c>
      <c r="E27" s="42" t="s">
        <v>54</v>
      </c>
      <c r="F27" s="108"/>
      <c r="G27" s="48" t="s">
        <v>32</v>
      </c>
      <c r="H27" s="73">
        <v>23</v>
      </c>
      <c r="I27" s="73">
        <v>1</v>
      </c>
      <c r="J27" s="27">
        <f t="shared" si="3"/>
        <v>4.3478260869565216E-2</v>
      </c>
      <c r="K27" s="34">
        <f t="shared" si="4"/>
        <v>1</v>
      </c>
      <c r="L27" s="60">
        <f t="shared" si="5"/>
        <v>4.3478260869565216E-2</v>
      </c>
    </row>
    <row r="28" spans="2:17" x14ac:dyDescent="0.35">
      <c r="B28" s="35">
        <v>2</v>
      </c>
      <c r="C28" s="36" t="s">
        <v>114</v>
      </c>
      <c r="D28" s="42" t="s">
        <v>55</v>
      </c>
      <c r="E28" s="42" t="s">
        <v>94</v>
      </c>
      <c r="F28" s="108"/>
      <c r="G28" s="48" t="s">
        <v>32</v>
      </c>
      <c r="H28" s="73">
        <v>23</v>
      </c>
      <c r="I28" s="73">
        <v>2</v>
      </c>
      <c r="J28" s="27">
        <f t="shared" si="3"/>
        <v>8.6956521739130432E-2</v>
      </c>
      <c r="K28" s="34">
        <f t="shared" si="4"/>
        <v>2</v>
      </c>
      <c r="L28" s="60">
        <f t="shared" si="5"/>
        <v>8.6956521739130432E-2</v>
      </c>
    </row>
    <row r="29" spans="2:17" x14ac:dyDescent="0.35">
      <c r="B29" s="35">
        <v>2</v>
      </c>
      <c r="C29" s="36" t="s">
        <v>115</v>
      </c>
      <c r="D29" s="42" t="s">
        <v>56</v>
      </c>
      <c r="E29" s="42" t="s">
        <v>54</v>
      </c>
      <c r="F29" s="108"/>
      <c r="G29" s="48" t="s">
        <v>32</v>
      </c>
      <c r="H29" s="73">
        <v>23</v>
      </c>
      <c r="I29" s="73">
        <v>1</v>
      </c>
      <c r="J29" s="27">
        <f t="shared" si="3"/>
        <v>4.3478260869565216E-2</v>
      </c>
      <c r="K29" s="34">
        <f t="shared" si="4"/>
        <v>1</v>
      </c>
      <c r="L29" s="60">
        <f t="shared" si="5"/>
        <v>4.3478260869565216E-2</v>
      </c>
    </row>
    <row r="30" spans="2:17" x14ac:dyDescent="0.35">
      <c r="B30" s="37">
        <v>2</v>
      </c>
      <c r="C30" s="38" t="s">
        <v>57</v>
      </c>
      <c r="D30" s="43" t="s">
        <v>58</v>
      </c>
      <c r="E30" s="43" t="s">
        <v>59</v>
      </c>
      <c r="F30" s="109"/>
      <c r="G30" s="82" t="s">
        <v>32</v>
      </c>
      <c r="H30" s="74">
        <v>22</v>
      </c>
      <c r="I30" s="74">
        <v>2</v>
      </c>
      <c r="J30" s="28">
        <f t="shared" si="3"/>
        <v>9.0909090909090912E-2</v>
      </c>
      <c r="K30" s="39">
        <f>I30</f>
        <v>2</v>
      </c>
      <c r="L30" s="62">
        <f>IFERROR(K30/H30,0)</f>
        <v>9.0909090909090912E-2</v>
      </c>
    </row>
    <row r="31" spans="2:17" ht="14.4" customHeight="1" x14ac:dyDescent="0.35">
      <c r="B31" s="58">
        <v>3</v>
      </c>
      <c r="C31" s="40" t="s">
        <v>61</v>
      </c>
      <c r="D31" s="44" t="s">
        <v>116</v>
      </c>
      <c r="E31" s="44" t="s">
        <v>125</v>
      </c>
      <c r="F31" s="99" t="s">
        <v>105</v>
      </c>
      <c r="G31" s="78" t="s">
        <v>32</v>
      </c>
      <c r="H31" s="72">
        <v>22</v>
      </c>
      <c r="I31" s="72">
        <v>7</v>
      </c>
      <c r="J31" s="30">
        <f t="shared" ref="J31:J48" si="6">IFERROR(I31/H31,0)</f>
        <v>0.31818181818181818</v>
      </c>
      <c r="K31" s="41">
        <f>I31</f>
        <v>7</v>
      </c>
      <c r="L31" s="59">
        <f>IFERROR(K31/H31,0)</f>
        <v>0.31818181818181818</v>
      </c>
    </row>
    <row r="32" spans="2:17" x14ac:dyDescent="0.35">
      <c r="B32" s="35">
        <v>3</v>
      </c>
      <c r="C32" s="36" t="s">
        <v>66</v>
      </c>
      <c r="D32" s="45" t="s">
        <v>117</v>
      </c>
      <c r="E32" s="45" t="s">
        <v>87</v>
      </c>
      <c r="F32" s="100"/>
      <c r="G32" s="79" t="s">
        <v>87</v>
      </c>
      <c r="H32" s="73">
        <v>22</v>
      </c>
      <c r="I32" s="73">
        <v>0</v>
      </c>
      <c r="J32" s="27">
        <f t="shared" si="6"/>
        <v>0</v>
      </c>
      <c r="K32" s="34">
        <f>I32</f>
        <v>0</v>
      </c>
      <c r="L32" s="60">
        <f>IFERROR(K32/H32,0)</f>
        <v>0</v>
      </c>
    </row>
    <row r="33" spans="2:17" x14ac:dyDescent="0.35">
      <c r="B33" s="35">
        <v>3</v>
      </c>
      <c r="C33" s="36" t="s">
        <v>67</v>
      </c>
      <c r="D33" s="45" t="s">
        <v>118</v>
      </c>
      <c r="E33" s="45" t="s">
        <v>87</v>
      </c>
      <c r="F33" s="100"/>
      <c r="G33" s="79" t="s">
        <v>87</v>
      </c>
      <c r="H33" s="73">
        <v>22</v>
      </c>
      <c r="I33" s="73">
        <v>0</v>
      </c>
      <c r="J33" s="27">
        <f t="shared" si="6"/>
        <v>0</v>
      </c>
      <c r="K33" s="34">
        <f>I33</f>
        <v>0</v>
      </c>
      <c r="L33" s="60">
        <f>IFERROR(K33/H33,0)</f>
        <v>0</v>
      </c>
    </row>
    <row r="34" spans="2:17" x14ac:dyDescent="0.35">
      <c r="B34" s="35">
        <v>3</v>
      </c>
      <c r="C34" s="36" t="s">
        <v>68</v>
      </c>
      <c r="D34" s="45" t="s">
        <v>69</v>
      </c>
      <c r="E34" s="45" t="s">
        <v>87</v>
      </c>
      <c r="F34" s="100"/>
      <c r="G34" s="79" t="s">
        <v>87</v>
      </c>
      <c r="H34" s="73">
        <v>22</v>
      </c>
      <c r="I34" s="73">
        <v>0</v>
      </c>
      <c r="J34" s="27">
        <f t="shared" si="6"/>
        <v>0</v>
      </c>
      <c r="K34" s="34">
        <f t="shared" ref="K34:K39" si="7">I34</f>
        <v>0</v>
      </c>
      <c r="L34" s="60">
        <f t="shared" ref="L34:L39" si="8">IFERROR(K34/H34,0)</f>
        <v>0</v>
      </c>
    </row>
    <row r="35" spans="2:17" s="8" customFormat="1" x14ac:dyDescent="0.35">
      <c r="B35" s="35">
        <v>3</v>
      </c>
      <c r="C35" s="36" t="s">
        <v>70</v>
      </c>
      <c r="D35" s="45" t="s">
        <v>71</v>
      </c>
      <c r="E35" s="45" t="s">
        <v>132</v>
      </c>
      <c r="F35" s="100"/>
      <c r="G35" s="79" t="s">
        <v>32</v>
      </c>
      <c r="H35" s="73">
        <v>22</v>
      </c>
      <c r="I35" s="73">
        <v>5</v>
      </c>
      <c r="J35" s="27">
        <f t="shared" si="6"/>
        <v>0.22727272727272727</v>
      </c>
      <c r="K35" s="34">
        <f t="shared" si="7"/>
        <v>5</v>
      </c>
      <c r="L35" s="60">
        <f t="shared" si="8"/>
        <v>0.22727272727272727</v>
      </c>
      <c r="O35" s="14"/>
      <c r="Q35" s="14"/>
    </row>
    <row r="36" spans="2:17" x14ac:dyDescent="0.35">
      <c r="B36" s="35">
        <v>3</v>
      </c>
      <c r="C36" s="36" t="s">
        <v>72</v>
      </c>
      <c r="D36" s="45" t="s">
        <v>73</v>
      </c>
      <c r="E36" s="45" t="s">
        <v>87</v>
      </c>
      <c r="F36" s="100"/>
      <c r="G36" s="79" t="s">
        <v>87</v>
      </c>
      <c r="H36" s="73">
        <v>22</v>
      </c>
      <c r="I36" s="73">
        <v>0</v>
      </c>
      <c r="J36" s="27">
        <f t="shared" si="6"/>
        <v>0</v>
      </c>
      <c r="K36" s="34">
        <f t="shared" si="7"/>
        <v>0</v>
      </c>
      <c r="L36" s="60">
        <f t="shared" si="8"/>
        <v>0</v>
      </c>
    </row>
    <row r="37" spans="2:17" x14ac:dyDescent="0.35">
      <c r="B37" s="35">
        <v>3</v>
      </c>
      <c r="C37" s="36" t="s">
        <v>74</v>
      </c>
      <c r="D37" s="45" t="s">
        <v>75</v>
      </c>
      <c r="E37" s="45" t="s">
        <v>87</v>
      </c>
      <c r="F37" s="100"/>
      <c r="G37" s="79" t="s">
        <v>87</v>
      </c>
      <c r="H37" s="73">
        <v>22</v>
      </c>
      <c r="I37" s="73">
        <v>0</v>
      </c>
      <c r="J37" s="27">
        <f t="shared" si="6"/>
        <v>0</v>
      </c>
      <c r="K37" s="34">
        <f t="shared" si="7"/>
        <v>0</v>
      </c>
      <c r="L37" s="60">
        <f t="shared" si="8"/>
        <v>0</v>
      </c>
    </row>
    <row r="38" spans="2:17" x14ac:dyDescent="0.35">
      <c r="B38" s="35">
        <v>3</v>
      </c>
      <c r="C38" s="36" t="s">
        <v>76</v>
      </c>
      <c r="D38" s="45" t="s">
        <v>119</v>
      </c>
      <c r="E38" s="45" t="s">
        <v>87</v>
      </c>
      <c r="F38" s="100"/>
      <c r="G38" s="79" t="s">
        <v>87</v>
      </c>
      <c r="H38" s="73">
        <v>22</v>
      </c>
      <c r="I38" s="73">
        <v>0</v>
      </c>
      <c r="J38" s="27">
        <f t="shared" si="6"/>
        <v>0</v>
      </c>
      <c r="K38" s="34">
        <f t="shared" si="7"/>
        <v>0</v>
      </c>
      <c r="L38" s="60">
        <f t="shared" si="8"/>
        <v>0</v>
      </c>
    </row>
    <row r="39" spans="2:17" x14ac:dyDescent="0.35">
      <c r="B39" s="35">
        <v>8</v>
      </c>
      <c r="C39" s="36" t="s">
        <v>63</v>
      </c>
      <c r="D39" s="45" t="s">
        <v>120</v>
      </c>
      <c r="E39" s="45" t="s">
        <v>87</v>
      </c>
      <c r="F39" s="100"/>
      <c r="G39" s="79" t="s">
        <v>87</v>
      </c>
      <c r="H39" s="73">
        <v>23</v>
      </c>
      <c r="I39" s="73">
        <v>0</v>
      </c>
      <c r="J39" s="27">
        <f t="shared" si="6"/>
        <v>0</v>
      </c>
      <c r="K39" s="34">
        <f t="shared" si="7"/>
        <v>0</v>
      </c>
      <c r="L39" s="60">
        <f t="shared" si="8"/>
        <v>0</v>
      </c>
    </row>
    <row r="40" spans="2:17" x14ac:dyDescent="0.35">
      <c r="B40" s="37">
        <v>8</v>
      </c>
      <c r="C40" s="38" t="s">
        <v>64</v>
      </c>
      <c r="D40" s="46" t="s">
        <v>121</v>
      </c>
      <c r="E40" s="46" t="s">
        <v>87</v>
      </c>
      <c r="F40" s="101"/>
      <c r="G40" s="80" t="s">
        <v>87</v>
      </c>
      <c r="H40" s="74">
        <v>23</v>
      </c>
      <c r="I40" s="74">
        <v>0</v>
      </c>
      <c r="J40" s="28">
        <f t="shared" si="6"/>
        <v>0</v>
      </c>
      <c r="K40" s="39">
        <f>I40</f>
        <v>0</v>
      </c>
      <c r="L40" s="62">
        <f>IFERROR(K40/H40,0)</f>
        <v>0</v>
      </c>
    </row>
    <row r="41" spans="2:17" ht="14.4" customHeight="1" x14ac:dyDescent="0.35">
      <c r="B41" s="58">
        <v>3</v>
      </c>
      <c r="C41" s="40" t="s">
        <v>61</v>
      </c>
      <c r="D41" s="44" t="s">
        <v>116</v>
      </c>
      <c r="E41" s="44" t="s">
        <v>126</v>
      </c>
      <c r="F41" s="96" t="s">
        <v>106</v>
      </c>
      <c r="G41" s="44" t="s">
        <v>133</v>
      </c>
      <c r="H41" s="72">
        <v>28</v>
      </c>
      <c r="I41" s="76">
        <v>3</v>
      </c>
      <c r="J41" s="30">
        <f t="shared" si="6"/>
        <v>0.10714285714285714</v>
      </c>
      <c r="K41" s="41">
        <f>I41</f>
        <v>3</v>
      </c>
      <c r="L41" s="59">
        <f>IFERROR(K41/H41,0)</f>
        <v>0.10714285714285714</v>
      </c>
    </row>
    <row r="42" spans="2:17" x14ac:dyDescent="0.35">
      <c r="B42" s="35">
        <v>3</v>
      </c>
      <c r="C42" s="36" t="s">
        <v>66</v>
      </c>
      <c r="D42" s="45" t="s">
        <v>117</v>
      </c>
      <c r="E42" s="45" t="s">
        <v>87</v>
      </c>
      <c r="F42" s="97"/>
      <c r="G42" s="45" t="s">
        <v>87</v>
      </c>
      <c r="H42" s="73">
        <v>28</v>
      </c>
      <c r="I42" s="73">
        <v>0</v>
      </c>
      <c r="J42" s="27">
        <f t="shared" si="6"/>
        <v>0</v>
      </c>
      <c r="K42" s="34">
        <f>I42</f>
        <v>0</v>
      </c>
      <c r="L42" s="60">
        <f>IFERROR(K42/H42,0)</f>
        <v>0</v>
      </c>
    </row>
    <row r="43" spans="2:17" x14ac:dyDescent="0.35">
      <c r="B43" s="35">
        <v>3</v>
      </c>
      <c r="C43" s="36" t="s">
        <v>67</v>
      </c>
      <c r="D43" s="45" t="s">
        <v>118</v>
      </c>
      <c r="E43" s="45" t="s">
        <v>87</v>
      </c>
      <c r="F43" s="97"/>
      <c r="G43" s="45" t="s">
        <v>87</v>
      </c>
      <c r="H43" s="73">
        <v>28</v>
      </c>
      <c r="I43" s="75">
        <v>0</v>
      </c>
      <c r="J43" s="27">
        <f t="shared" si="6"/>
        <v>0</v>
      </c>
      <c r="K43" s="34">
        <f>I43</f>
        <v>0</v>
      </c>
      <c r="L43" s="60">
        <f>IFERROR(K43/H43,0)</f>
        <v>0</v>
      </c>
    </row>
    <row r="44" spans="2:17" x14ac:dyDescent="0.35">
      <c r="B44" s="35">
        <v>3</v>
      </c>
      <c r="C44" s="36" t="s">
        <v>68</v>
      </c>
      <c r="D44" s="45" t="s">
        <v>69</v>
      </c>
      <c r="E44" s="45" t="s">
        <v>127</v>
      </c>
      <c r="F44" s="97"/>
      <c r="G44" s="45" t="s">
        <v>133</v>
      </c>
      <c r="H44" s="73">
        <v>28</v>
      </c>
      <c r="I44" s="73">
        <v>5</v>
      </c>
      <c r="J44" s="27">
        <f t="shared" si="6"/>
        <v>0.17857142857142858</v>
      </c>
      <c r="K44" s="34">
        <f t="shared" ref="K44:K48" si="9">I44</f>
        <v>5</v>
      </c>
      <c r="L44" s="60">
        <f t="shared" ref="L44:L48" si="10">IFERROR(K44/H44,0)</f>
        <v>0.17857142857142858</v>
      </c>
    </row>
    <row r="45" spans="2:17" s="8" customFormat="1" x14ac:dyDescent="0.35">
      <c r="B45" s="35">
        <v>3</v>
      </c>
      <c r="C45" s="36" t="s">
        <v>70</v>
      </c>
      <c r="D45" s="45" t="s">
        <v>71</v>
      </c>
      <c r="E45" s="45" t="s">
        <v>127</v>
      </c>
      <c r="F45" s="97"/>
      <c r="G45" s="45" t="s">
        <v>133</v>
      </c>
      <c r="H45" s="73">
        <v>29</v>
      </c>
      <c r="I45" s="73">
        <v>5</v>
      </c>
      <c r="J45" s="27">
        <f t="shared" si="6"/>
        <v>0.17241379310344829</v>
      </c>
      <c r="K45" s="34">
        <f t="shared" si="9"/>
        <v>5</v>
      </c>
      <c r="L45" s="60">
        <f t="shared" si="10"/>
        <v>0.17241379310344829</v>
      </c>
      <c r="O45" s="14"/>
      <c r="Q45" s="14"/>
    </row>
    <row r="46" spans="2:17" x14ac:dyDescent="0.35">
      <c r="B46" s="35">
        <v>3</v>
      </c>
      <c r="C46" s="36" t="s">
        <v>72</v>
      </c>
      <c r="D46" s="45" t="s">
        <v>73</v>
      </c>
      <c r="E46" s="45" t="s">
        <v>87</v>
      </c>
      <c r="F46" s="97"/>
      <c r="G46" s="45" t="s">
        <v>87</v>
      </c>
      <c r="H46" s="73">
        <v>29</v>
      </c>
      <c r="I46" s="73">
        <v>0</v>
      </c>
      <c r="J46" s="27">
        <f t="shared" si="6"/>
        <v>0</v>
      </c>
      <c r="K46" s="34">
        <f t="shared" si="9"/>
        <v>0</v>
      </c>
      <c r="L46" s="60">
        <f t="shared" si="10"/>
        <v>0</v>
      </c>
    </row>
    <row r="47" spans="2:17" x14ac:dyDescent="0.35">
      <c r="B47" s="35">
        <v>3</v>
      </c>
      <c r="C47" s="36" t="s">
        <v>74</v>
      </c>
      <c r="D47" s="45" t="s">
        <v>75</v>
      </c>
      <c r="E47" s="45" t="s">
        <v>87</v>
      </c>
      <c r="F47" s="97"/>
      <c r="G47" s="45" t="s">
        <v>87</v>
      </c>
      <c r="H47" s="73">
        <v>29</v>
      </c>
      <c r="I47" s="73">
        <v>0</v>
      </c>
      <c r="J47" s="27">
        <f t="shared" si="6"/>
        <v>0</v>
      </c>
      <c r="K47" s="34">
        <f t="shared" si="9"/>
        <v>0</v>
      </c>
      <c r="L47" s="60">
        <f t="shared" si="10"/>
        <v>0</v>
      </c>
    </row>
    <row r="48" spans="2:17" x14ac:dyDescent="0.35">
      <c r="B48" s="37">
        <v>3</v>
      </c>
      <c r="C48" s="38" t="s">
        <v>76</v>
      </c>
      <c r="D48" s="46" t="s">
        <v>119</v>
      </c>
      <c r="E48" s="46" t="s">
        <v>128</v>
      </c>
      <c r="F48" s="98"/>
      <c r="G48" s="46" t="s">
        <v>134</v>
      </c>
      <c r="H48" s="74">
        <v>29</v>
      </c>
      <c r="I48" s="74">
        <v>5</v>
      </c>
      <c r="J48" s="28">
        <f t="shared" si="6"/>
        <v>0.17241379310344829</v>
      </c>
      <c r="K48" s="39">
        <f t="shared" si="9"/>
        <v>5</v>
      </c>
      <c r="L48" s="62">
        <f t="shared" si="10"/>
        <v>0.17241379310344829</v>
      </c>
    </row>
    <row r="49" spans="2:17" ht="14.4" customHeight="1" x14ac:dyDescent="0.35">
      <c r="B49" s="49">
        <v>3</v>
      </c>
      <c r="C49" s="47" t="s">
        <v>61</v>
      </c>
      <c r="D49" s="44" t="s">
        <v>122</v>
      </c>
      <c r="E49" s="44" t="s">
        <v>62</v>
      </c>
      <c r="F49" s="105" t="s">
        <v>107</v>
      </c>
      <c r="G49" s="78" t="s">
        <v>32</v>
      </c>
      <c r="H49" s="72">
        <v>57</v>
      </c>
      <c r="I49" s="72">
        <v>8</v>
      </c>
      <c r="J49" s="30">
        <f t="shared" ref="J49:J51" si="11">IFERROR(I49/H49,0)</f>
        <v>0.14035087719298245</v>
      </c>
      <c r="K49" s="41">
        <f>I49</f>
        <v>8</v>
      </c>
      <c r="L49" s="59">
        <f>IFERROR(K49/H49,0)</f>
        <v>0.14035087719298245</v>
      </c>
    </row>
    <row r="50" spans="2:17" s="8" customFormat="1" x14ac:dyDescent="0.35">
      <c r="B50" s="50">
        <v>8</v>
      </c>
      <c r="C50" s="48" t="s">
        <v>63</v>
      </c>
      <c r="D50" s="45" t="s">
        <v>120</v>
      </c>
      <c r="E50" s="45" t="s">
        <v>135</v>
      </c>
      <c r="F50" s="106"/>
      <c r="G50" s="79" t="s">
        <v>32</v>
      </c>
      <c r="H50" s="73">
        <v>57</v>
      </c>
      <c r="I50" s="73">
        <v>3</v>
      </c>
      <c r="J50" s="27">
        <f t="shared" si="11"/>
        <v>5.2631578947368418E-2</v>
      </c>
      <c r="K50" s="34">
        <f>I50</f>
        <v>3</v>
      </c>
      <c r="L50" s="60">
        <f>IFERROR(K50/H50,0)</f>
        <v>5.2631578947368418E-2</v>
      </c>
      <c r="O50"/>
      <c r="Q50"/>
    </row>
    <row r="51" spans="2:17" x14ac:dyDescent="0.35">
      <c r="B51" s="50">
        <v>8</v>
      </c>
      <c r="C51" s="48" t="s">
        <v>64</v>
      </c>
      <c r="D51" s="45" t="s">
        <v>121</v>
      </c>
      <c r="E51" s="45" t="s">
        <v>89</v>
      </c>
      <c r="F51" s="106"/>
      <c r="G51" s="79" t="s">
        <v>32</v>
      </c>
      <c r="H51" s="73">
        <v>57</v>
      </c>
      <c r="I51" s="73">
        <v>3</v>
      </c>
      <c r="J51" s="27">
        <f t="shared" si="11"/>
        <v>5.2631578947368418E-2</v>
      </c>
      <c r="K51" s="34">
        <f>I51</f>
        <v>3</v>
      </c>
      <c r="L51" s="60">
        <f>IFERROR(K51/H51,0)</f>
        <v>5.2631578947368418E-2</v>
      </c>
    </row>
    <row r="52" spans="2:17" ht="15" thickBot="1" x14ac:dyDescent="0.4">
      <c r="B52" s="65">
        <v>8</v>
      </c>
      <c r="C52" s="66" t="s">
        <v>65</v>
      </c>
      <c r="D52" s="67" t="s">
        <v>123</v>
      </c>
      <c r="E52" s="67" t="s">
        <v>95</v>
      </c>
      <c r="F52" s="107"/>
      <c r="G52" s="83" t="s">
        <v>32</v>
      </c>
      <c r="H52" s="77">
        <v>57</v>
      </c>
      <c r="I52" s="77">
        <v>4</v>
      </c>
      <c r="J52" s="69">
        <f t="shared" ref="J52" si="12">IFERROR(I52/H52,0)</f>
        <v>7.0175438596491224E-2</v>
      </c>
      <c r="K52" s="68">
        <f t="shared" ref="K52" si="13">I52</f>
        <v>4</v>
      </c>
      <c r="L52" s="70">
        <f t="shared" ref="L52" si="14">IFERROR(K52/H52,0)</f>
        <v>7.0175438596491224E-2</v>
      </c>
    </row>
    <row r="53" spans="2:17" ht="14.4" customHeight="1" x14ac:dyDescent="0.35">
      <c r="C53" s="6"/>
      <c r="D53" s="6"/>
      <c r="E53" s="6"/>
      <c r="F53" s="6"/>
      <c r="G53" s="12"/>
      <c r="H53" s="102" t="str">
        <f>+CONCATENATE("TOTAL A ",D7)</f>
        <v>TOTAL A ENERO</v>
      </c>
      <c r="I53" s="103"/>
      <c r="J53" s="104"/>
      <c r="K53" s="102" t="s">
        <v>33</v>
      </c>
      <c r="L53" s="104"/>
    </row>
    <row r="54" spans="2:17" ht="20.149999999999999" customHeight="1" x14ac:dyDescent="0.35">
      <c r="C54" s="6"/>
      <c r="D54" s="8"/>
      <c r="E54" s="8"/>
      <c r="F54" s="8"/>
      <c r="G54" s="8"/>
      <c r="H54" s="71">
        <f>+SUM(H13:H52)</f>
        <v>1134</v>
      </c>
      <c r="I54" s="71">
        <f>+SUM(I13:I52)</f>
        <v>84</v>
      </c>
      <c r="J54" s="15">
        <f>IFERROR(I54/H54,0)</f>
        <v>7.407407407407407E-2</v>
      </c>
      <c r="K54" s="71">
        <f>+SUM(K13:K52)</f>
        <v>84</v>
      </c>
      <c r="L54" s="15">
        <f>IFERROR(K54/H54,0)</f>
        <v>7.407407407407407E-2</v>
      </c>
    </row>
    <row r="55" spans="2:17" ht="20.149999999999999" customHeight="1" x14ac:dyDescent="0.35">
      <c r="C55" s="6"/>
      <c r="D55" s="8"/>
      <c r="E55" s="8"/>
      <c r="F55" s="8"/>
      <c r="G55" s="8"/>
      <c r="H55" s="5"/>
      <c r="I55" s="5"/>
      <c r="J55" s="25"/>
      <c r="K55" s="26"/>
      <c r="L55" s="25"/>
    </row>
    <row r="56" spans="2:17" ht="50.4" customHeight="1" x14ac:dyDescent="0.35">
      <c r="B56" s="133" t="s">
        <v>34</v>
      </c>
      <c r="C56" s="134"/>
      <c r="D56" s="111" t="s">
        <v>131</v>
      </c>
      <c r="E56" s="112"/>
      <c r="F56" s="112"/>
      <c r="G56" s="112"/>
      <c r="H56" s="112"/>
      <c r="I56" s="112"/>
      <c r="J56" s="112"/>
      <c r="K56" s="112"/>
      <c r="L56" s="113"/>
    </row>
    <row r="57" spans="2:17" ht="409.25" customHeight="1" x14ac:dyDescent="0.35">
      <c r="B57" s="135"/>
      <c r="C57" s="136"/>
      <c r="D57" s="111" t="s">
        <v>158</v>
      </c>
      <c r="E57" s="112"/>
      <c r="F57" s="112"/>
      <c r="G57" s="112"/>
      <c r="H57" s="112"/>
      <c r="I57" s="112"/>
      <c r="J57" s="112"/>
      <c r="K57" s="112"/>
      <c r="L57" s="113"/>
    </row>
    <row r="58" spans="2:17" ht="152.4" customHeight="1" x14ac:dyDescent="0.35">
      <c r="B58" s="135"/>
      <c r="C58" s="136"/>
      <c r="D58" s="111" t="s">
        <v>130</v>
      </c>
      <c r="E58" s="112"/>
      <c r="F58" s="112"/>
      <c r="G58" s="112"/>
      <c r="H58" s="112"/>
      <c r="I58" s="112"/>
      <c r="J58" s="112"/>
      <c r="K58" s="112"/>
      <c r="L58" s="113"/>
    </row>
    <row r="59" spans="2:17" ht="49.5" customHeight="1" x14ac:dyDescent="0.35">
      <c r="B59" s="135"/>
      <c r="C59" s="136"/>
      <c r="D59" s="137" t="s">
        <v>156</v>
      </c>
      <c r="E59" s="111"/>
      <c r="F59" s="111"/>
      <c r="G59" s="111"/>
      <c r="H59" s="111"/>
      <c r="I59" s="111"/>
      <c r="J59" s="111"/>
      <c r="K59" s="111"/>
      <c r="L59" s="138"/>
    </row>
    <row r="60" spans="2:17" ht="40.25" customHeight="1" x14ac:dyDescent="0.35">
      <c r="B60" s="102"/>
      <c r="C60" s="104"/>
      <c r="D60" s="111" t="s">
        <v>129</v>
      </c>
      <c r="E60" s="112"/>
      <c r="F60" s="112"/>
      <c r="G60" s="112"/>
      <c r="H60" s="112"/>
      <c r="I60" s="112"/>
      <c r="J60" s="112"/>
      <c r="K60" s="112"/>
      <c r="L60" s="113"/>
    </row>
    <row r="61" spans="2:17" customFormat="1" ht="40.25" customHeight="1" x14ac:dyDescent="0.35"/>
    <row r="62" spans="2:17" ht="20.149999999999999" customHeight="1" x14ac:dyDescent="0.35">
      <c r="B62" s="114" t="s">
        <v>36</v>
      </c>
      <c r="C62" s="115"/>
      <c r="D62" s="115"/>
      <c r="E62" s="115"/>
      <c r="F62" s="115"/>
      <c r="G62" s="115"/>
      <c r="H62" s="115"/>
      <c r="I62" s="115"/>
      <c r="J62" s="115"/>
      <c r="K62" s="115"/>
      <c r="L62" s="116"/>
    </row>
    <row r="63" spans="2:17" ht="14.4" customHeight="1" x14ac:dyDescent="0.35">
      <c r="B63" s="117"/>
      <c r="C63" s="118"/>
      <c r="D63" s="118"/>
      <c r="E63" s="118"/>
      <c r="F63" s="118"/>
      <c r="G63" s="118"/>
      <c r="H63" s="118"/>
      <c r="I63" s="118"/>
      <c r="J63" s="118"/>
      <c r="K63" s="118"/>
      <c r="L63" s="119"/>
    </row>
    <row r="64" spans="2:17" ht="15" customHeight="1" x14ac:dyDescent="0.35">
      <c r="B64" s="21" t="s">
        <v>37</v>
      </c>
      <c r="C64" s="16"/>
      <c r="D64" s="16"/>
      <c r="E64" s="16"/>
      <c r="F64" s="16"/>
      <c r="G64" s="16"/>
      <c r="H64" s="16"/>
      <c r="I64" s="16"/>
      <c r="J64" s="16"/>
      <c r="K64" s="16"/>
      <c r="L64" s="17"/>
    </row>
    <row r="65" spans="2:12" ht="24.5" x14ac:dyDescent="0.45">
      <c r="B65" s="18" t="s">
        <v>38</v>
      </c>
      <c r="C65" s="19"/>
      <c r="D65" s="120" t="s">
        <v>35</v>
      </c>
      <c r="E65" s="121"/>
      <c r="F65" s="121"/>
      <c r="G65" s="121"/>
      <c r="H65" s="121"/>
      <c r="I65" s="121"/>
      <c r="J65" s="121"/>
      <c r="K65" s="121"/>
      <c r="L65" s="122"/>
    </row>
    <row r="66" spans="2:12" ht="20.149999999999999" customHeight="1" x14ac:dyDescent="0.45">
      <c r="B66" s="18" t="s">
        <v>39</v>
      </c>
      <c r="C66" s="19"/>
      <c r="D66" s="123"/>
      <c r="E66" s="124"/>
      <c r="F66" s="124"/>
      <c r="G66" s="124"/>
      <c r="H66" s="124"/>
      <c r="I66" s="124"/>
      <c r="J66" s="124"/>
      <c r="K66" s="124"/>
      <c r="L66" s="125"/>
    </row>
    <row r="67" spans="2:12" ht="20.149999999999999" customHeight="1" x14ac:dyDescent="0.35">
      <c r="B67" s="126" t="s">
        <v>36</v>
      </c>
      <c r="C67" s="127"/>
      <c r="D67" s="127"/>
      <c r="E67" s="127"/>
      <c r="F67" s="127"/>
      <c r="G67" s="127"/>
      <c r="H67" s="127"/>
      <c r="I67" s="127"/>
      <c r="J67" s="127"/>
      <c r="K67" s="127"/>
      <c r="L67" s="128"/>
    </row>
    <row r="68" spans="2:12" x14ac:dyDescent="0.35">
      <c r="B68" s="129"/>
      <c r="C68" s="130"/>
      <c r="D68" s="130"/>
      <c r="E68" s="130"/>
      <c r="F68" s="130"/>
      <c r="G68" s="130"/>
      <c r="H68" s="130"/>
      <c r="I68" s="130"/>
      <c r="J68" s="130"/>
      <c r="K68" s="130"/>
      <c r="L68" s="131"/>
    </row>
    <row r="69" spans="2:12" x14ac:dyDescent="0.35">
      <c r="B69" s="21" t="s">
        <v>40</v>
      </c>
      <c r="C69" s="16"/>
      <c r="D69" s="16"/>
      <c r="E69" s="16"/>
      <c r="F69" s="16"/>
      <c r="G69" s="16"/>
      <c r="H69" s="16"/>
      <c r="I69" s="16"/>
      <c r="J69" s="16"/>
      <c r="K69" s="16"/>
      <c r="L69" s="17"/>
    </row>
    <row r="70" spans="2:12" ht="19.5" customHeight="1" x14ac:dyDescent="0.45">
      <c r="B70" s="18" t="s">
        <v>38</v>
      </c>
      <c r="C70" s="19"/>
      <c r="D70" s="120" t="s">
        <v>35</v>
      </c>
      <c r="E70" s="121"/>
      <c r="F70" s="121"/>
      <c r="G70" s="121"/>
      <c r="H70" s="121"/>
      <c r="I70" s="121"/>
      <c r="J70" s="121"/>
      <c r="K70" s="121"/>
      <c r="L70" s="122"/>
    </row>
    <row r="71" spans="2:12" ht="23.9" customHeight="1" x14ac:dyDescent="0.45">
      <c r="B71" s="18" t="s">
        <v>39</v>
      </c>
      <c r="C71" s="19"/>
      <c r="D71" s="123"/>
      <c r="E71" s="124"/>
      <c r="F71" s="124"/>
      <c r="G71" s="124"/>
      <c r="H71" s="124"/>
      <c r="I71" s="124"/>
      <c r="J71" s="124"/>
      <c r="K71" s="124"/>
      <c r="L71" s="125"/>
    </row>
    <row r="74" spans="2:12" x14ac:dyDescent="0.35">
      <c r="B74" s="132"/>
      <c r="C74" s="132"/>
      <c r="D74" s="132"/>
      <c r="H74" s="132"/>
      <c r="I74" s="132"/>
      <c r="J74" s="132"/>
      <c r="K74" s="132"/>
    </row>
    <row r="75" spans="2:12" x14ac:dyDescent="0.35">
      <c r="B75" s="20" t="s">
        <v>41</v>
      </c>
      <c r="C75" s="110"/>
      <c r="D75" s="110"/>
      <c r="H75" s="6" t="s">
        <v>42</v>
      </c>
      <c r="I75" s="110" t="s">
        <v>138</v>
      </c>
      <c r="J75" s="110"/>
      <c r="K75" s="110"/>
    </row>
    <row r="103" spans="1:18" s="1" customFormat="1" hidden="1" x14ac:dyDescent="0.35">
      <c r="A103" t="s">
        <v>0</v>
      </c>
      <c r="B103" s="20"/>
      <c r="M103" s="2"/>
      <c r="N103" s="2"/>
      <c r="O103"/>
      <c r="P103" s="2"/>
      <c r="Q103"/>
      <c r="R103" s="2"/>
    </row>
    <row r="104" spans="1:18" s="1" customFormat="1" hidden="1" x14ac:dyDescent="0.35">
      <c r="A104" t="s">
        <v>2</v>
      </c>
      <c r="B104" s="20"/>
      <c r="M104" s="2"/>
      <c r="N104" s="2"/>
      <c r="O104"/>
      <c r="P104" s="2"/>
      <c r="Q104"/>
      <c r="R104" s="2"/>
    </row>
    <row r="105" spans="1:18" s="1" customFormat="1" hidden="1" x14ac:dyDescent="0.35">
      <c r="A105" t="s">
        <v>6</v>
      </c>
      <c r="B105" s="20"/>
      <c r="M105" s="2"/>
      <c r="N105" s="2"/>
      <c r="O105"/>
      <c r="P105" s="2"/>
      <c r="Q105"/>
      <c r="R105" s="2"/>
    </row>
    <row r="106" spans="1:18" s="1" customFormat="1" hidden="1" x14ac:dyDescent="0.35">
      <c r="A106" t="s">
        <v>8</v>
      </c>
      <c r="B106" s="20"/>
      <c r="M106" s="2"/>
      <c r="N106" s="2"/>
      <c r="O106"/>
      <c r="P106" s="2"/>
      <c r="Q106"/>
      <c r="R106" s="2"/>
    </row>
    <row r="107" spans="1:18" s="1" customFormat="1" hidden="1" x14ac:dyDescent="0.35">
      <c r="A107" t="s">
        <v>9</v>
      </c>
      <c r="B107" s="22"/>
      <c r="M107" s="2"/>
      <c r="N107" s="2"/>
      <c r="O107"/>
      <c r="P107" s="2"/>
      <c r="Q107"/>
      <c r="R107" s="2"/>
    </row>
    <row r="108" spans="1:18" s="1" customFormat="1" hidden="1" x14ac:dyDescent="0.35">
      <c r="A108" t="s">
        <v>10</v>
      </c>
      <c r="B108" s="22"/>
      <c r="M108" s="2"/>
      <c r="N108" s="2"/>
      <c r="O108"/>
      <c r="P108" s="2"/>
      <c r="Q108"/>
      <c r="R108" s="2"/>
    </row>
    <row r="109" spans="1:18" s="1" customFormat="1" hidden="1" x14ac:dyDescent="0.35">
      <c r="A109" t="s">
        <v>11</v>
      </c>
      <c r="B109" s="22"/>
      <c r="M109" s="2"/>
      <c r="N109" s="2"/>
      <c r="O109"/>
      <c r="P109" s="2"/>
      <c r="Q109"/>
      <c r="R109" s="2"/>
    </row>
    <row r="110" spans="1:18" s="1" customFormat="1" hidden="1" x14ac:dyDescent="0.35">
      <c r="A110" t="s">
        <v>13</v>
      </c>
      <c r="B110" s="22"/>
      <c r="M110" s="2"/>
      <c r="N110" s="2"/>
      <c r="O110"/>
      <c r="P110" s="2"/>
      <c r="Q110"/>
      <c r="R110" s="2"/>
    </row>
    <row r="111" spans="1:18" s="1" customFormat="1" hidden="1" x14ac:dyDescent="0.35">
      <c r="A111" t="s">
        <v>14</v>
      </c>
      <c r="B111" s="22"/>
      <c r="M111" s="2"/>
      <c r="N111" s="2"/>
      <c r="O111"/>
      <c r="P111" s="2"/>
      <c r="Q111"/>
      <c r="R111" s="2"/>
    </row>
    <row r="112" spans="1:18" s="1" customFormat="1" hidden="1" x14ac:dyDescent="0.35">
      <c r="A112" t="s">
        <v>16</v>
      </c>
      <c r="B112" s="22"/>
      <c r="M112" s="2"/>
      <c r="N112" s="2"/>
      <c r="O112"/>
      <c r="P112" s="2"/>
      <c r="Q112"/>
      <c r="R112" s="2"/>
    </row>
    <row r="113" spans="1:18" s="1" customFormat="1" hidden="1" x14ac:dyDescent="0.35">
      <c r="A113" t="s">
        <v>17</v>
      </c>
      <c r="B113" s="22"/>
      <c r="M113" s="2"/>
      <c r="N113" s="2"/>
      <c r="O113"/>
      <c r="P113" s="2"/>
      <c r="Q113"/>
      <c r="R113" s="2"/>
    </row>
    <row r="114" spans="1:18" s="1" customFormat="1" hidden="1" x14ac:dyDescent="0.35">
      <c r="A114" t="s">
        <v>21</v>
      </c>
      <c r="B114" s="22"/>
      <c r="M114" s="2"/>
      <c r="N114" s="2"/>
      <c r="O114"/>
      <c r="P114" s="2"/>
      <c r="Q114"/>
      <c r="R114" s="2"/>
    </row>
    <row r="115" spans="1:18" s="1" customFormat="1" hidden="1" x14ac:dyDescent="0.35">
      <c r="A115" t="s">
        <v>31</v>
      </c>
      <c r="B115" s="22"/>
      <c r="M115" s="2"/>
      <c r="N115" s="2"/>
      <c r="O115"/>
      <c r="P115" s="2"/>
      <c r="Q115"/>
      <c r="R115" s="2"/>
    </row>
    <row r="116" spans="1:18" x14ac:dyDescent="0.35">
      <c r="B116" s="22"/>
    </row>
    <row r="117" spans="1:18" x14ac:dyDescent="0.35">
      <c r="B117" s="22"/>
    </row>
    <row r="118" spans="1:18" x14ac:dyDescent="0.35">
      <c r="B118" s="22"/>
    </row>
    <row r="119" spans="1:18" x14ac:dyDescent="0.35">
      <c r="B119" s="22"/>
    </row>
  </sheetData>
  <sheetProtection formatCells="0" formatColumns="0" formatRows="0" insertColumns="0" insertRows="0" insertHyperlinks="0" deleteColumns="0" deleteRows="0" sort="0" autoFilter="0" pivotTables="0"/>
  <mergeCells count="31">
    <mergeCell ref="C75:D75"/>
    <mergeCell ref="I75:K75"/>
    <mergeCell ref="D60:L60"/>
    <mergeCell ref="B62:L63"/>
    <mergeCell ref="D65:L66"/>
    <mergeCell ref="B67:L68"/>
    <mergeCell ref="D70:L71"/>
    <mergeCell ref="B74:D74"/>
    <mergeCell ref="H74:K74"/>
    <mergeCell ref="B56:C60"/>
    <mergeCell ref="D56:L56"/>
    <mergeCell ref="D57:L57"/>
    <mergeCell ref="D58:L58"/>
    <mergeCell ref="D59:L59"/>
    <mergeCell ref="F41:F48"/>
    <mergeCell ref="F13:F20"/>
    <mergeCell ref="F31:F40"/>
    <mergeCell ref="H53:J53"/>
    <mergeCell ref="K53:L53"/>
    <mergeCell ref="F49:F52"/>
    <mergeCell ref="F21:F30"/>
    <mergeCell ref="B2:L2"/>
    <mergeCell ref="B3:D3"/>
    <mergeCell ref="E3:I3"/>
    <mergeCell ref="J3:L3"/>
    <mergeCell ref="B5:C5"/>
    <mergeCell ref="B7:C7"/>
    <mergeCell ref="B9:C9"/>
    <mergeCell ref="B11:H11"/>
    <mergeCell ref="I11:J11"/>
    <mergeCell ref="K11:L11"/>
  </mergeCells>
  <conditionalFormatting sqref="L13:L52">
    <cfRule type="cellIs" dxfId="1" priority="2" operator="greaterThan">
      <formula>1</formula>
    </cfRule>
  </conditionalFormatting>
  <dataValidations disablePrompts="1" count="5">
    <dataValidation type="whole" allowBlank="1" showInputMessage="1" showErrorMessage="1" errorTitle="¡Error!" error="Introduzca un número válido." promptTitle="¡Atención!" prompt="Introduzca un número entre 0 y 366" sqref="I21:I29 I49:I52 I31:I39 H13:I20 H21:H52">
      <formula1>0</formula1>
      <formula2>366</formula2>
    </dataValidation>
    <dataValidation type="list" allowBlank="1" showInputMessage="1" showErrorMessage="1" sqref="D8:G8">
      <formula1>#REF!</formula1>
    </dataValidation>
    <dataValidation type="list" allowBlank="1" showInputMessage="1" showErrorMessage="1" sqref="D7">
      <formula1>$A$104:$A$115</formula1>
    </dataValidation>
    <dataValidation type="whole" allowBlank="1" showInputMessage="1" showErrorMessage="1" errorTitle="¡Error!" error="Introduzca un número válido." promptTitle="¡Atención!" prompt="Introduzca un número entre 0 y 30" sqref="I30 I40:I48">
      <formula1>0</formula1>
      <formula2>30</formula2>
    </dataValidation>
    <dataValidation allowBlank="1" showInputMessage="1" showErrorMessage="1" sqref="H55"/>
  </dataValidations>
  <pageMargins left="0.7" right="0.7" top="0.75" bottom="0.75" header="0.3" footer="0.3"/>
  <pageSetup scale="1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19"/>
  <sheetViews>
    <sheetView showGridLines="0" tabSelected="1" zoomScaleNormal="100" zoomScaleSheetLayoutView="85" workbookViewId="0">
      <selection activeCell="B2" sqref="B2:L2"/>
    </sheetView>
  </sheetViews>
  <sheetFormatPr baseColWidth="10" defaultColWidth="8.6328125" defaultRowHeight="14.5" x14ac:dyDescent="0.35"/>
  <cols>
    <col min="1" max="1" width="4.453125" style="2" customWidth="1"/>
    <col min="2" max="2" width="8.54296875" style="20" customWidth="1"/>
    <col min="3" max="3" width="8.36328125" style="1" customWidth="1"/>
    <col min="4" max="4" width="43.36328125" style="1" customWidth="1"/>
    <col min="5" max="5" width="25.36328125" style="1" customWidth="1"/>
    <col min="6" max="6" width="14.08984375" style="1" customWidth="1"/>
    <col min="7" max="7" width="13.453125" style="1" customWidth="1"/>
    <col min="8" max="8" width="13.6328125" style="1" customWidth="1"/>
    <col min="9" max="9" width="13.453125" style="1" customWidth="1"/>
    <col min="10" max="10" width="10.453125" style="1" customWidth="1"/>
    <col min="11" max="11" width="12.453125" style="1" customWidth="1"/>
    <col min="12" max="12" width="32.453125" style="1" customWidth="1"/>
    <col min="13" max="13" width="6.632812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x14ac:dyDescent="0.35">
      <c r="Q1" t="s">
        <v>0</v>
      </c>
    </row>
    <row r="2" spans="2:17" ht="49.5" customHeight="1" x14ac:dyDescent="0.35">
      <c r="B2" s="92" t="s">
        <v>1</v>
      </c>
      <c r="C2" s="92"/>
      <c r="D2" s="92"/>
      <c r="E2" s="92"/>
      <c r="F2" s="92"/>
      <c r="G2" s="92"/>
      <c r="H2" s="92"/>
      <c r="I2" s="92"/>
      <c r="J2" s="92"/>
      <c r="K2" s="92"/>
      <c r="L2" s="92"/>
      <c r="Q2" t="s">
        <v>2</v>
      </c>
    </row>
    <row r="3" spans="2:17" ht="18.75" customHeight="1" x14ac:dyDescent="0.35">
      <c r="B3" s="93" t="s">
        <v>3</v>
      </c>
      <c r="C3" s="94"/>
      <c r="D3" s="94"/>
      <c r="E3" s="94" t="s">
        <v>4</v>
      </c>
      <c r="F3" s="94"/>
      <c r="G3" s="94"/>
      <c r="H3" s="94"/>
      <c r="I3" s="94"/>
      <c r="J3" s="94" t="s">
        <v>5</v>
      </c>
      <c r="K3" s="94"/>
      <c r="L3" s="95"/>
    </row>
    <row r="4" spans="2:17" x14ac:dyDescent="0.35">
      <c r="B4" s="23"/>
      <c r="C4" s="3"/>
      <c r="L4" s="4"/>
      <c r="Q4" t="s">
        <v>6</v>
      </c>
    </row>
    <row r="5" spans="2:17" s="8" customFormat="1" ht="27.65" customHeight="1" x14ac:dyDescent="0.35">
      <c r="B5" s="87" t="s">
        <v>7</v>
      </c>
      <c r="C5" s="87"/>
      <c r="D5" s="31">
        <v>90590325</v>
      </c>
      <c r="E5" s="5"/>
      <c r="F5" s="5"/>
      <c r="G5" s="5"/>
      <c r="H5" s="6"/>
      <c r="I5" s="6"/>
      <c r="J5" s="6"/>
      <c r="K5" s="6"/>
      <c r="L5" s="7"/>
      <c r="O5"/>
      <c r="Q5" t="s">
        <v>8</v>
      </c>
    </row>
    <row r="6" spans="2:17" x14ac:dyDescent="0.35">
      <c r="B6" s="24"/>
      <c r="L6" s="9"/>
      <c r="Q6" t="s">
        <v>9</v>
      </c>
    </row>
    <row r="7" spans="2:17" s="8" customFormat="1" x14ac:dyDescent="0.35">
      <c r="B7" s="87" t="s">
        <v>12</v>
      </c>
      <c r="C7" s="87"/>
      <c r="D7" s="32" t="s">
        <v>6</v>
      </c>
      <c r="E7"/>
      <c r="F7"/>
      <c r="G7"/>
      <c r="H7"/>
      <c r="I7"/>
      <c r="J7" s="6"/>
      <c r="K7" s="6"/>
      <c r="L7" s="7"/>
      <c r="O7"/>
      <c r="Q7" t="s">
        <v>13</v>
      </c>
    </row>
    <row r="8" spans="2:17" s="8" customFormat="1" x14ac:dyDescent="0.35">
      <c r="B8" s="11"/>
      <c r="C8" s="12"/>
      <c r="D8" s="10"/>
      <c r="E8" s="10"/>
      <c r="F8" s="10"/>
      <c r="G8" s="10"/>
      <c r="H8" s="6"/>
      <c r="I8" s="6"/>
      <c r="J8" s="6"/>
      <c r="K8" s="6"/>
      <c r="L8" s="7"/>
      <c r="O8"/>
      <c r="Q8" t="s">
        <v>14</v>
      </c>
    </row>
    <row r="9" spans="2:17" s="8" customFormat="1" x14ac:dyDescent="0.35">
      <c r="B9" s="87" t="s">
        <v>15</v>
      </c>
      <c r="C9" s="87"/>
      <c r="D9" s="33">
        <v>46081</v>
      </c>
      <c r="E9" s="13"/>
      <c r="F9" s="13"/>
      <c r="G9" s="13"/>
      <c r="H9" s="6"/>
      <c r="I9" s="6"/>
      <c r="J9" s="6"/>
      <c r="K9" s="6"/>
      <c r="L9" s="7"/>
      <c r="O9"/>
      <c r="Q9" t="s">
        <v>16</v>
      </c>
    </row>
    <row r="10" spans="2:17" ht="15" thickBot="1" x14ac:dyDescent="0.4">
      <c r="B10" s="24"/>
      <c r="L10" s="9"/>
      <c r="Q10" t="s">
        <v>17</v>
      </c>
    </row>
    <row r="11" spans="2:17" ht="26.9" customHeight="1" x14ac:dyDescent="0.35">
      <c r="B11" s="88" t="s">
        <v>18</v>
      </c>
      <c r="C11" s="89"/>
      <c r="D11" s="89"/>
      <c r="E11" s="89"/>
      <c r="F11" s="89"/>
      <c r="G11" s="89"/>
      <c r="H11" s="89"/>
      <c r="I11" s="90" t="s">
        <v>19</v>
      </c>
      <c r="J11" s="90"/>
      <c r="K11" s="90" t="s">
        <v>20</v>
      </c>
      <c r="L11" s="91"/>
      <c r="Q11" t="s">
        <v>21</v>
      </c>
    </row>
    <row r="12" spans="2:17" ht="57.65" customHeight="1" x14ac:dyDescent="0.35">
      <c r="B12" s="51" t="s">
        <v>22</v>
      </c>
      <c r="C12" s="52" t="s">
        <v>23</v>
      </c>
      <c r="D12" s="52" t="s">
        <v>24</v>
      </c>
      <c r="E12" s="52" t="s">
        <v>25</v>
      </c>
      <c r="F12" s="52" t="s">
        <v>60</v>
      </c>
      <c r="G12" s="52" t="s">
        <v>26</v>
      </c>
      <c r="H12" s="52" t="s">
        <v>27</v>
      </c>
      <c r="I12" s="52" t="s">
        <v>28</v>
      </c>
      <c r="J12" s="52" t="s">
        <v>29</v>
      </c>
      <c r="K12" s="52" t="s">
        <v>30</v>
      </c>
      <c r="L12" s="53" t="s">
        <v>29</v>
      </c>
      <c r="Q12" t="s">
        <v>31</v>
      </c>
    </row>
    <row r="13" spans="2:17" x14ac:dyDescent="0.35">
      <c r="B13" s="58">
        <v>1</v>
      </c>
      <c r="C13" s="40">
        <v>1.1000000000000001</v>
      </c>
      <c r="D13" s="44" t="s">
        <v>124</v>
      </c>
      <c r="E13" s="44" t="s">
        <v>96</v>
      </c>
      <c r="F13" s="96" t="s">
        <v>103</v>
      </c>
      <c r="G13" s="78" t="s">
        <v>32</v>
      </c>
      <c r="H13" s="72">
        <v>28</v>
      </c>
      <c r="I13" s="72">
        <v>4</v>
      </c>
      <c r="J13" s="30">
        <f t="shared" ref="J13:J52" si="0">IFERROR(I13/H13,0)</f>
        <v>0.14285714285714285</v>
      </c>
      <c r="K13" s="41">
        <f>I13+ENERO!K13</f>
        <v>6</v>
      </c>
      <c r="L13" s="59">
        <f>IFERROR(K13/H13,0)</f>
        <v>0.21428571428571427</v>
      </c>
    </row>
    <row r="14" spans="2:17" x14ac:dyDescent="0.35">
      <c r="B14" s="35">
        <v>1</v>
      </c>
      <c r="C14" s="36" t="s">
        <v>77</v>
      </c>
      <c r="D14" s="45" t="s">
        <v>108</v>
      </c>
      <c r="E14" s="45" t="s">
        <v>141</v>
      </c>
      <c r="F14" s="97"/>
      <c r="G14" s="79" t="s">
        <v>32</v>
      </c>
      <c r="H14" s="73">
        <v>28</v>
      </c>
      <c r="I14" s="73">
        <v>7</v>
      </c>
      <c r="J14" s="27">
        <f t="shared" si="0"/>
        <v>0.25</v>
      </c>
      <c r="K14" s="34">
        <f>I14+ENERO!K14</f>
        <v>10</v>
      </c>
      <c r="L14" s="60">
        <f>IFERROR(K14/H14,0)</f>
        <v>0.35714285714285715</v>
      </c>
    </row>
    <row r="15" spans="2:17" s="8" customFormat="1" x14ac:dyDescent="0.35">
      <c r="B15" s="35">
        <v>1</v>
      </c>
      <c r="C15" s="36" t="s">
        <v>97</v>
      </c>
      <c r="D15" s="45" t="s">
        <v>98</v>
      </c>
      <c r="E15" s="45" t="s">
        <v>78</v>
      </c>
      <c r="F15" s="97"/>
      <c r="G15" s="79" t="s">
        <v>32</v>
      </c>
      <c r="H15" s="73">
        <v>28</v>
      </c>
      <c r="I15" s="73">
        <v>3</v>
      </c>
      <c r="J15" s="27">
        <f t="shared" si="0"/>
        <v>0.10714285714285714</v>
      </c>
      <c r="K15" s="34">
        <f>I15+ENERO!K15</f>
        <v>5</v>
      </c>
      <c r="L15" s="60">
        <f>IFERROR(K15/H15,0)</f>
        <v>0.17857142857142858</v>
      </c>
      <c r="O15" s="14"/>
      <c r="Q15" s="14"/>
    </row>
    <row r="16" spans="2:17" x14ac:dyDescent="0.35">
      <c r="B16" s="35">
        <v>1</v>
      </c>
      <c r="C16" s="36" t="s">
        <v>99</v>
      </c>
      <c r="D16" s="45" t="s">
        <v>100</v>
      </c>
      <c r="E16" s="45" t="s">
        <v>79</v>
      </c>
      <c r="F16" s="97"/>
      <c r="G16" s="79" t="s">
        <v>32</v>
      </c>
      <c r="H16" s="73">
        <v>28</v>
      </c>
      <c r="I16" s="73">
        <v>2</v>
      </c>
      <c r="J16" s="27">
        <f t="shared" si="0"/>
        <v>7.1428571428571425E-2</v>
      </c>
      <c r="K16" s="34">
        <f>I16+ENERO!K16</f>
        <v>4</v>
      </c>
      <c r="L16" s="60">
        <f t="shared" ref="L16:L20" si="1">IFERROR(K16/H16,0)</f>
        <v>0.14285714285714285</v>
      </c>
    </row>
    <row r="17" spans="2:17" x14ac:dyDescent="0.35">
      <c r="B17" s="35">
        <v>1</v>
      </c>
      <c r="C17" s="36" t="s">
        <v>80</v>
      </c>
      <c r="D17" s="45" t="s">
        <v>81</v>
      </c>
      <c r="E17" s="45" t="s">
        <v>142</v>
      </c>
      <c r="F17" s="97"/>
      <c r="G17" s="79" t="s">
        <v>32</v>
      </c>
      <c r="H17" s="34">
        <v>29</v>
      </c>
      <c r="I17" s="34">
        <v>2</v>
      </c>
      <c r="J17" s="29">
        <f t="shared" si="0"/>
        <v>6.8965517241379309E-2</v>
      </c>
      <c r="K17" s="34">
        <f>I17+ENERO!K17</f>
        <v>4</v>
      </c>
      <c r="L17" s="61">
        <f t="shared" si="1"/>
        <v>0.13793103448275862</v>
      </c>
    </row>
    <row r="18" spans="2:17" x14ac:dyDescent="0.35">
      <c r="B18" s="35">
        <v>1</v>
      </c>
      <c r="C18" s="36" t="s">
        <v>82</v>
      </c>
      <c r="D18" s="45" t="s">
        <v>101</v>
      </c>
      <c r="E18" s="45" t="s">
        <v>83</v>
      </c>
      <c r="F18" s="97"/>
      <c r="G18" s="79" t="s">
        <v>32</v>
      </c>
      <c r="H18" s="34">
        <v>29</v>
      </c>
      <c r="I18" s="34">
        <v>3</v>
      </c>
      <c r="J18" s="29">
        <f t="shared" si="0"/>
        <v>0.10344827586206896</v>
      </c>
      <c r="K18" s="34">
        <f>I18+ENERO!K18</f>
        <v>5</v>
      </c>
      <c r="L18" s="61">
        <f t="shared" si="1"/>
        <v>0.17241379310344829</v>
      </c>
    </row>
    <row r="19" spans="2:17" x14ac:dyDescent="0.35">
      <c r="B19" s="35">
        <v>1</v>
      </c>
      <c r="C19" s="36" t="s">
        <v>84</v>
      </c>
      <c r="D19" s="45" t="s">
        <v>109</v>
      </c>
      <c r="E19" s="45" t="s">
        <v>88</v>
      </c>
      <c r="F19" s="97"/>
      <c r="G19" s="79" t="s">
        <v>32</v>
      </c>
      <c r="H19" s="73">
        <v>29</v>
      </c>
      <c r="I19" s="73">
        <v>7</v>
      </c>
      <c r="J19" s="27">
        <f t="shared" si="0"/>
        <v>0.2413793103448276</v>
      </c>
      <c r="K19" s="34">
        <f>I19+ENERO!K19</f>
        <v>10</v>
      </c>
      <c r="L19" s="60">
        <f t="shared" si="1"/>
        <v>0.34482758620689657</v>
      </c>
    </row>
    <row r="20" spans="2:17" x14ac:dyDescent="0.35">
      <c r="B20" s="37">
        <v>1</v>
      </c>
      <c r="C20" s="38" t="s">
        <v>85</v>
      </c>
      <c r="D20" s="46" t="s">
        <v>102</v>
      </c>
      <c r="E20" s="46" t="s">
        <v>86</v>
      </c>
      <c r="F20" s="98"/>
      <c r="G20" s="80" t="s">
        <v>32</v>
      </c>
      <c r="H20" s="74">
        <v>29</v>
      </c>
      <c r="I20" s="74">
        <v>2</v>
      </c>
      <c r="J20" s="28">
        <f t="shared" si="0"/>
        <v>6.8965517241379309E-2</v>
      </c>
      <c r="K20" s="39">
        <f>I20+ENERO!K20</f>
        <v>4</v>
      </c>
      <c r="L20" s="62">
        <f t="shared" si="1"/>
        <v>0.13793103448275862</v>
      </c>
    </row>
    <row r="21" spans="2:17" x14ac:dyDescent="0.35">
      <c r="B21" s="63">
        <v>2</v>
      </c>
      <c r="C21" s="54" t="s">
        <v>110</v>
      </c>
      <c r="D21" s="84" t="s">
        <v>43</v>
      </c>
      <c r="E21" s="44" t="s">
        <v>90</v>
      </c>
      <c r="F21" s="108" t="s">
        <v>104</v>
      </c>
      <c r="G21" s="81" t="s">
        <v>32</v>
      </c>
      <c r="H21" s="75">
        <v>22</v>
      </c>
      <c r="I21" s="75">
        <v>4</v>
      </c>
      <c r="J21" s="57">
        <f t="shared" si="0"/>
        <v>0.18181818181818182</v>
      </c>
      <c r="K21" s="56">
        <f>I21+ENERO!K21</f>
        <v>7</v>
      </c>
      <c r="L21" s="64">
        <f>IFERROR(K21/H21,0)</f>
        <v>0.31818181818181818</v>
      </c>
    </row>
    <row r="22" spans="2:17" x14ac:dyDescent="0.35">
      <c r="B22" s="35">
        <v>2</v>
      </c>
      <c r="C22" s="36" t="s">
        <v>44</v>
      </c>
      <c r="D22" s="85" t="s">
        <v>45</v>
      </c>
      <c r="E22" s="45" t="s">
        <v>46</v>
      </c>
      <c r="F22" s="108"/>
      <c r="G22" s="48" t="s">
        <v>32</v>
      </c>
      <c r="H22" s="73">
        <v>23</v>
      </c>
      <c r="I22" s="73">
        <v>7</v>
      </c>
      <c r="J22" s="27">
        <f t="shared" si="0"/>
        <v>0.30434782608695654</v>
      </c>
      <c r="K22" s="34">
        <f>I22+ENERO!K22</f>
        <v>8</v>
      </c>
      <c r="L22" s="60">
        <f>IFERROR(K22/H22,0)</f>
        <v>0.34782608695652173</v>
      </c>
    </row>
    <row r="23" spans="2:17" x14ac:dyDescent="0.35">
      <c r="B23" s="35">
        <v>2</v>
      </c>
      <c r="C23" s="36" t="s">
        <v>47</v>
      </c>
      <c r="D23" s="85" t="s">
        <v>111</v>
      </c>
      <c r="E23" s="45" t="s">
        <v>91</v>
      </c>
      <c r="F23" s="108"/>
      <c r="G23" s="48" t="s">
        <v>32</v>
      </c>
      <c r="H23" s="73">
        <v>23</v>
      </c>
      <c r="I23" s="73">
        <v>2</v>
      </c>
      <c r="J23" s="27">
        <f t="shared" si="0"/>
        <v>8.6956521739130432E-2</v>
      </c>
      <c r="K23" s="34">
        <f>I23+ENERO!K23</f>
        <v>5</v>
      </c>
      <c r="L23" s="60">
        <f>IFERROR(K23/H23,0)</f>
        <v>0.21739130434782608</v>
      </c>
    </row>
    <row r="24" spans="2:17" x14ac:dyDescent="0.35">
      <c r="B24" s="35">
        <v>2</v>
      </c>
      <c r="C24" s="36" t="s">
        <v>48</v>
      </c>
      <c r="D24" s="85" t="s">
        <v>49</v>
      </c>
      <c r="E24" s="45" t="s">
        <v>139</v>
      </c>
      <c r="F24" s="108"/>
      <c r="G24" s="48" t="s">
        <v>32</v>
      </c>
      <c r="H24" s="73">
        <v>23</v>
      </c>
      <c r="I24" s="73">
        <v>2</v>
      </c>
      <c r="J24" s="27">
        <f t="shared" si="0"/>
        <v>8.6956521739130432E-2</v>
      </c>
      <c r="K24" s="34">
        <f>I24+ENERO!K24</f>
        <v>2</v>
      </c>
      <c r="L24" s="60">
        <f t="shared" ref="L24:L29" si="2">IFERROR(K24/H24,0)</f>
        <v>8.6956521739130432E-2</v>
      </c>
    </row>
    <row r="25" spans="2:17" s="8" customFormat="1" x14ac:dyDescent="0.35">
      <c r="B25" s="35">
        <v>2</v>
      </c>
      <c r="C25" s="36" t="s">
        <v>112</v>
      </c>
      <c r="D25" s="85" t="s">
        <v>50</v>
      </c>
      <c r="E25" s="45" t="s">
        <v>87</v>
      </c>
      <c r="F25" s="108"/>
      <c r="G25" s="48" t="s">
        <v>87</v>
      </c>
      <c r="H25" s="73">
        <v>23</v>
      </c>
      <c r="I25" s="73">
        <v>0</v>
      </c>
      <c r="J25" s="27">
        <f t="shared" si="0"/>
        <v>0</v>
      </c>
      <c r="K25" s="34">
        <f>I25+ENERO!K25</f>
        <v>3</v>
      </c>
      <c r="L25" s="60">
        <f t="shared" si="2"/>
        <v>0.13043478260869565</v>
      </c>
      <c r="O25" s="14"/>
      <c r="Q25" s="14"/>
    </row>
    <row r="26" spans="2:17" x14ac:dyDescent="0.35">
      <c r="B26" s="35">
        <v>2</v>
      </c>
      <c r="C26" s="36" t="s">
        <v>51</v>
      </c>
      <c r="D26" s="85" t="s">
        <v>113</v>
      </c>
      <c r="E26" s="45" t="s">
        <v>93</v>
      </c>
      <c r="F26" s="108"/>
      <c r="G26" s="48" t="s">
        <v>32</v>
      </c>
      <c r="H26" s="73">
        <v>23</v>
      </c>
      <c r="I26" s="73">
        <v>3</v>
      </c>
      <c r="J26" s="27">
        <f t="shared" si="0"/>
        <v>0.13043478260869565</v>
      </c>
      <c r="K26" s="34">
        <f>I26+ENERO!K26</f>
        <v>5</v>
      </c>
      <c r="L26" s="60">
        <f t="shared" si="2"/>
        <v>0.21739130434782608</v>
      </c>
    </row>
    <row r="27" spans="2:17" x14ac:dyDescent="0.35">
      <c r="B27" s="35">
        <v>2</v>
      </c>
      <c r="C27" s="36" t="s">
        <v>52</v>
      </c>
      <c r="D27" s="85" t="s">
        <v>53</v>
      </c>
      <c r="E27" s="45" t="s">
        <v>54</v>
      </c>
      <c r="F27" s="108"/>
      <c r="G27" s="48" t="s">
        <v>32</v>
      </c>
      <c r="H27" s="73">
        <v>23</v>
      </c>
      <c r="I27" s="73">
        <v>3</v>
      </c>
      <c r="J27" s="27">
        <f t="shared" si="0"/>
        <v>0.13043478260869565</v>
      </c>
      <c r="K27" s="34">
        <f>I27+ENERO!K27</f>
        <v>4</v>
      </c>
      <c r="L27" s="60">
        <f t="shared" si="2"/>
        <v>0.17391304347826086</v>
      </c>
    </row>
    <row r="28" spans="2:17" x14ac:dyDescent="0.35">
      <c r="B28" s="35">
        <v>2</v>
      </c>
      <c r="C28" s="36" t="s">
        <v>114</v>
      </c>
      <c r="D28" s="85" t="s">
        <v>55</v>
      </c>
      <c r="E28" s="45" t="s">
        <v>94</v>
      </c>
      <c r="F28" s="108"/>
      <c r="G28" s="48" t="s">
        <v>32</v>
      </c>
      <c r="H28" s="73">
        <v>23</v>
      </c>
      <c r="I28" s="73">
        <v>3</v>
      </c>
      <c r="J28" s="27">
        <f t="shared" si="0"/>
        <v>0.13043478260869565</v>
      </c>
      <c r="K28" s="34">
        <f>I28+ENERO!K28</f>
        <v>5</v>
      </c>
      <c r="L28" s="60">
        <f t="shared" si="2"/>
        <v>0.21739130434782608</v>
      </c>
    </row>
    <row r="29" spans="2:17" x14ac:dyDescent="0.35">
      <c r="B29" s="35">
        <v>2</v>
      </c>
      <c r="C29" s="36" t="s">
        <v>115</v>
      </c>
      <c r="D29" s="85" t="s">
        <v>56</v>
      </c>
      <c r="E29" s="45" t="s">
        <v>54</v>
      </c>
      <c r="F29" s="108"/>
      <c r="G29" s="48" t="s">
        <v>32</v>
      </c>
      <c r="H29" s="73">
        <v>23</v>
      </c>
      <c r="I29" s="73">
        <v>2</v>
      </c>
      <c r="J29" s="27">
        <f t="shared" si="0"/>
        <v>8.6956521739130432E-2</v>
      </c>
      <c r="K29" s="34">
        <f>I29+ENERO!K29</f>
        <v>3</v>
      </c>
      <c r="L29" s="60">
        <f t="shared" si="2"/>
        <v>0.13043478260869565</v>
      </c>
    </row>
    <row r="30" spans="2:17" x14ac:dyDescent="0.35">
      <c r="B30" s="37">
        <v>2</v>
      </c>
      <c r="C30" s="38" t="s">
        <v>57</v>
      </c>
      <c r="D30" s="86" t="s">
        <v>58</v>
      </c>
      <c r="E30" s="46" t="s">
        <v>59</v>
      </c>
      <c r="F30" s="109"/>
      <c r="G30" s="82" t="s">
        <v>32</v>
      </c>
      <c r="H30" s="74">
        <v>22</v>
      </c>
      <c r="I30" s="74">
        <v>4</v>
      </c>
      <c r="J30" s="28">
        <f t="shared" si="0"/>
        <v>0.18181818181818182</v>
      </c>
      <c r="K30" s="39">
        <f>I30+ENERO!K30</f>
        <v>6</v>
      </c>
      <c r="L30" s="62">
        <f>IFERROR(K30/H30,0)</f>
        <v>0.27272727272727271</v>
      </c>
    </row>
    <row r="31" spans="2:17" x14ac:dyDescent="0.35">
      <c r="B31" s="58">
        <v>3</v>
      </c>
      <c r="C31" s="40" t="s">
        <v>61</v>
      </c>
      <c r="D31" s="44" t="s">
        <v>116</v>
      </c>
      <c r="E31" s="44" t="s">
        <v>146</v>
      </c>
      <c r="F31" s="99" t="s">
        <v>105</v>
      </c>
      <c r="G31" s="78" t="s">
        <v>32</v>
      </c>
      <c r="H31" s="72">
        <v>22</v>
      </c>
      <c r="I31" s="72">
        <v>8</v>
      </c>
      <c r="J31" s="30">
        <f t="shared" si="0"/>
        <v>0.36363636363636365</v>
      </c>
      <c r="K31" s="41">
        <f>I31+ENERO!K31</f>
        <v>15</v>
      </c>
      <c r="L31" s="59">
        <f>IFERROR(K31/H31,0)</f>
        <v>0.68181818181818177</v>
      </c>
    </row>
    <row r="32" spans="2:17" x14ac:dyDescent="0.35">
      <c r="B32" s="35">
        <v>3</v>
      </c>
      <c r="C32" s="36" t="s">
        <v>66</v>
      </c>
      <c r="D32" s="45" t="s">
        <v>117</v>
      </c>
      <c r="E32" s="45" t="s">
        <v>147</v>
      </c>
      <c r="F32" s="100"/>
      <c r="G32" s="79" t="s">
        <v>32</v>
      </c>
      <c r="H32" s="73">
        <v>22</v>
      </c>
      <c r="I32" s="73">
        <v>8</v>
      </c>
      <c r="J32" s="27">
        <f t="shared" si="0"/>
        <v>0.36363636363636365</v>
      </c>
      <c r="K32" s="34">
        <f>I32+ENERO!K32</f>
        <v>8</v>
      </c>
      <c r="L32" s="60">
        <f>IFERROR(K32/H32,0)</f>
        <v>0.36363636363636365</v>
      </c>
    </row>
    <row r="33" spans="2:17" x14ac:dyDescent="0.35">
      <c r="B33" s="35">
        <v>3</v>
      </c>
      <c r="C33" s="36" t="s">
        <v>67</v>
      </c>
      <c r="D33" s="45" t="s">
        <v>118</v>
      </c>
      <c r="E33" s="45" t="s">
        <v>144</v>
      </c>
      <c r="F33" s="100"/>
      <c r="G33" s="79" t="s">
        <v>32</v>
      </c>
      <c r="H33" s="73">
        <v>22</v>
      </c>
      <c r="I33" s="73">
        <v>10</v>
      </c>
      <c r="J33" s="27">
        <f t="shared" si="0"/>
        <v>0.45454545454545453</v>
      </c>
      <c r="K33" s="34">
        <f>I33+ENERO!K33</f>
        <v>10</v>
      </c>
      <c r="L33" s="60">
        <f>IFERROR(K33/H33,0)</f>
        <v>0.45454545454545453</v>
      </c>
    </row>
    <row r="34" spans="2:17" x14ac:dyDescent="0.35">
      <c r="B34" s="35">
        <v>3</v>
      </c>
      <c r="C34" s="36" t="s">
        <v>68</v>
      </c>
      <c r="D34" s="45" t="s">
        <v>69</v>
      </c>
      <c r="E34" s="45" t="s">
        <v>87</v>
      </c>
      <c r="F34" s="100"/>
      <c r="G34" s="79" t="s">
        <v>87</v>
      </c>
      <c r="H34" s="73">
        <v>22</v>
      </c>
      <c r="I34" s="73">
        <v>0</v>
      </c>
      <c r="J34" s="27">
        <f t="shared" si="0"/>
        <v>0</v>
      </c>
      <c r="K34" s="34">
        <f>I34+ENERO!K34</f>
        <v>0</v>
      </c>
      <c r="L34" s="60">
        <f t="shared" ref="L34:L39" si="3">IFERROR(K34/H34,0)</f>
        <v>0</v>
      </c>
    </row>
    <row r="35" spans="2:17" s="8" customFormat="1" x14ac:dyDescent="0.35">
      <c r="B35" s="35">
        <v>3</v>
      </c>
      <c r="C35" s="36" t="s">
        <v>70</v>
      </c>
      <c r="D35" s="45" t="s">
        <v>71</v>
      </c>
      <c r="E35" s="45" t="s">
        <v>87</v>
      </c>
      <c r="F35" s="100"/>
      <c r="G35" s="79" t="s">
        <v>87</v>
      </c>
      <c r="H35" s="73">
        <v>22</v>
      </c>
      <c r="I35" s="73">
        <v>0</v>
      </c>
      <c r="J35" s="27">
        <f t="shared" si="0"/>
        <v>0</v>
      </c>
      <c r="K35" s="34">
        <f>I35+ENERO!K35</f>
        <v>5</v>
      </c>
      <c r="L35" s="60">
        <f t="shared" si="3"/>
        <v>0.22727272727272727</v>
      </c>
      <c r="O35" s="14"/>
      <c r="Q35" s="14"/>
    </row>
    <row r="36" spans="2:17" x14ac:dyDescent="0.35">
      <c r="B36" s="35">
        <v>3</v>
      </c>
      <c r="C36" s="36" t="s">
        <v>72</v>
      </c>
      <c r="D36" s="45" t="s">
        <v>73</v>
      </c>
      <c r="E36" s="45" t="s">
        <v>87</v>
      </c>
      <c r="F36" s="100"/>
      <c r="G36" s="79" t="s">
        <v>87</v>
      </c>
      <c r="H36" s="73">
        <v>22</v>
      </c>
      <c r="I36" s="73">
        <v>0</v>
      </c>
      <c r="J36" s="27">
        <f t="shared" si="0"/>
        <v>0</v>
      </c>
      <c r="K36" s="34">
        <f>I36+ENERO!K36</f>
        <v>0</v>
      </c>
      <c r="L36" s="60">
        <f t="shared" si="3"/>
        <v>0</v>
      </c>
    </row>
    <row r="37" spans="2:17" x14ac:dyDescent="0.35">
      <c r="B37" s="35">
        <v>3</v>
      </c>
      <c r="C37" s="36" t="s">
        <v>74</v>
      </c>
      <c r="D37" s="45" t="s">
        <v>75</v>
      </c>
      <c r="E37" s="45" t="s">
        <v>87</v>
      </c>
      <c r="F37" s="100"/>
      <c r="G37" s="79" t="s">
        <v>87</v>
      </c>
      <c r="H37" s="73">
        <v>22</v>
      </c>
      <c r="I37" s="73">
        <v>0</v>
      </c>
      <c r="J37" s="27">
        <f t="shared" si="0"/>
        <v>0</v>
      </c>
      <c r="K37" s="34">
        <f>I37+ENERO!K37</f>
        <v>0</v>
      </c>
      <c r="L37" s="60">
        <f t="shared" si="3"/>
        <v>0</v>
      </c>
    </row>
    <row r="38" spans="2:17" x14ac:dyDescent="0.35">
      <c r="B38" s="35">
        <v>3</v>
      </c>
      <c r="C38" s="36" t="s">
        <v>76</v>
      </c>
      <c r="D38" s="45" t="s">
        <v>119</v>
      </c>
      <c r="E38" s="45" t="s">
        <v>87</v>
      </c>
      <c r="F38" s="100"/>
      <c r="G38" s="79" t="s">
        <v>87</v>
      </c>
      <c r="H38" s="73">
        <v>22</v>
      </c>
      <c r="I38" s="73">
        <v>0</v>
      </c>
      <c r="J38" s="27">
        <f t="shared" si="0"/>
        <v>0</v>
      </c>
      <c r="K38" s="34">
        <f>I38+ENERO!K38</f>
        <v>0</v>
      </c>
      <c r="L38" s="60">
        <f t="shared" si="3"/>
        <v>0</v>
      </c>
    </row>
    <row r="39" spans="2:17" x14ac:dyDescent="0.35">
      <c r="B39" s="35">
        <v>8</v>
      </c>
      <c r="C39" s="36" t="s">
        <v>63</v>
      </c>
      <c r="D39" s="45" t="s">
        <v>120</v>
      </c>
      <c r="E39" s="45" t="s">
        <v>87</v>
      </c>
      <c r="F39" s="100"/>
      <c r="G39" s="79" t="s">
        <v>87</v>
      </c>
      <c r="H39" s="73">
        <v>23</v>
      </c>
      <c r="I39" s="73">
        <v>0</v>
      </c>
      <c r="J39" s="27">
        <f t="shared" si="0"/>
        <v>0</v>
      </c>
      <c r="K39" s="34">
        <f>I39+ENERO!K39</f>
        <v>0</v>
      </c>
      <c r="L39" s="60">
        <f t="shared" si="3"/>
        <v>0</v>
      </c>
    </row>
    <row r="40" spans="2:17" x14ac:dyDescent="0.35">
      <c r="B40" s="37">
        <v>8</v>
      </c>
      <c r="C40" s="38" t="s">
        <v>64</v>
      </c>
      <c r="D40" s="46" t="s">
        <v>121</v>
      </c>
      <c r="E40" s="46" t="s">
        <v>145</v>
      </c>
      <c r="F40" s="101"/>
      <c r="G40" s="80" t="s">
        <v>32</v>
      </c>
      <c r="H40" s="74">
        <v>23</v>
      </c>
      <c r="I40" s="74">
        <v>4</v>
      </c>
      <c r="J40" s="28">
        <f t="shared" si="0"/>
        <v>0.17391304347826086</v>
      </c>
      <c r="K40" s="39">
        <f>I40+ENERO!K40</f>
        <v>4</v>
      </c>
      <c r="L40" s="62">
        <f>IFERROR(K40/H40,0)</f>
        <v>0.17391304347826086</v>
      </c>
    </row>
    <row r="41" spans="2:17" x14ac:dyDescent="0.35">
      <c r="B41" s="58">
        <v>3</v>
      </c>
      <c r="C41" s="40" t="s">
        <v>61</v>
      </c>
      <c r="D41" s="44" t="s">
        <v>116</v>
      </c>
      <c r="E41" s="44" t="s">
        <v>149</v>
      </c>
      <c r="F41" s="96" t="s">
        <v>106</v>
      </c>
      <c r="G41" s="44" t="s">
        <v>133</v>
      </c>
      <c r="H41" s="72">
        <v>28</v>
      </c>
      <c r="I41" s="76">
        <v>5</v>
      </c>
      <c r="J41" s="30">
        <f t="shared" si="0"/>
        <v>0.17857142857142858</v>
      </c>
      <c r="K41" s="41">
        <f>I41+ENERO!K41</f>
        <v>8</v>
      </c>
      <c r="L41" s="59">
        <f>IFERROR(K41/H41,0)</f>
        <v>0.2857142857142857</v>
      </c>
    </row>
    <row r="42" spans="2:17" x14ac:dyDescent="0.35">
      <c r="B42" s="35">
        <v>3</v>
      </c>
      <c r="C42" s="36" t="s">
        <v>66</v>
      </c>
      <c r="D42" s="45" t="s">
        <v>117</v>
      </c>
      <c r="E42" s="45" t="s">
        <v>87</v>
      </c>
      <c r="F42" s="97"/>
      <c r="G42" s="45" t="s">
        <v>87</v>
      </c>
      <c r="H42" s="73">
        <v>25</v>
      </c>
      <c r="I42" s="73">
        <v>0</v>
      </c>
      <c r="J42" s="27">
        <f t="shared" si="0"/>
        <v>0</v>
      </c>
      <c r="K42" s="34">
        <f>I42+ENERO!K42</f>
        <v>0</v>
      </c>
      <c r="L42" s="60">
        <f>IFERROR(K42/H42,0)</f>
        <v>0</v>
      </c>
    </row>
    <row r="43" spans="2:17" x14ac:dyDescent="0.35">
      <c r="B43" s="35">
        <v>3</v>
      </c>
      <c r="C43" s="36" t="s">
        <v>67</v>
      </c>
      <c r="D43" s="45" t="s">
        <v>118</v>
      </c>
      <c r="E43" s="45" t="s">
        <v>87</v>
      </c>
      <c r="F43" s="97"/>
      <c r="G43" s="45" t="s">
        <v>87</v>
      </c>
      <c r="H43" s="73">
        <v>25</v>
      </c>
      <c r="I43" s="75">
        <v>0</v>
      </c>
      <c r="J43" s="27">
        <f t="shared" si="0"/>
        <v>0</v>
      </c>
      <c r="K43" s="34">
        <f>I43+ENERO!K43</f>
        <v>0</v>
      </c>
      <c r="L43" s="60">
        <f>IFERROR(K43/H43,0)</f>
        <v>0</v>
      </c>
    </row>
    <row r="44" spans="2:17" x14ac:dyDescent="0.35">
      <c r="B44" s="35">
        <v>3</v>
      </c>
      <c r="C44" s="36" t="s">
        <v>68</v>
      </c>
      <c r="D44" s="45" t="s">
        <v>69</v>
      </c>
      <c r="E44" s="45" t="s">
        <v>128</v>
      </c>
      <c r="F44" s="97"/>
      <c r="G44" s="45" t="s">
        <v>134</v>
      </c>
      <c r="H44" s="73">
        <v>30</v>
      </c>
      <c r="I44" s="73">
        <v>5</v>
      </c>
      <c r="J44" s="27">
        <f t="shared" si="0"/>
        <v>0.16666666666666666</v>
      </c>
      <c r="K44" s="34">
        <f>I44+ENERO!K44</f>
        <v>10</v>
      </c>
      <c r="L44" s="60">
        <f t="shared" ref="L44:L48" si="4">IFERROR(K44/H44,0)</f>
        <v>0.33333333333333331</v>
      </c>
    </row>
    <row r="45" spans="2:17" s="8" customFormat="1" x14ac:dyDescent="0.35">
      <c r="B45" s="35">
        <v>3</v>
      </c>
      <c r="C45" s="36" t="s">
        <v>70</v>
      </c>
      <c r="D45" s="45" t="s">
        <v>71</v>
      </c>
      <c r="E45" s="45" t="s">
        <v>150</v>
      </c>
      <c r="F45" s="97"/>
      <c r="G45" s="45" t="s">
        <v>153</v>
      </c>
      <c r="H45" s="73">
        <v>35</v>
      </c>
      <c r="I45" s="73">
        <v>7</v>
      </c>
      <c r="J45" s="27">
        <f t="shared" si="0"/>
        <v>0.2</v>
      </c>
      <c r="K45" s="34">
        <f>I45+ENERO!K45</f>
        <v>12</v>
      </c>
      <c r="L45" s="60">
        <f t="shared" si="4"/>
        <v>0.34285714285714286</v>
      </c>
      <c r="O45" s="14"/>
      <c r="Q45" s="14"/>
    </row>
    <row r="46" spans="2:17" x14ac:dyDescent="0.35">
      <c r="B46" s="35">
        <v>3</v>
      </c>
      <c r="C46" s="36" t="s">
        <v>72</v>
      </c>
      <c r="D46" s="45" t="s">
        <v>73</v>
      </c>
      <c r="E46" s="45" t="s">
        <v>87</v>
      </c>
      <c r="F46" s="97"/>
      <c r="G46" s="45" t="s">
        <v>87</v>
      </c>
      <c r="H46" s="73">
        <v>20</v>
      </c>
      <c r="I46" s="73">
        <v>0</v>
      </c>
      <c r="J46" s="27">
        <f t="shared" si="0"/>
        <v>0</v>
      </c>
      <c r="K46" s="34">
        <f>I46+ENERO!K46</f>
        <v>0</v>
      </c>
      <c r="L46" s="60">
        <f t="shared" si="4"/>
        <v>0</v>
      </c>
    </row>
    <row r="47" spans="2:17" x14ac:dyDescent="0.35">
      <c r="B47" s="35">
        <v>3</v>
      </c>
      <c r="C47" s="36" t="s">
        <v>74</v>
      </c>
      <c r="D47" s="45" t="s">
        <v>75</v>
      </c>
      <c r="E47" s="45" t="s">
        <v>151</v>
      </c>
      <c r="F47" s="97"/>
      <c r="G47" s="45" t="s">
        <v>154</v>
      </c>
      <c r="H47" s="73">
        <v>30</v>
      </c>
      <c r="I47" s="73">
        <v>7</v>
      </c>
      <c r="J47" s="27">
        <f t="shared" si="0"/>
        <v>0.23333333333333334</v>
      </c>
      <c r="K47" s="34">
        <f>I47+ENERO!K47</f>
        <v>7</v>
      </c>
      <c r="L47" s="60">
        <f t="shared" si="4"/>
        <v>0.23333333333333334</v>
      </c>
    </row>
    <row r="48" spans="2:17" x14ac:dyDescent="0.35">
      <c r="B48" s="37">
        <v>3</v>
      </c>
      <c r="C48" s="38" t="s">
        <v>76</v>
      </c>
      <c r="D48" s="46" t="s">
        <v>119</v>
      </c>
      <c r="E48" s="46" t="s">
        <v>152</v>
      </c>
      <c r="F48" s="98"/>
      <c r="G48" s="46" t="s">
        <v>154</v>
      </c>
      <c r="H48" s="74">
        <v>35</v>
      </c>
      <c r="I48" s="74">
        <v>6</v>
      </c>
      <c r="J48" s="28">
        <f t="shared" si="0"/>
        <v>0.17142857142857143</v>
      </c>
      <c r="K48" s="39">
        <f>I48+ENERO!K48</f>
        <v>11</v>
      </c>
      <c r="L48" s="62">
        <f t="shared" si="4"/>
        <v>0.31428571428571428</v>
      </c>
    </row>
    <row r="49" spans="2:17" x14ac:dyDescent="0.35">
      <c r="B49" s="49">
        <v>3</v>
      </c>
      <c r="C49" s="47" t="s">
        <v>61</v>
      </c>
      <c r="D49" s="44" t="s">
        <v>122</v>
      </c>
      <c r="E49" s="44" t="s">
        <v>62</v>
      </c>
      <c r="F49" s="105" t="s">
        <v>107</v>
      </c>
      <c r="G49" s="78" t="s">
        <v>32</v>
      </c>
      <c r="H49" s="72">
        <v>57</v>
      </c>
      <c r="I49" s="72">
        <v>10</v>
      </c>
      <c r="J49" s="30">
        <f t="shared" si="0"/>
        <v>0.17543859649122806</v>
      </c>
      <c r="K49" s="41">
        <f>I49+ENERO!K49</f>
        <v>18</v>
      </c>
      <c r="L49" s="59">
        <f>IFERROR(K49/H49,0)</f>
        <v>0.31578947368421051</v>
      </c>
    </row>
    <row r="50" spans="2:17" s="8" customFormat="1" x14ac:dyDescent="0.35">
      <c r="B50" s="50">
        <v>8</v>
      </c>
      <c r="C50" s="48" t="s">
        <v>63</v>
      </c>
      <c r="D50" s="45" t="s">
        <v>120</v>
      </c>
      <c r="E50" s="45" t="s">
        <v>135</v>
      </c>
      <c r="F50" s="106"/>
      <c r="G50" s="79" t="s">
        <v>32</v>
      </c>
      <c r="H50" s="73">
        <v>57</v>
      </c>
      <c r="I50" s="73">
        <v>5</v>
      </c>
      <c r="J50" s="27">
        <f t="shared" si="0"/>
        <v>8.771929824561403E-2</v>
      </c>
      <c r="K50" s="34">
        <f>I50+ENERO!K50</f>
        <v>8</v>
      </c>
      <c r="L50" s="60">
        <f>IFERROR(K50/H50,0)</f>
        <v>0.14035087719298245</v>
      </c>
      <c r="O50"/>
      <c r="Q50"/>
    </row>
    <row r="51" spans="2:17" x14ac:dyDescent="0.35">
      <c r="B51" s="50">
        <v>8</v>
      </c>
      <c r="C51" s="48" t="s">
        <v>64</v>
      </c>
      <c r="D51" s="45" t="s">
        <v>121</v>
      </c>
      <c r="E51" s="45" t="s">
        <v>89</v>
      </c>
      <c r="F51" s="106"/>
      <c r="G51" s="79" t="s">
        <v>32</v>
      </c>
      <c r="H51" s="73">
        <v>57</v>
      </c>
      <c r="I51" s="73">
        <v>5</v>
      </c>
      <c r="J51" s="27">
        <f t="shared" si="0"/>
        <v>8.771929824561403E-2</v>
      </c>
      <c r="K51" s="34">
        <f>I51+ENERO!K51</f>
        <v>8</v>
      </c>
      <c r="L51" s="60">
        <f>IFERROR(K51/H51,0)</f>
        <v>0.14035087719298245</v>
      </c>
    </row>
    <row r="52" spans="2:17" ht="15" thickBot="1" x14ac:dyDescent="0.4">
      <c r="B52" s="65">
        <v>8</v>
      </c>
      <c r="C52" s="66" t="s">
        <v>65</v>
      </c>
      <c r="D52" s="67" t="s">
        <v>123</v>
      </c>
      <c r="E52" s="67" t="s">
        <v>95</v>
      </c>
      <c r="F52" s="107"/>
      <c r="G52" s="83" t="s">
        <v>32</v>
      </c>
      <c r="H52" s="77">
        <v>57</v>
      </c>
      <c r="I52" s="77">
        <v>10</v>
      </c>
      <c r="J52" s="69">
        <f t="shared" si="0"/>
        <v>0.17543859649122806</v>
      </c>
      <c r="K52" s="68">
        <f>I52+ENERO!K52</f>
        <v>14</v>
      </c>
      <c r="L52" s="70">
        <f t="shared" ref="L52" si="5">IFERROR(K52/H52,0)</f>
        <v>0.24561403508771928</v>
      </c>
    </row>
    <row r="53" spans="2:17" ht="14.4" customHeight="1" x14ac:dyDescent="0.35">
      <c r="C53" s="6"/>
      <c r="D53" s="6"/>
      <c r="E53" s="6"/>
      <c r="F53" s="6"/>
      <c r="G53" s="12"/>
      <c r="H53" s="102" t="str">
        <f>+CONCATENATE("TOTAL A ",D7)</f>
        <v>TOTAL A FEBRERO</v>
      </c>
      <c r="I53" s="103"/>
      <c r="J53" s="104"/>
      <c r="K53" s="102" t="s">
        <v>33</v>
      </c>
      <c r="L53" s="104"/>
    </row>
    <row r="54" spans="2:17" ht="20.149999999999999" customHeight="1" x14ac:dyDescent="0.35">
      <c r="C54" s="6"/>
      <c r="D54" s="8"/>
      <c r="E54" s="8"/>
      <c r="F54" s="8"/>
      <c r="G54" s="8"/>
      <c r="H54" s="71">
        <f>+SUM(H13:H52)</f>
        <v>1134</v>
      </c>
      <c r="I54" s="71">
        <f>+SUM(I13:I52)</f>
        <v>150</v>
      </c>
      <c r="J54" s="15">
        <f>IFERROR(I54/H54,0)</f>
        <v>0.13227513227513227</v>
      </c>
      <c r="K54" s="71">
        <f>+SUM(K13:K52)</f>
        <v>234</v>
      </c>
      <c r="L54" s="15">
        <f>IFERROR(K54/H54,0)</f>
        <v>0.20634920634920634</v>
      </c>
    </row>
    <row r="55" spans="2:17" ht="20.149999999999999" customHeight="1" x14ac:dyDescent="0.35">
      <c r="C55" s="6"/>
      <c r="D55" s="8"/>
      <c r="E55" s="8"/>
      <c r="F55" s="8"/>
      <c r="G55" s="8"/>
      <c r="H55" s="5"/>
      <c r="I55" s="5"/>
      <c r="J55" s="25"/>
      <c r="K55" s="26"/>
      <c r="L55" s="25"/>
    </row>
    <row r="56" spans="2:17" ht="94.5" customHeight="1" x14ac:dyDescent="0.35">
      <c r="B56" s="133" t="s">
        <v>34</v>
      </c>
      <c r="C56" s="134"/>
      <c r="D56" s="111" t="s">
        <v>140</v>
      </c>
      <c r="E56" s="112"/>
      <c r="F56" s="112"/>
      <c r="G56" s="112"/>
      <c r="H56" s="112"/>
      <c r="I56" s="112"/>
      <c r="J56" s="112"/>
      <c r="K56" s="112"/>
      <c r="L56" s="113"/>
    </row>
    <row r="57" spans="2:17" ht="368.4" customHeight="1" x14ac:dyDescent="0.35">
      <c r="B57" s="135"/>
      <c r="C57" s="136"/>
      <c r="D57" s="111" t="s">
        <v>157</v>
      </c>
      <c r="E57" s="112"/>
      <c r="F57" s="112"/>
      <c r="G57" s="112"/>
      <c r="H57" s="112"/>
      <c r="I57" s="112"/>
      <c r="J57" s="112"/>
      <c r="K57" s="112"/>
      <c r="L57" s="113"/>
    </row>
    <row r="58" spans="2:17" ht="231.75" customHeight="1" x14ac:dyDescent="0.35">
      <c r="B58" s="135"/>
      <c r="C58" s="136"/>
      <c r="D58" s="111" t="s">
        <v>143</v>
      </c>
      <c r="E58" s="112"/>
      <c r="F58" s="112"/>
      <c r="G58" s="112"/>
      <c r="H58" s="112"/>
      <c r="I58" s="112"/>
      <c r="J58" s="112"/>
      <c r="K58" s="112"/>
      <c r="L58" s="113"/>
    </row>
    <row r="59" spans="2:17" ht="49.5" customHeight="1" x14ac:dyDescent="0.35">
      <c r="B59" s="135"/>
      <c r="C59" s="136"/>
      <c r="D59" s="137" t="s">
        <v>155</v>
      </c>
      <c r="E59" s="111"/>
      <c r="F59" s="111"/>
      <c r="G59" s="111"/>
      <c r="H59" s="111"/>
      <c r="I59" s="111"/>
      <c r="J59" s="111"/>
      <c r="K59" s="111"/>
      <c r="L59" s="138"/>
    </row>
    <row r="60" spans="2:17" ht="40.25" customHeight="1" x14ac:dyDescent="0.35">
      <c r="B60" s="102"/>
      <c r="C60" s="104"/>
      <c r="D60" s="111" t="s">
        <v>148</v>
      </c>
      <c r="E60" s="112"/>
      <c r="F60" s="112"/>
      <c r="G60" s="112"/>
      <c r="H60" s="112"/>
      <c r="I60" s="112"/>
      <c r="J60" s="112"/>
      <c r="K60" s="112"/>
      <c r="L60" s="113"/>
    </row>
    <row r="61" spans="2:17" customFormat="1" ht="40.25" customHeight="1" x14ac:dyDescent="0.35"/>
    <row r="62" spans="2:17" ht="20.149999999999999" customHeight="1" x14ac:dyDescent="0.35">
      <c r="B62" s="114" t="s">
        <v>36</v>
      </c>
      <c r="C62" s="115"/>
      <c r="D62" s="115"/>
      <c r="E62" s="115"/>
      <c r="F62" s="115"/>
      <c r="G62" s="115"/>
      <c r="H62" s="115"/>
      <c r="I62" s="115"/>
      <c r="J62" s="115"/>
      <c r="K62" s="115"/>
      <c r="L62" s="116"/>
    </row>
    <row r="63" spans="2:17" ht="14.4" customHeight="1" x14ac:dyDescent="0.35">
      <c r="B63" s="117"/>
      <c r="C63" s="118"/>
      <c r="D63" s="118"/>
      <c r="E63" s="118"/>
      <c r="F63" s="118"/>
      <c r="G63" s="118"/>
      <c r="H63" s="118"/>
      <c r="I63" s="118"/>
      <c r="J63" s="118"/>
      <c r="K63" s="118"/>
      <c r="L63" s="119"/>
    </row>
    <row r="64" spans="2:17" ht="15" customHeight="1" x14ac:dyDescent="0.35">
      <c r="B64" s="21" t="s">
        <v>37</v>
      </c>
      <c r="C64" s="16"/>
      <c r="D64" s="16"/>
      <c r="E64" s="16"/>
      <c r="F64" s="16"/>
      <c r="G64" s="16"/>
      <c r="H64" s="16"/>
      <c r="I64" s="16"/>
      <c r="J64" s="16"/>
      <c r="K64" s="16"/>
      <c r="L64" s="17"/>
    </row>
    <row r="65" spans="2:12" ht="24.5" x14ac:dyDescent="0.45">
      <c r="B65" s="18" t="s">
        <v>38</v>
      </c>
      <c r="C65" s="19"/>
      <c r="D65" s="120" t="s">
        <v>35</v>
      </c>
      <c r="E65" s="121"/>
      <c r="F65" s="121"/>
      <c r="G65" s="121"/>
      <c r="H65" s="121"/>
      <c r="I65" s="121"/>
      <c r="J65" s="121"/>
      <c r="K65" s="121"/>
      <c r="L65" s="122"/>
    </row>
    <row r="66" spans="2:12" ht="20.149999999999999" customHeight="1" x14ac:dyDescent="0.45">
      <c r="B66" s="18" t="s">
        <v>39</v>
      </c>
      <c r="C66" s="19"/>
      <c r="D66" s="123"/>
      <c r="E66" s="124"/>
      <c r="F66" s="124"/>
      <c r="G66" s="124"/>
      <c r="H66" s="124"/>
      <c r="I66" s="124"/>
      <c r="J66" s="124"/>
      <c r="K66" s="124"/>
      <c r="L66" s="125"/>
    </row>
    <row r="67" spans="2:12" ht="20.149999999999999" customHeight="1" x14ac:dyDescent="0.35">
      <c r="B67" s="126" t="s">
        <v>36</v>
      </c>
      <c r="C67" s="127"/>
      <c r="D67" s="127"/>
      <c r="E67" s="127"/>
      <c r="F67" s="127"/>
      <c r="G67" s="127"/>
      <c r="H67" s="127"/>
      <c r="I67" s="127"/>
      <c r="J67" s="127"/>
      <c r="K67" s="127"/>
      <c r="L67" s="128"/>
    </row>
    <row r="68" spans="2:12" x14ac:dyDescent="0.35">
      <c r="B68" s="129"/>
      <c r="C68" s="130"/>
      <c r="D68" s="130"/>
      <c r="E68" s="130"/>
      <c r="F68" s="130"/>
      <c r="G68" s="130"/>
      <c r="H68" s="130"/>
      <c r="I68" s="130"/>
      <c r="J68" s="130"/>
      <c r="K68" s="130"/>
      <c r="L68" s="131"/>
    </row>
    <row r="69" spans="2:12" x14ac:dyDescent="0.35">
      <c r="B69" s="21" t="s">
        <v>40</v>
      </c>
      <c r="C69" s="16"/>
      <c r="D69" s="16"/>
      <c r="E69" s="16"/>
      <c r="F69" s="16"/>
      <c r="G69" s="16"/>
      <c r="H69" s="16"/>
      <c r="I69" s="16"/>
      <c r="J69" s="16"/>
      <c r="K69" s="16"/>
      <c r="L69" s="17"/>
    </row>
    <row r="70" spans="2:12" ht="19.5" customHeight="1" x14ac:dyDescent="0.45">
      <c r="B70" s="18" t="s">
        <v>38</v>
      </c>
      <c r="C70" s="19"/>
      <c r="D70" s="120" t="s">
        <v>35</v>
      </c>
      <c r="E70" s="121"/>
      <c r="F70" s="121"/>
      <c r="G70" s="121"/>
      <c r="H70" s="121"/>
      <c r="I70" s="121"/>
      <c r="J70" s="121"/>
      <c r="K70" s="121"/>
      <c r="L70" s="122"/>
    </row>
    <row r="71" spans="2:12" ht="23.9" customHeight="1" x14ac:dyDescent="0.45">
      <c r="B71" s="18" t="s">
        <v>39</v>
      </c>
      <c r="C71" s="19"/>
      <c r="D71" s="123"/>
      <c r="E71" s="124"/>
      <c r="F71" s="124"/>
      <c r="G71" s="124"/>
      <c r="H71" s="124"/>
      <c r="I71" s="124"/>
      <c r="J71" s="124"/>
      <c r="K71" s="124"/>
      <c r="L71" s="125"/>
    </row>
    <row r="74" spans="2:12" x14ac:dyDescent="0.35">
      <c r="B74" s="132"/>
      <c r="C74" s="132"/>
      <c r="D74" s="132"/>
      <c r="H74" s="132"/>
      <c r="I74" s="132"/>
      <c r="J74" s="132"/>
      <c r="K74" s="132"/>
    </row>
    <row r="75" spans="2:12" x14ac:dyDescent="0.35">
      <c r="B75" s="20" t="s">
        <v>41</v>
      </c>
      <c r="C75" s="110"/>
      <c r="D75" s="110"/>
      <c r="H75" s="6" t="s">
        <v>42</v>
      </c>
      <c r="I75" s="110" t="s">
        <v>138</v>
      </c>
      <c r="J75" s="110"/>
      <c r="K75" s="110"/>
    </row>
    <row r="103" spans="1:18" s="1" customFormat="1" hidden="1" x14ac:dyDescent="0.35">
      <c r="A103" t="s">
        <v>0</v>
      </c>
      <c r="B103" s="20"/>
      <c r="M103" s="2"/>
      <c r="N103" s="2"/>
      <c r="O103"/>
      <c r="P103" s="2"/>
      <c r="Q103"/>
      <c r="R103" s="2"/>
    </row>
    <row r="104" spans="1:18" s="1" customFormat="1" hidden="1" x14ac:dyDescent="0.35">
      <c r="A104" t="s">
        <v>2</v>
      </c>
      <c r="B104" s="20"/>
      <c r="M104" s="2"/>
      <c r="N104" s="2"/>
      <c r="O104"/>
      <c r="P104" s="2"/>
      <c r="Q104"/>
      <c r="R104" s="2"/>
    </row>
    <row r="105" spans="1:18" s="1" customFormat="1" hidden="1" x14ac:dyDescent="0.35">
      <c r="A105" t="s">
        <v>6</v>
      </c>
      <c r="B105" s="20"/>
      <c r="M105" s="2"/>
      <c r="N105" s="2"/>
      <c r="O105"/>
      <c r="P105" s="2"/>
      <c r="Q105"/>
      <c r="R105" s="2"/>
    </row>
    <row r="106" spans="1:18" s="1" customFormat="1" hidden="1" x14ac:dyDescent="0.35">
      <c r="A106" t="s">
        <v>8</v>
      </c>
      <c r="B106" s="20"/>
      <c r="M106" s="2"/>
      <c r="N106" s="2"/>
      <c r="O106"/>
      <c r="P106" s="2"/>
      <c r="Q106"/>
      <c r="R106" s="2"/>
    </row>
    <row r="107" spans="1:18" s="1" customFormat="1" hidden="1" x14ac:dyDescent="0.35">
      <c r="A107" t="s">
        <v>9</v>
      </c>
      <c r="B107" s="22"/>
      <c r="M107" s="2"/>
      <c r="N107" s="2"/>
      <c r="O107"/>
      <c r="P107" s="2"/>
      <c r="Q107"/>
      <c r="R107" s="2"/>
    </row>
    <row r="108" spans="1:18" s="1" customFormat="1" hidden="1" x14ac:dyDescent="0.35">
      <c r="A108" t="s">
        <v>10</v>
      </c>
      <c r="B108" s="22"/>
      <c r="M108" s="2"/>
      <c r="N108" s="2"/>
      <c r="O108"/>
      <c r="P108" s="2"/>
      <c r="Q108"/>
      <c r="R108" s="2"/>
    </row>
    <row r="109" spans="1:18" s="1" customFormat="1" hidden="1" x14ac:dyDescent="0.35">
      <c r="A109" t="s">
        <v>11</v>
      </c>
      <c r="B109" s="22"/>
      <c r="M109" s="2"/>
      <c r="N109" s="2"/>
      <c r="O109"/>
      <c r="P109" s="2"/>
      <c r="Q109"/>
      <c r="R109" s="2"/>
    </row>
    <row r="110" spans="1:18" s="1" customFormat="1" hidden="1" x14ac:dyDescent="0.35">
      <c r="A110" t="s">
        <v>13</v>
      </c>
      <c r="B110" s="22"/>
      <c r="M110" s="2"/>
      <c r="N110" s="2"/>
      <c r="O110"/>
      <c r="P110" s="2"/>
      <c r="Q110"/>
      <c r="R110" s="2"/>
    </row>
    <row r="111" spans="1:18" s="1" customFormat="1" hidden="1" x14ac:dyDescent="0.35">
      <c r="A111" t="s">
        <v>14</v>
      </c>
      <c r="B111" s="22"/>
      <c r="M111" s="2"/>
      <c r="N111" s="2"/>
      <c r="O111"/>
      <c r="P111" s="2"/>
      <c r="Q111"/>
      <c r="R111" s="2"/>
    </row>
    <row r="112" spans="1:18" s="1" customFormat="1" hidden="1" x14ac:dyDescent="0.35">
      <c r="A112" t="s">
        <v>16</v>
      </c>
      <c r="B112" s="22"/>
      <c r="M112" s="2"/>
      <c r="N112" s="2"/>
      <c r="O112"/>
      <c r="P112" s="2"/>
      <c r="Q112"/>
      <c r="R112" s="2"/>
    </row>
    <row r="113" spans="1:18" s="1" customFormat="1" hidden="1" x14ac:dyDescent="0.35">
      <c r="A113" t="s">
        <v>17</v>
      </c>
      <c r="B113" s="22"/>
      <c r="M113" s="2"/>
      <c r="N113" s="2"/>
      <c r="O113"/>
      <c r="P113" s="2"/>
      <c r="Q113"/>
      <c r="R113" s="2"/>
    </row>
    <row r="114" spans="1:18" s="1" customFormat="1" hidden="1" x14ac:dyDescent="0.35">
      <c r="A114" t="s">
        <v>21</v>
      </c>
      <c r="B114" s="22"/>
      <c r="M114" s="2"/>
      <c r="N114" s="2"/>
      <c r="O114"/>
      <c r="P114" s="2"/>
      <c r="Q114"/>
      <c r="R114" s="2"/>
    </row>
    <row r="115" spans="1:18" s="1" customFormat="1" hidden="1" x14ac:dyDescent="0.35">
      <c r="A115" t="s">
        <v>31</v>
      </c>
      <c r="B115" s="22"/>
      <c r="M115" s="2"/>
      <c r="N115" s="2"/>
      <c r="O115"/>
      <c r="P115" s="2"/>
      <c r="Q115"/>
      <c r="R115" s="2"/>
    </row>
    <row r="116" spans="1:18" x14ac:dyDescent="0.35">
      <c r="B116" s="22"/>
    </row>
    <row r="117" spans="1:18" x14ac:dyDescent="0.35">
      <c r="B117" s="22"/>
    </row>
    <row r="118" spans="1:18" x14ac:dyDescent="0.35">
      <c r="B118" s="22"/>
    </row>
    <row r="119" spans="1:18" x14ac:dyDescent="0.35">
      <c r="B119" s="22"/>
    </row>
  </sheetData>
  <sheetProtection formatCells="0" formatColumns="0" formatRows="0" insertColumns="0" insertRows="0" insertHyperlinks="0" deleteColumns="0" deleteRows="0" sort="0" autoFilter="0" pivotTables="0"/>
  <mergeCells count="31">
    <mergeCell ref="C75:D75"/>
    <mergeCell ref="I75:K75"/>
    <mergeCell ref="D60:L60"/>
    <mergeCell ref="B62:L63"/>
    <mergeCell ref="D65:L66"/>
    <mergeCell ref="B67:L68"/>
    <mergeCell ref="D70:L71"/>
    <mergeCell ref="B74:D74"/>
    <mergeCell ref="H74:K74"/>
    <mergeCell ref="B56:C60"/>
    <mergeCell ref="D56:L56"/>
    <mergeCell ref="D57:L57"/>
    <mergeCell ref="D58:L58"/>
    <mergeCell ref="D59:L59"/>
    <mergeCell ref="F31:F40"/>
    <mergeCell ref="F41:F48"/>
    <mergeCell ref="F49:F52"/>
    <mergeCell ref="H53:J53"/>
    <mergeCell ref="K53:L53"/>
    <mergeCell ref="F21:F30"/>
    <mergeCell ref="B2:L2"/>
    <mergeCell ref="B3:D3"/>
    <mergeCell ref="E3:I3"/>
    <mergeCell ref="J3:L3"/>
    <mergeCell ref="B5:C5"/>
    <mergeCell ref="B7:C7"/>
    <mergeCell ref="B9:C9"/>
    <mergeCell ref="B11:H11"/>
    <mergeCell ref="I11:J11"/>
    <mergeCell ref="K11:L11"/>
    <mergeCell ref="F13:F20"/>
  </mergeCells>
  <conditionalFormatting sqref="L13:L52">
    <cfRule type="cellIs" dxfId="0" priority="1" operator="greaterThan">
      <formula>1</formula>
    </cfRule>
  </conditionalFormatting>
  <dataValidations count="5">
    <dataValidation allowBlank="1" showInputMessage="1" showErrorMessage="1" sqref="H55"/>
    <dataValidation type="whole" allowBlank="1" showInputMessage="1" showErrorMessage="1" errorTitle="¡Error!" error="Introduzca un número válido." promptTitle="¡Atención!" prompt="Introduzca un número entre 0 y 30" sqref="I40:I48 I30">
      <formula1>0</formula1>
      <formula2>30</formula2>
    </dataValidation>
    <dataValidation type="list" allowBlank="1" showInputMessage="1" showErrorMessage="1" sqref="D7">
      <formula1>$A$104:$A$115</formula1>
    </dataValidation>
    <dataValidation type="list" allowBlank="1" showInputMessage="1" showErrorMessage="1" sqref="D8:G8">
      <formula1>#REF!</formula1>
    </dataValidation>
    <dataValidation type="whole" allowBlank="1" showInputMessage="1" showErrorMessage="1" errorTitle="¡Error!" error="Introduzca un número válido." promptTitle="¡Atención!" prompt="Introduzca un número entre 0 y 366" sqref="I21:I29 I49:I52 I31:I39 H13:I20 H21:H52">
      <formula1>0</formula1>
      <formula2>366</formula2>
    </dataValidation>
  </dataValidations>
  <pageMargins left="0.7" right="0.7" top="0.75" bottom="0.75" header="0.3" footer="0.3"/>
  <pageSetup scale="18"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ENERO</vt:lpstr>
      <vt:lpstr>FEBRERO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cp:lastPrinted>2025-07-02T22:34:58Z</cp:lastPrinted>
  <dcterms:created xsi:type="dcterms:W3CDTF">2024-01-10T22:00:55Z</dcterms:created>
  <dcterms:modified xsi:type="dcterms:W3CDTF">2026-03-06T20:01:12Z</dcterms:modified>
</cp:coreProperties>
</file>