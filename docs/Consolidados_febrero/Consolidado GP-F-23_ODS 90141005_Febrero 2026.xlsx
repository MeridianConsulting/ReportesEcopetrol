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ReportesEcopetrol\docs\Consolidados_febrero\"/>
    </mc:Choice>
  </mc:AlternateContent>
  <bookViews>
    <workbookView xWindow="0" yWindow="0" windowWidth="19200" windowHeight="6600" firstSheet="4" activeTab="4"/>
  </bookViews>
  <sheets>
    <sheet name="ABRIL 2025" sheetId="25" r:id="rId1"/>
    <sheet name="MAYO 2025" sheetId="26" r:id="rId2"/>
    <sheet name="JUNIO 2025" sheetId="27" r:id="rId3"/>
    <sheet name="JULIO 2025" sheetId="28" r:id="rId4"/>
    <sheet name="AGOSTO 2025" sheetId="29" r:id="rId5"/>
    <sheet name="SEPTIEMBRE 2025" sheetId="30" r:id="rId6"/>
    <sheet name="OCTUBRE 2025" sheetId="31" r:id="rId7"/>
    <sheet name="NOVIEMBRE 2025 " sheetId="32" r:id="rId8"/>
    <sheet name="DICIEMBRE" sheetId="33" r:id="rId9"/>
    <sheet name="ENERO 2026" sheetId="36" r:id="rId10"/>
    <sheet name="FEBRERO 2026" sheetId="35" r:id="rId11"/>
  </sheets>
  <definedNames>
    <definedName name="_xlnm._FilterDatabase" localSheetId="4" hidden="1">'AGOSTO 2025'!$B$12:$L$270</definedName>
    <definedName name="_xlnm._FilterDatabase" localSheetId="8" hidden="1">DICIEMBRE!$B$12:$L$270</definedName>
    <definedName name="_xlnm._FilterDatabase" localSheetId="9" hidden="1">'ENERO 2026'!$B$12:$L$270</definedName>
    <definedName name="_xlnm._FilterDatabase" localSheetId="10" hidden="1">'FEBRERO 2026'!$B$12:$L$270</definedName>
    <definedName name="_xlnm._FilterDatabase" localSheetId="3" hidden="1">'JULIO 2025'!$B$12:$L$270</definedName>
    <definedName name="_xlnm._FilterDatabase" localSheetId="2" hidden="1">'JUNIO 2025'!$B$12:$L$270</definedName>
    <definedName name="_xlnm._FilterDatabase" localSheetId="7" hidden="1">'NOVIEMBRE 2025 '!$B$12:$L$270</definedName>
    <definedName name="_xlnm._FilterDatabase" localSheetId="6" hidden="1">'OCTUBRE 2025'!$B$12:$L$270</definedName>
    <definedName name="_xlnm._FilterDatabase" localSheetId="5" hidden="1">'SEPTIEMBRE 2025'!$B$12:$L$270</definedName>
    <definedName name="_xlnm.Print_Area" localSheetId="0">'ABRIL 2025'!$A$1:$M$299</definedName>
    <definedName name="_xlnm.Print_Area" localSheetId="4">'AGOSTO 2025'!$A$1:$M$303</definedName>
    <definedName name="_xlnm.Print_Area" localSheetId="8">DICIEMBRE!$A$1:$M$303</definedName>
    <definedName name="_xlnm.Print_Area" localSheetId="9">'ENERO 2026'!$A$1:$M$302</definedName>
    <definedName name="_xlnm.Print_Area" localSheetId="10">'FEBRERO 2026'!$A$1:$M$303</definedName>
    <definedName name="_xlnm.Print_Area" localSheetId="3">'JULIO 2025'!$A$1:$M$304</definedName>
    <definedName name="_xlnm.Print_Area" localSheetId="2">'JUNIO 2025'!$A$1:$M$299</definedName>
    <definedName name="_xlnm.Print_Area" localSheetId="1">'MAYO 2025'!$A$1:$M$299</definedName>
    <definedName name="_xlnm.Print_Area" localSheetId="7">'NOVIEMBRE 2025 '!$A$1:$M$303</definedName>
    <definedName name="_xlnm.Print_Area" localSheetId="6">'OCTUBRE 2025'!$A$1:$M$304</definedName>
    <definedName name="_xlnm.Print_Area" localSheetId="5">'SEPTIEMBRE 2025'!$A$1:$M$303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70" i="35" l="1"/>
  <c r="J213" i="35" l="1"/>
  <c r="J214" i="35"/>
  <c r="I270" i="36" l="1"/>
  <c r="J270" i="36" s="1"/>
  <c r="H270" i="36"/>
  <c r="H269" i="36"/>
  <c r="J268" i="36"/>
  <c r="J267" i="36"/>
  <c r="J266" i="36"/>
  <c r="J265" i="36"/>
  <c r="J264" i="36"/>
  <c r="J263" i="36"/>
  <c r="J262" i="36"/>
  <c r="J261" i="36"/>
  <c r="J260" i="36"/>
  <c r="J259" i="36"/>
  <c r="J258" i="36"/>
  <c r="J257" i="36"/>
  <c r="J256" i="36"/>
  <c r="J255" i="36"/>
  <c r="J254" i="36"/>
  <c r="J253" i="36"/>
  <c r="J252" i="36"/>
  <c r="J251" i="36"/>
  <c r="J250" i="36"/>
  <c r="J249" i="36"/>
  <c r="J248" i="36"/>
  <c r="J247" i="36"/>
  <c r="J246" i="36"/>
  <c r="J245" i="36"/>
  <c r="J244" i="36"/>
  <c r="J243" i="36"/>
  <c r="J242" i="36"/>
  <c r="J241" i="36"/>
  <c r="J240" i="36"/>
  <c r="J239" i="36"/>
  <c r="J238" i="36"/>
  <c r="J237" i="36"/>
  <c r="J236" i="36"/>
  <c r="J235" i="36"/>
  <c r="J234" i="36"/>
  <c r="J233" i="36"/>
  <c r="J232" i="36"/>
  <c r="J231" i="36"/>
  <c r="J230" i="36"/>
  <c r="J229" i="36"/>
  <c r="J228" i="36"/>
  <c r="J227" i="36"/>
  <c r="J226" i="36"/>
  <c r="J225" i="36"/>
  <c r="J224" i="36"/>
  <c r="J223" i="36"/>
  <c r="J222" i="36"/>
  <c r="J221" i="36"/>
  <c r="J220" i="36"/>
  <c r="J219" i="36"/>
  <c r="J218" i="36"/>
  <c r="J217" i="36"/>
  <c r="J216" i="36"/>
  <c r="J215" i="36"/>
  <c r="J214" i="36"/>
  <c r="J213" i="36"/>
  <c r="J212" i="36"/>
  <c r="J211" i="36"/>
  <c r="J210" i="36"/>
  <c r="J209" i="36"/>
  <c r="J208" i="36"/>
  <c r="J207" i="36"/>
  <c r="J206" i="36"/>
  <c r="J205" i="36"/>
  <c r="J204" i="36"/>
  <c r="J203" i="36"/>
  <c r="J202" i="36"/>
  <c r="J201" i="36"/>
  <c r="J200" i="36"/>
  <c r="J199" i="36"/>
  <c r="J198" i="36"/>
  <c r="J197" i="36"/>
  <c r="J196" i="36"/>
  <c r="J195" i="36"/>
  <c r="J194" i="36"/>
  <c r="J193" i="36"/>
  <c r="J192" i="36"/>
  <c r="J191" i="36"/>
  <c r="J190" i="36"/>
  <c r="J189" i="36"/>
  <c r="J188" i="36"/>
  <c r="J187" i="36"/>
  <c r="J186" i="36"/>
  <c r="J185" i="36"/>
  <c r="J184" i="36"/>
  <c r="J183" i="36"/>
  <c r="J182" i="36"/>
  <c r="J181" i="36"/>
  <c r="J180" i="36"/>
  <c r="J179" i="36"/>
  <c r="J178" i="36"/>
  <c r="J177" i="36"/>
  <c r="J176" i="36"/>
  <c r="J175" i="36"/>
  <c r="J174" i="36"/>
  <c r="J173" i="36"/>
  <c r="J172" i="36"/>
  <c r="J171" i="36"/>
  <c r="J170" i="36"/>
  <c r="J169" i="36"/>
  <c r="J168" i="36"/>
  <c r="J167" i="36"/>
  <c r="J166" i="36"/>
  <c r="J165" i="36"/>
  <c r="J164" i="36"/>
  <c r="J163" i="36"/>
  <c r="J162" i="36"/>
  <c r="J161" i="36"/>
  <c r="J160" i="36"/>
  <c r="J159" i="36"/>
  <c r="J158" i="36"/>
  <c r="J157" i="36"/>
  <c r="J156" i="36"/>
  <c r="J155" i="36"/>
  <c r="J154" i="36"/>
  <c r="J153" i="36"/>
  <c r="J152" i="36"/>
  <c r="J151" i="36"/>
  <c r="J150" i="36"/>
  <c r="J149" i="36"/>
  <c r="J148" i="36"/>
  <c r="J147" i="36"/>
  <c r="J146" i="36"/>
  <c r="J145" i="36"/>
  <c r="J144" i="36"/>
  <c r="J143" i="36"/>
  <c r="J142" i="36"/>
  <c r="J141" i="36"/>
  <c r="J140" i="36"/>
  <c r="J139" i="36"/>
  <c r="J138" i="36"/>
  <c r="J137" i="36"/>
  <c r="J136" i="36"/>
  <c r="J135" i="36"/>
  <c r="J134" i="36"/>
  <c r="J133" i="36"/>
  <c r="J132" i="36"/>
  <c r="J131" i="36"/>
  <c r="J130" i="36"/>
  <c r="J129" i="36"/>
  <c r="J128" i="36"/>
  <c r="J127" i="36"/>
  <c r="J126" i="36"/>
  <c r="J125" i="36"/>
  <c r="J124" i="36"/>
  <c r="J123" i="36"/>
  <c r="J122" i="36"/>
  <c r="J121" i="36"/>
  <c r="J120" i="36"/>
  <c r="J119" i="36"/>
  <c r="J118" i="36"/>
  <c r="J117" i="36"/>
  <c r="J116" i="36"/>
  <c r="J115" i="36"/>
  <c r="J114" i="36"/>
  <c r="J113" i="36"/>
  <c r="J112" i="36"/>
  <c r="J111" i="36"/>
  <c r="J110" i="36"/>
  <c r="J109" i="36"/>
  <c r="J108" i="36"/>
  <c r="J107" i="36"/>
  <c r="J106" i="36"/>
  <c r="J105" i="36"/>
  <c r="J104" i="36"/>
  <c r="J103" i="36"/>
  <c r="J102" i="36"/>
  <c r="J101" i="36"/>
  <c r="J100" i="36"/>
  <c r="J99" i="36"/>
  <c r="J98" i="36"/>
  <c r="J97" i="36"/>
  <c r="J96" i="36"/>
  <c r="J95" i="36"/>
  <c r="J94" i="36"/>
  <c r="J93" i="36"/>
  <c r="J92" i="36"/>
  <c r="J91" i="36"/>
  <c r="J90" i="36"/>
  <c r="J89" i="36"/>
  <c r="J88" i="36"/>
  <c r="J87" i="36"/>
  <c r="J86" i="36"/>
  <c r="J85" i="36"/>
  <c r="J84" i="36"/>
  <c r="J83" i="36"/>
  <c r="J82" i="36"/>
  <c r="J81" i="36"/>
  <c r="J80" i="36"/>
  <c r="J79" i="36"/>
  <c r="J78" i="36"/>
  <c r="J77" i="36"/>
  <c r="J76" i="36"/>
  <c r="J75" i="36"/>
  <c r="J74" i="36"/>
  <c r="J73" i="36"/>
  <c r="J72" i="36"/>
  <c r="J71" i="36"/>
  <c r="J70" i="36"/>
  <c r="J69" i="36"/>
  <c r="J68" i="36"/>
  <c r="J67" i="36"/>
  <c r="J66" i="36"/>
  <c r="J65" i="36"/>
  <c r="J64" i="36"/>
  <c r="J63" i="36"/>
  <c r="J62" i="36"/>
  <c r="J61" i="36"/>
  <c r="J60" i="36"/>
  <c r="J59" i="36"/>
  <c r="J58" i="36"/>
  <c r="J57" i="36"/>
  <c r="J56" i="36"/>
  <c r="J55" i="36"/>
  <c r="J54" i="36"/>
  <c r="J53" i="36"/>
  <c r="J52" i="36"/>
  <c r="J51" i="36"/>
  <c r="J50" i="36"/>
  <c r="J49" i="36"/>
  <c r="J48" i="36"/>
  <c r="J47" i="36"/>
  <c r="J46" i="36"/>
  <c r="J45" i="36"/>
  <c r="J44" i="36"/>
  <c r="J43" i="36"/>
  <c r="J42" i="36"/>
  <c r="J41" i="36"/>
  <c r="J40" i="36"/>
  <c r="J39" i="36"/>
  <c r="J38" i="36"/>
  <c r="J37" i="36"/>
  <c r="J36" i="36"/>
  <c r="J35" i="36"/>
  <c r="J34" i="36"/>
  <c r="J33" i="36"/>
  <c r="J32" i="36"/>
  <c r="J31" i="36"/>
  <c r="J30" i="36"/>
  <c r="J29" i="36"/>
  <c r="J28" i="36"/>
  <c r="J27" i="36"/>
  <c r="J26" i="36"/>
  <c r="J25" i="36"/>
  <c r="J24" i="36"/>
  <c r="J23" i="36"/>
  <c r="J22" i="36"/>
  <c r="J21" i="36"/>
  <c r="J20" i="36"/>
  <c r="J19" i="36"/>
  <c r="J18" i="36"/>
  <c r="J17" i="36"/>
  <c r="J16" i="36"/>
  <c r="J15" i="36"/>
  <c r="J14" i="36"/>
  <c r="J13" i="36"/>
  <c r="I270" i="35" l="1"/>
  <c r="H269" i="35"/>
  <c r="J268" i="35"/>
  <c r="J267" i="35"/>
  <c r="J266" i="35"/>
  <c r="J265" i="35"/>
  <c r="J264" i="35"/>
  <c r="J263" i="35"/>
  <c r="J262" i="35"/>
  <c r="J261" i="35"/>
  <c r="J260" i="35"/>
  <c r="J259" i="35"/>
  <c r="J258" i="35"/>
  <c r="J257" i="35"/>
  <c r="J256" i="35"/>
  <c r="J255" i="35"/>
  <c r="J254" i="35"/>
  <c r="J253" i="35"/>
  <c r="J252" i="35"/>
  <c r="J251" i="35"/>
  <c r="J250" i="35"/>
  <c r="J249" i="35"/>
  <c r="J248" i="35"/>
  <c r="J247" i="35"/>
  <c r="J246" i="35"/>
  <c r="J245" i="35"/>
  <c r="J244" i="35"/>
  <c r="J243" i="35"/>
  <c r="J242" i="35"/>
  <c r="J241" i="35"/>
  <c r="J240" i="35"/>
  <c r="J239" i="35"/>
  <c r="J238" i="35"/>
  <c r="J237" i="35"/>
  <c r="J236" i="35"/>
  <c r="J235" i="35"/>
  <c r="J234" i="35"/>
  <c r="J233" i="35"/>
  <c r="J232" i="35"/>
  <c r="J231" i="35"/>
  <c r="J230" i="35"/>
  <c r="J229" i="35"/>
  <c r="J228" i="35"/>
  <c r="J227" i="35"/>
  <c r="J226" i="35"/>
  <c r="J225" i="35"/>
  <c r="J224" i="35"/>
  <c r="J223" i="35"/>
  <c r="J222" i="35"/>
  <c r="J221" i="35"/>
  <c r="J220" i="35"/>
  <c r="J219" i="35"/>
  <c r="J218" i="35"/>
  <c r="J217" i="35"/>
  <c r="J216" i="35"/>
  <c r="J215" i="35"/>
  <c r="J212" i="35"/>
  <c r="J211" i="35"/>
  <c r="J210" i="35"/>
  <c r="J209" i="35"/>
  <c r="J208" i="35"/>
  <c r="J207" i="35"/>
  <c r="J206" i="35"/>
  <c r="J205" i="35"/>
  <c r="J204" i="35"/>
  <c r="J203" i="35"/>
  <c r="J202" i="35"/>
  <c r="J201" i="35"/>
  <c r="J200" i="35"/>
  <c r="J199" i="35"/>
  <c r="J198" i="35"/>
  <c r="J197" i="35"/>
  <c r="J196" i="35"/>
  <c r="J195" i="35"/>
  <c r="J194" i="35"/>
  <c r="J193" i="35"/>
  <c r="J192" i="35"/>
  <c r="J191" i="35"/>
  <c r="J190" i="35"/>
  <c r="J189" i="35"/>
  <c r="J188" i="35"/>
  <c r="J187" i="35"/>
  <c r="J186" i="35"/>
  <c r="J185" i="35"/>
  <c r="J184" i="35"/>
  <c r="J183" i="35"/>
  <c r="J182" i="35"/>
  <c r="J181" i="35"/>
  <c r="J180" i="35"/>
  <c r="J179" i="35"/>
  <c r="J178" i="35"/>
  <c r="J177" i="35"/>
  <c r="J176" i="35"/>
  <c r="J175" i="35"/>
  <c r="J174" i="35"/>
  <c r="J173" i="35"/>
  <c r="J172" i="35"/>
  <c r="J171" i="35"/>
  <c r="J170" i="35"/>
  <c r="J169" i="35"/>
  <c r="J168" i="35"/>
  <c r="J167" i="35"/>
  <c r="J166" i="35"/>
  <c r="J165" i="35"/>
  <c r="J164" i="35"/>
  <c r="J163" i="35"/>
  <c r="J162" i="35"/>
  <c r="J161" i="35"/>
  <c r="J160" i="35"/>
  <c r="J159" i="35"/>
  <c r="J158" i="35"/>
  <c r="J157" i="35"/>
  <c r="J156" i="35"/>
  <c r="J155" i="35"/>
  <c r="J154" i="35"/>
  <c r="J153" i="35"/>
  <c r="J152" i="35"/>
  <c r="J151" i="35"/>
  <c r="J150" i="35"/>
  <c r="J149" i="35"/>
  <c r="J148" i="35"/>
  <c r="J147" i="35"/>
  <c r="J146" i="35"/>
  <c r="J145" i="35"/>
  <c r="J144" i="35"/>
  <c r="J143" i="35"/>
  <c r="J142" i="35"/>
  <c r="J141" i="35"/>
  <c r="J140" i="35"/>
  <c r="J139" i="35"/>
  <c r="J138" i="35"/>
  <c r="J137" i="35"/>
  <c r="J136" i="35"/>
  <c r="J135" i="35"/>
  <c r="J134" i="35"/>
  <c r="J133" i="35"/>
  <c r="J132" i="35"/>
  <c r="J131" i="35"/>
  <c r="J130" i="35"/>
  <c r="J129" i="35"/>
  <c r="J128" i="35"/>
  <c r="J127" i="35"/>
  <c r="J126" i="35"/>
  <c r="J125" i="35"/>
  <c r="J124" i="35"/>
  <c r="J123" i="35"/>
  <c r="J122" i="35"/>
  <c r="J121" i="35"/>
  <c r="J120" i="35"/>
  <c r="J119" i="35"/>
  <c r="J118" i="35"/>
  <c r="J117" i="35"/>
  <c r="J116" i="35"/>
  <c r="J115" i="35"/>
  <c r="J114" i="35"/>
  <c r="J113" i="35"/>
  <c r="J112" i="35"/>
  <c r="J111" i="35"/>
  <c r="J110" i="35"/>
  <c r="J109" i="35"/>
  <c r="J108" i="35"/>
  <c r="J107" i="35"/>
  <c r="J106" i="35"/>
  <c r="J105" i="35"/>
  <c r="J104" i="35"/>
  <c r="J103" i="35"/>
  <c r="J102" i="35"/>
  <c r="J101" i="35"/>
  <c r="J100" i="35"/>
  <c r="J99" i="35"/>
  <c r="J98" i="35"/>
  <c r="J97" i="35"/>
  <c r="J96" i="35"/>
  <c r="J95" i="35"/>
  <c r="J94" i="35"/>
  <c r="J93" i="35"/>
  <c r="J92" i="35"/>
  <c r="J91" i="35"/>
  <c r="J90" i="35"/>
  <c r="J89" i="35"/>
  <c r="J88" i="35"/>
  <c r="J87" i="35"/>
  <c r="J86" i="35"/>
  <c r="J85" i="35"/>
  <c r="J84" i="35"/>
  <c r="J83" i="35"/>
  <c r="J82" i="35"/>
  <c r="J81" i="35"/>
  <c r="J80" i="35"/>
  <c r="J79" i="35"/>
  <c r="J78" i="35"/>
  <c r="J77" i="35"/>
  <c r="J76" i="35"/>
  <c r="J75" i="35"/>
  <c r="J74" i="35"/>
  <c r="J73" i="35"/>
  <c r="J72" i="35"/>
  <c r="J71" i="35"/>
  <c r="J70" i="35"/>
  <c r="J69" i="35"/>
  <c r="J68" i="35"/>
  <c r="J67" i="35"/>
  <c r="J66" i="35"/>
  <c r="J65" i="35"/>
  <c r="J64" i="35"/>
  <c r="J63" i="35"/>
  <c r="J62" i="35"/>
  <c r="J61"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J32" i="35"/>
  <c r="J31" i="35"/>
  <c r="J30" i="35"/>
  <c r="J29" i="35"/>
  <c r="J28" i="35"/>
  <c r="J27" i="35"/>
  <c r="J26" i="35"/>
  <c r="J25" i="35"/>
  <c r="J24" i="35"/>
  <c r="J23" i="35"/>
  <c r="J22" i="35"/>
  <c r="J21" i="35"/>
  <c r="J20" i="35"/>
  <c r="J19" i="35"/>
  <c r="J18" i="35"/>
  <c r="J17" i="35"/>
  <c r="J16" i="35"/>
  <c r="J15" i="35"/>
  <c r="J14" i="35"/>
  <c r="J13" i="35"/>
  <c r="J270" i="35" l="1"/>
  <c r="I270" i="33" l="1"/>
  <c r="H270" i="33"/>
  <c r="H269" i="33"/>
  <c r="J268" i="33"/>
  <c r="J267" i="33"/>
  <c r="J266" i="33"/>
  <c r="J265" i="33"/>
  <c r="J264" i="33"/>
  <c r="J263" i="33"/>
  <c r="J262" i="33"/>
  <c r="J261" i="33"/>
  <c r="J260" i="33"/>
  <c r="J259" i="33"/>
  <c r="J258" i="33"/>
  <c r="J257" i="33"/>
  <c r="J256" i="33"/>
  <c r="J255" i="33"/>
  <c r="J254" i="33"/>
  <c r="J253" i="33"/>
  <c r="J252" i="33"/>
  <c r="J251" i="33"/>
  <c r="J250" i="33"/>
  <c r="J249" i="33"/>
  <c r="J248" i="33"/>
  <c r="J247" i="33"/>
  <c r="J246" i="33"/>
  <c r="J245" i="33"/>
  <c r="J244" i="33"/>
  <c r="J243" i="33"/>
  <c r="J242" i="33"/>
  <c r="J241" i="33"/>
  <c r="J240" i="33"/>
  <c r="J239" i="33"/>
  <c r="J238" i="33"/>
  <c r="J237" i="33"/>
  <c r="J236" i="33"/>
  <c r="J235" i="33"/>
  <c r="J234" i="33"/>
  <c r="J233" i="33"/>
  <c r="J232" i="33"/>
  <c r="J231" i="33"/>
  <c r="J230" i="33"/>
  <c r="J229" i="33"/>
  <c r="J228" i="33"/>
  <c r="J227" i="33"/>
  <c r="J226" i="33"/>
  <c r="J225" i="33"/>
  <c r="J224" i="33"/>
  <c r="J223" i="33"/>
  <c r="J222" i="33"/>
  <c r="J221" i="33"/>
  <c r="J220" i="33"/>
  <c r="J219" i="33"/>
  <c r="J218" i="33"/>
  <c r="J217" i="33"/>
  <c r="J216" i="33"/>
  <c r="J215" i="33"/>
  <c r="J214" i="33"/>
  <c r="J213" i="33"/>
  <c r="J212" i="33"/>
  <c r="J211" i="33"/>
  <c r="J210" i="33"/>
  <c r="J209" i="33"/>
  <c r="J208" i="33"/>
  <c r="J207" i="33"/>
  <c r="J206" i="33"/>
  <c r="J205" i="33"/>
  <c r="J204" i="33"/>
  <c r="J203" i="33"/>
  <c r="J202" i="33"/>
  <c r="J201" i="33"/>
  <c r="J200" i="33"/>
  <c r="J199" i="33"/>
  <c r="J198" i="33"/>
  <c r="J197" i="33"/>
  <c r="J196" i="33"/>
  <c r="J195" i="33"/>
  <c r="J194" i="33"/>
  <c r="J193" i="33"/>
  <c r="J192" i="33"/>
  <c r="J191" i="33"/>
  <c r="J190" i="33"/>
  <c r="J189" i="33"/>
  <c r="J188" i="33"/>
  <c r="J187" i="33"/>
  <c r="J186" i="33"/>
  <c r="J185" i="33"/>
  <c r="J184" i="33"/>
  <c r="J183" i="33"/>
  <c r="J182" i="33"/>
  <c r="J181" i="33"/>
  <c r="J180" i="33"/>
  <c r="J179" i="33"/>
  <c r="J178" i="33"/>
  <c r="J177" i="33"/>
  <c r="J176" i="33"/>
  <c r="J175" i="33"/>
  <c r="J174" i="33"/>
  <c r="J173" i="33"/>
  <c r="J172" i="33"/>
  <c r="J171" i="33"/>
  <c r="J170" i="33"/>
  <c r="J169" i="33"/>
  <c r="J168" i="33"/>
  <c r="J167" i="33"/>
  <c r="J166" i="33"/>
  <c r="J165" i="33"/>
  <c r="J164" i="33"/>
  <c r="J163" i="33"/>
  <c r="J162" i="33"/>
  <c r="J161" i="33"/>
  <c r="J160" i="33"/>
  <c r="J159" i="33"/>
  <c r="J158" i="33"/>
  <c r="J157" i="33"/>
  <c r="J156" i="33"/>
  <c r="J155" i="33"/>
  <c r="J154" i="33"/>
  <c r="J153" i="33"/>
  <c r="J152" i="33"/>
  <c r="J151" i="33"/>
  <c r="J150" i="33"/>
  <c r="J149" i="33"/>
  <c r="J148" i="33"/>
  <c r="J147" i="33"/>
  <c r="J146" i="33"/>
  <c r="J145" i="33"/>
  <c r="J144" i="33"/>
  <c r="J143" i="33"/>
  <c r="J142" i="33"/>
  <c r="J141" i="33"/>
  <c r="J140" i="33"/>
  <c r="J139" i="33"/>
  <c r="J138" i="33"/>
  <c r="J137" i="33"/>
  <c r="J136" i="33"/>
  <c r="J135" i="33"/>
  <c r="J134" i="33"/>
  <c r="J133" i="33"/>
  <c r="J132" i="33"/>
  <c r="J131" i="33"/>
  <c r="J130" i="33"/>
  <c r="J129" i="33"/>
  <c r="J128" i="33"/>
  <c r="J127" i="33"/>
  <c r="J126" i="33"/>
  <c r="J125" i="33"/>
  <c r="J124" i="33"/>
  <c r="J123" i="33"/>
  <c r="J122" i="33"/>
  <c r="J121" i="33"/>
  <c r="J120" i="33"/>
  <c r="J119" i="33"/>
  <c r="J118" i="33"/>
  <c r="J117" i="33"/>
  <c r="J116" i="33"/>
  <c r="J115" i="33"/>
  <c r="J114" i="33"/>
  <c r="J113" i="33"/>
  <c r="J112" i="33"/>
  <c r="J111" i="33"/>
  <c r="J110" i="33"/>
  <c r="J109" i="33"/>
  <c r="J108" i="33"/>
  <c r="J107" i="33"/>
  <c r="J106" i="33"/>
  <c r="J105" i="33"/>
  <c r="J104" i="33"/>
  <c r="J103" i="33"/>
  <c r="J102" i="33"/>
  <c r="J101" i="33"/>
  <c r="J100" i="33"/>
  <c r="J99" i="33"/>
  <c r="J98" i="33"/>
  <c r="J97" i="33"/>
  <c r="J96" i="33"/>
  <c r="J95" i="33"/>
  <c r="J94" i="33"/>
  <c r="J93" i="33"/>
  <c r="J92" i="33"/>
  <c r="J91" i="33"/>
  <c r="J90" i="33"/>
  <c r="J89" i="33"/>
  <c r="J88" i="33"/>
  <c r="J87" i="33"/>
  <c r="J86" i="33"/>
  <c r="J85" i="33"/>
  <c r="J84" i="33"/>
  <c r="J83" i="33"/>
  <c r="J82" i="33"/>
  <c r="J81" i="33"/>
  <c r="J80" i="33"/>
  <c r="J79" i="33"/>
  <c r="J78" i="33"/>
  <c r="J77" i="33"/>
  <c r="J76" i="33"/>
  <c r="J75" i="33"/>
  <c r="J74" i="33"/>
  <c r="J73" i="33"/>
  <c r="J72" i="33"/>
  <c r="J71" i="33"/>
  <c r="J70" i="33"/>
  <c r="J69" i="33"/>
  <c r="J68" i="33"/>
  <c r="J67" i="33"/>
  <c r="J66" i="33"/>
  <c r="J65" i="33"/>
  <c r="J64" i="33"/>
  <c r="J63" i="33"/>
  <c r="J62" i="33"/>
  <c r="J61" i="33"/>
  <c r="J60" i="33"/>
  <c r="J59" i="33"/>
  <c r="J58" i="33"/>
  <c r="J57" i="33"/>
  <c r="J56" i="33"/>
  <c r="J55" i="33"/>
  <c r="J54" i="33"/>
  <c r="J53" i="33"/>
  <c r="J52" i="33"/>
  <c r="J51" i="33"/>
  <c r="J50" i="33"/>
  <c r="J49" i="33"/>
  <c r="J48" i="33"/>
  <c r="J47" i="33"/>
  <c r="J46" i="33"/>
  <c r="J45" i="33"/>
  <c r="J44" i="33"/>
  <c r="J43" i="33"/>
  <c r="J42" i="33"/>
  <c r="J41" i="33"/>
  <c r="J40" i="33"/>
  <c r="J39" i="33"/>
  <c r="J38" i="33"/>
  <c r="J37" i="33"/>
  <c r="J36" i="33"/>
  <c r="J35" i="33"/>
  <c r="J34" i="33"/>
  <c r="J33" i="33"/>
  <c r="J32" i="33"/>
  <c r="J31" i="33"/>
  <c r="J30" i="33"/>
  <c r="J29" i="33"/>
  <c r="J28" i="33"/>
  <c r="J27" i="33"/>
  <c r="J26" i="33"/>
  <c r="J25" i="33"/>
  <c r="J24" i="33"/>
  <c r="J23" i="33"/>
  <c r="J22" i="33"/>
  <c r="J21" i="33"/>
  <c r="J20" i="33"/>
  <c r="J19" i="33"/>
  <c r="J18" i="33"/>
  <c r="J17" i="33"/>
  <c r="J16" i="33"/>
  <c r="J15" i="33"/>
  <c r="J14" i="33"/>
  <c r="J13" i="33"/>
  <c r="J13" i="32"/>
  <c r="J14" i="32"/>
  <c r="J15" i="32"/>
  <c r="J16" i="32"/>
  <c r="J270" i="33" l="1"/>
  <c r="I270" i="32"/>
  <c r="H270" i="32"/>
  <c r="H269" i="32"/>
  <c r="J268" i="32"/>
  <c r="J267" i="32"/>
  <c r="J266" i="32"/>
  <c r="J265" i="32"/>
  <c r="J264" i="32"/>
  <c r="J263" i="32"/>
  <c r="J262" i="32"/>
  <c r="J261" i="32"/>
  <c r="J260" i="32"/>
  <c r="J259" i="32"/>
  <c r="J258" i="32"/>
  <c r="J257" i="32"/>
  <c r="J256" i="32"/>
  <c r="J255" i="32"/>
  <c r="J254" i="32"/>
  <c r="J253" i="32"/>
  <c r="J252" i="32"/>
  <c r="J251" i="32"/>
  <c r="J250" i="32"/>
  <c r="J249" i="32"/>
  <c r="J248" i="32"/>
  <c r="J247" i="32"/>
  <c r="J246" i="32"/>
  <c r="J245" i="32"/>
  <c r="J244" i="32"/>
  <c r="J243" i="32"/>
  <c r="J242" i="32"/>
  <c r="J241" i="32"/>
  <c r="J240" i="32"/>
  <c r="J239" i="32"/>
  <c r="J238" i="32"/>
  <c r="J237" i="32"/>
  <c r="J236" i="32"/>
  <c r="J235" i="32"/>
  <c r="J234" i="32"/>
  <c r="J233" i="32"/>
  <c r="J232" i="32"/>
  <c r="J231" i="32"/>
  <c r="J230" i="32"/>
  <c r="J229" i="32"/>
  <c r="J228" i="32"/>
  <c r="J227" i="32"/>
  <c r="J226" i="32"/>
  <c r="J225" i="32"/>
  <c r="J224" i="32"/>
  <c r="J223" i="32"/>
  <c r="J222" i="32"/>
  <c r="J221" i="32"/>
  <c r="J220" i="32"/>
  <c r="J219" i="32"/>
  <c r="J218" i="32"/>
  <c r="J217" i="32"/>
  <c r="J216" i="32"/>
  <c r="J215" i="32"/>
  <c r="J214" i="32"/>
  <c r="J213" i="32"/>
  <c r="J212" i="32"/>
  <c r="J211" i="32"/>
  <c r="J210" i="32"/>
  <c r="J209" i="32"/>
  <c r="J208" i="32"/>
  <c r="J207" i="32"/>
  <c r="J206" i="32"/>
  <c r="J205" i="32"/>
  <c r="J204" i="32"/>
  <c r="J203" i="32"/>
  <c r="J202" i="32"/>
  <c r="J201" i="32"/>
  <c r="J200" i="32"/>
  <c r="J199" i="32"/>
  <c r="J198" i="32"/>
  <c r="J197" i="32"/>
  <c r="J196" i="32"/>
  <c r="J195" i="32"/>
  <c r="J194" i="32"/>
  <c r="J193" i="32"/>
  <c r="J192" i="32"/>
  <c r="J191" i="32"/>
  <c r="J190" i="32"/>
  <c r="J189" i="32"/>
  <c r="J188" i="32"/>
  <c r="J187" i="32"/>
  <c r="J186" i="32"/>
  <c r="J185" i="32"/>
  <c r="J184" i="32"/>
  <c r="J183" i="32"/>
  <c r="J182" i="32"/>
  <c r="J181" i="32"/>
  <c r="J180" i="32"/>
  <c r="J179" i="32"/>
  <c r="J178" i="32"/>
  <c r="J177" i="32"/>
  <c r="J176" i="32"/>
  <c r="J175" i="32"/>
  <c r="J174" i="32"/>
  <c r="J173" i="32"/>
  <c r="J172" i="32"/>
  <c r="J171" i="32"/>
  <c r="J170" i="32"/>
  <c r="J169" i="32"/>
  <c r="J168" i="32"/>
  <c r="J167" i="32"/>
  <c r="J166" i="32"/>
  <c r="J165" i="32"/>
  <c r="J164" i="32"/>
  <c r="J163" i="32"/>
  <c r="J162" i="32"/>
  <c r="J161" i="32"/>
  <c r="J160" i="32"/>
  <c r="J159" i="32"/>
  <c r="J158" i="32"/>
  <c r="J157" i="32"/>
  <c r="J156" i="32"/>
  <c r="J155" i="32"/>
  <c r="J154" i="32"/>
  <c r="J153" i="32"/>
  <c r="J152" i="32"/>
  <c r="J151" i="32"/>
  <c r="J150" i="32"/>
  <c r="J149" i="32"/>
  <c r="J148" i="32"/>
  <c r="J147" i="32"/>
  <c r="J146" i="32"/>
  <c r="J145" i="32"/>
  <c r="J144" i="32"/>
  <c r="J143" i="32"/>
  <c r="J142" i="32"/>
  <c r="J141" i="32"/>
  <c r="J140" i="32"/>
  <c r="J139" i="32"/>
  <c r="J138" i="32"/>
  <c r="J137" i="32"/>
  <c r="J136" i="32"/>
  <c r="J135" i="32"/>
  <c r="J134" i="32"/>
  <c r="J133" i="32"/>
  <c r="J132" i="32"/>
  <c r="J131" i="32"/>
  <c r="J130" i="32"/>
  <c r="J129" i="32"/>
  <c r="J128" i="32"/>
  <c r="J127" i="32"/>
  <c r="J126" i="32"/>
  <c r="J125" i="32"/>
  <c r="J124" i="32"/>
  <c r="J123" i="32"/>
  <c r="J122" i="32"/>
  <c r="J121" i="32"/>
  <c r="J120" i="32"/>
  <c r="J119" i="32"/>
  <c r="J118" i="32"/>
  <c r="J117" i="32"/>
  <c r="J116" i="32"/>
  <c r="J115" i="32"/>
  <c r="J114" i="32"/>
  <c r="J113" i="32"/>
  <c r="J112" i="32"/>
  <c r="J111" i="32"/>
  <c r="J110" i="32"/>
  <c r="J109" i="32"/>
  <c r="J108" i="32"/>
  <c r="J107" i="32"/>
  <c r="J106" i="32"/>
  <c r="J105" i="32"/>
  <c r="J104" i="32"/>
  <c r="J103" i="32"/>
  <c r="J102" i="32"/>
  <c r="J101" i="32"/>
  <c r="J100" i="32"/>
  <c r="J99" i="32"/>
  <c r="J98" i="32"/>
  <c r="J97" i="32"/>
  <c r="J96" i="32"/>
  <c r="J95" i="32"/>
  <c r="J94" i="32"/>
  <c r="J93" i="32"/>
  <c r="J92" i="32"/>
  <c r="J91" i="32"/>
  <c r="J90" i="32"/>
  <c r="J89" i="32"/>
  <c r="J88" i="32"/>
  <c r="J87" i="32"/>
  <c r="J86" i="32"/>
  <c r="J85" i="32"/>
  <c r="J84" i="32"/>
  <c r="J83" i="32"/>
  <c r="J82" i="32"/>
  <c r="J81" i="32"/>
  <c r="J80" i="32"/>
  <c r="J79" i="32"/>
  <c r="J78" i="32"/>
  <c r="J77" i="32"/>
  <c r="J76" i="32"/>
  <c r="J75" i="32"/>
  <c r="J74" i="32"/>
  <c r="J73" i="32"/>
  <c r="J72" i="32"/>
  <c r="J71" i="32"/>
  <c r="J70" i="32"/>
  <c r="J69" i="32"/>
  <c r="J68" i="32"/>
  <c r="J67" i="32"/>
  <c r="J66" i="32"/>
  <c r="J65" i="32"/>
  <c r="J64" i="32"/>
  <c r="J63" i="32"/>
  <c r="J62" i="32"/>
  <c r="J61" i="32"/>
  <c r="J60" i="32"/>
  <c r="J59" i="32"/>
  <c r="J58" i="32"/>
  <c r="J57" i="32"/>
  <c r="J56" i="32"/>
  <c r="J55" i="32"/>
  <c r="J54" i="32"/>
  <c r="J53" i="32"/>
  <c r="J52" i="32"/>
  <c r="J51" i="32"/>
  <c r="J50" i="32"/>
  <c r="J49" i="32"/>
  <c r="J48" i="32"/>
  <c r="J47" i="32"/>
  <c r="J46" i="32"/>
  <c r="J45" i="32"/>
  <c r="J44" i="32"/>
  <c r="J43" i="32"/>
  <c r="J42" i="32"/>
  <c r="J41" i="32"/>
  <c r="J40" i="32"/>
  <c r="J39" i="32"/>
  <c r="J38" i="32"/>
  <c r="J37" i="32"/>
  <c r="J36" i="32"/>
  <c r="J35" i="32"/>
  <c r="J34" i="32"/>
  <c r="J33" i="32"/>
  <c r="J32" i="32"/>
  <c r="J31" i="32"/>
  <c r="J30" i="32"/>
  <c r="J29" i="32"/>
  <c r="J28" i="32"/>
  <c r="J27" i="32"/>
  <c r="J26" i="32"/>
  <c r="J25" i="32"/>
  <c r="J24" i="32"/>
  <c r="J23" i="32"/>
  <c r="J22" i="32"/>
  <c r="J21" i="32"/>
  <c r="J20" i="32"/>
  <c r="J19" i="32"/>
  <c r="J18" i="32"/>
  <c r="J17" i="32"/>
  <c r="I270" i="31"/>
  <c r="H270" i="31"/>
  <c r="H269" i="31"/>
  <c r="J268" i="31"/>
  <c r="J267" i="31"/>
  <c r="J266" i="31"/>
  <c r="J265" i="31"/>
  <c r="J264" i="31"/>
  <c r="J263" i="31"/>
  <c r="J262" i="31"/>
  <c r="J261" i="31"/>
  <c r="J260" i="31"/>
  <c r="J259" i="31"/>
  <c r="J258" i="31"/>
  <c r="J257" i="31"/>
  <c r="J256" i="31"/>
  <c r="J255" i="31"/>
  <c r="J254" i="31"/>
  <c r="J253" i="31"/>
  <c r="J252" i="31"/>
  <c r="J251" i="31"/>
  <c r="J250" i="31"/>
  <c r="J249" i="31"/>
  <c r="J248" i="31"/>
  <c r="J247" i="31"/>
  <c r="J246" i="31"/>
  <c r="J245" i="31"/>
  <c r="J244" i="31"/>
  <c r="J243" i="31"/>
  <c r="J242" i="31"/>
  <c r="J241" i="31"/>
  <c r="J240" i="31"/>
  <c r="J239" i="31"/>
  <c r="J238" i="31"/>
  <c r="J237" i="31"/>
  <c r="J236" i="31"/>
  <c r="J235" i="31"/>
  <c r="J234" i="31"/>
  <c r="J233" i="31"/>
  <c r="J232" i="31"/>
  <c r="J231" i="31"/>
  <c r="J230" i="31"/>
  <c r="J229" i="31"/>
  <c r="J228" i="31"/>
  <c r="J227" i="31"/>
  <c r="J226" i="31"/>
  <c r="J225" i="31"/>
  <c r="J224" i="31"/>
  <c r="J223" i="31"/>
  <c r="J222" i="31"/>
  <c r="J221" i="31"/>
  <c r="J220" i="31"/>
  <c r="J219" i="31"/>
  <c r="J218" i="31"/>
  <c r="J217" i="31"/>
  <c r="J216" i="31"/>
  <c r="J215" i="31"/>
  <c r="J214" i="31"/>
  <c r="J213" i="31"/>
  <c r="J212" i="31"/>
  <c r="J211" i="31"/>
  <c r="J210" i="31"/>
  <c r="J209" i="31"/>
  <c r="J208" i="31"/>
  <c r="J207" i="31"/>
  <c r="J206" i="31"/>
  <c r="J205" i="31"/>
  <c r="J204" i="31"/>
  <c r="J203" i="31"/>
  <c r="J202" i="31"/>
  <c r="J201" i="31"/>
  <c r="J200" i="31"/>
  <c r="J199" i="31"/>
  <c r="J198" i="31"/>
  <c r="J197" i="31"/>
  <c r="J196" i="31"/>
  <c r="J195" i="31"/>
  <c r="J194" i="31"/>
  <c r="J193" i="31"/>
  <c r="J192" i="31"/>
  <c r="J191" i="31"/>
  <c r="J190" i="31"/>
  <c r="J189" i="31"/>
  <c r="J188" i="31"/>
  <c r="J187" i="31"/>
  <c r="J186" i="31"/>
  <c r="J185" i="31"/>
  <c r="J184" i="31"/>
  <c r="J183" i="31"/>
  <c r="J182" i="31"/>
  <c r="J181" i="31"/>
  <c r="J180" i="31"/>
  <c r="J179" i="31"/>
  <c r="J178" i="31"/>
  <c r="J177" i="31"/>
  <c r="J176" i="31"/>
  <c r="J175" i="31"/>
  <c r="J174" i="31"/>
  <c r="J173" i="31"/>
  <c r="J172" i="31"/>
  <c r="J171" i="31"/>
  <c r="J170" i="31"/>
  <c r="J169" i="31"/>
  <c r="J168" i="31"/>
  <c r="J167" i="31"/>
  <c r="J166" i="31"/>
  <c r="J165" i="31"/>
  <c r="J164" i="31"/>
  <c r="J163" i="31"/>
  <c r="J162" i="31"/>
  <c r="J161" i="31"/>
  <c r="J160" i="31"/>
  <c r="J159" i="31"/>
  <c r="J158" i="31"/>
  <c r="J157" i="31"/>
  <c r="J156" i="31"/>
  <c r="J155" i="31"/>
  <c r="J154" i="31"/>
  <c r="J153" i="31"/>
  <c r="J152" i="31"/>
  <c r="J151" i="31"/>
  <c r="J150" i="31"/>
  <c r="J149" i="31"/>
  <c r="J148" i="31"/>
  <c r="J147" i="31"/>
  <c r="J146" i="31"/>
  <c r="J145" i="31"/>
  <c r="J144" i="31"/>
  <c r="J143" i="31"/>
  <c r="J142" i="31"/>
  <c r="J141" i="31"/>
  <c r="J140" i="31"/>
  <c r="J139" i="31"/>
  <c r="J138" i="31"/>
  <c r="J137" i="31"/>
  <c r="J136" i="31"/>
  <c r="J135" i="31"/>
  <c r="J134" i="31"/>
  <c r="J133" i="31"/>
  <c r="J132" i="31"/>
  <c r="J131" i="31"/>
  <c r="J130" i="31"/>
  <c r="J129" i="31"/>
  <c r="J128" i="31"/>
  <c r="J127" i="31"/>
  <c r="J126" i="31"/>
  <c r="J125" i="31"/>
  <c r="J124" i="31"/>
  <c r="J123" i="31"/>
  <c r="J122" i="31"/>
  <c r="J121" i="31"/>
  <c r="J120" i="31"/>
  <c r="J119" i="31"/>
  <c r="J118" i="31"/>
  <c r="J117" i="31"/>
  <c r="J116" i="31"/>
  <c r="J115" i="31"/>
  <c r="J114" i="31"/>
  <c r="J113" i="31"/>
  <c r="J112" i="31"/>
  <c r="J111" i="31"/>
  <c r="J110" i="31"/>
  <c r="J109" i="31"/>
  <c r="J108" i="31"/>
  <c r="J107" i="31"/>
  <c r="J106" i="31"/>
  <c r="J105" i="31"/>
  <c r="J104" i="31"/>
  <c r="J103" i="31"/>
  <c r="J102" i="31"/>
  <c r="J101" i="31"/>
  <c r="J100" i="31"/>
  <c r="J99" i="31"/>
  <c r="J98" i="31"/>
  <c r="J97" i="31"/>
  <c r="J96" i="31"/>
  <c r="J95" i="31"/>
  <c r="J94" i="31"/>
  <c r="J93" i="31"/>
  <c r="J92" i="31"/>
  <c r="J91" i="31"/>
  <c r="J90" i="31"/>
  <c r="J89" i="31"/>
  <c r="J88" i="31"/>
  <c r="J87" i="31"/>
  <c r="J86" i="31"/>
  <c r="J85" i="31"/>
  <c r="J84" i="31"/>
  <c r="J83" i="31"/>
  <c r="J82" i="31"/>
  <c r="J81" i="31"/>
  <c r="J80" i="31"/>
  <c r="J79" i="31"/>
  <c r="J78" i="31"/>
  <c r="J77" i="31"/>
  <c r="J76" i="31"/>
  <c r="J75" i="31"/>
  <c r="J74" i="31"/>
  <c r="J73" i="31"/>
  <c r="J72" i="31"/>
  <c r="J71" i="31"/>
  <c r="J70" i="31"/>
  <c r="J69" i="31"/>
  <c r="J68" i="31"/>
  <c r="J67" i="31"/>
  <c r="J66" i="31"/>
  <c r="J65" i="31"/>
  <c r="J64" i="31"/>
  <c r="J63" i="31"/>
  <c r="J62" i="31"/>
  <c r="J61" i="31"/>
  <c r="J60" i="31"/>
  <c r="J59" i="31"/>
  <c r="J58" i="31"/>
  <c r="J57" i="31"/>
  <c r="J56" i="31"/>
  <c r="J55" i="31"/>
  <c r="J54" i="31"/>
  <c r="J53" i="31"/>
  <c r="J52" i="31"/>
  <c r="J51" i="31"/>
  <c r="J50" i="31"/>
  <c r="J49" i="31"/>
  <c r="J48" i="31"/>
  <c r="J47" i="31"/>
  <c r="J46" i="31"/>
  <c r="J45" i="31"/>
  <c r="J44" i="31"/>
  <c r="J43" i="31"/>
  <c r="J42" i="31"/>
  <c r="J41" i="31"/>
  <c r="J40" i="31"/>
  <c r="J39" i="31"/>
  <c r="J38" i="31"/>
  <c r="J37" i="31"/>
  <c r="J36" i="31"/>
  <c r="J35" i="31"/>
  <c r="J34" i="31"/>
  <c r="J33" i="31"/>
  <c r="J32" i="31"/>
  <c r="J31" i="31"/>
  <c r="J30" i="31"/>
  <c r="J29" i="31"/>
  <c r="J28" i="31"/>
  <c r="J27" i="31"/>
  <c r="J26" i="31"/>
  <c r="J25" i="31"/>
  <c r="J24" i="31"/>
  <c r="J23" i="31"/>
  <c r="J22" i="31"/>
  <c r="J21" i="31"/>
  <c r="J20" i="31"/>
  <c r="J19" i="31"/>
  <c r="J18" i="31"/>
  <c r="J17" i="31"/>
  <c r="J16" i="31"/>
  <c r="J15" i="31"/>
  <c r="J14" i="31"/>
  <c r="J13" i="31"/>
  <c r="J270" i="31" l="1"/>
  <c r="J270" i="32"/>
  <c r="I270" i="30"/>
  <c r="H270" i="30"/>
  <c r="H269" i="30"/>
  <c r="J268" i="30"/>
  <c r="J267" i="30"/>
  <c r="J266" i="30"/>
  <c r="J265" i="30"/>
  <c r="J264" i="30"/>
  <c r="J263" i="30"/>
  <c r="J262" i="30"/>
  <c r="J261" i="30"/>
  <c r="J260" i="30"/>
  <c r="J259" i="30"/>
  <c r="J258" i="30"/>
  <c r="J257" i="30"/>
  <c r="J256" i="30"/>
  <c r="J255" i="30"/>
  <c r="J254" i="30"/>
  <c r="J253" i="30"/>
  <c r="J252" i="30"/>
  <c r="J251" i="30"/>
  <c r="J250" i="30"/>
  <c r="J249" i="30"/>
  <c r="J248" i="30"/>
  <c r="J247" i="30"/>
  <c r="J246" i="30"/>
  <c r="J245" i="30"/>
  <c r="J244" i="30"/>
  <c r="J243" i="30"/>
  <c r="J242" i="30"/>
  <c r="J241" i="30"/>
  <c r="J240" i="30"/>
  <c r="J239" i="30"/>
  <c r="J238" i="30"/>
  <c r="J237" i="30"/>
  <c r="J236" i="30"/>
  <c r="J235" i="30"/>
  <c r="J234" i="30"/>
  <c r="J233" i="30"/>
  <c r="J232" i="30"/>
  <c r="J231" i="30"/>
  <c r="J230" i="30"/>
  <c r="J229" i="30"/>
  <c r="J228" i="30"/>
  <c r="J227" i="30"/>
  <c r="J226" i="30"/>
  <c r="J225" i="30"/>
  <c r="J224" i="30"/>
  <c r="J223" i="30"/>
  <c r="J222" i="30"/>
  <c r="J221" i="30"/>
  <c r="J220" i="30"/>
  <c r="J219" i="30"/>
  <c r="J218" i="30"/>
  <c r="J217" i="30"/>
  <c r="J216" i="30"/>
  <c r="J215" i="30"/>
  <c r="J214" i="30"/>
  <c r="J213" i="30"/>
  <c r="J212" i="30"/>
  <c r="J211" i="30"/>
  <c r="J210" i="30"/>
  <c r="J209" i="30"/>
  <c r="J208" i="30"/>
  <c r="J207" i="30"/>
  <c r="J206" i="30"/>
  <c r="J205" i="30"/>
  <c r="J204" i="30"/>
  <c r="J203" i="30"/>
  <c r="J202" i="30"/>
  <c r="J201" i="30"/>
  <c r="J200" i="30"/>
  <c r="J199" i="30"/>
  <c r="J198" i="30"/>
  <c r="J197" i="30"/>
  <c r="J196" i="30"/>
  <c r="J195" i="30"/>
  <c r="J194" i="30"/>
  <c r="J193" i="30"/>
  <c r="J192" i="30"/>
  <c r="J191" i="30"/>
  <c r="J190" i="30"/>
  <c r="J189" i="30"/>
  <c r="J188" i="30"/>
  <c r="J187" i="30"/>
  <c r="J186" i="30"/>
  <c r="J185" i="30"/>
  <c r="J184" i="30"/>
  <c r="J183" i="30"/>
  <c r="J182" i="30"/>
  <c r="J181" i="30"/>
  <c r="J180" i="30"/>
  <c r="J179" i="30"/>
  <c r="J178" i="30"/>
  <c r="J177" i="30"/>
  <c r="J176" i="30"/>
  <c r="J175" i="30"/>
  <c r="J174" i="30"/>
  <c r="J173" i="30"/>
  <c r="J172" i="30"/>
  <c r="J171" i="30"/>
  <c r="J170" i="30"/>
  <c r="J169" i="30"/>
  <c r="J168" i="30"/>
  <c r="J167" i="30"/>
  <c r="J166" i="30"/>
  <c r="J165" i="30"/>
  <c r="J164" i="30"/>
  <c r="J163" i="30"/>
  <c r="J162" i="30"/>
  <c r="J161" i="30"/>
  <c r="J160" i="30"/>
  <c r="J159" i="30"/>
  <c r="J158" i="30"/>
  <c r="J157" i="30"/>
  <c r="J156" i="30"/>
  <c r="J155" i="30"/>
  <c r="J154" i="30"/>
  <c r="J153" i="30"/>
  <c r="J152" i="30"/>
  <c r="J151" i="30"/>
  <c r="J150" i="30"/>
  <c r="J149" i="30"/>
  <c r="J148" i="30"/>
  <c r="J147" i="30"/>
  <c r="J146" i="30"/>
  <c r="J145" i="30"/>
  <c r="J144" i="30"/>
  <c r="J143" i="30"/>
  <c r="J142" i="30"/>
  <c r="J141" i="30"/>
  <c r="J140" i="30"/>
  <c r="J139" i="30"/>
  <c r="J138" i="30"/>
  <c r="J137" i="30"/>
  <c r="J136" i="30"/>
  <c r="J135" i="30"/>
  <c r="J134" i="30"/>
  <c r="J133" i="30"/>
  <c r="J132" i="30"/>
  <c r="J131" i="30"/>
  <c r="J130" i="30"/>
  <c r="J129" i="30"/>
  <c r="J128" i="30"/>
  <c r="J127" i="30"/>
  <c r="J126" i="30"/>
  <c r="J125" i="30"/>
  <c r="J124" i="30"/>
  <c r="J123" i="30"/>
  <c r="J122" i="30"/>
  <c r="J121" i="30"/>
  <c r="J120" i="30"/>
  <c r="J119" i="30"/>
  <c r="J118" i="30"/>
  <c r="J117" i="30"/>
  <c r="J116" i="30"/>
  <c r="J115" i="30"/>
  <c r="J114" i="30"/>
  <c r="J113" i="30"/>
  <c r="J112" i="30"/>
  <c r="J111" i="30"/>
  <c r="J110" i="30"/>
  <c r="J109" i="30"/>
  <c r="J108" i="30"/>
  <c r="J107" i="30"/>
  <c r="J106" i="30"/>
  <c r="J105" i="30"/>
  <c r="J104" i="30"/>
  <c r="J103" i="30"/>
  <c r="J102" i="30"/>
  <c r="J101" i="30"/>
  <c r="J100" i="30"/>
  <c r="J99" i="30"/>
  <c r="J98" i="30"/>
  <c r="J97" i="30"/>
  <c r="J96" i="30"/>
  <c r="J95" i="30"/>
  <c r="J94" i="30"/>
  <c r="J93" i="30"/>
  <c r="J92" i="30"/>
  <c r="J91" i="30"/>
  <c r="J90" i="30"/>
  <c r="J89" i="30"/>
  <c r="J88" i="30"/>
  <c r="J87" i="30"/>
  <c r="J86" i="30"/>
  <c r="J85" i="30"/>
  <c r="J84" i="30"/>
  <c r="J83" i="30"/>
  <c r="J82" i="30"/>
  <c r="J81" i="30"/>
  <c r="J80" i="30"/>
  <c r="J79" i="30"/>
  <c r="J78" i="30"/>
  <c r="J77" i="30"/>
  <c r="J76" i="30"/>
  <c r="J75" i="30"/>
  <c r="J74" i="30"/>
  <c r="J73" i="30"/>
  <c r="J72" i="30"/>
  <c r="J71" i="30"/>
  <c r="J70" i="30"/>
  <c r="J69" i="30"/>
  <c r="J68" i="30"/>
  <c r="J67" i="30"/>
  <c r="J66" i="30"/>
  <c r="J65" i="30"/>
  <c r="J64" i="30"/>
  <c r="J63" i="30"/>
  <c r="J62" i="30"/>
  <c r="J61" i="30"/>
  <c r="J60" i="30"/>
  <c r="J59" i="30"/>
  <c r="J58" i="30"/>
  <c r="J57" i="30"/>
  <c r="J56" i="30"/>
  <c r="J55" i="30"/>
  <c r="J54" i="30"/>
  <c r="J53" i="30"/>
  <c r="J52" i="30"/>
  <c r="J51" i="30"/>
  <c r="J50" i="30"/>
  <c r="J49" i="30"/>
  <c r="J48" i="30"/>
  <c r="J47" i="30"/>
  <c r="J46" i="30"/>
  <c r="J45" i="30"/>
  <c r="J44" i="30"/>
  <c r="J43" i="30"/>
  <c r="J42" i="30"/>
  <c r="J41" i="30"/>
  <c r="J40" i="30"/>
  <c r="J39" i="30"/>
  <c r="J38" i="30"/>
  <c r="J37" i="30"/>
  <c r="J36" i="30"/>
  <c r="J35" i="30"/>
  <c r="J34" i="30"/>
  <c r="J33" i="30"/>
  <c r="J32" i="30"/>
  <c r="J31" i="30"/>
  <c r="J30" i="30"/>
  <c r="J29" i="30"/>
  <c r="J28" i="30"/>
  <c r="J27" i="30"/>
  <c r="J26" i="30"/>
  <c r="J25" i="30"/>
  <c r="J24" i="30"/>
  <c r="J23" i="30"/>
  <c r="J22" i="30"/>
  <c r="J21" i="30"/>
  <c r="J20" i="30"/>
  <c r="J19" i="30"/>
  <c r="J18" i="30"/>
  <c r="J17" i="30"/>
  <c r="J16" i="30"/>
  <c r="J15" i="30"/>
  <c r="J14" i="30"/>
  <c r="J13" i="30"/>
  <c r="J270" i="30" l="1"/>
  <c r="I270" i="29"/>
  <c r="H270" i="29"/>
  <c r="H269" i="29"/>
  <c r="J268" i="29"/>
  <c r="J267" i="29"/>
  <c r="J266" i="29"/>
  <c r="J265" i="29"/>
  <c r="J264" i="29"/>
  <c r="J263" i="29"/>
  <c r="J262" i="29"/>
  <c r="J261" i="29"/>
  <c r="J260" i="29"/>
  <c r="J259" i="29"/>
  <c r="J258" i="29"/>
  <c r="J257" i="29"/>
  <c r="J256" i="29"/>
  <c r="J255" i="29"/>
  <c r="J254" i="29"/>
  <c r="J253" i="29"/>
  <c r="J252" i="29"/>
  <c r="J251" i="29"/>
  <c r="J250" i="29"/>
  <c r="J249" i="29"/>
  <c r="J248" i="29"/>
  <c r="J247" i="29"/>
  <c r="J246" i="29"/>
  <c r="J245" i="29"/>
  <c r="J244" i="29"/>
  <c r="J243" i="29"/>
  <c r="J242" i="29"/>
  <c r="J241" i="29"/>
  <c r="J240" i="29"/>
  <c r="J239" i="29"/>
  <c r="J238" i="29"/>
  <c r="J237" i="29"/>
  <c r="J236" i="29"/>
  <c r="J235" i="29"/>
  <c r="J234" i="29"/>
  <c r="J233" i="29"/>
  <c r="J232" i="29"/>
  <c r="J231" i="29"/>
  <c r="J230" i="29"/>
  <c r="J229" i="29"/>
  <c r="J228" i="29"/>
  <c r="J227" i="29"/>
  <c r="J226" i="29"/>
  <c r="J225" i="29"/>
  <c r="J224" i="29"/>
  <c r="J223" i="29"/>
  <c r="J222" i="29"/>
  <c r="J221" i="29"/>
  <c r="J220" i="29"/>
  <c r="J219" i="29"/>
  <c r="J218" i="29"/>
  <c r="J217" i="29"/>
  <c r="J216" i="29"/>
  <c r="J215" i="29"/>
  <c r="J214" i="29"/>
  <c r="J213" i="29"/>
  <c r="J212" i="29"/>
  <c r="J211" i="29"/>
  <c r="J210" i="29"/>
  <c r="J209" i="29"/>
  <c r="J208" i="29"/>
  <c r="J207" i="29"/>
  <c r="J206" i="29"/>
  <c r="J205" i="29"/>
  <c r="J204" i="29"/>
  <c r="J203" i="29"/>
  <c r="J202" i="29"/>
  <c r="J201" i="29"/>
  <c r="J200" i="29"/>
  <c r="J199" i="29"/>
  <c r="J198" i="29"/>
  <c r="J197" i="29"/>
  <c r="J196" i="29"/>
  <c r="J195" i="29"/>
  <c r="J194" i="29"/>
  <c r="J193" i="29"/>
  <c r="J192" i="29"/>
  <c r="J191" i="29"/>
  <c r="J190" i="29"/>
  <c r="J189" i="29"/>
  <c r="J188" i="29"/>
  <c r="J187" i="29"/>
  <c r="J186" i="29"/>
  <c r="J185" i="29"/>
  <c r="J184" i="29"/>
  <c r="J183" i="29"/>
  <c r="J182" i="29"/>
  <c r="J181" i="29"/>
  <c r="J180" i="29"/>
  <c r="J179" i="29"/>
  <c r="J178" i="29"/>
  <c r="J177" i="29"/>
  <c r="J176" i="29"/>
  <c r="J175" i="29"/>
  <c r="J174" i="29"/>
  <c r="J173" i="29"/>
  <c r="J172" i="29"/>
  <c r="J171" i="29"/>
  <c r="J170" i="29"/>
  <c r="J169" i="29"/>
  <c r="J168" i="29"/>
  <c r="J167" i="29"/>
  <c r="J166" i="29"/>
  <c r="J165" i="29"/>
  <c r="J164" i="29"/>
  <c r="J163" i="29"/>
  <c r="J162" i="29"/>
  <c r="J161" i="29"/>
  <c r="J160" i="29"/>
  <c r="J159" i="29"/>
  <c r="J158" i="29"/>
  <c r="J157" i="29"/>
  <c r="J156" i="29"/>
  <c r="J155" i="29"/>
  <c r="J154" i="29"/>
  <c r="J153" i="29"/>
  <c r="J152" i="29"/>
  <c r="J151" i="29"/>
  <c r="J150" i="29"/>
  <c r="J149" i="29"/>
  <c r="J148" i="29"/>
  <c r="J147" i="29"/>
  <c r="J146" i="29"/>
  <c r="J145" i="29"/>
  <c r="J144" i="29"/>
  <c r="J143" i="29"/>
  <c r="J142" i="29"/>
  <c r="J141" i="29"/>
  <c r="J140" i="29"/>
  <c r="J139" i="29"/>
  <c r="J138" i="29"/>
  <c r="J137" i="29"/>
  <c r="J136" i="29"/>
  <c r="J135" i="29"/>
  <c r="J134" i="29"/>
  <c r="J133" i="29"/>
  <c r="J132" i="29"/>
  <c r="J131" i="29"/>
  <c r="J130" i="29"/>
  <c r="J129" i="29"/>
  <c r="J128" i="29"/>
  <c r="J127" i="29"/>
  <c r="J126" i="29"/>
  <c r="J125" i="29"/>
  <c r="J124" i="29"/>
  <c r="J123" i="29"/>
  <c r="J122" i="29"/>
  <c r="J121" i="29"/>
  <c r="J120" i="29"/>
  <c r="J119" i="29"/>
  <c r="J118" i="29"/>
  <c r="J117" i="29"/>
  <c r="J116" i="29"/>
  <c r="J115" i="29"/>
  <c r="J114" i="29"/>
  <c r="J113" i="29"/>
  <c r="J112" i="29"/>
  <c r="J111" i="29"/>
  <c r="J110" i="29"/>
  <c r="J109" i="29"/>
  <c r="J108" i="29"/>
  <c r="J107" i="29"/>
  <c r="J106" i="29"/>
  <c r="J105" i="29"/>
  <c r="J104" i="29"/>
  <c r="J103" i="29"/>
  <c r="J102" i="29"/>
  <c r="J101" i="29"/>
  <c r="J100" i="29"/>
  <c r="J99" i="29"/>
  <c r="J98" i="29"/>
  <c r="J97" i="29"/>
  <c r="J96" i="29"/>
  <c r="J95" i="29"/>
  <c r="J94" i="29"/>
  <c r="J93" i="29"/>
  <c r="J92" i="29"/>
  <c r="J91" i="29"/>
  <c r="J90" i="29"/>
  <c r="J89" i="29"/>
  <c r="J88" i="29"/>
  <c r="J87" i="29"/>
  <c r="J86" i="29"/>
  <c r="J85" i="29"/>
  <c r="J84" i="29"/>
  <c r="J83" i="29"/>
  <c r="J82" i="29"/>
  <c r="J81" i="29"/>
  <c r="J80" i="29"/>
  <c r="J79" i="29"/>
  <c r="J78" i="29"/>
  <c r="J77" i="29"/>
  <c r="J76" i="29"/>
  <c r="J75" i="29"/>
  <c r="J74" i="29"/>
  <c r="J73" i="29"/>
  <c r="J72" i="29"/>
  <c r="J71" i="29"/>
  <c r="J70" i="29"/>
  <c r="J69" i="29"/>
  <c r="J68" i="29"/>
  <c r="J67" i="29"/>
  <c r="J66" i="29"/>
  <c r="J65" i="29"/>
  <c r="J64" i="29"/>
  <c r="J63" i="29"/>
  <c r="J62" i="29"/>
  <c r="J61" i="29"/>
  <c r="J60" i="29"/>
  <c r="J59" i="29"/>
  <c r="J58" i="29"/>
  <c r="J57" i="29"/>
  <c r="J56" i="29"/>
  <c r="J55" i="29"/>
  <c r="J54" i="29"/>
  <c r="J53" i="29"/>
  <c r="J52" i="29"/>
  <c r="J51" i="29"/>
  <c r="J50" i="29"/>
  <c r="J49" i="29"/>
  <c r="J48" i="29"/>
  <c r="J47" i="29"/>
  <c r="J46" i="29"/>
  <c r="J45" i="29"/>
  <c r="J44" i="29"/>
  <c r="J43" i="29"/>
  <c r="J42" i="29"/>
  <c r="J41" i="29"/>
  <c r="J40" i="29"/>
  <c r="J39" i="29"/>
  <c r="J38" i="29"/>
  <c r="J37" i="29"/>
  <c r="J36" i="29"/>
  <c r="J35" i="29"/>
  <c r="J34" i="29"/>
  <c r="J33" i="29"/>
  <c r="J32" i="29"/>
  <c r="J31" i="29"/>
  <c r="J30" i="29"/>
  <c r="J29" i="29"/>
  <c r="J28" i="29"/>
  <c r="J27" i="29"/>
  <c r="J26" i="29"/>
  <c r="J25" i="29"/>
  <c r="J24" i="29"/>
  <c r="J23" i="29"/>
  <c r="J22" i="29"/>
  <c r="J21" i="29"/>
  <c r="J20" i="29"/>
  <c r="J19" i="29"/>
  <c r="J18" i="29"/>
  <c r="J17" i="29"/>
  <c r="J16" i="29"/>
  <c r="J15" i="29"/>
  <c r="J14" i="29"/>
  <c r="J13" i="29"/>
  <c r="J270" i="29" l="1"/>
  <c r="I270" i="28"/>
  <c r="H270" i="28"/>
  <c r="H269" i="28"/>
  <c r="J268" i="28"/>
  <c r="J267" i="28"/>
  <c r="J266" i="28"/>
  <c r="J265" i="28"/>
  <c r="J264" i="28"/>
  <c r="J263" i="28"/>
  <c r="J262" i="28"/>
  <c r="J261" i="28"/>
  <c r="J260" i="28"/>
  <c r="J259" i="28"/>
  <c r="J258" i="28"/>
  <c r="J257" i="28"/>
  <c r="J256" i="28"/>
  <c r="J255" i="28"/>
  <c r="J254" i="28"/>
  <c r="J253" i="28"/>
  <c r="J252" i="28"/>
  <c r="J251" i="28"/>
  <c r="J250" i="28"/>
  <c r="J249" i="28"/>
  <c r="J248" i="28"/>
  <c r="J247" i="28"/>
  <c r="J246" i="28"/>
  <c r="J245" i="28"/>
  <c r="J244" i="28"/>
  <c r="J243" i="28"/>
  <c r="J242" i="28"/>
  <c r="J241" i="28"/>
  <c r="J240" i="28"/>
  <c r="J239" i="28"/>
  <c r="J238" i="28"/>
  <c r="J237" i="28"/>
  <c r="J236" i="28"/>
  <c r="J235" i="28"/>
  <c r="J234" i="28"/>
  <c r="J233" i="28"/>
  <c r="J232" i="28"/>
  <c r="J231" i="28"/>
  <c r="J230" i="28"/>
  <c r="J229" i="28"/>
  <c r="J228" i="28"/>
  <c r="J227" i="28"/>
  <c r="J226" i="28"/>
  <c r="J225" i="28"/>
  <c r="J224" i="28"/>
  <c r="J223" i="28"/>
  <c r="J222" i="28"/>
  <c r="J221" i="28"/>
  <c r="J220" i="28"/>
  <c r="J219" i="28"/>
  <c r="J218" i="28"/>
  <c r="J217" i="28"/>
  <c r="J216" i="28"/>
  <c r="J215" i="28"/>
  <c r="J214" i="28"/>
  <c r="J213" i="28"/>
  <c r="J212" i="28"/>
  <c r="J211" i="28"/>
  <c r="J210" i="28"/>
  <c r="J209" i="28"/>
  <c r="J208" i="28"/>
  <c r="J207" i="28"/>
  <c r="J206" i="28"/>
  <c r="J205" i="28"/>
  <c r="J204" i="28"/>
  <c r="J203" i="28"/>
  <c r="J202" i="28"/>
  <c r="J201" i="28"/>
  <c r="J200" i="28"/>
  <c r="J199" i="28"/>
  <c r="J198" i="28"/>
  <c r="J197" i="28"/>
  <c r="J196" i="28"/>
  <c r="J195" i="28"/>
  <c r="J194" i="28"/>
  <c r="J193" i="28"/>
  <c r="J192" i="28"/>
  <c r="J191" i="28"/>
  <c r="J190" i="28"/>
  <c r="J189" i="28"/>
  <c r="J188" i="28"/>
  <c r="J187" i="28"/>
  <c r="J186" i="28"/>
  <c r="J185" i="28"/>
  <c r="J184" i="28"/>
  <c r="J183" i="28"/>
  <c r="J182" i="28"/>
  <c r="J181" i="28"/>
  <c r="J180" i="28"/>
  <c r="J179" i="28"/>
  <c r="J178" i="28"/>
  <c r="J177" i="28"/>
  <c r="J176" i="28"/>
  <c r="J175" i="28"/>
  <c r="J174" i="28"/>
  <c r="J173" i="28"/>
  <c r="J172" i="28"/>
  <c r="J171" i="28"/>
  <c r="J170" i="28"/>
  <c r="J169" i="28"/>
  <c r="J168" i="28"/>
  <c r="J167" i="28"/>
  <c r="J166" i="28"/>
  <c r="J165" i="28"/>
  <c r="J164" i="28"/>
  <c r="J163" i="28"/>
  <c r="J162" i="28"/>
  <c r="J161" i="28"/>
  <c r="J160" i="28"/>
  <c r="J159" i="28"/>
  <c r="J158" i="28"/>
  <c r="J157" i="28"/>
  <c r="J156" i="28"/>
  <c r="J155" i="28"/>
  <c r="J154" i="28"/>
  <c r="J153" i="28"/>
  <c r="J152" i="28"/>
  <c r="J151" i="28"/>
  <c r="J150" i="28"/>
  <c r="J149" i="28"/>
  <c r="J148" i="28"/>
  <c r="J147" i="28"/>
  <c r="J146" i="28"/>
  <c r="J145" i="28"/>
  <c r="J144" i="28"/>
  <c r="J143" i="28"/>
  <c r="J142" i="28"/>
  <c r="J141" i="28"/>
  <c r="J140" i="28"/>
  <c r="J139" i="28"/>
  <c r="J138" i="28"/>
  <c r="J137" i="28"/>
  <c r="J136" i="28"/>
  <c r="J135" i="28"/>
  <c r="J134" i="28"/>
  <c r="J133" i="28"/>
  <c r="J132" i="28"/>
  <c r="J131" i="28"/>
  <c r="J130" i="28"/>
  <c r="J129" i="28"/>
  <c r="J128" i="28"/>
  <c r="J127" i="28"/>
  <c r="J126" i="28"/>
  <c r="J125" i="28"/>
  <c r="J124" i="28"/>
  <c r="J123" i="28"/>
  <c r="J122" i="28"/>
  <c r="J121" i="28"/>
  <c r="J120" i="28"/>
  <c r="J119" i="28"/>
  <c r="J118" i="28"/>
  <c r="J117" i="28"/>
  <c r="J116" i="28"/>
  <c r="J115" i="28"/>
  <c r="J114" i="28"/>
  <c r="J113" i="28"/>
  <c r="J112" i="28"/>
  <c r="J111" i="28"/>
  <c r="J110" i="28"/>
  <c r="J109" i="28"/>
  <c r="J108" i="28"/>
  <c r="J107" i="28"/>
  <c r="J106" i="28"/>
  <c r="J105" i="28"/>
  <c r="J104" i="28"/>
  <c r="J103" i="28"/>
  <c r="J102" i="28"/>
  <c r="J101" i="28"/>
  <c r="J100" i="28"/>
  <c r="J99" i="28"/>
  <c r="J98" i="28"/>
  <c r="J97" i="28"/>
  <c r="J96" i="28"/>
  <c r="J95" i="28"/>
  <c r="J94" i="28"/>
  <c r="J93" i="28"/>
  <c r="J92" i="28"/>
  <c r="J91" i="28"/>
  <c r="J90" i="28"/>
  <c r="J89" i="28"/>
  <c r="J88" i="28"/>
  <c r="J87" i="28"/>
  <c r="J86" i="28"/>
  <c r="J85" i="28"/>
  <c r="J84" i="28"/>
  <c r="J83" i="28"/>
  <c r="J82" i="28"/>
  <c r="J81" i="28"/>
  <c r="J80" i="28"/>
  <c r="J79" i="28"/>
  <c r="J78" i="28"/>
  <c r="J77" i="28"/>
  <c r="J76" i="28"/>
  <c r="J75" i="28"/>
  <c r="J74" i="28"/>
  <c r="J73" i="28"/>
  <c r="J72" i="28"/>
  <c r="J71" i="28"/>
  <c r="J70" i="28"/>
  <c r="J69" i="28"/>
  <c r="J68" i="28"/>
  <c r="J67" i="28"/>
  <c r="J66" i="28"/>
  <c r="J65" i="28"/>
  <c r="J64" i="28"/>
  <c r="J63" i="28"/>
  <c r="J62" i="28"/>
  <c r="J61" i="28"/>
  <c r="J60" i="28"/>
  <c r="J59" i="28"/>
  <c r="J58" i="28"/>
  <c r="J57" i="28"/>
  <c r="J56" i="28"/>
  <c r="J55" i="28"/>
  <c r="J54" i="28"/>
  <c r="J53" i="28"/>
  <c r="J52" i="28"/>
  <c r="J51" i="28"/>
  <c r="J50" i="28"/>
  <c r="J49" i="28"/>
  <c r="J48" i="28"/>
  <c r="J47" i="28"/>
  <c r="J46" i="28"/>
  <c r="J45" i="28"/>
  <c r="J44" i="28"/>
  <c r="J43" i="28"/>
  <c r="J42" i="28"/>
  <c r="J41" i="28"/>
  <c r="J40" i="28"/>
  <c r="J39" i="28"/>
  <c r="J38" i="28"/>
  <c r="J37" i="28"/>
  <c r="J36" i="28"/>
  <c r="J35" i="28"/>
  <c r="J34" i="28"/>
  <c r="J33" i="28"/>
  <c r="J32" i="28"/>
  <c r="J31" i="28"/>
  <c r="J30" i="28"/>
  <c r="J29" i="28"/>
  <c r="J28" i="28"/>
  <c r="J27" i="28"/>
  <c r="J26" i="28"/>
  <c r="J25" i="28"/>
  <c r="J24" i="28"/>
  <c r="J23" i="28"/>
  <c r="J22" i="28"/>
  <c r="J21" i="28"/>
  <c r="J20" i="28"/>
  <c r="J19" i="28"/>
  <c r="J18" i="28"/>
  <c r="J17" i="28"/>
  <c r="J16" i="28"/>
  <c r="J15" i="28"/>
  <c r="J14" i="28"/>
  <c r="J13" i="28"/>
  <c r="J270" i="28" l="1"/>
  <c r="I270" i="27"/>
  <c r="H270" i="27"/>
  <c r="H269" i="27"/>
  <c r="J268" i="27"/>
  <c r="J267" i="27"/>
  <c r="J266" i="27"/>
  <c r="J265" i="27"/>
  <c r="J264" i="27"/>
  <c r="J263" i="27"/>
  <c r="J262" i="27"/>
  <c r="J261" i="27"/>
  <c r="J260" i="27"/>
  <c r="J259" i="27"/>
  <c r="J258" i="27"/>
  <c r="J257" i="27"/>
  <c r="J256" i="27"/>
  <c r="J255" i="27"/>
  <c r="J254" i="27"/>
  <c r="J253" i="27"/>
  <c r="J252" i="27"/>
  <c r="J251" i="27"/>
  <c r="J250" i="27"/>
  <c r="J249" i="27"/>
  <c r="J248" i="27"/>
  <c r="J247" i="27"/>
  <c r="J246" i="27"/>
  <c r="J245" i="27"/>
  <c r="J244" i="27"/>
  <c r="J243" i="27"/>
  <c r="J242" i="27"/>
  <c r="J241" i="27"/>
  <c r="J240" i="27"/>
  <c r="J239" i="27"/>
  <c r="J238" i="27"/>
  <c r="J237" i="27"/>
  <c r="J236" i="27"/>
  <c r="J235" i="27"/>
  <c r="J234" i="27"/>
  <c r="J233" i="27"/>
  <c r="J232" i="27"/>
  <c r="J231" i="27"/>
  <c r="J230" i="27"/>
  <c r="J229" i="27"/>
  <c r="J228" i="27"/>
  <c r="J227" i="27"/>
  <c r="J226" i="27"/>
  <c r="J225" i="27"/>
  <c r="J224" i="27"/>
  <c r="J223" i="27"/>
  <c r="J222" i="27"/>
  <c r="J221" i="27"/>
  <c r="J220" i="27"/>
  <c r="J219" i="27"/>
  <c r="J218" i="27"/>
  <c r="J217" i="27"/>
  <c r="J216" i="27"/>
  <c r="J215" i="27"/>
  <c r="J214" i="27"/>
  <c r="J213" i="27"/>
  <c r="J212" i="27"/>
  <c r="J211" i="27"/>
  <c r="J210" i="27"/>
  <c r="J209" i="27"/>
  <c r="J208" i="27"/>
  <c r="J207" i="27"/>
  <c r="J206" i="27"/>
  <c r="J205" i="27"/>
  <c r="J204" i="27"/>
  <c r="J203" i="27"/>
  <c r="J202" i="27"/>
  <c r="J201" i="27"/>
  <c r="J200" i="27"/>
  <c r="J199" i="27"/>
  <c r="J198" i="27"/>
  <c r="J197" i="27"/>
  <c r="J196" i="27"/>
  <c r="J195" i="27"/>
  <c r="J194" i="27"/>
  <c r="J193" i="27"/>
  <c r="J192" i="27"/>
  <c r="J191" i="27"/>
  <c r="J190" i="27"/>
  <c r="J189" i="27"/>
  <c r="J188" i="27"/>
  <c r="J187" i="27"/>
  <c r="J186" i="27"/>
  <c r="J185" i="27"/>
  <c r="J184" i="27"/>
  <c r="J183" i="27"/>
  <c r="J182" i="27"/>
  <c r="J181" i="27"/>
  <c r="J180" i="27"/>
  <c r="J179" i="27"/>
  <c r="J178" i="27"/>
  <c r="J177" i="27"/>
  <c r="J176" i="27"/>
  <c r="J175" i="27"/>
  <c r="J174" i="27"/>
  <c r="J173" i="27"/>
  <c r="J172" i="27"/>
  <c r="J171" i="27"/>
  <c r="J170" i="27"/>
  <c r="J169" i="27"/>
  <c r="J168" i="27"/>
  <c r="J167" i="27"/>
  <c r="J166" i="27"/>
  <c r="J165" i="27"/>
  <c r="J164" i="27"/>
  <c r="J163" i="27"/>
  <c r="J162" i="27"/>
  <c r="J161" i="27"/>
  <c r="J160" i="27"/>
  <c r="J159" i="27"/>
  <c r="J158" i="27"/>
  <c r="J157" i="27"/>
  <c r="J156" i="27"/>
  <c r="J155" i="27"/>
  <c r="J154" i="27"/>
  <c r="J153" i="27"/>
  <c r="J152" i="27"/>
  <c r="J151" i="27"/>
  <c r="J150" i="27"/>
  <c r="J149" i="27"/>
  <c r="J148" i="27"/>
  <c r="J147" i="27"/>
  <c r="J146" i="27"/>
  <c r="J145" i="27"/>
  <c r="J144" i="27"/>
  <c r="J143" i="27"/>
  <c r="J142" i="27"/>
  <c r="J141" i="27"/>
  <c r="J140" i="27"/>
  <c r="J139" i="27"/>
  <c r="J138" i="27"/>
  <c r="J137" i="27"/>
  <c r="J136" i="27"/>
  <c r="J135" i="27"/>
  <c r="J134" i="27"/>
  <c r="J133" i="27"/>
  <c r="J132" i="27"/>
  <c r="J131" i="27"/>
  <c r="J130" i="27"/>
  <c r="J129" i="27"/>
  <c r="J128" i="27"/>
  <c r="J127" i="27"/>
  <c r="J126" i="27"/>
  <c r="J125" i="27"/>
  <c r="J124" i="27"/>
  <c r="J123" i="27"/>
  <c r="J122" i="27"/>
  <c r="J121" i="27"/>
  <c r="J120" i="27"/>
  <c r="J119" i="27"/>
  <c r="J118" i="27"/>
  <c r="J117" i="27"/>
  <c r="J116" i="27"/>
  <c r="J115" i="27"/>
  <c r="J114" i="27"/>
  <c r="J113" i="27"/>
  <c r="J112" i="27"/>
  <c r="J111" i="27"/>
  <c r="J110" i="27"/>
  <c r="J109" i="27"/>
  <c r="J108" i="27"/>
  <c r="J107" i="27"/>
  <c r="J106" i="27"/>
  <c r="J105" i="27"/>
  <c r="J104" i="27"/>
  <c r="J103" i="27"/>
  <c r="J102" i="27"/>
  <c r="J101" i="27"/>
  <c r="J100" i="27"/>
  <c r="J99" i="27"/>
  <c r="J98" i="27"/>
  <c r="J97" i="27"/>
  <c r="J96" i="27"/>
  <c r="J95" i="27"/>
  <c r="J94" i="27"/>
  <c r="J93" i="27"/>
  <c r="J92" i="27"/>
  <c r="J91" i="27"/>
  <c r="J90" i="27"/>
  <c r="J89" i="27"/>
  <c r="J88" i="27"/>
  <c r="J87" i="27"/>
  <c r="J86" i="27"/>
  <c r="J85" i="27"/>
  <c r="J84" i="27"/>
  <c r="J83" i="27"/>
  <c r="J82" i="27"/>
  <c r="J81" i="27"/>
  <c r="J80" i="27"/>
  <c r="J79" i="27"/>
  <c r="J78" i="27"/>
  <c r="J77" i="27"/>
  <c r="J76" i="27"/>
  <c r="J75" i="27"/>
  <c r="J74" i="27"/>
  <c r="J73" i="27"/>
  <c r="J72" i="27"/>
  <c r="J71" i="27"/>
  <c r="J70" i="27"/>
  <c r="J69" i="27"/>
  <c r="J68" i="27"/>
  <c r="J67" i="27"/>
  <c r="J66" i="27"/>
  <c r="J65" i="27"/>
  <c r="J64" i="27"/>
  <c r="J63" i="27"/>
  <c r="J62" i="27"/>
  <c r="J61" i="27"/>
  <c r="J60" i="27"/>
  <c r="J59" i="27"/>
  <c r="J58" i="27"/>
  <c r="J57" i="27"/>
  <c r="J56" i="27"/>
  <c r="J55" i="27"/>
  <c r="J54" i="27"/>
  <c r="J53" i="27"/>
  <c r="J52" i="27"/>
  <c r="J51" i="27"/>
  <c r="J50" i="27"/>
  <c r="J49" i="27"/>
  <c r="J48" i="27"/>
  <c r="J47" i="27"/>
  <c r="J46" i="27"/>
  <c r="J45" i="27"/>
  <c r="J44" i="27"/>
  <c r="J43" i="27"/>
  <c r="J42" i="27"/>
  <c r="J41" i="27"/>
  <c r="J40" i="27"/>
  <c r="J39" i="27"/>
  <c r="J38" i="27"/>
  <c r="J37" i="27"/>
  <c r="J36" i="27"/>
  <c r="J35" i="27"/>
  <c r="J34" i="27"/>
  <c r="J33" i="27"/>
  <c r="J32" i="27"/>
  <c r="J31" i="27"/>
  <c r="J30" i="27"/>
  <c r="J29" i="27"/>
  <c r="J28" i="27"/>
  <c r="J27" i="27"/>
  <c r="J26" i="27"/>
  <c r="J25" i="27"/>
  <c r="J24" i="27"/>
  <c r="J23" i="27"/>
  <c r="J22" i="27"/>
  <c r="J21" i="27"/>
  <c r="J20" i="27"/>
  <c r="J19" i="27"/>
  <c r="J18" i="27"/>
  <c r="J17" i="27"/>
  <c r="J16" i="27"/>
  <c r="J15" i="27"/>
  <c r="J14" i="27"/>
  <c r="J13" i="27"/>
  <c r="J270" i="27" l="1"/>
  <c r="J15" i="26" l="1"/>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14" i="26"/>
  <c r="J13" i="26"/>
  <c r="J13" i="25"/>
  <c r="K267" i="25"/>
  <c r="L267" i="25" s="1"/>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J67" i="25"/>
  <c r="J68" i="25"/>
  <c r="J69" i="25"/>
  <c r="J70" i="25"/>
  <c r="J71" i="25"/>
  <c r="J72" i="25"/>
  <c r="J73" i="25"/>
  <c r="J74" i="25"/>
  <c r="J75" i="25"/>
  <c r="J76" i="25"/>
  <c r="J77" i="25"/>
  <c r="J78" i="25"/>
  <c r="J79" i="25"/>
  <c r="J80" i="25"/>
  <c r="J81" i="25"/>
  <c r="J82" i="25"/>
  <c r="J83" i="25"/>
  <c r="J84" i="25"/>
  <c r="J85" i="25"/>
  <c r="J86" i="25"/>
  <c r="J87" i="25"/>
  <c r="J88" i="25"/>
  <c r="J89" i="25"/>
  <c r="J90" i="25"/>
  <c r="J91" i="25"/>
  <c r="J92" i="25"/>
  <c r="J93" i="25"/>
  <c r="J94" i="25"/>
  <c r="J95" i="25"/>
  <c r="J96" i="25"/>
  <c r="J97" i="25"/>
  <c r="J98" i="25"/>
  <c r="J99" i="25"/>
  <c r="J100" i="25"/>
  <c r="J101" i="25"/>
  <c r="J102" i="25"/>
  <c r="J103" i="25"/>
  <c r="J104" i="25"/>
  <c r="J105" i="25"/>
  <c r="J106" i="25"/>
  <c r="J107" i="25"/>
  <c r="J108" i="25"/>
  <c r="J109" i="25"/>
  <c r="J110" i="25"/>
  <c r="J111" i="25"/>
  <c r="J112" i="25"/>
  <c r="J113" i="25"/>
  <c r="J114" i="25"/>
  <c r="J115" i="25"/>
  <c r="J116" i="25"/>
  <c r="J117" i="25"/>
  <c r="J118" i="25"/>
  <c r="J119" i="25"/>
  <c r="J120" i="25"/>
  <c r="J121" i="25"/>
  <c r="J122" i="25"/>
  <c r="J123" i="25"/>
  <c r="J124" i="25"/>
  <c r="J125" i="25"/>
  <c r="J126" i="25"/>
  <c r="J127" i="25"/>
  <c r="J128" i="25"/>
  <c r="J129" i="25"/>
  <c r="J130" i="25"/>
  <c r="J131" i="25"/>
  <c r="J132" i="25"/>
  <c r="J133" i="25"/>
  <c r="J134" i="25"/>
  <c r="J135" i="25"/>
  <c r="J136" i="25"/>
  <c r="J137" i="25"/>
  <c r="J138" i="25"/>
  <c r="J139" i="25"/>
  <c r="J140" i="25"/>
  <c r="J141" i="25"/>
  <c r="J142" i="25"/>
  <c r="J143" i="25"/>
  <c r="J144" i="25"/>
  <c r="J145" i="25"/>
  <c r="J146" i="25"/>
  <c r="J147" i="25"/>
  <c r="J148" i="25"/>
  <c r="J149" i="25"/>
  <c r="J150" i="25"/>
  <c r="J151" i="25"/>
  <c r="J152" i="25"/>
  <c r="J153" i="25"/>
  <c r="J154" i="25"/>
  <c r="J155" i="25"/>
  <c r="J156" i="25"/>
  <c r="J157" i="25"/>
  <c r="J158" i="25"/>
  <c r="J159" i="25"/>
  <c r="J160" i="25"/>
  <c r="J161" i="25"/>
  <c r="J162" i="25"/>
  <c r="J163" i="25"/>
  <c r="J164" i="25"/>
  <c r="J165" i="25"/>
  <c r="J166" i="25"/>
  <c r="J167" i="25"/>
  <c r="J168" i="25"/>
  <c r="J169" i="25"/>
  <c r="J170" i="25"/>
  <c r="J171" i="25"/>
  <c r="J172" i="25"/>
  <c r="J173" i="25"/>
  <c r="J174" i="25"/>
  <c r="J175" i="25"/>
  <c r="J176" i="25"/>
  <c r="J177" i="25"/>
  <c r="J178" i="25"/>
  <c r="J179" i="25"/>
  <c r="J180" i="25"/>
  <c r="J181" i="25"/>
  <c r="J182" i="25"/>
  <c r="J183" i="25"/>
  <c r="J184" i="25"/>
  <c r="J185" i="25"/>
  <c r="J186" i="25"/>
  <c r="J187" i="25"/>
  <c r="J188" i="25"/>
  <c r="J189" i="25"/>
  <c r="J190" i="25"/>
  <c r="J191" i="25"/>
  <c r="J192" i="25"/>
  <c r="J193" i="25"/>
  <c r="J194" i="25"/>
  <c r="J195" i="25"/>
  <c r="J196" i="25"/>
  <c r="J197" i="25"/>
  <c r="J198" i="25"/>
  <c r="J199" i="25"/>
  <c r="J200" i="25"/>
  <c r="J201" i="25"/>
  <c r="J202" i="25"/>
  <c r="J203" i="25"/>
  <c r="J204" i="25"/>
  <c r="J205" i="25"/>
  <c r="J206" i="25"/>
  <c r="J207" i="25"/>
  <c r="J208" i="25"/>
  <c r="J209" i="25"/>
  <c r="J210" i="25"/>
  <c r="J211" i="25"/>
  <c r="J212" i="25"/>
  <c r="J213" i="25"/>
  <c r="J214" i="25"/>
  <c r="J215" i="25"/>
  <c r="J216" i="25"/>
  <c r="J217" i="25"/>
  <c r="J218" i="25"/>
  <c r="J219" i="25"/>
  <c r="J220" i="25"/>
  <c r="J221" i="25"/>
  <c r="J222" i="25"/>
  <c r="J223" i="25"/>
  <c r="J224" i="25"/>
  <c r="J225" i="25"/>
  <c r="J226" i="25"/>
  <c r="J227" i="25"/>
  <c r="J228" i="25"/>
  <c r="J229" i="25"/>
  <c r="J230" i="25"/>
  <c r="J231" i="25"/>
  <c r="J232" i="25"/>
  <c r="J233" i="25"/>
  <c r="J234" i="25"/>
  <c r="J235" i="25"/>
  <c r="J236" i="25"/>
  <c r="J237" i="25"/>
  <c r="J238" i="25"/>
  <c r="J239" i="25"/>
  <c r="J240" i="25"/>
  <c r="J241" i="25"/>
  <c r="J242" i="25"/>
  <c r="J243" i="25"/>
  <c r="J244" i="25"/>
  <c r="J245" i="25"/>
  <c r="J246" i="25"/>
  <c r="J247" i="25"/>
  <c r="J248" i="25"/>
  <c r="J249" i="25"/>
  <c r="J250" i="25"/>
  <c r="J251" i="25"/>
  <c r="J252" i="25"/>
  <c r="J253" i="25"/>
  <c r="J254" i="25"/>
  <c r="J255" i="25"/>
  <c r="J256" i="25"/>
  <c r="J257" i="25"/>
  <c r="J258" i="25"/>
  <c r="J259" i="25"/>
  <c r="J260" i="25"/>
  <c r="J261" i="25"/>
  <c r="J262" i="25"/>
  <c r="J263" i="25"/>
  <c r="J264" i="25"/>
  <c r="J265" i="25"/>
  <c r="J266" i="25"/>
  <c r="J267" i="25"/>
  <c r="J268" i="25"/>
  <c r="J14" i="25"/>
  <c r="K267" i="26" l="1"/>
  <c r="I270" i="26"/>
  <c r="H270" i="26"/>
  <c r="H269" i="26"/>
  <c r="L267" i="26" l="1"/>
  <c r="K267" i="27"/>
  <c r="J270" i="26"/>
  <c r="H270" i="25"/>
  <c r="K267" i="28" l="1"/>
  <c r="L267" i="27"/>
  <c r="I270" i="25"/>
  <c r="H269" i="25"/>
  <c r="K182" i="25"/>
  <c r="K183" i="25"/>
  <c r="K184" i="25"/>
  <c r="K185" i="25"/>
  <c r="K186" i="25"/>
  <c r="K187" i="25"/>
  <c r="K188" i="25"/>
  <c r="K189" i="25"/>
  <c r="K190" i="25"/>
  <c r="K191" i="25"/>
  <c r="K192" i="25"/>
  <c r="K193" i="25"/>
  <c r="K194" i="25"/>
  <c r="K195" i="25"/>
  <c r="K196" i="25"/>
  <c r="K197" i="25"/>
  <c r="K198" i="25"/>
  <c r="K199" i="25"/>
  <c r="K200" i="25"/>
  <c r="K201" i="25"/>
  <c r="K202" i="25"/>
  <c r="K203" i="25"/>
  <c r="K204" i="25"/>
  <c r="K205" i="25"/>
  <c r="K206" i="25"/>
  <c r="K207" i="25"/>
  <c r="K208" i="25"/>
  <c r="K209" i="25"/>
  <c r="K210" i="25"/>
  <c r="K211" i="25"/>
  <c r="K212" i="25"/>
  <c r="K213" i="25"/>
  <c r="K214" i="25"/>
  <c r="K215" i="25"/>
  <c r="K216" i="25"/>
  <c r="K217" i="25"/>
  <c r="K218" i="25"/>
  <c r="K219" i="25"/>
  <c r="K220" i="25"/>
  <c r="K221" i="25"/>
  <c r="K222" i="25"/>
  <c r="K223" i="25"/>
  <c r="K224" i="25"/>
  <c r="K225" i="25"/>
  <c r="K226" i="25"/>
  <c r="K227" i="25"/>
  <c r="K228" i="25"/>
  <c r="K229" i="25"/>
  <c r="K230" i="25"/>
  <c r="K231" i="25"/>
  <c r="K232" i="25"/>
  <c r="K233" i="25"/>
  <c r="K234" i="25"/>
  <c r="K235" i="25"/>
  <c r="K236" i="25"/>
  <c r="K237" i="25"/>
  <c r="K238" i="25"/>
  <c r="K239" i="25"/>
  <c r="K240" i="25"/>
  <c r="K241" i="25"/>
  <c r="K242" i="25"/>
  <c r="K243" i="25"/>
  <c r="K244" i="25"/>
  <c r="K245" i="25"/>
  <c r="K246" i="25"/>
  <c r="K247" i="25"/>
  <c r="K248" i="25"/>
  <c r="K249" i="25"/>
  <c r="K250" i="25"/>
  <c r="K251" i="25"/>
  <c r="K252" i="25"/>
  <c r="K253" i="25"/>
  <c r="K254" i="25"/>
  <c r="K255" i="25"/>
  <c r="K256" i="25"/>
  <c r="K257" i="25"/>
  <c r="K258" i="25"/>
  <c r="K259" i="25"/>
  <c r="K260" i="25"/>
  <c r="K261" i="25"/>
  <c r="K262" i="25"/>
  <c r="K263" i="25"/>
  <c r="K264" i="25"/>
  <c r="K265" i="25"/>
  <c r="K266" i="25"/>
  <c r="K268" i="25"/>
  <c r="K181" i="25"/>
  <c r="L249" i="25" l="1"/>
  <c r="K249" i="26"/>
  <c r="L233" i="25"/>
  <c r="K233" i="26"/>
  <c r="L209" i="25"/>
  <c r="K209" i="26"/>
  <c r="L264" i="25"/>
  <c r="K264" i="26"/>
  <c r="L256" i="25"/>
  <c r="K256" i="26"/>
  <c r="L248" i="25"/>
  <c r="K248" i="26"/>
  <c r="L240" i="25"/>
  <c r="K240" i="26"/>
  <c r="L232" i="25"/>
  <c r="K232" i="26"/>
  <c r="L224" i="25"/>
  <c r="K224" i="26"/>
  <c r="L216" i="25"/>
  <c r="K216" i="26"/>
  <c r="L208" i="25"/>
  <c r="K208" i="26"/>
  <c r="L200" i="25"/>
  <c r="K200" i="26"/>
  <c r="L192" i="25"/>
  <c r="K192" i="26"/>
  <c r="L184" i="25"/>
  <c r="K184" i="26"/>
  <c r="L257" i="25"/>
  <c r="K257" i="26"/>
  <c r="L217" i="25"/>
  <c r="K217" i="26"/>
  <c r="L185" i="25"/>
  <c r="K185" i="26"/>
  <c r="L223" i="25"/>
  <c r="K223" i="26"/>
  <c r="L183" i="25"/>
  <c r="K183" i="26"/>
  <c r="L241" i="25"/>
  <c r="K241" i="26"/>
  <c r="L201" i="25"/>
  <c r="K201" i="26"/>
  <c r="L263" i="25"/>
  <c r="K263" i="26"/>
  <c r="L198" i="25"/>
  <c r="K198" i="26"/>
  <c r="L239" i="25"/>
  <c r="K239" i="26"/>
  <c r="L215" i="25"/>
  <c r="K215" i="26"/>
  <c r="L199" i="25"/>
  <c r="K199" i="26"/>
  <c r="L262" i="25"/>
  <c r="K262" i="26"/>
  <c r="L238" i="25"/>
  <c r="K238" i="26"/>
  <c r="L214" i="25"/>
  <c r="K214" i="26"/>
  <c r="L190" i="25"/>
  <c r="K190" i="26"/>
  <c r="L261" i="25"/>
  <c r="K261" i="26"/>
  <c r="L265" i="25"/>
  <c r="K265" i="26"/>
  <c r="L225" i="25"/>
  <c r="K225" i="26"/>
  <c r="L193" i="25"/>
  <c r="K193" i="26"/>
  <c r="L255" i="25"/>
  <c r="K255" i="26"/>
  <c r="L254" i="25"/>
  <c r="K254" i="26"/>
  <c r="L245" i="25"/>
  <c r="K245" i="26"/>
  <c r="L229" i="25"/>
  <c r="K229" i="26"/>
  <c r="L213" i="25"/>
  <c r="K213" i="26"/>
  <c r="L197" i="25"/>
  <c r="K197" i="26"/>
  <c r="L181" i="25"/>
  <c r="K181" i="26"/>
  <c r="L252" i="25"/>
  <c r="K252" i="26"/>
  <c r="L236" i="25"/>
  <c r="K236" i="26"/>
  <c r="L220" i="25"/>
  <c r="K220" i="26"/>
  <c r="L204" i="25"/>
  <c r="K204" i="26"/>
  <c r="L196" i="25"/>
  <c r="K196" i="26"/>
  <c r="L243" i="25"/>
  <c r="K243" i="26"/>
  <c r="L235" i="25"/>
  <c r="K235" i="26"/>
  <c r="L227" i="25"/>
  <c r="K227" i="26"/>
  <c r="L219" i="25"/>
  <c r="K219" i="26"/>
  <c r="L211" i="25"/>
  <c r="K211" i="26"/>
  <c r="L203" i="25"/>
  <c r="K203" i="26"/>
  <c r="L195" i="25"/>
  <c r="K195" i="26"/>
  <c r="L187" i="25"/>
  <c r="K187" i="26"/>
  <c r="L247" i="25"/>
  <c r="K247" i="26"/>
  <c r="L231" i="25"/>
  <c r="K231" i="26"/>
  <c r="L207" i="25"/>
  <c r="K207" i="26"/>
  <c r="L191" i="25"/>
  <c r="K191" i="26"/>
  <c r="L246" i="25"/>
  <c r="K246" i="26"/>
  <c r="L230" i="25"/>
  <c r="K230" i="26"/>
  <c r="L222" i="25"/>
  <c r="K222" i="26"/>
  <c r="L206" i="25"/>
  <c r="K206" i="26"/>
  <c r="L182" i="25"/>
  <c r="K182" i="26"/>
  <c r="L253" i="25"/>
  <c r="K253" i="26"/>
  <c r="L237" i="25"/>
  <c r="K237" i="26"/>
  <c r="L221" i="25"/>
  <c r="K221" i="26"/>
  <c r="L205" i="25"/>
  <c r="K205" i="26"/>
  <c r="L189" i="25"/>
  <c r="K189" i="26"/>
  <c r="L260" i="25"/>
  <c r="K260" i="26"/>
  <c r="L244" i="25"/>
  <c r="K244" i="26"/>
  <c r="L228" i="25"/>
  <c r="K228" i="26"/>
  <c r="L212" i="25"/>
  <c r="K212" i="26"/>
  <c r="L188" i="25"/>
  <c r="K188" i="26"/>
  <c r="L268" i="25"/>
  <c r="K268" i="26"/>
  <c r="L259" i="25"/>
  <c r="K259" i="26"/>
  <c r="L251" i="25"/>
  <c r="K251" i="26"/>
  <c r="L266" i="25"/>
  <c r="K266" i="26"/>
  <c r="L258" i="25"/>
  <c r="K258" i="26"/>
  <c r="L250" i="25"/>
  <c r="K250" i="26"/>
  <c r="L242" i="25"/>
  <c r="K242" i="26"/>
  <c r="L234" i="25"/>
  <c r="K234" i="26"/>
  <c r="L226" i="25"/>
  <c r="K226" i="26"/>
  <c r="L218" i="25"/>
  <c r="K218" i="26"/>
  <c r="L210" i="25"/>
  <c r="K210" i="26"/>
  <c r="L202" i="25"/>
  <c r="K202" i="26"/>
  <c r="L194" i="25"/>
  <c r="K194" i="26"/>
  <c r="L186" i="25"/>
  <c r="K186" i="26"/>
  <c r="L267" i="28"/>
  <c r="K267" i="29"/>
  <c r="J270" i="25"/>
  <c r="L210" i="26" l="1"/>
  <c r="K210" i="27"/>
  <c r="L253" i="26"/>
  <c r="K253" i="27"/>
  <c r="L235" i="26"/>
  <c r="K235" i="27"/>
  <c r="L197" i="26"/>
  <c r="K197" i="27"/>
  <c r="L238" i="26"/>
  <c r="K238" i="27"/>
  <c r="L241" i="26"/>
  <c r="K241" i="27"/>
  <c r="L200" i="26"/>
  <c r="K200" i="27"/>
  <c r="L264" i="26"/>
  <c r="K264" i="27"/>
  <c r="L231" i="26"/>
  <c r="K231" i="27"/>
  <c r="L250" i="26"/>
  <c r="K250" i="27"/>
  <c r="L205" i="26"/>
  <c r="K205" i="27"/>
  <c r="L246" i="26"/>
  <c r="K246" i="27"/>
  <c r="L243" i="26"/>
  <c r="K243" i="27"/>
  <c r="L236" i="26"/>
  <c r="K236" i="27"/>
  <c r="L213" i="26"/>
  <c r="K213" i="27"/>
  <c r="L255" i="26"/>
  <c r="K255" i="27"/>
  <c r="K261" i="27"/>
  <c r="L261" i="26"/>
  <c r="K262" i="27"/>
  <c r="L262" i="26"/>
  <c r="L198" i="26"/>
  <c r="K198" i="27"/>
  <c r="L183" i="26"/>
  <c r="K183" i="27"/>
  <c r="L257" i="26"/>
  <c r="K257" i="27"/>
  <c r="L208" i="26"/>
  <c r="K208" i="27"/>
  <c r="L240" i="26"/>
  <c r="K240" i="27"/>
  <c r="L209" i="26"/>
  <c r="K209" i="27"/>
  <c r="L251" i="26"/>
  <c r="K251" i="27"/>
  <c r="L247" i="26"/>
  <c r="K247" i="27"/>
  <c r="L212" i="26"/>
  <c r="K212" i="27"/>
  <c r="L203" i="26"/>
  <c r="K203" i="27"/>
  <c r="L265" i="26"/>
  <c r="K265" i="27"/>
  <c r="L232" i="26"/>
  <c r="K232" i="27"/>
  <c r="L186" i="26"/>
  <c r="K186" i="27"/>
  <c r="L259" i="26"/>
  <c r="K259" i="27"/>
  <c r="L211" i="26"/>
  <c r="K211" i="27"/>
  <c r="L194" i="26"/>
  <c r="K194" i="27"/>
  <c r="L226" i="26"/>
  <c r="K226" i="27"/>
  <c r="L258" i="26"/>
  <c r="K258" i="27"/>
  <c r="L268" i="26"/>
  <c r="K268" i="27"/>
  <c r="L244" i="26"/>
  <c r="K244" i="27"/>
  <c r="L221" i="26"/>
  <c r="K221" i="27"/>
  <c r="L206" i="26"/>
  <c r="K206" i="27"/>
  <c r="L191" i="26"/>
  <c r="K191" i="27"/>
  <c r="L187" i="26"/>
  <c r="K187" i="27"/>
  <c r="L219" i="26"/>
  <c r="K219" i="27"/>
  <c r="L196" i="26"/>
  <c r="K196" i="27"/>
  <c r="L252" i="26"/>
  <c r="K252" i="27"/>
  <c r="L229" i="26"/>
  <c r="K229" i="27"/>
  <c r="L193" i="26"/>
  <c r="K193" i="27"/>
  <c r="L190" i="26"/>
  <c r="K190" i="27"/>
  <c r="L199" i="26"/>
  <c r="K199" i="27"/>
  <c r="L263" i="26"/>
  <c r="K263" i="27"/>
  <c r="L223" i="26"/>
  <c r="K223" i="27"/>
  <c r="L184" i="26"/>
  <c r="K184" i="27"/>
  <c r="L216" i="26"/>
  <c r="K216" i="27"/>
  <c r="L248" i="26"/>
  <c r="K248" i="27"/>
  <c r="L233" i="26"/>
  <c r="K233" i="27"/>
  <c r="L242" i="26"/>
  <c r="K242" i="27"/>
  <c r="L230" i="26"/>
  <c r="K230" i="27"/>
  <c r="L254" i="26"/>
  <c r="K254" i="27"/>
  <c r="L217" i="26"/>
  <c r="K217" i="27"/>
  <c r="L228" i="26"/>
  <c r="K228" i="27"/>
  <c r="L189" i="26"/>
  <c r="K189" i="27"/>
  <c r="L220" i="26"/>
  <c r="K220" i="27"/>
  <c r="L239" i="26"/>
  <c r="K239" i="27"/>
  <c r="L218" i="26"/>
  <c r="K218" i="27"/>
  <c r="L182" i="26"/>
  <c r="K182" i="27"/>
  <c r="L202" i="26"/>
  <c r="K202" i="27"/>
  <c r="L234" i="26"/>
  <c r="K234" i="27"/>
  <c r="L266" i="26"/>
  <c r="K266" i="27"/>
  <c r="L188" i="26"/>
  <c r="K188" i="27"/>
  <c r="L260" i="26"/>
  <c r="K260" i="27"/>
  <c r="L237" i="26"/>
  <c r="K237" i="27"/>
  <c r="L222" i="26"/>
  <c r="K222" i="27"/>
  <c r="L207" i="26"/>
  <c r="K207" i="27"/>
  <c r="L195" i="26"/>
  <c r="K195" i="27"/>
  <c r="L227" i="26"/>
  <c r="K227" i="27"/>
  <c r="L204" i="26"/>
  <c r="K204" i="27"/>
  <c r="L181" i="26"/>
  <c r="K181" i="27"/>
  <c r="L245" i="26"/>
  <c r="K245" i="27"/>
  <c r="L225" i="26"/>
  <c r="K225" i="27"/>
  <c r="L214" i="26"/>
  <c r="K214" i="27"/>
  <c r="L215" i="26"/>
  <c r="K215" i="27"/>
  <c r="L201" i="26"/>
  <c r="K201" i="27"/>
  <c r="L185" i="26"/>
  <c r="K185" i="27"/>
  <c r="L192" i="26"/>
  <c r="K192" i="27"/>
  <c r="L224" i="26"/>
  <c r="K224" i="27"/>
  <c r="L256" i="26"/>
  <c r="K256" i="27"/>
  <c r="L249" i="26"/>
  <c r="K249" i="27"/>
  <c r="K267" i="30"/>
  <c r="L267" i="29"/>
  <c r="K15" i="25"/>
  <c r="K16" i="25"/>
  <c r="K17" i="25"/>
  <c r="K18" i="25"/>
  <c r="K19" i="25"/>
  <c r="K20" i="25"/>
  <c r="K21" i="25"/>
  <c r="K22" i="25"/>
  <c r="K23" i="25"/>
  <c r="K24" i="25"/>
  <c r="K25" i="25"/>
  <c r="K26" i="25"/>
  <c r="K27" i="25"/>
  <c r="K28" i="25"/>
  <c r="K29" i="25"/>
  <c r="K30" i="25"/>
  <c r="K31" i="25"/>
  <c r="K32" i="25"/>
  <c r="K33" i="25"/>
  <c r="K34" i="25"/>
  <c r="K35" i="25"/>
  <c r="K36" i="25"/>
  <c r="K37" i="25"/>
  <c r="K38" i="25"/>
  <c r="K39" i="25"/>
  <c r="K40" i="25"/>
  <c r="K41" i="25"/>
  <c r="K42" i="25"/>
  <c r="K43" i="25"/>
  <c r="K44" i="25"/>
  <c r="K45" i="25"/>
  <c r="K46" i="25"/>
  <c r="K47" i="25"/>
  <c r="K48" i="25"/>
  <c r="K49" i="25"/>
  <c r="K50" i="25"/>
  <c r="K51" i="25"/>
  <c r="K52" i="25"/>
  <c r="K53" i="25"/>
  <c r="K54" i="25"/>
  <c r="K55" i="25"/>
  <c r="K56" i="25"/>
  <c r="K57" i="25"/>
  <c r="K58" i="25"/>
  <c r="K59" i="25"/>
  <c r="K60" i="25"/>
  <c r="K61" i="25"/>
  <c r="K62" i="25"/>
  <c r="K63" i="25"/>
  <c r="K64" i="25"/>
  <c r="K65" i="25"/>
  <c r="K66" i="25"/>
  <c r="K67" i="25"/>
  <c r="K68" i="25"/>
  <c r="K69" i="25"/>
  <c r="K70" i="25"/>
  <c r="K71" i="25"/>
  <c r="K72" i="25"/>
  <c r="K73" i="25"/>
  <c r="K74" i="25"/>
  <c r="K75" i="25"/>
  <c r="K76" i="25"/>
  <c r="K77" i="25"/>
  <c r="K78" i="25"/>
  <c r="K79" i="25"/>
  <c r="K80" i="25"/>
  <c r="K81" i="25"/>
  <c r="K82" i="25"/>
  <c r="K83" i="25"/>
  <c r="K84" i="25"/>
  <c r="K85" i="25"/>
  <c r="K86" i="25"/>
  <c r="K87" i="25"/>
  <c r="K88" i="25"/>
  <c r="K89" i="25"/>
  <c r="K90" i="25"/>
  <c r="K91" i="25"/>
  <c r="K92" i="25"/>
  <c r="K93" i="25"/>
  <c r="K94" i="25"/>
  <c r="K95" i="25"/>
  <c r="K96" i="25"/>
  <c r="K97" i="25"/>
  <c r="K98" i="25"/>
  <c r="K99" i="25"/>
  <c r="K100" i="25"/>
  <c r="K101" i="25"/>
  <c r="K102" i="25"/>
  <c r="K103" i="25"/>
  <c r="K104" i="25"/>
  <c r="K105" i="25"/>
  <c r="K106" i="25"/>
  <c r="K107" i="25"/>
  <c r="K108" i="25"/>
  <c r="K109" i="25"/>
  <c r="K110" i="25"/>
  <c r="K111" i="25"/>
  <c r="K112" i="25"/>
  <c r="K113" i="25"/>
  <c r="K114" i="25"/>
  <c r="K115" i="25"/>
  <c r="K116" i="25"/>
  <c r="K117" i="25"/>
  <c r="K118" i="25"/>
  <c r="K119" i="25"/>
  <c r="K120" i="25"/>
  <c r="K121" i="25"/>
  <c r="K122" i="25"/>
  <c r="K123" i="25"/>
  <c r="K124" i="25"/>
  <c r="K125" i="25"/>
  <c r="K126" i="25"/>
  <c r="K127" i="25"/>
  <c r="K128" i="25"/>
  <c r="K129" i="25"/>
  <c r="K130" i="25"/>
  <c r="K131" i="25"/>
  <c r="K132" i="25"/>
  <c r="K133" i="25"/>
  <c r="K134" i="25"/>
  <c r="K135" i="25"/>
  <c r="K136" i="25"/>
  <c r="K137" i="25"/>
  <c r="K138" i="25"/>
  <c r="K139" i="25"/>
  <c r="K140" i="25"/>
  <c r="K141" i="25"/>
  <c r="K142" i="25"/>
  <c r="K143" i="25"/>
  <c r="K144" i="25"/>
  <c r="K145" i="25"/>
  <c r="K146" i="25"/>
  <c r="K147" i="25"/>
  <c r="K148" i="25"/>
  <c r="K149" i="25"/>
  <c r="K150" i="25"/>
  <c r="K151" i="25"/>
  <c r="K152" i="25"/>
  <c r="K153" i="25"/>
  <c r="K154" i="25"/>
  <c r="K155" i="25"/>
  <c r="K156" i="25"/>
  <c r="K157" i="25"/>
  <c r="K158" i="25"/>
  <c r="K159" i="25"/>
  <c r="K160" i="25"/>
  <c r="K161" i="25"/>
  <c r="K162" i="25"/>
  <c r="K163" i="25"/>
  <c r="K164" i="25"/>
  <c r="K165" i="25"/>
  <c r="K166" i="25"/>
  <c r="K167" i="25"/>
  <c r="K168" i="25"/>
  <c r="K169" i="25"/>
  <c r="K170" i="25"/>
  <c r="K171" i="25"/>
  <c r="K172" i="25"/>
  <c r="K173" i="25"/>
  <c r="K174" i="25"/>
  <c r="K175" i="25"/>
  <c r="K176" i="25"/>
  <c r="K177" i="25"/>
  <c r="K178" i="25"/>
  <c r="K179" i="25"/>
  <c r="K180" i="25"/>
  <c r="K14" i="25"/>
  <c r="K13" i="25"/>
  <c r="L13" i="25" l="1"/>
  <c r="K13" i="26"/>
  <c r="L166" i="25"/>
  <c r="K166" i="26"/>
  <c r="L134" i="25"/>
  <c r="K134" i="26"/>
  <c r="L118" i="25"/>
  <c r="K118" i="26"/>
  <c r="L110" i="25"/>
  <c r="K110" i="26"/>
  <c r="L94" i="25"/>
  <c r="K94" i="26"/>
  <c r="L86" i="25"/>
  <c r="K86" i="26"/>
  <c r="L78" i="25"/>
  <c r="K78" i="26"/>
  <c r="L70" i="25"/>
  <c r="K70" i="26"/>
  <c r="L62" i="25"/>
  <c r="K62" i="26"/>
  <c r="L54" i="25"/>
  <c r="K54" i="26"/>
  <c r="L46" i="25"/>
  <c r="K46" i="26"/>
  <c r="K30" i="26"/>
  <c r="L30" i="25"/>
  <c r="L222" i="27"/>
  <c r="K222" i="28"/>
  <c r="L228" i="27"/>
  <c r="K228" i="28"/>
  <c r="L190" i="27"/>
  <c r="K190" i="28"/>
  <c r="L258" i="27"/>
  <c r="K258" i="28"/>
  <c r="L203" i="27"/>
  <c r="K203" i="28"/>
  <c r="K183" i="28"/>
  <c r="L183" i="27"/>
  <c r="L246" i="27"/>
  <c r="K246" i="28"/>
  <c r="L29" i="25"/>
  <c r="K29" i="26"/>
  <c r="L172" i="25"/>
  <c r="K172" i="26"/>
  <c r="L132" i="25"/>
  <c r="K132" i="26"/>
  <c r="L100" i="25"/>
  <c r="K100" i="26"/>
  <c r="L20" i="25"/>
  <c r="K20" i="26"/>
  <c r="L249" i="27"/>
  <c r="K249" i="28"/>
  <c r="L237" i="27"/>
  <c r="K237" i="28"/>
  <c r="L233" i="27"/>
  <c r="K233" i="28"/>
  <c r="K219" i="28"/>
  <c r="L219" i="27"/>
  <c r="K186" i="28"/>
  <c r="L186" i="27"/>
  <c r="L240" i="27"/>
  <c r="K240" i="28"/>
  <c r="K235" i="28"/>
  <c r="L235" i="27"/>
  <c r="L163" i="25"/>
  <c r="K163" i="26"/>
  <c r="L139" i="25"/>
  <c r="K139" i="26"/>
  <c r="L123" i="25"/>
  <c r="K123" i="26"/>
  <c r="L99" i="25"/>
  <c r="K99" i="26"/>
  <c r="L83" i="25"/>
  <c r="K83" i="26"/>
  <c r="L67" i="25"/>
  <c r="K67" i="26"/>
  <c r="L59" i="25"/>
  <c r="K59" i="26"/>
  <c r="L51" i="25"/>
  <c r="K51" i="26"/>
  <c r="L43" i="25"/>
  <c r="K43" i="26"/>
  <c r="L19" i="25"/>
  <c r="K19" i="26"/>
  <c r="L178" i="25"/>
  <c r="K178" i="26"/>
  <c r="L170" i="25"/>
  <c r="K170" i="26"/>
  <c r="L162" i="25"/>
  <c r="K162" i="26"/>
  <c r="L138" i="25"/>
  <c r="K138" i="26"/>
  <c r="L130" i="25"/>
  <c r="K130" i="26"/>
  <c r="L122" i="25"/>
  <c r="K122" i="26"/>
  <c r="L114" i="25"/>
  <c r="K114" i="26"/>
  <c r="L106" i="25"/>
  <c r="K106" i="26"/>
  <c r="L98" i="25"/>
  <c r="K98" i="26"/>
  <c r="L90" i="25"/>
  <c r="K90" i="26"/>
  <c r="L82" i="25"/>
  <c r="K82" i="26"/>
  <c r="L74" i="25"/>
  <c r="K74" i="26"/>
  <c r="L66" i="25"/>
  <c r="K66" i="26"/>
  <c r="L58" i="25"/>
  <c r="K58" i="26"/>
  <c r="L50" i="25"/>
  <c r="K50" i="26"/>
  <c r="L42" i="25"/>
  <c r="K42" i="26"/>
  <c r="L34" i="25"/>
  <c r="K34" i="26"/>
  <c r="L26" i="25"/>
  <c r="K26" i="26"/>
  <c r="L18" i="25"/>
  <c r="K18" i="26"/>
  <c r="L256" i="27"/>
  <c r="K256" i="28"/>
  <c r="L201" i="27"/>
  <c r="K201" i="28"/>
  <c r="K245" i="28"/>
  <c r="L245" i="27"/>
  <c r="L195" i="27"/>
  <c r="K195" i="28"/>
  <c r="K260" i="28"/>
  <c r="L260" i="27"/>
  <c r="L202" i="27"/>
  <c r="K202" i="28"/>
  <c r="K220" i="28"/>
  <c r="L220" i="27"/>
  <c r="L254" i="27"/>
  <c r="K254" i="28"/>
  <c r="L248" i="27"/>
  <c r="K248" i="28"/>
  <c r="K263" i="28"/>
  <c r="L263" i="27"/>
  <c r="L229" i="27"/>
  <c r="K229" i="28"/>
  <c r="K187" i="28"/>
  <c r="L187" i="27"/>
  <c r="K244" i="28"/>
  <c r="L244" i="27"/>
  <c r="L194" i="27"/>
  <c r="K194" i="28"/>
  <c r="K232" i="28"/>
  <c r="L232" i="27"/>
  <c r="K247" i="28"/>
  <c r="L247" i="27"/>
  <c r="L208" i="27"/>
  <c r="K208" i="28"/>
  <c r="K236" i="28"/>
  <c r="L236" i="27"/>
  <c r="L250" i="27"/>
  <c r="K250" i="28"/>
  <c r="L241" i="27"/>
  <c r="K241" i="28"/>
  <c r="L253" i="27"/>
  <c r="K253" i="28"/>
  <c r="K214" i="28"/>
  <c r="L214" i="27"/>
  <c r="K218" i="28"/>
  <c r="L218" i="27"/>
  <c r="L206" i="27"/>
  <c r="K206" i="28"/>
  <c r="L264" i="27"/>
  <c r="K264" i="28"/>
  <c r="L165" i="25"/>
  <c r="K165" i="26"/>
  <c r="L85" i="25"/>
  <c r="K85" i="26"/>
  <c r="L116" i="25"/>
  <c r="K116" i="26"/>
  <c r="L84" i="25"/>
  <c r="K84" i="26"/>
  <c r="L36" i="25"/>
  <c r="K36" i="26"/>
  <c r="L227" i="27"/>
  <c r="K227" i="28"/>
  <c r="L217" i="27"/>
  <c r="K217" i="28"/>
  <c r="L226" i="27"/>
  <c r="K226" i="28"/>
  <c r="L205" i="27"/>
  <c r="K205" i="28"/>
  <c r="L107" i="25"/>
  <c r="K107" i="26"/>
  <c r="L27" i="25"/>
  <c r="K27" i="26"/>
  <c r="L169" i="25"/>
  <c r="K169" i="26"/>
  <c r="L137" i="25"/>
  <c r="K137" i="26"/>
  <c r="L121" i="25"/>
  <c r="K121" i="26"/>
  <c r="L105" i="25"/>
  <c r="K105" i="26"/>
  <c r="L89" i="25"/>
  <c r="K89" i="26"/>
  <c r="L81" i="25"/>
  <c r="K81" i="26"/>
  <c r="L73" i="25"/>
  <c r="K73" i="26"/>
  <c r="L65" i="25"/>
  <c r="K65" i="26"/>
  <c r="L57" i="25"/>
  <c r="K57" i="26"/>
  <c r="L49" i="25"/>
  <c r="K49" i="26"/>
  <c r="L41" i="25"/>
  <c r="K41" i="26"/>
  <c r="L33" i="25"/>
  <c r="K33" i="26"/>
  <c r="L25" i="25"/>
  <c r="K25" i="26"/>
  <c r="L17" i="25"/>
  <c r="K17" i="26"/>
  <c r="L262" i="27"/>
  <c r="K262" i="28"/>
  <c r="L142" i="25"/>
  <c r="K142" i="26"/>
  <c r="L38" i="25"/>
  <c r="K38" i="26"/>
  <c r="K204" i="28"/>
  <c r="L204" i="27"/>
  <c r="L242" i="27"/>
  <c r="K242" i="28"/>
  <c r="L255" i="27"/>
  <c r="K255" i="28"/>
  <c r="L14" i="25"/>
  <c r="K14" i="26"/>
  <c r="L133" i="25"/>
  <c r="K133" i="26"/>
  <c r="L117" i="25"/>
  <c r="K117" i="26"/>
  <c r="L109" i="25"/>
  <c r="K109" i="26"/>
  <c r="L93" i="25"/>
  <c r="K93" i="26"/>
  <c r="L77" i="25"/>
  <c r="K77" i="26"/>
  <c r="L69" i="25"/>
  <c r="K69" i="26"/>
  <c r="L61" i="25"/>
  <c r="K61" i="26"/>
  <c r="L53" i="25"/>
  <c r="K53" i="26"/>
  <c r="L45" i="25"/>
  <c r="K45" i="26"/>
  <c r="L21" i="25"/>
  <c r="K21" i="26"/>
  <c r="L164" i="25"/>
  <c r="K164" i="26"/>
  <c r="L140" i="25"/>
  <c r="K140" i="26"/>
  <c r="L124" i="25"/>
  <c r="K124" i="26"/>
  <c r="L108" i="25"/>
  <c r="K108" i="26"/>
  <c r="L92" i="25"/>
  <c r="K92" i="26"/>
  <c r="L68" i="25"/>
  <c r="K68" i="26"/>
  <c r="L60" i="25"/>
  <c r="K60" i="26"/>
  <c r="L52" i="25"/>
  <c r="K52" i="26"/>
  <c r="L44" i="25"/>
  <c r="K44" i="26"/>
  <c r="L28" i="25"/>
  <c r="K28" i="26"/>
  <c r="L185" i="27"/>
  <c r="K185" i="28"/>
  <c r="L239" i="27"/>
  <c r="K239" i="28"/>
  <c r="L193" i="27"/>
  <c r="K193" i="28"/>
  <c r="L213" i="27"/>
  <c r="K213" i="28"/>
  <c r="L171" i="25"/>
  <c r="K171" i="26"/>
  <c r="L75" i="25"/>
  <c r="K75" i="26"/>
  <c r="L267" i="30"/>
  <c r="K267" i="31"/>
  <c r="L177" i="25"/>
  <c r="K177" i="26"/>
  <c r="L160" i="25"/>
  <c r="K160" i="26"/>
  <c r="L104" i="25"/>
  <c r="K104" i="26"/>
  <c r="L56" i="25"/>
  <c r="K56" i="26"/>
  <c r="L16" i="25"/>
  <c r="K16" i="26"/>
  <c r="L224" i="27"/>
  <c r="K224" i="28"/>
  <c r="K215" i="28"/>
  <c r="L215" i="27"/>
  <c r="K181" i="28"/>
  <c r="L181" i="27"/>
  <c r="L207" i="27"/>
  <c r="K207" i="28"/>
  <c r="K188" i="28"/>
  <c r="L188" i="27"/>
  <c r="L182" i="27"/>
  <c r="K182" i="28"/>
  <c r="L189" i="27"/>
  <c r="K189" i="28"/>
  <c r="L230" i="27"/>
  <c r="K230" i="28"/>
  <c r="K216" i="28"/>
  <c r="L216" i="27"/>
  <c r="K199" i="28"/>
  <c r="L199" i="27"/>
  <c r="K252" i="28"/>
  <c r="L252" i="27"/>
  <c r="L191" i="27"/>
  <c r="K191" i="28"/>
  <c r="K268" i="28"/>
  <c r="L268" i="27"/>
  <c r="L211" i="27"/>
  <c r="K211" i="28"/>
  <c r="L265" i="27"/>
  <c r="K265" i="28"/>
  <c r="L251" i="27"/>
  <c r="K251" i="28"/>
  <c r="L257" i="27"/>
  <c r="K257" i="28"/>
  <c r="L243" i="27"/>
  <c r="K243" i="28"/>
  <c r="K231" i="28"/>
  <c r="L231" i="27"/>
  <c r="L238" i="27"/>
  <c r="K238" i="28"/>
  <c r="K210" i="28"/>
  <c r="L210" i="27"/>
  <c r="L174" i="25"/>
  <c r="K174" i="26"/>
  <c r="L158" i="25"/>
  <c r="K158" i="26"/>
  <c r="L126" i="25"/>
  <c r="K126" i="26"/>
  <c r="L102" i="25"/>
  <c r="K102" i="26"/>
  <c r="L22" i="25"/>
  <c r="K22" i="26"/>
  <c r="L192" i="27"/>
  <c r="K192" i="28"/>
  <c r="L266" i="27"/>
  <c r="K266" i="28"/>
  <c r="K184" i="28"/>
  <c r="L184" i="27"/>
  <c r="K196" i="28"/>
  <c r="L196" i="27"/>
  <c r="L259" i="27"/>
  <c r="K259" i="28"/>
  <c r="L209" i="27"/>
  <c r="K209" i="28"/>
  <c r="K197" i="28"/>
  <c r="L197" i="27"/>
  <c r="L173" i="25"/>
  <c r="K173" i="26"/>
  <c r="L157" i="25"/>
  <c r="K157" i="26"/>
  <c r="L141" i="25"/>
  <c r="K141" i="26"/>
  <c r="L125" i="25"/>
  <c r="K125" i="26"/>
  <c r="L101" i="25"/>
  <c r="K101" i="26"/>
  <c r="L37" i="25"/>
  <c r="K37" i="26"/>
  <c r="L180" i="25"/>
  <c r="K180" i="26"/>
  <c r="L76" i="25"/>
  <c r="K76" i="26"/>
  <c r="L225" i="27"/>
  <c r="K225" i="28"/>
  <c r="K234" i="28"/>
  <c r="L234" i="27"/>
  <c r="L223" i="27"/>
  <c r="K223" i="28"/>
  <c r="L221" i="27"/>
  <c r="K221" i="28"/>
  <c r="K212" i="28"/>
  <c r="L212" i="27"/>
  <c r="K198" i="28"/>
  <c r="L198" i="27"/>
  <c r="L200" i="27"/>
  <c r="K200" i="28"/>
  <c r="L179" i="25"/>
  <c r="K179" i="26"/>
  <c r="L131" i="25"/>
  <c r="K131" i="26"/>
  <c r="L115" i="25"/>
  <c r="K115" i="26"/>
  <c r="L91" i="25"/>
  <c r="K91" i="26"/>
  <c r="L35" i="25"/>
  <c r="K35" i="26"/>
  <c r="L161" i="25"/>
  <c r="K161" i="26"/>
  <c r="L145" i="25"/>
  <c r="K145" i="26"/>
  <c r="L129" i="25"/>
  <c r="K129" i="26"/>
  <c r="L113" i="25"/>
  <c r="K113" i="26"/>
  <c r="L97" i="25"/>
  <c r="K97" i="26"/>
  <c r="L176" i="25"/>
  <c r="K176" i="26"/>
  <c r="L168" i="25"/>
  <c r="K168" i="26"/>
  <c r="L144" i="25"/>
  <c r="K144" i="26"/>
  <c r="L136" i="25"/>
  <c r="K136" i="26"/>
  <c r="L128" i="25"/>
  <c r="K128" i="26"/>
  <c r="L120" i="25"/>
  <c r="K120" i="26"/>
  <c r="L112" i="25"/>
  <c r="K112" i="26"/>
  <c r="L96" i="25"/>
  <c r="K96" i="26"/>
  <c r="L88" i="25"/>
  <c r="K88" i="26"/>
  <c r="L80" i="25"/>
  <c r="K80" i="26"/>
  <c r="L72" i="25"/>
  <c r="K72" i="26"/>
  <c r="L64" i="25"/>
  <c r="K64" i="26"/>
  <c r="L48" i="25"/>
  <c r="K48" i="26"/>
  <c r="L40" i="25"/>
  <c r="K40" i="26"/>
  <c r="L32" i="25"/>
  <c r="K32" i="26"/>
  <c r="L24" i="25"/>
  <c r="K24" i="26"/>
  <c r="L175" i="25"/>
  <c r="K175" i="26"/>
  <c r="L167" i="25"/>
  <c r="K167" i="26"/>
  <c r="L159" i="25"/>
  <c r="K159" i="26"/>
  <c r="L143" i="25"/>
  <c r="K143" i="26"/>
  <c r="L135" i="25"/>
  <c r="K135" i="26"/>
  <c r="L127" i="25"/>
  <c r="K127" i="26"/>
  <c r="L119" i="25"/>
  <c r="K119" i="26"/>
  <c r="L111" i="25"/>
  <c r="K111" i="26"/>
  <c r="L103" i="25"/>
  <c r="K103" i="26"/>
  <c r="L95" i="25"/>
  <c r="K95" i="26"/>
  <c r="L87" i="25"/>
  <c r="K87" i="26"/>
  <c r="L79" i="25"/>
  <c r="K79" i="26"/>
  <c r="L71" i="25"/>
  <c r="K71" i="26"/>
  <c r="L63" i="25"/>
  <c r="K63" i="26"/>
  <c r="L55" i="25"/>
  <c r="K55" i="26"/>
  <c r="L47" i="25"/>
  <c r="K47" i="26"/>
  <c r="L39" i="25"/>
  <c r="K39" i="26"/>
  <c r="L31" i="25"/>
  <c r="K31" i="26"/>
  <c r="L23" i="25"/>
  <c r="K23" i="26"/>
  <c r="L15" i="25"/>
  <c r="K15" i="26"/>
  <c r="L261" i="27"/>
  <c r="K261" i="28"/>
  <c r="L156" i="25"/>
  <c r="K156" i="26"/>
  <c r="L155" i="25"/>
  <c r="K155" i="26"/>
  <c r="L153" i="25"/>
  <c r="K153" i="26"/>
  <c r="L152" i="25"/>
  <c r="K152" i="26"/>
  <c r="L147" i="25"/>
  <c r="K147" i="26"/>
  <c r="L154" i="25"/>
  <c r="K154" i="26"/>
  <c r="L151" i="25"/>
  <c r="K151" i="26"/>
  <c r="L150" i="25"/>
  <c r="K150" i="26"/>
  <c r="L149" i="25"/>
  <c r="K149" i="26"/>
  <c r="L148" i="25"/>
  <c r="K148" i="26"/>
  <c r="L146" i="25"/>
  <c r="K146" i="26"/>
  <c r="K270" i="25"/>
  <c r="L270" i="25" s="1"/>
  <c r="L267" i="31" l="1"/>
  <c r="K267" i="32"/>
  <c r="L159" i="26"/>
  <c r="K159" i="27"/>
  <c r="L205" i="28"/>
  <c r="K205" i="29"/>
  <c r="K15" i="27"/>
  <c r="L15" i="26"/>
  <c r="L47" i="26"/>
  <c r="K47" i="27"/>
  <c r="L79" i="26"/>
  <c r="K79" i="27"/>
  <c r="L111" i="26"/>
  <c r="K111" i="27"/>
  <c r="L143" i="26"/>
  <c r="K143" i="27"/>
  <c r="L24" i="26"/>
  <c r="K24" i="27"/>
  <c r="L64" i="26"/>
  <c r="K64" i="27"/>
  <c r="L96" i="26"/>
  <c r="K96" i="27"/>
  <c r="L136" i="26"/>
  <c r="K136" i="27"/>
  <c r="L97" i="26"/>
  <c r="K97" i="27"/>
  <c r="L161" i="26"/>
  <c r="K161" i="27"/>
  <c r="L131" i="26"/>
  <c r="K131" i="27"/>
  <c r="L225" i="28"/>
  <c r="K225" i="29"/>
  <c r="L101" i="26"/>
  <c r="K101" i="27"/>
  <c r="L173" i="26"/>
  <c r="K173" i="27"/>
  <c r="L22" i="26"/>
  <c r="K22" i="27"/>
  <c r="L174" i="26"/>
  <c r="K174" i="27"/>
  <c r="L243" i="28"/>
  <c r="K243" i="29"/>
  <c r="L211" i="28"/>
  <c r="K211" i="29"/>
  <c r="L182" i="28"/>
  <c r="K182" i="29"/>
  <c r="L104" i="26"/>
  <c r="K104" i="27"/>
  <c r="L75" i="26"/>
  <c r="K75" i="27"/>
  <c r="L239" i="28"/>
  <c r="K239" i="29"/>
  <c r="L52" i="26"/>
  <c r="K52" i="27"/>
  <c r="L108" i="26"/>
  <c r="K108" i="27"/>
  <c r="L21" i="26"/>
  <c r="K21" i="27"/>
  <c r="L69" i="26"/>
  <c r="K69" i="27"/>
  <c r="L117" i="26"/>
  <c r="K117" i="27"/>
  <c r="L242" i="28"/>
  <c r="K242" i="29"/>
  <c r="K262" i="29"/>
  <c r="L262" i="28"/>
  <c r="L41" i="26"/>
  <c r="K41" i="27"/>
  <c r="L73" i="26"/>
  <c r="K73" i="27"/>
  <c r="L121" i="26"/>
  <c r="K121" i="27"/>
  <c r="L107" i="26"/>
  <c r="K107" i="27"/>
  <c r="L227" i="28"/>
  <c r="K227" i="29"/>
  <c r="L85" i="26"/>
  <c r="K85" i="27"/>
  <c r="L250" i="28"/>
  <c r="K250" i="29"/>
  <c r="L229" i="28"/>
  <c r="K229" i="29"/>
  <c r="L26" i="26"/>
  <c r="K26" i="27"/>
  <c r="L58" i="26"/>
  <c r="K58" i="27"/>
  <c r="L90" i="26"/>
  <c r="K90" i="27"/>
  <c r="L122" i="26"/>
  <c r="K122" i="27"/>
  <c r="L170" i="26"/>
  <c r="K170" i="27"/>
  <c r="L51" i="26"/>
  <c r="K51" i="27"/>
  <c r="L99" i="26"/>
  <c r="K99" i="27"/>
  <c r="L233" i="28"/>
  <c r="K233" i="29"/>
  <c r="L100" i="26"/>
  <c r="K100" i="27"/>
  <c r="L246" i="28"/>
  <c r="K246" i="29"/>
  <c r="L190" i="28"/>
  <c r="K190" i="29"/>
  <c r="L46" i="26"/>
  <c r="K46" i="27"/>
  <c r="L78" i="26"/>
  <c r="K78" i="27"/>
  <c r="L118" i="26"/>
  <c r="K118" i="27"/>
  <c r="L257" i="28"/>
  <c r="K257" i="29"/>
  <c r="L171" i="26"/>
  <c r="K171" i="27"/>
  <c r="L137" i="26"/>
  <c r="K137" i="27"/>
  <c r="L212" i="28"/>
  <c r="K212" i="29"/>
  <c r="L196" i="28"/>
  <c r="K196" i="29"/>
  <c r="L199" i="28"/>
  <c r="K199" i="29"/>
  <c r="L215" i="28"/>
  <c r="K215" i="29"/>
  <c r="L218" i="28"/>
  <c r="K218" i="29"/>
  <c r="L232" i="28"/>
  <c r="K232" i="29"/>
  <c r="L220" i="28"/>
  <c r="K220" i="29"/>
  <c r="L245" i="28"/>
  <c r="K245" i="29"/>
  <c r="L235" i="28"/>
  <c r="K235" i="29"/>
  <c r="L55" i="26"/>
  <c r="K55" i="27"/>
  <c r="L72" i="26"/>
  <c r="K72" i="27"/>
  <c r="L76" i="26"/>
  <c r="K76" i="27"/>
  <c r="L77" i="26"/>
  <c r="K77" i="27"/>
  <c r="L194" i="28"/>
  <c r="K194" i="29"/>
  <c r="L202" i="28"/>
  <c r="K202" i="29"/>
  <c r="L66" i="26"/>
  <c r="K66" i="27"/>
  <c r="L130" i="26"/>
  <c r="K130" i="27"/>
  <c r="L59" i="26"/>
  <c r="K59" i="27"/>
  <c r="L240" i="28"/>
  <c r="K240" i="29"/>
  <c r="L132" i="26"/>
  <c r="K132" i="27"/>
  <c r="L31" i="26"/>
  <c r="K31" i="27"/>
  <c r="L63" i="26"/>
  <c r="K63" i="27"/>
  <c r="L95" i="26"/>
  <c r="K95" i="27"/>
  <c r="L127" i="26"/>
  <c r="K127" i="27"/>
  <c r="L167" i="26"/>
  <c r="K167" i="27"/>
  <c r="L40" i="26"/>
  <c r="K40" i="27"/>
  <c r="L80" i="26"/>
  <c r="K80" i="27"/>
  <c r="L120" i="26"/>
  <c r="K120" i="27"/>
  <c r="L168" i="26"/>
  <c r="K168" i="27"/>
  <c r="L129" i="26"/>
  <c r="K129" i="27"/>
  <c r="L91" i="26"/>
  <c r="K91" i="27"/>
  <c r="L200" i="28"/>
  <c r="K200" i="29"/>
  <c r="L223" i="28"/>
  <c r="K223" i="29"/>
  <c r="L180" i="26"/>
  <c r="K180" i="27"/>
  <c r="L141" i="26"/>
  <c r="K141" i="27"/>
  <c r="L209" i="28"/>
  <c r="K209" i="29"/>
  <c r="K266" i="29"/>
  <c r="L266" i="28"/>
  <c r="L126" i="26"/>
  <c r="K126" i="27"/>
  <c r="L238" i="28"/>
  <c r="K238" i="29"/>
  <c r="L251" i="28"/>
  <c r="K251" i="29"/>
  <c r="L191" i="28"/>
  <c r="K191" i="29"/>
  <c r="L230" i="28"/>
  <c r="K230" i="29"/>
  <c r="L207" i="28"/>
  <c r="K207" i="29"/>
  <c r="K16" i="27"/>
  <c r="L16" i="26"/>
  <c r="L177" i="26"/>
  <c r="K177" i="27"/>
  <c r="L213" i="28"/>
  <c r="K213" i="29"/>
  <c r="L28" i="26"/>
  <c r="K28" i="27"/>
  <c r="L68" i="26"/>
  <c r="K68" i="27"/>
  <c r="L140" i="26"/>
  <c r="K140" i="27"/>
  <c r="L53" i="26"/>
  <c r="K53" i="27"/>
  <c r="L93" i="26"/>
  <c r="K93" i="27"/>
  <c r="K14" i="27"/>
  <c r="L14" i="26"/>
  <c r="L38" i="26"/>
  <c r="K38" i="27"/>
  <c r="L25" i="26"/>
  <c r="K25" i="27"/>
  <c r="L57" i="26"/>
  <c r="K57" i="27"/>
  <c r="L89" i="26"/>
  <c r="K89" i="27"/>
  <c r="L169" i="26"/>
  <c r="K169" i="27"/>
  <c r="L226" i="28"/>
  <c r="K226" i="29"/>
  <c r="L84" i="26"/>
  <c r="K84" i="27"/>
  <c r="L264" i="28"/>
  <c r="K264" i="29"/>
  <c r="L253" i="28"/>
  <c r="K253" i="29"/>
  <c r="L208" i="28"/>
  <c r="K208" i="29"/>
  <c r="L248" i="28"/>
  <c r="K248" i="29"/>
  <c r="L256" i="28"/>
  <c r="K256" i="29"/>
  <c r="L42" i="26"/>
  <c r="K42" i="27"/>
  <c r="L74" i="26"/>
  <c r="K74" i="27"/>
  <c r="L106" i="26"/>
  <c r="K106" i="27"/>
  <c r="L138" i="26"/>
  <c r="K138" i="27"/>
  <c r="K19" i="27"/>
  <c r="L19" i="26"/>
  <c r="L67" i="26"/>
  <c r="K67" i="27"/>
  <c r="L139" i="26"/>
  <c r="K139" i="27"/>
  <c r="L249" i="28"/>
  <c r="K249" i="29"/>
  <c r="L172" i="26"/>
  <c r="K172" i="27"/>
  <c r="L203" i="28"/>
  <c r="K203" i="29"/>
  <c r="L222" i="28"/>
  <c r="K222" i="29"/>
  <c r="L62" i="26"/>
  <c r="K62" i="27"/>
  <c r="L94" i="26"/>
  <c r="K94" i="27"/>
  <c r="L166" i="26"/>
  <c r="K166" i="27"/>
  <c r="L87" i="26"/>
  <c r="K87" i="27"/>
  <c r="L113" i="26"/>
  <c r="K113" i="27"/>
  <c r="L221" i="28"/>
  <c r="K221" i="29"/>
  <c r="L224" i="28"/>
  <c r="K224" i="29"/>
  <c r="L160" i="26"/>
  <c r="K160" i="27"/>
  <c r="L60" i="26"/>
  <c r="K60" i="27"/>
  <c r="L124" i="26"/>
  <c r="K124" i="27"/>
  <c r="L133" i="26"/>
  <c r="K133" i="27"/>
  <c r="K17" i="27"/>
  <c r="L17" i="26"/>
  <c r="L49" i="26"/>
  <c r="K49" i="27"/>
  <c r="L81" i="26"/>
  <c r="K81" i="27"/>
  <c r="L165" i="26"/>
  <c r="K165" i="27"/>
  <c r="L34" i="26"/>
  <c r="K34" i="27"/>
  <c r="L98" i="26"/>
  <c r="K98" i="27"/>
  <c r="L178" i="26"/>
  <c r="K178" i="27"/>
  <c r="L123" i="26"/>
  <c r="K123" i="27"/>
  <c r="L228" i="28"/>
  <c r="K228" i="29"/>
  <c r="L54" i="26"/>
  <c r="K54" i="27"/>
  <c r="L197" i="28"/>
  <c r="K197" i="29"/>
  <c r="L204" i="28"/>
  <c r="K204" i="29"/>
  <c r="L236" i="28"/>
  <c r="K236" i="29"/>
  <c r="K263" i="29"/>
  <c r="L263" i="28"/>
  <c r="L183" i="28"/>
  <c r="K183" i="29"/>
  <c r="L244" i="28"/>
  <c r="K244" i="29"/>
  <c r="L260" i="28"/>
  <c r="K260" i="29"/>
  <c r="L186" i="28"/>
  <c r="K186" i="29"/>
  <c r="L237" i="28"/>
  <c r="K237" i="29"/>
  <c r="L86" i="26"/>
  <c r="K86" i="27"/>
  <c r="L184" i="28"/>
  <c r="K184" i="29"/>
  <c r="K216" i="29"/>
  <c r="L216" i="28"/>
  <c r="K261" i="29"/>
  <c r="L261" i="28"/>
  <c r="L39" i="26"/>
  <c r="K39" i="27"/>
  <c r="L71" i="26"/>
  <c r="K71" i="27"/>
  <c r="L103" i="26"/>
  <c r="K103" i="27"/>
  <c r="L135" i="26"/>
  <c r="K135" i="27"/>
  <c r="L175" i="26"/>
  <c r="K175" i="27"/>
  <c r="L48" i="26"/>
  <c r="K48" i="27"/>
  <c r="L128" i="26"/>
  <c r="K128" i="27"/>
  <c r="L176" i="26"/>
  <c r="K176" i="27"/>
  <c r="L145" i="26"/>
  <c r="K145" i="27"/>
  <c r="L115" i="26"/>
  <c r="K115" i="27"/>
  <c r="L157" i="26"/>
  <c r="K157" i="27"/>
  <c r="L259" i="28"/>
  <c r="K259" i="29"/>
  <c r="L158" i="26"/>
  <c r="K158" i="27"/>
  <c r="K265" i="29"/>
  <c r="L265" i="28"/>
  <c r="L189" i="28"/>
  <c r="K189" i="29"/>
  <c r="L56" i="26"/>
  <c r="K56" i="27"/>
  <c r="L193" i="28"/>
  <c r="K193" i="29"/>
  <c r="L44" i="26"/>
  <c r="K44" i="27"/>
  <c r="L92" i="26"/>
  <c r="K92" i="27"/>
  <c r="L164" i="26"/>
  <c r="K164" i="27"/>
  <c r="L61" i="26"/>
  <c r="K61" i="27"/>
  <c r="L109" i="26"/>
  <c r="K109" i="27"/>
  <c r="L255" i="28"/>
  <c r="K255" i="29"/>
  <c r="L142" i="26"/>
  <c r="K142" i="27"/>
  <c r="L33" i="26"/>
  <c r="K33" i="27"/>
  <c r="L65" i="26"/>
  <c r="K65" i="27"/>
  <c r="L105" i="26"/>
  <c r="K105" i="27"/>
  <c r="L27" i="26"/>
  <c r="K27" i="27"/>
  <c r="L217" i="28"/>
  <c r="K217" i="29"/>
  <c r="L116" i="26"/>
  <c r="K116" i="27"/>
  <c r="L206" i="28"/>
  <c r="K206" i="29"/>
  <c r="L241" i="28"/>
  <c r="K241" i="29"/>
  <c r="L254" i="28"/>
  <c r="K254" i="29"/>
  <c r="L195" i="28"/>
  <c r="K195" i="29"/>
  <c r="K18" i="27"/>
  <c r="L18" i="26"/>
  <c r="L50" i="26"/>
  <c r="K50" i="27"/>
  <c r="L82" i="26"/>
  <c r="K82" i="27"/>
  <c r="L114" i="26"/>
  <c r="K114" i="27"/>
  <c r="L162" i="26"/>
  <c r="K162" i="27"/>
  <c r="L43" i="26"/>
  <c r="K43" i="27"/>
  <c r="L83" i="26"/>
  <c r="K83" i="27"/>
  <c r="L163" i="26"/>
  <c r="K163" i="27"/>
  <c r="K20" i="27"/>
  <c r="L20" i="26"/>
  <c r="L29" i="26"/>
  <c r="K29" i="27"/>
  <c r="L258" i="28"/>
  <c r="K258" i="29"/>
  <c r="L70" i="26"/>
  <c r="K70" i="27"/>
  <c r="L110" i="26"/>
  <c r="K110" i="27"/>
  <c r="K13" i="27"/>
  <c r="L13" i="26"/>
  <c r="L23" i="26"/>
  <c r="K23" i="27"/>
  <c r="L119" i="26"/>
  <c r="K119" i="27"/>
  <c r="L32" i="26"/>
  <c r="K32" i="27"/>
  <c r="L112" i="26"/>
  <c r="K112" i="27"/>
  <c r="L144" i="26"/>
  <c r="K144" i="27"/>
  <c r="L35" i="26"/>
  <c r="K35" i="27"/>
  <c r="L179" i="26"/>
  <c r="K179" i="27"/>
  <c r="L125" i="26"/>
  <c r="K125" i="27"/>
  <c r="L102" i="26"/>
  <c r="K102" i="27"/>
  <c r="L185" i="28"/>
  <c r="K185" i="29"/>
  <c r="L45" i="26"/>
  <c r="K45" i="27"/>
  <c r="L36" i="26"/>
  <c r="K36" i="27"/>
  <c r="L201" i="28"/>
  <c r="K201" i="29"/>
  <c r="L134" i="26"/>
  <c r="K134" i="27"/>
  <c r="L210" i="28"/>
  <c r="K210" i="29"/>
  <c r="K268" i="29"/>
  <c r="L268" i="28"/>
  <c r="L188" i="28"/>
  <c r="K188" i="29"/>
  <c r="L214" i="28"/>
  <c r="K214" i="29"/>
  <c r="L88" i="26"/>
  <c r="K88" i="27"/>
  <c r="L37" i="26"/>
  <c r="K37" i="27"/>
  <c r="L192" i="28"/>
  <c r="K192" i="29"/>
  <c r="L198" i="28"/>
  <c r="K198" i="29"/>
  <c r="L234" i="28"/>
  <c r="K234" i="29"/>
  <c r="L231" i="28"/>
  <c r="K231" i="29"/>
  <c r="L252" i="28"/>
  <c r="K252" i="29"/>
  <c r="L181" i="28"/>
  <c r="K181" i="29"/>
  <c r="L247" i="28"/>
  <c r="K247" i="29"/>
  <c r="L187" i="28"/>
  <c r="K187" i="29"/>
  <c r="L219" i="28"/>
  <c r="K219" i="29"/>
  <c r="K30" i="27"/>
  <c r="L30" i="26"/>
  <c r="L150" i="26"/>
  <c r="K150" i="27"/>
  <c r="L151" i="26"/>
  <c r="K151" i="27"/>
  <c r="L154" i="26"/>
  <c r="K154" i="27"/>
  <c r="L147" i="26"/>
  <c r="K147" i="27"/>
  <c r="L152" i="26"/>
  <c r="K152" i="27"/>
  <c r="L146" i="26"/>
  <c r="K146" i="27"/>
  <c r="K270" i="26"/>
  <c r="L270" i="26" s="1"/>
  <c r="L153" i="26"/>
  <c r="K153" i="27"/>
  <c r="L148" i="26"/>
  <c r="K148" i="27"/>
  <c r="L155" i="26"/>
  <c r="K155" i="27"/>
  <c r="L149" i="26"/>
  <c r="K149" i="27"/>
  <c r="L156" i="26"/>
  <c r="K156" i="27"/>
  <c r="L267" i="32" l="1"/>
  <c r="K267" i="33"/>
  <c r="L181" i="29"/>
  <c r="K181" i="30"/>
  <c r="K134" i="28"/>
  <c r="L134" i="27"/>
  <c r="K70" i="28"/>
  <c r="L70" i="27"/>
  <c r="L115" i="27"/>
  <c r="K115" i="28"/>
  <c r="L48" i="27"/>
  <c r="K48" i="28"/>
  <c r="L228" i="29"/>
  <c r="K228" i="30"/>
  <c r="K87" i="28"/>
  <c r="L87" i="27"/>
  <c r="L222" i="29"/>
  <c r="K222" i="30"/>
  <c r="L139" i="27"/>
  <c r="K139" i="28"/>
  <c r="L106" i="27"/>
  <c r="K106" i="28"/>
  <c r="L248" i="29"/>
  <c r="K248" i="30"/>
  <c r="L84" i="27"/>
  <c r="K84" i="28"/>
  <c r="L57" i="27"/>
  <c r="K57" i="28"/>
  <c r="L93" i="27"/>
  <c r="K93" i="28"/>
  <c r="K28" i="28"/>
  <c r="L28" i="27"/>
  <c r="L207" i="29"/>
  <c r="K207" i="30"/>
  <c r="L238" i="29"/>
  <c r="K238" i="30"/>
  <c r="L141" i="27"/>
  <c r="K141" i="28"/>
  <c r="L91" i="27"/>
  <c r="K91" i="28"/>
  <c r="L80" i="27"/>
  <c r="K80" i="28"/>
  <c r="L95" i="27"/>
  <c r="K95" i="28"/>
  <c r="L240" i="29"/>
  <c r="K240" i="30"/>
  <c r="L202" i="29"/>
  <c r="K202" i="30"/>
  <c r="K72" i="28"/>
  <c r="L72" i="27"/>
  <c r="L220" i="29"/>
  <c r="K220" i="30"/>
  <c r="L199" i="29"/>
  <c r="K199" i="30"/>
  <c r="K171" i="28"/>
  <c r="L171" i="27"/>
  <c r="L46" i="27"/>
  <c r="K46" i="28"/>
  <c r="L233" i="29"/>
  <c r="K233" i="30"/>
  <c r="L122" i="27"/>
  <c r="K122" i="28"/>
  <c r="K229" i="30"/>
  <c r="L229" i="29"/>
  <c r="L107" i="27"/>
  <c r="K107" i="28"/>
  <c r="K21" i="28"/>
  <c r="L21" i="27"/>
  <c r="L75" i="27"/>
  <c r="K75" i="28"/>
  <c r="L243" i="29"/>
  <c r="K243" i="30"/>
  <c r="L101" i="27"/>
  <c r="K101" i="28"/>
  <c r="L97" i="27"/>
  <c r="K97" i="28"/>
  <c r="K24" i="28"/>
  <c r="L24" i="27"/>
  <c r="L47" i="27"/>
  <c r="K47" i="28"/>
  <c r="L195" i="29"/>
  <c r="K195" i="30"/>
  <c r="L17" i="27"/>
  <c r="K17" i="28"/>
  <c r="L225" i="29"/>
  <c r="K225" i="30"/>
  <c r="L136" i="27"/>
  <c r="K136" i="28"/>
  <c r="L143" i="27"/>
  <c r="K143" i="28"/>
  <c r="K214" i="30"/>
  <c r="L214" i="29"/>
  <c r="L35" i="27"/>
  <c r="K35" i="28"/>
  <c r="K44" i="28"/>
  <c r="L44" i="27"/>
  <c r="K260" i="30"/>
  <c r="L260" i="29"/>
  <c r="L30" i="27"/>
  <c r="K30" i="28"/>
  <c r="K265" i="30"/>
  <c r="L265" i="29"/>
  <c r="K262" i="30"/>
  <c r="L262" i="29"/>
  <c r="L219" i="29"/>
  <c r="K219" i="30"/>
  <c r="L192" i="29"/>
  <c r="K192" i="30"/>
  <c r="L188" i="29"/>
  <c r="K188" i="30"/>
  <c r="L201" i="29"/>
  <c r="K201" i="30"/>
  <c r="K102" i="28"/>
  <c r="L102" i="27"/>
  <c r="L144" i="27"/>
  <c r="K144" i="28"/>
  <c r="L23" i="27"/>
  <c r="K23" i="28"/>
  <c r="L258" i="29"/>
  <c r="K258" i="30"/>
  <c r="L83" i="27"/>
  <c r="K83" i="28"/>
  <c r="L82" i="27"/>
  <c r="K82" i="28"/>
  <c r="L217" i="29"/>
  <c r="K217" i="30"/>
  <c r="L61" i="27"/>
  <c r="K61" i="28"/>
  <c r="K39" i="28"/>
  <c r="L39" i="27"/>
  <c r="L244" i="29"/>
  <c r="K244" i="30"/>
  <c r="L165" i="27"/>
  <c r="K165" i="28"/>
  <c r="L224" i="29"/>
  <c r="K224" i="30"/>
  <c r="L166" i="27"/>
  <c r="K166" i="28"/>
  <c r="L67" i="27"/>
  <c r="K67" i="28"/>
  <c r="L74" i="27"/>
  <c r="K74" i="28"/>
  <c r="L208" i="29"/>
  <c r="K208" i="30"/>
  <c r="K213" i="30"/>
  <c r="L213" i="29"/>
  <c r="K180" i="28"/>
  <c r="L180" i="27"/>
  <c r="L194" i="29"/>
  <c r="K194" i="30"/>
  <c r="L104" i="27"/>
  <c r="K104" i="28"/>
  <c r="L15" i="27"/>
  <c r="K15" i="28"/>
  <c r="L254" i="29"/>
  <c r="K254" i="30"/>
  <c r="L33" i="27"/>
  <c r="K33" i="28"/>
  <c r="L193" i="29"/>
  <c r="K193" i="30"/>
  <c r="L158" i="27"/>
  <c r="K158" i="28"/>
  <c r="L145" i="27"/>
  <c r="K145" i="28"/>
  <c r="L175" i="27"/>
  <c r="K175" i="28"/>
  <c r="K86" i="28"/>
  <c r="L86" i="27"/>
  <c r="L204" i="29"/>
  <c r="K204" i="30"/>
  <c r="K123" i="28"/>
  <c r="L123" i="27"/>
  <c r="L133" i="27"/>
  <c r="K133" i="28"/>
  <c r="L203" i="29"/>
  <c r="K203" i="30"/>
  <c r="L226" i="29"/>
  <c r="K226" i="30"/>
  <c r="L25" i="27"/>
  <c r="K25" i="28"/>
  <c r="L53" i="27"/>
  <c r="K53" i="28"/>
  <c r="K230" i="30"/>
  <c r="L230" i="29"/>
  <c r="L126" i="27"/>
  <c r="K126" i="28"/>
  <c r="L129" i="27"/>
  <c r="K129" i="28"/>
  <c r="K40" i="28"/>
  <c r="L40" i="27"/>
  <c r="L63" i="27"/>
  <c r="K63" i="28"/>
  <c r="K59" i="28"/>
  <c r="L59" i="27"/>
  <c r="K55" i="28"/>
  <c r="L55" i="27"/>
  <c r="L232" i="29"/>
  <c r="K232" i="30"/>
  <c r="L196" i="29"/>
  <c r="K196" i="30"/>
  <c r="L257" i="29"/>
  <c r="K257" i="30"/>
  <c r="L190" i="29"/>
  <c r="K190" i="30"/>
  <c r="L99" i="27"/>
  <c r="K99" i="28"/>
  <c r="K90" i="28"/>
  <c r="L90" i="27"/>
  <c r="L250" i="29"/>
  <c r="K250" i="30"/>
  <c r="L121" i="27"/>
  <c r="K121" i="28"/>
  <c r="L242" i="29"/>
  <c r="K242" i="30"/>
  <c r="L108" i="27"/>
  <c r="K108" i="28"/>
  <c r="L174" i="27"/>
  <c r="K174" i="28"/>
  <c r="L187" i="29"/>
  <c r="K187" i="30"/>
  <c r="L231" i="29"/>
  <c r="K231" i="30"/>
  <c r="K37" i="28"/>
  <c r="L37" i="27"/>
  <c r="L36" i="27"/>
  <c r="K36" i="28"/>
  <c r="L125" i="27"/>
  <c r="K125" i="28"/>
  <c r="L112" i="27"/>
  <c r="K112" i="28"/>
  <c r="L29" i="27"/>
  <c r="K29" i="28"/>
  <c r="L43" i="27"/>
  <c r="K43" i="28"/>
  <c r="L50" i="27"/>
  <c r="K50" i="28"/>
  <c r="L241" i="29"/>
  <c r="K241" i="30"/>
  <c r="L27" i="27"/>
  <c r="K27" i="28"/>
  <c r="L142" i="27"/>
  <c r="K142" i="28"/>
  <c r="L164" i="27"/>
  <c r="K164" i="28"/>
  <c r="L56" i="27"/>
  <c r="K56" i="28"/>
  <c r="K259" i="30"/>
  <c r="L259" i="29"/>
  <c r="L176" i="27"/>
  <c r="K176" i="28"/>
  <c r="L135" i="27"/>
  <c r="K135" i="28"/>
  <c r="L237" i="29"/>
  <c r="K237" i="30"/>
  <c r="L183" i="29"/>
  <c r="K183" i="30"/>
  <c r="K197" i="30"/>
  <c r="L197" i="29"/>
  <c r="L178" i="27"/>
  <c r="K178" i="28"/>
  <c r="L81" i="27"/>
  <c r="K81" i="28"/>
  <c r="K124" i="28"/>
  <c r="L124" i="27"/>
  <c r="L221" i="29"/>
  <c r="K221" i="30"/>
  <c r="L94" i="27"/>
  <c r="K94" i="28"/>
  <c r="K172" i="28"/>
  <c r="L172" i="27"/>
  <c r="L42" i="27"/>
  <c r="K42" i="28"/>
  <c r="L253" i="29"/>
  <c r="K253" i="30"/>
  <c r="L169" i="27"/>
  <c r="K169" i="28"/>
  <c r="L38" i="27"/>
  <c r="K38" i="28"/>
  <c r="K140" i="28"/>
  <c r="L140" i="27"/>
  <c r="L177" i="27"/>
  <c r="K177" i="28"/>
  <c r="L191" i="29"/>
  <c r="K191" i="30"/>
  <c r="L223" i="29"/>
  <c r="K223" i="30"/>
  <c r="L168" i="27"/>
  <c r="K168" i="28"/>
  <c r="L167" i="27"/>
  <c r="K167" i="28"/>
  <c r="L31" i="27"/>
  <c r="K31" i="28"/>
  <c r="L130" i="27"/>
  <c r="K130" i="28"/>
  <c r="L77" i="27"/>
  <c r="K77" i="28"/>
  <c r="L235" i="29"/>
  <c r="K235" i="30"/>
  <c r="K218" i="30"/>
  <c r="L218" i="29"/>
  <c r="L212" i="29"/>
  <c r="K212" i="30"/>
  <c r="K118" i="28"/>
  <c r="L118" i="27"/>
  <c r="K246" i="30"/>
  <c r="K246" i="31" s="1"/>
  <c r="K246" i="32" s="1"/>
  <c r="L246" i="29"/>
  <c r="L51" i="27"/>
  <c r="K51" i="28"/>
  <c r="L58" i="27"/>
  <c r="K58" i="28"/>
  <c r="L85" i="27"/>
  <c r="K85" i="28"/>
  <c r="L73" i="27"/>
  <c r="K73" i="28"/>
  <c r="K117" i="28"/>
  <c r="L117" i="27"/>
  <c r="L52" i="27"/>
  <c r="K52" i="28"/>
  <c r="K182" i="30"/>
  <c r="L182" i="29"/>
  <c r="L22" i="27"/>
  <c r="K22" i="28"/>
  <c r="L131" i="27"/>
  <c r="K131" i="28"/>
  <c r="L96" i="27"/>
  <c r="K96" i="28"/>
  <c r="L111" i="27"/>
  <c r="K111" i="28"/>
  <c r="L205" i="29"/>
  <c r="K205" i="30"/>
  <c r="L19" i="27"/>
  <c r="K19" i="28"/>
  <c r="K266" i="30"/>
  <c r="L266" i="29"/>
  <c r="L198" i="29"/>
  <c r="K198" i="30"/>
  <c r="K185" i="30"/>
  <c r="L185" i="29"/>
  <c r="K119" i="28"/>
  <c r="L119" i="27"/>
  <c r="L163" i="27"/>
  <c r="K163" i="28"/>
  <c r="L114" i="27"/>
  <c r="K114" i="28"/>
  <c r="L116" i="27"/>
  <c r="K116" i="28"/>
  <c r="L65" i="27"/>
  <c r="K65" i="28"/>
  <c r="L109" i="27"/>
  <c r="K109" i="28"/>
  <c r="K71" i="28"/>
  <c r="L71" i="27"/>
  <c r="L184" i="29"/>
  <c r="K184" i="30"/>
  <c r="K236" i="30"/>
  <c r="L236" i="29"/>
  <c r="L34" i="27"/>
  <c r="K34" i="28"/>
  <c r="L160" i="27"/>
  <c r="K160" i="28"/>
  <c r="L252" i="29"/>
  <c r="K252" i="30"/>
  <c r="L268" i="29"/>
  <c r="K268" i="30"/>
  <c r="L13" i="27"/>
  <c r="K13" i="28"/>
  <c r="L261" i="29"/>
  <c r="K261" i="30"/>
  <c r="L186" i="29"/>
  <c r="K186" i="30"/>
  <c r="L54" i="27"/>
  <c r="K54" i="28"/>
  <c r="L98" i="27"/>
  <c r="K98" i="28"/>
  <c r="L49" i="27"/>
  <c r="K49" i="28"/>
  <c r="K60" i="28"/>
  <c r="L60" i="27"/>
  <c r="L113" i="27"/>
  <c r="K113" i="28"/>
  <c r="L62" i="27"/>
  <c r="K62" i="28"/>
  <c r="L249" i="29"/>
  <c r="K249" i="30"/>
  <c r="L138" i="27"/>
  <c r="K138" i="28"/>
  <c r="L256" i="29"/>
  <c r="K256" i="30"/>
  <c r="L264" i="29"/>
  <c r="K264" i="30"/>
  <c r="L89" i="27"/>
  <c r="K89" i="28"/>
  <c r="L68" i="27"/>
  <c r="K68" i="28"/>
  <c r="L251" i="29"/>
  <c r="K251" i="30"/>
  <c r="L209" i="29"/>
  <c r="K209" i="30"/>
  <c r="L200" i="29"/>
  <c r="K200" i="30"/>
  <c r="K120" i="28"/>
  <c r="L120" i="27"/>
  <c r="L127" i="27"/>
  <c r="K127" i="28"/>
  <c r="L132" i="27"/>
  <c r="K132" i="28"/>
  <c r="L66" i="27"/>
  <c r="K66" i="28"/>
  <c r="K76" i="28"/>
  <c r="L76" i="27"/>
  <c r="K245" i="30"/>
  <c r="L245" i="29"/>
  <c r="L215" i="29"/>
  <c r="K215" i="30"/>
  <c r="L137" i="27"/>
  <c r="K137" i="28"/>
  <c r="L78" i="27"/>
  <c r="K78" i="28"/>
  <c r="L100" i="27"/>
  <c r="K100" i="28"/>
  <c r="K170" i="28"/>
  <c r="L170" i="27"/>
  <c r="K26" i="28"/>
  <c r="L26" i="27"/>
  <c r="L227" i="29"/>
  <c r="K227" i="30"/>
  <c r="L41" i="27"/>
  <c r="K41" i="28"/>
  <c r="K69" i="28"/>
  <c r="L69" i="27"/>
  <c r="L239" i="29"/>
  <c r="K239" i="30"/>
  <c r="L211" i="29"/>
  <c r="K211" i="30"/>
  <c r="L173" i="27"/>
  <c r="K173" i="28"/>
  <c r="L161" i="27"/>
  <c r="K161" i="28"/>
  <c r="L64" i="27"/>
  <c r="K64" i="28"/>
  <c r="L79" i="27"/>
  <c r="K79" i="28"/>
  <c r="L159" i="27"/>
  <c r="K159" i="28"/>
  <c r="L247" i="29"/>
  <c r="K247" i="30"/>
  <c r="L234" i="29"/>
  <c r="K234" i="30"/>
  <c r="K88" i="28"/>
  <c r="L88" i="27"/>
  <c r="L210" i="29"/>
  <c r="K210" i="30"/>
  <c r="L45" i="27"/>
  <c r="K45" i="28"/>
  <c r="L179" i="27"/>
  <c r="K179" i="28"/>
  <c r="L32" i="27"/>
  <c r="K32" i="28"/>
  <c r="L110" i="27"/>
  <c r="K110" i="28"/>
  <c r="L162" i="27"/>
  <c r="K162" i="28"/>
  <c r="L206" i="29"/>
  <c r="K206" i="30"/>
  <c r="L105" i="27"/>
  <c r="K105" i="28"/>
  <c r="L255" i="29"/>
  <c r="K255" i="30"/>
  <c r="L92" i="27"/>
  <c r="K92" i="28"/>
  <c r="L189" i="29"/>
  <c r="K189" i="30"/>
  <c r="L157" i="27"/>
  <c r="K157" i="28"/>
  <c r="L128" i="27"/>
  <c r="K128" i="28"/>
  <c r="K103" i="28"/>
  <c r="L103" i="27"/>
  <c r="L20" i="27"/>
  <c r="K20" i="28"/>
  <c r="L18" i="27"/>
  <c r="K18" i="28"/>
  <c r="L216" i="29"/>
  <c r="K216" i="30"/>
  <c r="K263" i="30"/>
  <c r="L263" i="29"/>
  <c r="L14" i="27"/>
  <c r="K14" i="28"/>
  <c r="L16" i="27"/>
  <c r="K16" i="28"/>
  <c r="L147" i="27"/>
  <c r="K147" i="28"/>
  <c r="L153" i="27"/>
  <c r="K153" i="28"/>
  <c r="L146" i="27"/>
  <c r="K146" i="28"/>
  <c r="K270" i="27"/>
  <c r="L270" i="27" s="1"/>
  <c r="L152" i="27"/>
  <c r="K152" i="28"/>
  <c r="K155" i="28"/>
  <c r="L155" i="27"/>
  <c r="K150" i="28"/>
  <c r="L150" i="27"/>
  <c r="K156" i="28"/>
  <c r="L156" i="27"/>
  <c r="L154" i="27"/>
  <c r="K154" i="28"/>
  <c r="K149" i="28"/>
  <c r="L149" i="27"/>
  <c r="L151" i="27"/>
  <c r="K151" i="28"/>
  <c r="L148" i="27"/>
  <c r="K148" i="28"/>
  <c r="K267" i="36" l="1"/>
  <c r="L267" i="33"/>
  <c r="L246" i="32"/>
  <c r="K246" i="33"/>
  <c r="L105" i="28"/>
  <c r="K105" i="29"/>
  <c r="L79" i="28"/>
  <c r="K79" i="29"/>
  <c r="L22" i="28"/>
  <c r="K22" i="29"/>
  <c r="L177" i="28"/>
  <c r="K177" i="29"/>
  <c r="L126" i="28"/>
  <c r="K126" i="29"/>
  <c r="L84" i="28"/>
  <c r="K84" i="29"/>
  <c r="L222" i="30"/>
  <c r="K222" i="31"/>
  <c r="L115" i="28"/>
  <c r="K115" i="29"/>
  <c r="K88" i="29"/>
  <c r="L88" i="28"/>
  <c r="K76" i="29"/>
  <c r="L76" i="28"/>
  <c r="L120" i="28"/>
  <c r="K120" i="29"/>
  <c r="L60" i="28"/>
  <c r="K60" i="29"/>
  <c r="L185" i="30"/>
  <c r="K185" i="31"/>
  <c r="L246" i="30"/>
  <c r="L197" i="30"/>
  <c r="K197" i="31"/>
  <c r="K59" i="29"/>
  <c r="L59" i="28"/>
  <c r="L213" i="30"/>
  <c r="K213" i="31"/>
  <c r="L39" i="28"/>
  <c r="K39" i="29"/>
  <c r="L102" i="28"/>
  <c r="K102" i="29"/>
  <c r="L260" i="30"/>
  <c r="K260" i="31"/>
  <c r="L72" i="28"/>
  <c r="K72" i="29"/>
  <c r="L16" i="28"/>
  <c r="K16" i="29"/>
  <c r="K252" i="31"/>
  <c r="L252" i="30"/>
  <c r="L176" i="28"/>
  <c r="K176" i="29"/>
  <c r="L142" i="28"/>
  <c r="K142" i="29"/>
  <c r="L36" i="28"/>
  <c r="K36" i="29"/>
  <c r="L174" i="28"/>
  <c r="K174" i="29"/>
  <c r="L15" i="28"/>
  <c r="K15" i="29"/>
  <c r="L195" i="30"/>
  <c r="K195" i="31"/>
  <c r="L80" i="28"/>
  <c r="K80" i="29"/>
  <c r="K14" i="29"/>
  <c r="L14" i="28"/>
  <c r="L179" i="28"/>
  <c r="K179" i="29"/>
  <c r="L89" i="28"/>
  <c r="K89" i="29"/>
  <c r="L108" i="28"/>
  <c r="K108" i="29"/>
  <c r="L196" i="30"/>
  <c r="K196" i="31"/>
  <c r="L203" i="30"/>
  <c r="K203" i="31"/>
  <c r="L193" i="30"/>
  <c r="K193" i="31"/>
  <c r="L224" i="30"/>
  <c r="K224" i="31"/>
  <c r="L258" i="30"/>
  <c r="K258" i="31"/>
  <c r="L243" i="30"/>
  <c r="K243" i="31"/>
  <c r="L90" i="28"/>
  <c r="K90" i="29"/>
  <c r="L230" i="30"/>
  <c r="K230" i="31"/>
  <c r="L86" i="28"/>
  <c r="K86" i="29"/>
  <c r="L262" i="30"/>
  <c r="K262" i="31"/>
  <c r="L44" i="28"/>
  <c r="K44" i="29"/>
  <c r="L229" i="30"/>
  <c r="K229" i="31"/>
  <c r="L171" i="28"/>
  <c r="K171" i="29"/>
  <c r="L28" i="28"/>
  <c r="K28" i="29"/>
  <c r="L87" i="28"/>
  <c r="K87" i="29"/>
  <c r="L70" i="28"/>
  <c r="K70" i="29"/>
  <c r="L18" i="28"/>
  <c r="K18" i="29"/>
  <c r="L32" i="28"/>
  <c r="K32" i="29"/>
  <c r="L78" i="28"/>
  <c r="K78" i="29"/>
  <c r="L186" i="30"/>
  <c r="K186" i="31"/>
  <c r="L184" i="30"/>
  <c r="K184" i="31"/>
  <c r="L205" i="30"/>
  <c r="K205" i="31"/>
  <c r="L73" i="28"/>
  <c r="K73" i="29"/>
  <c r="L167" i="28"/>
  <c r="K167" i="29"/>
  <c r="L253" i="30"/>
  <c r="K253" i="31"/>
  <c r="L221" i="30"/>
  <c r="K221" i="31"/>
  <c r="L250" i="30"/>
  <c r="K250" i="31"/>
  <c r="L143" i="28"/>
  <c r="K143" i="29"/>
  <c r="L101" i="28"/>
  <c r="K101" i="29"/>
  <c r="L207" i="30"/>
  <c r="K207" i="31"/>
  <c r="L20" i="28"/>
  <c r="K20" i="29"/>
  <c r="L239" i="30"/>
  <c r="K239" i="31"/>
  <c r="L66" i="28"/>
  <c r="K66" i="29"/>
  <c r="K200" i="31"/>
  <c r="L200" i="30"/>
  <c r="K249" i="31"/>
  <c r="L249" i="30"/>
  <c r="K198" i="31"/>
  <c r="L198" i="30"/>
  <c r="K168" i="29"/>
  <c r="L168" i="28"/>
  <c r="L183" i="30"/>
  <c r="K183" i="31"/>
  <c r="L63" i="28"/>
  <c r="K63" i="29"/>
  <c r="L208" i="30"/>
  <c r="K208" i="31"/>
  <c r="L248" i="30"/>
  <c r="K248" i="31"/>
  <c r="L26" i="28"/>
  <c r="K26" i="29"/>
  <c r="K182" i="31"/>
  <c r="L182" i="30"/>
  <c r="L140" i="28"/>
  <c r="K140" i="29"/>
  <c r="L259" i="30"/>
  <c r="K259" i="31"/>
  <c r="K92" i="29"/>
  <c r="L92" i="28"/>
  <c r="L264" i="30"/>
  <c r="K264" i="31"/>
  <c r="L62" i="28"/>
  <c r="K62" i="29"/>
  <c r="K13" i="29"/>
  <c r="L13" i="28"/>
  <c r="L34" i="28"/>
  <c r="K34" i="29"/>
  <c r="L109" i="28"/>
  <c r="K109" i="29"/>
  <c r="L163" i="28"/>
  <c r="K163" i="29"/>
  <c r="L96" i="28"/>
  <c r="K96" i="29"/>
  <c r="L52" i="28"/>
  <c r="K52" i="29"/>
  <c r="L58" i="28"/>
  <c r="K58" i="29"/>
  <c r="L212" i="30"/>
  <c r="K212" i="31"/>
  <c r="L130" i="28"/>
  <c r="K130" i="29"/>
  <c r="L223" i="30"/>
  <c r="K223" i="31"/>
  <c r="L38" i="28"/>
  <c r="K38" i="29"/>
  <c r="L81" i="28"/>
  <c r="K81" i="29"/>
  <c r="L237" i="30"/>
  <c r="K237" i="31"/>
  <c r="L56" i="28"/>
  <c r="K56" i="29"/>
  <c r="L241" i="30"/>
  <c r="K241" i="31"/>
  <c r="L112" i="28"/>
  <c r="K112" i="29"/>
  <c r="L231" i="30"/>
  <c r="K231" i="31"/>
  <c r="L242" i="30"/>
  <c r="K242" i="31"/>
  <c r="L99" i="28"/>
  <c r="K99" i="29"/>
  <c r="K232" i="31"/>
  <c r="L232" i="30"/>
  <c r="L53" i="28"/>
  <c r="K53" i="29"/>
  <c r="L133" i="28"/>
  <c r="K133" i="29"/>
  <c r="L175" i="28"/>
  <c r="K175" i="29"/>
  <c r="L33" i="28"/>
  <c r="K33" i="29"/>
  <c r="L194" i="30"/>
  <c r="K194" i="31"/>
  <c r="L74" i="28"/>
  <c r="K74" i="29"/>
  <c r="L165" i="28"/>
  <c r="K165" i="29"/>
  <c r="K217" i="31"/>
  <c r="L217" i="30"/>
  <c r="L23" i="28"/>
  <c r="K23" i="29"/>
  <c r="K188" i="31"/>
  <c r="L188" i="30"/>
  <c r="L35" i="28"/>
  <c r="K35" i="29"/>
  <c r="L225" i="30"/>
  <c r="K225" i="31"/>
  <c r="L75" i="28"/>
  <c r="K75" i="29"/>
  <c r="L122" i="28"/>
  <c r="K122" i="29"/>
  <c r="L199" i="30"/>
  <c r="K199" i="31"/>
  <c r="L240" i="30"/>
  <c r="K240" i="31"/>
  <c r="L141" i="28"/>
  <c r="K141" i="29"/>
  <c r="L93" i="28"/>
  <c r="K93" i="29"/>
  <c r="L106" i="28"/>
  <c r="K106" i="29"/>
  <c r="L228" i="30"/>
  <c r="K228" i="31"/>
  <c r="L226" i="30"/>
  <c r="K226" i="31"/>
  <c r="K219" i="31"/>
  <c r="L219" i="30"/>
  <c r="L234" i="30"/>
  <c r="K234" i="31"/>
  <c r="L49" i="28"/>
  <c r="K49" i="29"/>
  <c r="L29" i="28"/>
  <c r="K29" i="29"/>
  <c r="L91" i="28"/>
  <c r="K91" i="29"/>
  <c r="L118" i="28"/>
  <c r="K118" i="29"/>
  <c r="L45" i="28"/>
  <c r="K45" i="29"/>
  <c r="L209" i="30"/>
  <c r="K209" i="31"/>
  <c r="L263" i="30"/>
  <c r="K263" i="31"/>
  <c r="L103" i="28"/>
  <c r="K103" i="29"/>
  <c r="L69" i="28"/>
  <c r="K69" i="29"/>
  <c r="L170" i="28"/>
  <c r="K170" i="29"/>
  <c r="L266" i="30"/>
  <c r="K266" i="31"/>
  <c r="L172" i="28"/>
  <c r="K172" i="29"/>
  <c r="L40" i="28"/>
  <c r="K40" i="29"/>
  <c r="L265" i="30"/>
  <c r="K265" i="31"/>
  <c r="L24" i="28"/>
  <c r="K24" i="29"/>
  <c r="L134" i="28"/>
  <c r="K134" i="29"/>
  <c r="L157" i="28"/>
  <c r="K157" i="29"/>
  <c r="L211" i="30"/>
  <c r="K211" i="31"/>
  <c r="L138" i="28"/>
  <c r="K138" i="29"/>
  <c r="L257" i="30"/>
  <c r="K257" i="31"/>
  <c r="L46" i="28"/>
  <c r="K46" i="29"/>
  <c r="L189" i="30"/>
  <c r="K189" i="31"/>
  <c r="L64" i="28"/>
  <c r="K64" i="29"/>
  <c r="L137" i="28"/>
  <c r="K137" i="29"/>
  <c r="L261" i="30"/>
  <c r="K261" i="31"/>
  <c r="L160" i="28"/>
  <c r="K160" i="29"/>
  <c r="L114" i="28"/>
  <c r="K114" i="29"/>
  <c r="L111" i="28"/>
  <c r="K111" i="29"/>
  <c r="L85" i="28"/>
  <c r="K85" i="29"/>
  <c r="L77" i="28"/>
  <c r="K77" i="29"/>
  <c r="L42" i="28"/>
  <c r="K42" i="29"/>
  <c r="L27" i="28"/>
  <c r="K27" i="29"/>
  <c r="L104" i="28"/>
  <c r="K104" i="29"/>
  <c r="L61" i="28"/>
  <c r="K61" i="29"/>
  <c r="K201" i="31"/>
  <c r="L201" i="30"/>
  <c r="L136" i="28"/>
  <c r="K136" i="29"/>
  <c r="K202" i="31"/>
  <c r="L202" i="30"/>
  <c r="L124" i="28"/>
  <c r="K124" i="29"/>
  <c r="L161" i="28"/>
  <c r="K161" i="29"/>
  <c r="L215" i="30"/>
  <c r="K215" i="31"/>
  <c r="L132" i="28"/>
  <c r="K132" i="29"/>
  <c r="L98" i="28"/>
  <c r="K98" i="29"/>
  <c r="K216" i="31"/>
  <c r="L216" i="30"/>
  <c r="L128" i="28"/>
  <c r="K128" i="29"/>
  <c r="L255" i="30"/>
  <c r="K255" i="31"/>
  <c r="L110" i="28"/>
  <c r="K110" i="29"/>
  <c r="L210" i="30"/>
  <c r="K210" i="31"/>
  <c r="L159" i="28"/>
  <c r="K159" i="29"/>
  <c r="L173" i="28"/>
  <c r="K173" i="29"/>
  <c r="L41" i="28"/>
  <c r="K41" i="29"/>
  <c r="L100" i="28"/>
  <c r="K100" i="29"/>
  <c r="L127" i="28"/>
  <c r="K127" i="29"/>
  <c r="K251" i="31"/>
  <c r="L251" i="30"/>
  <c r="L256" i="30"/>
  <c r="K256" i="31"/>
  <c r="L113" i="28"/>
  <c r="K113" i="29"/>
  <c r="L54" i="28"/>
  <c r="K54" i="29"/>
  <c r="L268" i="30"/>
  <c r="K268" i="31"/>
  <c r="L65" i="28"/>
  <c r="K65" i="29"/>
  <c r="L19" i="28"/>
  <c r="K19" i="29"/>
  <c r="L131" i="28"/>
  <c r="K131" i="29"/>
  <c r="L51" i="28"/>
  <c r="K51" i="29"/>
  <c r="L31" i="28"/>
  <c r="K31" i="29"/>
  <c r="L191" i="30"/>
  <c r="K191" i="31"/>
  <c r="L169" i="28"/>
  <c r="K169" i="29"/>
  <c r="L94" i="28"/>
  <c r="K94" i="29"/>
  <c r="L178" i="28"/>
  <c r="K178" i="29"/>
  <c r="L135" i="28"/>
  <c r="K135" i="29"/>
  <c r="L164" i="28"/>
  <c r="K164" i="29"/>
  <c r="L50" i="28"/>
  <c r="K50" i="29"/>
  <c r="L125" i="28"/>
  <c r="K125" i="29"/>
  <c r="K187" i="31"/>
  <c r="L187" i="30"/>
  <c r="L121" i="28"/>
  <c r="K121" i="29"/>
  <c r="L190" i="30"/>
  <c r="K190" i="31"/>
  <c r="L129" i="28"/>
  <c r="K129" i="29"/>
  <c r="L25" i="28"/>
  <c r="K25" i="29"/>
  <c r="L145" i="28"/>
  <c r="K145" i="29"/>
  <c r="L254" i="30"/>
  <c r="K254" i="31"/>
  <c r="L67" i="28"/>
  <c r="K67" i="29"/>
  <c r="L244" i="30"/>
  <c r="K244" i="31"/>
  <c r="L82" i="28"/>
  <c r="K82" i="29"/>
  <c r="L144" i="28"/>
  <c r="K144" i="29"/>
  <c r="L192" i="30"/>
  <c r="K192" i="31"/>
  <c r="L30" i="28"/>
  <c r="K30" i="29"/>
  <c r="L17" i="28"/>
  <c r="K17" i="29"/>
  <c r="L97" i="28"/>
  <c r="K97" i="29"/>
  <c r="L233" i="30"/>
  <c r="K233" i="31"/>
  <c r="K220" i="31"/>
  <c r="L220" i="30"/>
  <c r="L95" i="28"/>
  <c r="K95" i="29"/>
  <c r="L238" i="30"/>
  <c r="K238" i="31"/>
  <c r="L57" i="28"/>
  <c r="K57" i="29"/>
  <c r="L139" i="28"/>
  <c r="K139" i="29"/>
  <c r="L48" i="28"/>
  <c r="K48" i="29"/>
  <c r="L181" i="30"/>
  <c r="K181" i="31"/>
  <c r="L227" i="30"/>
  <c r="K227" i="31"/>
  <c r="L68" i="28"/>
  <c r="K68" i="29"/>
  <c r="L116" i="28"/>
  <c r="K116" i="29"/>
  <c r="K235" i="31"/>
  <c r="L235" i="30"/>
  <c r="K43" i="29"/>
  <c r="L43" i="28"/>
  <c r="K204" i="31"/>
  <c r="L204" i="30"/>
  <c r="L158" i="28"/>
  <c r="K158" i="29"/>
  <c r="L166" i="28"/>
  <c r="K166" i="29"/>
  <c r="L83" i="28"/>
  <c r="K83" i="29"/>
  <c r="L107" i="28"/>
  <c r="K107" i="29"/>
  <c r="L206" i="30"/>
  <c r="K206" i="31"/>
  <c r="L47" i="28"/>
  <c r="K47" i="29"/>
  <c r="L71" i="28"/>
  <c r="K71" i="29"/>
  <c r="L37" i="28"/>
  <c r="K37" i="29"/>
  <c r="L162" i="28"/>
  <c r="K162" i="29"/>
  <c r="L247" i="30"/>
  <c r="K247" i="31"/>
  <c r="K245" i="31"/>
  <c r="L245" i="30"/>
  <c r="K236" i="31"/>
  <c r="L236" i="30"/>
  <c r="L119" i="28"/>
  <c r="K119" i="29"/>
  <c r="L117" i="28"/>
  <c r="K117" i="29"/>
  <c r="L218" i="30"/>
  <c r="K218" i="31"/>
  <c r="L55" i="28"/>
  <c r="K55" i="29"/>
  <c r="L123" i="28"/>
  <c r="K123" i="29"/>
  <c r="L180" i="28"/>
  <c r="K180" i="29"/>
  <c r="K214" i="31"/>
  <c r="L214" i="30"/>
  <c r="L21" i="28"/>
  <c r="K21" i="29"/>
  <c r="L150" i="28"/>
  <c r="K150" i="29"/>
  <c r="L156" i="28"/>
  <c r="K156" i="29"/>
  <c r="L155" i="28"/>
  <c r="K155" i="29"/>
  <c r="L148" i="28"/>
  <c r="K148" i="29"/>
  <c r="L151" i="28"/>
  <c r="K151" i="29"/>
  <c r="K152" i="29"/>
  <c r="L152" i="28"/>
  <c r="L146" i="28"/>
  <c r="K146" i="29"/>
  <c r="K270" i="28"/>
  <c r="L270" i="28" s="1"/>
  <c r="L149" i="28"/>
  <c r="K149" i="29"/>
  <c r="L147" i="28"/>
  <c r="K147" i="29"/>
  <c r="L153" i="28"/>
  <c r="K153" i="29"/>
  <c r="L154" i="28"/>
  <c r="K154" i="29"/>
  <c r="L246" i="33" l="1"/>
  <c r="K246" i="36"/>
  <c r="K267" i="35"/>
  <c r="L267" i="35" s="1"/>
  <c r="L267" i="36"/>
  <c r="L244" i="31"/>
  <c r="K244" i="32"/>
  <c r="L191" i="31"/>
  <c r="K191" i="32"/>
  <c r="L210" i="31"/>
  <c r="K210" i="32"/>
  <c r="L266" i="31"/>
  <c r="K266" i="32"/>
  <c r="L263" i="31"/>
  <c r="K263" i="32"/>
  <c r="L242" i="31"/>
  <c r="K242" i="32"/>
  <c r="L223" i="31"/>
  <c r="K223" i="32"/>
  <c r="L183" i="31"/>
  <c r="K183" i="32"/>
  <c r="L207" i="31"/>
  <c r="K207" i="32"/>
  <c r="L221" i="31"/>
  <c r="K221" i="32"/>
  <c r="L205" i="31"/>
  <c r="K205" i="32"/>
  <c r="L262" i="31"/>
  <c r="K262" i="32"/>
  <c r="L243" i="31"/>
  <c r="K243" i="32"/>
  <c r="L203" i="31"/>
  <c r="K203" i="32"/>
  <c r="L260" i="31"/>
  <c r="K260" i="32"/>
  <c r="L220" i="31"/>
  <c r="K220" i="32"/>
  <c r="L187" i="31"/>
  <c r="K187" i="32"/>
  <c r="L216" i="31"/>
  <c r="K216" i="32"/>
  <c r="L201" i="31"/>
  <c r="K201" i="32"/>
  <c r="L219" i="31"/>
  <c r="K219" i="32"/>
  <c r="L188" i="31"/>
  <c r="K188" i="32"/>
  <c r="L200" i="31"/>
  <c r="K200" i="32"/>
  <c r="L222" i="31"/>
  <c r="K222" i="32"/>
  <c r="L236" i="31"/>
  <c r="K236" i="32"/>
  <c r="L204" i="31"/>
  <c r="K204" i="32"/>
  <c r="L218" i="31"/>
  <c r="K218" i="32"/>
  <c r="L227" i="31"/>
  <c r="K227" i="32"/>
  <c r="L192" i="31"/>
  <c r="K192" i="32"/>
  <c r="L256" i="31"/>
  <c r="K256" i="32"/>
  <c r="L189" i="31"/>
  <c r="K189" i="32"/>
  <c r="L211" i="31"/>
  <c r="K211" i="32"/>
  <c r="L265" i="31"/>
  <c r="K265" i="32"/>
  <c r="L209" i="31"/>
  <c r="K209" i="32"/>
  <c r="L226" i="31"/>
  <c r="K226" i="32"/>
  <c r="L194" i="31"/>
  <c r="K194" i="32"/>
  <c r="L231" i="31"/>
  <c r="K231" i="32"/>
  <c r="L237" i="31"/>
  <c r="K237" i="32"/>
  <c r="L259" i="31"/>
  <c r="K259" i="32"/>
  <c r="L248" i="31"/>
  <c r="K248" i="32"/>
  <c r="L253" i="31"/>
  <c r="K253" i="32"/>
  <c r="L184" i="31"/>
  <c r="K184" i="32"/>
  <c r="L258" i="31"/>
  <c r="K258" i="32"/>
  <c r="L196" i="31"/>
  <c r="K196" i="32"/>
  <c r="L197" i="31"/>
  <c r="K197" i="32"/>
  <c r="L249" i="31"/>
  <c r="K249" i="32"/>
  <c r="L233" i="31"/>
  <c r="K233" i="32"/>
  <c r="L214" i="31"/>
  <c r="K214" i="32"/>
  <c r="L245" i="31"/>
  <c r="K245" i="32"/>
  <c r="L252" i="31"/>
  <c r="K252" i="32"/>
  <c r="L228" i="31"/>
  <c r="K228" i="32"/>
  <c r="L240" i="31"/>
  <c r="K240" i="32"/>
  <c r="L225" i="31"/>
  <c r="K225" i="32"/>
  <c r="L212" i="31"/>
  <c r="K212" i="32"/>
  <c r="L208" i="31"/>
  <c r="K208" i="32"/>
  <c r="L239" i="31"/>
  <c r="K239" i="32"/>
  <c r="L186" i="31"/>
  <c r="K186" i="32"/>
  <c r="L229" i="31"/>
  <c r="K229" i="32"/>
  <c r="L230" i="31"/>
  <c r="K230" i="32"/>
  <c r="L224" i="31"/>
  <c r="K224" i="32"/>
  <c r="L182" i="31"/>
  <c r="K182" i="32"/>
  <c r="L247" i="31"/>
  <c r="K247" i="32"/>
  <c r="L181" i="31"/>
  <c r="K181" i="32"/>
  <c r="L238" i="31"/>
  <c r="K238" i="32"/>
  <c r="L254" i="31"/>
  <c r="K254" i="32"/>
  <c r="L190" i="31"/>
  <c r="K190" i="32"/>
  <c r="L268" i="31"/>
  <c r="K268" i="32"/>
  <c r="L255" i="31"/>
  <c r="K255" i="32"/>
  <c r="L261" i="31"/>
  <c r="K261" i="32"/>
  <c r="L235" i="31"/>
  <c r="K235" i="32"/>
  <c r="L251" i="31"/>
  <c r="K251" i="32"/>
  <c r="L202" i="31"/>
  <c r="K202" i="32"/>
  <c r="L217" i="31"/>
  <c r="K217" i="32"/>
  <c r="L232" i="31"/>
  <c r="K232" i="32"/>
  <c r="L198" i="31"/>
  <c r="K198" i="32"/>
  <c r="L185" i="31"/>
  <c r="K185" i="32"/>
  <c r="L206" i="31"/>
  <c r="K206" i="32"/>
  <c r="L215" i="31"/>
  <c r="K215" i="32"/>
  <c r="L257" i="31"/>
  <c r="K257" i="32"/>
  <c r="L234" i="31"/>
  <c r="K234" i="32"/>
  <c r="L199" i="31"/>
  <c r="K199" i="32"/>
  <c r="L241" i="31"/>
  <c r="K241" i="32"/>
  <c r="L264" i="31"/>
  <c r="K264" i="32"/>
  <c r="L250" i="31"/>
  <c r="K250" i="32"/>
  <c r="L193" i="31"/>
  <c r="K193" i="32"/>
  <c r="L195" i="31"/>
  <c r="K195" i="32"/>
  <c r="L213" i="31"/>
  <c r="K213" i="32"/>
  <c r="L37" i="29"/>
  <c r="K37" i="30"/>
  <c r="L24" i="29"/>
  <c r="K24" i="30"/>
  <c r="L122" i="29"/>
  <c r="K122" i="30"/>
  <c r="L74" i="29"/>
  <c r="K74" i="30"/>
  <c r="L56" i="29"/>
  <c r="K56" i="30"/>
  <c r="L52" i="29"/>
  <c r="K52" i="30"/>
  <c r="L115" i="29"/>
  <c r="K115" i="30"/>
  <c r="L59" i="29"/>
  <c r="K59" i="30"/>
  <c r="L71" i="29"/>
  <c r="K71" i="30"/>
  <c r="L83" i="29"/>
  <c r="K83" i="30"/>
  <c r="L57" i="29"/>
  <c r="K57" i="30"/>
  <c r="K67" i="30"/>
  <c r="L67" i="29"/>
  <c r="L129" i="29"/>
  <c r="K129" i="30"/>
  <c r="L125" i="29"/>
  <c r="K125" i="30"/>
  <c r="L178" i="29"/>
  <c r="K178" i="30"/>
  <c r="L31" i="29"/>
  <c r="K31" i="30"/>
  <c r="L65" i="29"/>
  <c r="K65" i="30"/>
  <c r="L41" i="29"/>
  <c r="K41" i="30"/>
  <c r="L110" i="29"/>
  <c r="K110" i="30"/>
  <c r="L98" i="29"/>
  <c r="K98" i="30"/>
  <c r="K124" i="30"/>
  <c r="L124" i="29"/>
  <c r="L61" i="29"/>
  <c r="K61" i="30"/>
  <c r="L77" i="29"/>
  <c r="K77" i="30"/>
  <c r="L160" i="29"/>
  <c r="K160" i="30"/>
  <c r="L170" i="29"/>
  <c r="K170" i="30"/>
  <c r="L29" i="29"/>
  <c r="K29" i="30"/>
  <c r="L141" i="29"/>
  <c r="K141" i="30"/>
  <c r="L75" i="29"/>
  <c r="K75" i="30"/>
  <c r="L23" i="29"/>
  <c r="K23" i="30"/>
  <c r="K53" i="30"/>
  <c r="L53" i="29"/>
  <c r="L130" i="29"/>
  <c r="K130" i="30"/>
  <c r="L96" i="29"/>
  <c r="K96" i="30"/>
  <c r="L66" i="29"/>
  <c r="K66" i="30"/>
  <c r="K101" i="30"/>
  <c r="L101" i="29"/>
  <c r="L18" i="29"/>
  <c r="K18" i="30"/>
  <c r="L171" i="29"/>
  <c r="K171" i="30"/>
  <c r="K86" i="30"/>
  <c r="L86" i="29"/>
  <c r="L174" i="29"/>
  <c r="K174" i="30"/>
  <c r="K102" i="30"/>
  <c r="L102" i="29"/>
  <c r="L120" i="29"/>
  <c r="K120" i="30"/>
  <c r="L22" i="29"/>
  <c r="K22" i="30"/>
  <c r="L55" i="29"/>
  <c r="K55" i="30"/>
  <c r="K19" i="30"/>
  <c r="L19" i="29"/>
  <c r="K100" i="30"/>
  <c r="L100" i="29"/>
  <c r="L161" i="29"/>
  <c r="K161" i="30"/>
  <c r="L42" i="29"/>
  <c r="K42" i="30"/>
  <c r="L138" i="29"/>
  <c r="K138" i="30"/>
  <c r="L91" i="29"/>
  <c r="K91" i="30"/>
  <c r="L133" i="29"/>
  <c r="K133" i="30"/>
  <c r="L26" i="29"/>
  <c r="K26" i="30"/>
  <c r="L43" i="29"/>
  <c r="K43" i="30"/>
  <c r="K13" i="30"/>
  <c r="L13" i="29"/>
  <c r="L168" i="29"/>
  <c r="K168" i="30"/>
  <c r="L14" i="29"/>
  <c r="K14" i="30"/>
  <c r="K21" i="30"/>
  <c r="L21" i="29"/>
  <c r="K25" i="30"/>
  <c r="L25" i="29"/>
  <c r="L114" i="29"/>
  <c r="K114" i="30"/>
  <c r="L93" i="29"/>
  <c r="K93" i="30"/>
  <c r="L32" i="29"/>
  <c r="K32" i="30"/>
  <c r="L176" i="29"/>
  <c r="K176" i="30"/>
  <c r="L177" i="29"/>
  <c r="K177" i="30"/>
  <c r="L166" i="29"/>
  <c r="K166" i="30"/>
  <c r="K51" i="30"/>
  <c r="L51" i="29"/>
  <c r="L132" i="29"/>
  <c r="K132" i="30"/>
  <c r="L104" i="29"/>
  <c r="K104" i="30"/>
  <c r="L85" i="29"/>
  <c r="K85" i="30"/>
  <c r="L46" i="29"/>
  <c r="K46" i="30"/>
  <c r="L157" i="29"/>
  <c r="K157" i="30"/>
  <c r="L40" i="29"/>
  <c r="K40" i="30"/>
  <c r="K69" i="30"/>
  <c r="L69" i="29"/>
  <c r="L45" i="29"/>
  <c r="K45" i="30"/>
  <c r="L49" i="29"/>
  <c r="K49" i="30"/>
  <c r="L33" i="29"/>
  <c r="K33" i="30"/>
  <c r="L112" i="29"/>
  <c r="K112" i="30"/>
  <c r="L81" i="29"/>
  <c r="K81" i="30"/>
  <c r="L163" i="29"/>
  <c r="K163" i="30"/>
  <c r="L62" i="29"/>
  <c r="K62" i="30"/>
  <c r="L140" i="29"/>
  <c r="K140" i="30"/>
  <c r="L143" i="29"/>
  <c r="K143" i="30"/>
  <c r="L167" i="29"/>
  <c r="K167" i="30"/>
  <c r="K70" i="30"/>
  <c r="L70" i="29"/>
  <c r="L108" i="29"/>
  <c r="K108" i="30"/>
  <c r="L80" i="29"/>
  <c r="K80" i="30"/>
  <c r="L36" i="29"/>
  <c r="K36" i="30"/>
  <c r="L16" i="29"/>
  <c r="K16" i="30"/>
  <c r="L39" i="29"/>
  <c r="K39" i="30"/>
  <c r="L84" i="29"/>
  <c r="K84" i="30"/>
  <c r="L79" i="29"/>
  <c r="K79" i="30"/>
  <c r="L135" i="29"/>
  <c r="K135" i="30"/>
  <c r="L180" i="29"/>
  <c r="K180" i="30"/>
  <c r="L144" i="29"/>
  <c r="K144" i="30"/>
  <c r="K50" i="30"/>
  <c r="L50" i="29"/>
  <c r="L173" i="29"/>
  <c r="K173" i="30"/>
  <c r="L76" i="29"/>
  <c r="K76" i="30"/>
  <c r="L64" i="29"/>
  <c r="K64" i="30"/>
  <c r="L28" i="29"/>
  <c r="K28" i="30"/>
  <c r="L179" i="29"/>
  <c r="K179" i="30"/>
  <c r="L60" i="29"/>
  <c r="K60" i="30"/>
  <c r="L117" i="29"/>
  <c r="K117" i="30"/>
  <c r="L47" i="29"/>
  <c r="K47" i="30"/>
  <c r="L97" i="29"/>
  <c r="K97" i="30"/>
  <c r="L94" i="29"/>
  <c r="K94" i="30"/>
  <c r="L119" i="29"/>
  <c r="K119" i="30"/>
  <c r="L162" i="29"/>
  <c r="K162" i="30"/>
  <c r="K158" i="30"/>
  <c r="L158" i="29"/>
  <c r="L116" i="29"/>
  <c r="K116" i="30"/>
  <c r="L48" i="29"/>
  <c r="K48" i="30"/>
  <c r="L95" i="29"/>
  <c r="K95" i="30"/>
  <c r="L17" i="29"/>
  <c r="K17" i="30"/>
  <c r="L82" i="29"/>
  <c r="K82" i="30"/>
  <c r="L145" i="29"/>
  <c r="K145" i="30"/>
  <c r="L121" i="29"/>
  <c r="K121" i="30"/>
  <c r="L164" i="29"/>
  <c r="K164" i="30"/>
  <c r="K169" i="30"/>
  <c r="L169" i="29"/>
  <c r="L131" i="29"/>
  <c r="K131" i="30"/>
  <c r="L54" i="29"/>
  <c r="K54" i="30"/>
  <c r="L127" i="29"/>
  <c r="K127" i="30"/>
  <c r="L159" i="29"/>
  <c r="K159" i="30"/>
  <c r="L128" i="29"/>
  <c r="K128" i="30"/>
  <c r="L136" i="29"/>
  <c r="K136" i="30"/>
  <c r="L27" i="29"/>
  <c r="K27" i="30"/>
  <c r="L111" i="29"/>
  <c r="K111" i="30"/>
  <c r="L137" i="29"/>
  <c r="K137" i="30"/>
  <c r="K134" i="30"/>
  <c r="L134" i="29"/>
  <c r="L172" i="29"/>
  <c r="K172" i="30"/>
  <c r="L103" i="29"/>
  <c r="K103" i="30"/>
  <c r="L118" i="29"/>
  <c r="K118" i="30"/>
  <c r="L106" i="29"/>
  <c r="K106" i="30"/>
  <c r="L35" i="29"/>
  <c r="K35" i="30"/>
  <c r="K165" i="30"/>
  <c r="L165" i="29"/>
  <c r="L175" i="29"/>
  <c r="K175" i="30"/>
  <c r="L99" i="29"/>
  <c r="K99" i="30"/>
  <c r="L38" i="29"/>
  <c r="K38" i="30"/>
  <c r="L58" i="29"/>
  <c r="K58" i="30"/>
  <c r="L109" i="29"/>
  <c r="K109" i="30"/>
  <c r="L63" i="29"/>
  <c r="K63" i="30"/>
  <c r="L20" i="29"/>
  <c r="K20" i="30"/>
  <c r="L73" i="29"/>
  <c r="K73" i="30"/>
  <c r="L78" i="29"/>
  <c r="K78" i="30"/>
  <c r="L87" i="29"/>
  <c r="K87" i="30"/>
  <c r="L44" i="29"/>
  <c r="K44" i="30"/>
  <c r="L90" i="29"/>
  <c r="K90" i="30"/>
  <c r="K89" i="30"/>
  <c r="L89" i="29"/>
  <c r="L142" i="29"/>
  <c r="K142" i="30"/>
  <c r="L72" i="29"/>
  <c r="K72" i="30"/>
  <c r="L126" i="29"/>
  <c r="K126" i="30"/>
  <c r="L105" i="29"/>
  <c r="K105" i="30"/>
  <c r="L107" i="29"/>
  <c r="K107" i="30"/>
  <c r="L68" i="29"/>
  <c r="K68" i="30"/>
  <c r="L139" i="29"/>
  <c r="K139" i="30"/>
  <c r="L30" i="29"/>
  <c r="K30" i="30"/>
  <c r="L113" i="29"/>
  <c r="K113" i="30"/>
  <c r="L34" i="29"/>
  <c r="K34" i="30"/>
  <c r="L15" i="29"/>
  <c r="K15" i="30"/>
  <c r="L92" i="29"/>
  <c r="K92" i="30"/>
  <c r="K123" i="30"/>
  <c r="L123" i="29"/>
  <c r="L88" i="29"/>
  <c r="K88" i="30"/>
  <c r="L155" i="29"/>
  <c r="K155" i="30"/>
  <c r="L153" i="29"/>
  <c r="K153" i="30"/>
  <c r="L152" i="29"/>
  <c r="K152" i="30"/>
  <c r="L156" i="29"/>
  <c r="K156" i="30"/>
  <c r="L151" i="29"/>
  <c r="K151" i="30"/>
  <c r="L147" i="29"/>
  <c r="K147" i="30"/>
  <c r="L146" i="29"/>
  <c r="K146" i="30"/>
  <c r="K146" i="31" s="1"/>
  <c r="K270" i="29"/>
  <c r="L270" i="29" s="1"/>
  <c r="L150" i="29"/>
  <c r="K150" i="30"/>
  <c r="L148" i="29"/>
  <c r="K148" i="30"/>
  <c r="L154" i="29"/>
  <c r="K154" i="30"/>
  <c r="K149" i="30"/>
  <c r="L149" i="29"/>
  <c r="L213" i="32" l="1"/>
  <c r="K213" i="33"/>
  <c r="L251" i="32"/>
  <c r="K251" i="33"/>
  <c r="L208" i="32"/>
  <c r="K208" i="33"/>
  <c r="L259" i="32"/>
  <c r="K259" i="33"/>
  <c r="L242" i="32"/>
  <c r="K242" i="33"/>
  <c r="L257" i="32"/>
  <c r="K257" i="33"/>
  <c r="L268" i="32"/>
  <c r="K268" i="33"/>
  <c r="L230" i="32"/>
  <c r="K230" i="33"/>
  <c r="L233" i="32"/>
  <c r="K233" i="33"/>
  <c r="L189" i="32"/>
  <c r="K189" i="33"/>
  <c r="L216" i="32"/>
  <c r="K216" i="33"/>
  <c r="L221" i="32"/>
  <c r="K221" i="33"/>
  <c r="L195" i="32"/>
  <c r="K195" i="33"/>
  <c r="L241" i="32"/>
  <c r="K241" i="33"/>
  <c r="L215" i="32"/>
  <c r="K215" i="33"/>
  <c r="L232" i="32"/>
  <c r="K232" i="33"/>
  <c r="L235" i="32"/>
  <c r="K235" i="33"/>
  <c r="L190" i="32"/>
  <c r="K190" i="33"/>
  <c r="L247" i="32"/>
  <c r="K247" i="33"/>
  <c r="L229" i="32"/>
  <c r="K229" i="33"/>
  <c r="L212" i="32"/>
  <c r="K212" i="33"/>
  <c r="L252" i="32"/>
  <c r="K252" i="33"/>
  <c r="L249" i="32"/>
  <c r="K249" i="33"/>
  <c r="L184" i="32"/>
  <c r="K184" i="33"/>
  <c r="L237" i="32"/>
  <c r="K237" i="33"/>
  <c r="L209" i="32"/>
  <c r="K209" i="33"/>
  <c r="L256" i="32"/>
  <c r="K256" i="33"/>
  <c r="L204" i="32"/>
  <c r="K204" i="33"/>
  <c r="L188" i="32"/>
  <c r="K188" i="33"/>
  <c r="L187" i="32"/>
  <c r="K187" i="33"/>
  <c r="L243" i="32"/>
  <c r="K243" i="33"/>
  <c r="L207" i="32"/>
  <c r="K207" i="33"/>
  <c r="L263" i="32"/>
  <c r="K263" i="33"/>
  <c r="L244" i="32"/>
  <c r="K244" i="33"/>
  <c r="L264" i="32"/>
  <c r="K264" i="33"/>
  <c r="L198" i="32"/>
  <c r="K198" i="33"/>
  <c r="L181" i="32"/>
  <c r="K181" i="33"/>
  <c r="L228" i="32"/>
  <c r="K228" i="33"/>
  <c r="L258" i="32"/>
  <c r="K258" i="33"/>
  <c r="L226" i="32"/>
  <c r="K226" i="33"/>
  <c r="L218" i="32"/>
  <c r="K218" i="33"/>
  <c r="L200" i="32"/>
  <c r="K200" i="33"/>
  <c r="L203" i="32"/>
  <c r="K203" i="33"/>
  <c r="L191" i="32"/>
  <c r="K191" i="33"/>
  <c r="L193" i="32"/>
  <c r="K193" i="33"/>
  <c r="L199" i="32"/>
  <c r="K199" i="33"/>
  <c r="L206" i="32"/>
  <c r="K206" i="33"/>
  <c r="L217" i="32"/>
  <c r="K217" i="33"/>
  <c r="L261" i="32"/>
  <c r="K261" i="33"/>
  <c r="L254" i="32"/>
  <c r="K254" i="33"/>
  <c r="L182" i="32"/>
  <c r="K182" i="33"/>
  <c r="L186" i="32"/>
  <c r="K186" i="33"/>
  <c r="L225" i="32"/>
  <c r="K225" i="33"/>
  <c r="L197" i="32"/>
  <c r="K197" i="33"/>
  <c r="L253" i="32"/>
  <c r="K253" i="33"/>
  <c r="L231" i="32"/>
  <c r="K231" i="33"/>
  <c r="L265" i="32"/>
  <c r="K265" i="33"/>
  <c r="L192" i="32"/>
  <c r="K192" i="33"/>
  <c r="L236" i="32"/>
  <c r="K236" i="33"/>
  <c r="L219" i="32"/>
  <c r="K219" i="33"/>
  <c r="L220" i="32"/>
  <c r="K220" i="33"/>
  <c r="L262" i="32"/>
  <c r="K262" i="33"/>
  <c r="L183" i="32"/>
  <c r="K183" i="33"/>
  <c r="L266" i="32"/>
  <c r="K266" i="33"/>
  <c r="L245" i="32"/>
  <c r="K245" i="33"/>
  <c r="L250" i="32"/>
  <c r="K250" i="33"/>
  <c r="L234" i="32"/>
  <c r="K234" i="33"/>
  <c r="L185" i="32"/>
  <c r="K185" i="33"/>
  <c r="L202" i="32"/>
  <c r="K202" i="33"/>
  <c r="L255" i="32"/>
  <c r="K255" i="33"/>
  <c r="L238" i="32"/>
  <c r="K238" i="33"/>
  <c r="L224" i="32"/>
  <c r="K224" i="33"/>
  <c r="L239" i="32"/>
  <c r="K239" i="33"/>
  <c r="L240" i="32"/>
  <c r="K240" i="33"/>
  <c r="L214" i="32"/>
  <c r="K214" i="33"/>
  <c r="L196" i="32"/>
  <c r="K196" i="33"/>
  <c r="L248" i="32"/>
  <c r="K248" i="33"/>
  <c r="L194" i="32"/>
  <c r="K194" i="33"/>
  <c r="L211" i="32"/>
  <c r="K211" i="33"/>
  <c r="L227" i="32"/>
  <c r="K227" i="33"/>
  <c r="L222" i="32"/>
  <c r="K222" i="33"/>
  <c r="L201" i="32"/>
  <c r="K201" i="33"/>
  <c r="L260" i="32"/>
  <c r="K260" i="33"/>
  <c r="L205" i="32"/>
  <c r="K205" i="33"/>
  <c r="L223" i="32"/>
  <c r="K223" i="33"/>
  <c r="L210" i="32"/>
  <c r="K210" i="33"/>
  <c r="L246" i="36"/>
  <c r="K246" i="35"/>
  <c r="L246" i="35" s="1"/>
  <c r="L146" i="31"/>
  <c r="K146" i="32"/>
  <c r="K107" i="31"/>
  <c r="L107" i="30"/>
  <c r="L120" i="30"/>
  <c r="K120" i="31"/>
  <c r="L152" i="30"/>
  <c r="K152" i="31"/>
  <c r="L36" i="30"/>
  <c r="K36" i="31"/>
  <c r="L31" i="30"/>
  <c r="K31" i="31"/>
  <c r="L149" i="30"/>
  <c r="K149" i="31"/>
  <c r="L142" i="30"/>
  <c r="K142" i="31"/>
  <c r="L136" i="30"/>
  <c r="K136" i="31"/>
  <c r="K121" i="31"/>
  <c r="L121" i="30"/>
  <c r="L47" i="30"/>
  <c r="K47" i="31"/>
  <c r="L157" i="30"/>
  <c r="K157" i="31"/>
  <c r="L96" i="30"/>
  <c r="K96" i="31"/>
  <c r="L160" i="30"/>
  <c r="K160" i="31"/>
  <c r="K59" i="31"/>
  <c r="L59" i="30"/>
  <c r="K134" i="31"/>
  <c r="L134" i="30"/>
  <c r="L67" i="30"/>
  <c r="K67" i="31"/>
  <c r="K99" i="31"/>
  <c r="L99" i="30"/>
  <c r="L176" i="30"/>
  <c r="K176" i="31"/>
  <c r="L87" i="30"/>
  <c r="K87" i="31"/>
  <c r="L106" i="30"/>
  <c r="K106" i="31"/>
  <c r="L54" i="30"/>
  <c r="K54" i="31"/>
  <c r="L95" i="30"/>
  <c r="K95" i="31"/>
  <c r="K162" i="31"/>
  <c r="L162" i="30"/>
  <c r="K28" i="31"/>
  <c r="L28" i="30"/>
  <c r="L79" i="30"/>
  <c r="K79" i="31"/>
  <c r="L163" i="30"/>
  <c r="K163" i="31"/>
  <c r="K132" i="31"/>
  <c r="L132" i="30"/>
  <c r="L74" i="30"/>
  <c r="K74" i="31"/>
  <c r="K13" i="31"/>
  <c r="K13" i="32" s="1"/>
  <c r="K13" i="33" s="1"/>
  <c r="L13" i="30"/>
  <c r="L153" i="30"/>
  <c r="K153" i="31"/>
  <c r="L30" i="30"/>
  <c r="K30" i="31"/>
  <c r="L78" i="30"/>
  <c r="K78" i="31"/>
  <c r="K118" i="31"/>
  <c r="L118" i="30"/>
  <c r="L48" i="30"/>
  <c r="K48" i="31"/>
  <c r="L64" i="30"/>
  <c r="K64" i="31"/>
  <c r="L80" i="30"/>
  <c r="K80" i="31"/>
  <c r="L143" i="30"/>
  <c r="K143" i="31"/>
  <c r="L46" i="30"/>
  <c r="K46" i="31"/>
  <c r="L32" i="30"/>
  <c r="K32" i="31"/>
  <c r="L138" i="30"/>
  <c r="K138" i="31"/>
  <c r="L130" i="30"/>
  <c r="K130" i="31"/>
  <c r="L57" i="30"/>
  <c r="K57" i="31"/>
  <c r="K89" i="31"/>
  <c r="L89" i="30"/>
  <c r="L21" i="30"/>
  <c r="K21" i="31"/>
  <c r="L19" i="30"/>
  <c r="K19" i="31"/>
  <c r="L155" i="30"/>
  <c r="K155" i="31"/>
  <c r="K139" i="31"/>
  <c r="L139" i="30"/>
  <c r="L90" i="30"/>
  <c r="K90" i="31"/>
  <c r="K103" i="31"/>
  <c r="L103" i="30"/>
  <c r="L159" i="30"/>
  <c r="K159" i="31"/>
  <c r="L82" i="30"/>
  <c r="K82" i="31"/>
  <c r="L94" i="30"/>
  <c r="K94" i="31"/>
  <c r="L76" i="30"/>
  <c r="K76" i="31"/>
  <c r="L39" i="30"/>
  <c r="K39" i="31"/>
  <c r="K108" i="31"/>
  <c r="L108" i="30"/>
  <c r="L112" i="30"/>
  <c r="K112" i="31"/>
  <c r="L26" i="30"/>
  <c r="K26" i="31"/>
  <c r="K41" i="31"/>
  <c r="L41" i="30"/>
  <c r="L24" i="30"/>
  <c r="K24" i="31"/>
  <c r="L150" i="30"/>
  <c r="K150" i="31"/>
  <c r="K165" i="31"/>
  <c r="L165" i="30"/>
  <c r="K169" i="31"/>
  <c r="L169" i="30"/>
  <c r="L69" i="30"/>
  <c r="K69" i="31"/>
  <c r="L101" i="30"/>
  <c r="K101" i="31"/>
  <c r="L53" i="30"/>
  <c r="K53" i="31"/>
  <c r="L113" i="30"/>
  <c r="K113" i="31"/>
  <c r="L49" i="30"/>
  <c r="K49" i="31"/>
  <c r="K123" i="31"/>
  <c r="L123" i="30"/>
  <c r="K100" i="31"/>
  <c r="L100" i="30"/>
  <c r="K92" i="31"/>
  <c r="L92" i="30"/>
  <c r="L109" i="30"/>
  <c r="K109" i="31"/>
  <c r="L137" i="30"/>
  <c r="K137" i="31"/>
  <c r="K131" i="31"/>
  <c r="L131" i="30"/>
  <c r="K117" i="31"/>
  <c r="L117" i="30"/>
  <c r="L84" i="30"/>
  <c r="K84" i="31"/>
  <c r="L45" i="30"/>
  <c r="K45" i="31"/>
  <c r="L18" i="30"/>
  <c r="K18" i="31"/>
  <c r="L141" i="30"/>
  <c r="K141" i="31"/>
  <c r="L77" i="30"/>
  <c r="K77" i="31"/>
  <c r="L178" i="30"/>
  <c r="K178" i="31"/>
  <c r="L115" i="30"/>
  <c r="K115" i="31"/>
  <c r="L148" i="30"/>
  <c r="K148" i="31"/>
  <c r="L51" i="30"/>
  <c r="K51" i="31"/>
  <c r="L102" i="30"/>
  <c r="K102" i="31"/>
  <c r="L151" i="30"/>
  <c r="K151" i="31"/>
  <c r="L15" i="30"/>
  <c r="K15" i="31"/>
  <c r="L126" i="30"/>
  <c r="K126" i="31"/>
  <c r="L73" i="30"/>
  <c r="K73" i="31"/>
  <c r="K58" i="31"/>
  <c r="L58" i="30"/>
  <c r="K111" i="31"/>
  <c r="L111" i="30"/>
  <c r="L116" i="30"/>
  <c r="K116" i="31"/>
  <c r="L60" i="30"/>
  <c r="K60" i="31"/>
  <c r="L180" i="30"/>
  <c r="K180" i="31"/>
  <c r="K140" i="31"/>
  <c r="L140" i="30"/>
  <c r="L166" i="30"/>
  <c r="K166" i="31"/>
  <c r="L14" i="30"/>
  <c r="K14" i="31"/>
  <c r="L42" i="30"/>
  <c r="K42" i="31"/>
  <c r="L174" i="30"/>
  <c r="K174" i="31"/>
  <c r="L61" i="30"/>
  <c r="K61" i="31"/>
  <c r="L83" i="30"/>
  <c r="K83" i="31"/>
  <c r="L34" i="30"/>
  <c r="K34" i="31"/>
  <c r="K44" i="31"/>
  <c r="L44" i="30"/>
  <c r="L38" i="30"/>
  <c r="K38" i="31"/>
  <c r="L35" i="30"/>
  <c r="K35" i="31"/>
  <c r="K172" i="31"/>
  <c r="L172" i="30"/>
  <c r="L127" i="30"/>
  <c r="K127" i="31"/>
  <c r="K164" i="31"/>
  <c r="L164" i="30"/>
  <c r="L17" i="30"/>
  <c r="K17" i="31"/>
  <c r="L97" i="30"/>
  <c r="K97" i="31"/>
  <c r="L179" i="30"/>
  <c r="K179" i="31"/>
  <c r="L173" i="30"/>
  <c r="K173" i="31"/>
  <c r="L135" i="30"/>
  <c r="K135" i="31"/>
  <c r="L16" i="30"/>
  <c r="K16" i="31"/>
  <c r="L62" i="30"/>
  <c r="K62" i="31"/>
  <c r="L33" i="30"/>
  <c r="K33" i="31"/>
  <c r="K40" i="31"/>
  <c r="L40" i="30"/>
  <c r="L104" i="30"/>
  <c r="K104" i="31"/>
  <c r="L177" i="30"/>
  <c r="K177" i="31"/>
  <c r="L114" i="30"/>
  <c r="K114" i="31"/>
  <c r="K168" i="31"/>
  <c r="L168" i="30"/>
  <c r="L133" i="30"/>
  <c r="K133" i="31"/>
  <c r="L161" i="30"/>
  <c r="K161" i="31"/>
  <c r="K22" i="31"/>
  <c r="L22" i="30"/>
  <c r="L66" i="30"/>
  <c r="K66" i="31"/>
  <c r="L23" i="30"/>
  <c r="K23" i="31"/>
  <c r="K170" i="31"/>
  <c r="L170" i="30"/>
  <c r="L65" i="30"/>
  <c r="K65" i="31"/>
  <c r="L129" i="30"/>
  <c r="K129" i="31"/>
  <c r="L71" i="30"/>
  <c r="K71" i="31"/>
  <c r="L56" i="30"/>
  <c r="K56" i="31"/>
  <c r="L37" i="30"/>
  <c r="K37" i="31"/>
  <c r="L63" i="30"/>
  <c r="K63" i="31"/>
  <c r="L167" i="30"/>
  <c r="K167" i="31"/>
  <c r="K91" i="31"/>
  <c r="L91" i="30"/>
  <c r="K171" i="31"/>
  <c r="L171" i="30"/>
  <c r="K75" i="31"/>
  <c r="L75" i="30"/>
  <c r="L98" i="30"/>
  <c r="K98" i="31"/>
  <c r="L154" i="30"/>
  <c r="K154" i="31"/>
  <c r="L50" i="30"/>
  <c r="K50" i="31"/>
  <c r="L25" i="30"/>
  <c r="K25" i="31"/>
  <c r="L147" i="30"/>
  <c r="K147" i="31"/>
  <c r="K105" i="31"/>
  <c r="L105" i="30"/>
  <c r="L175" i="30"/>
  <c r="K175" i="31"/>
  <c r="L128" i="30"/>
  <c r="K128" i="31"/>
  <c r="L145" i="30"/>
  <c r="K145" i="31"/>
  <c r="L119" i="30"/>
  <c r="K119" i="31"/>
  <c r="L144" i="30"/>
  <c r="K144" i="31"/>
  <c r="L81" i="30"/>
  <c r="K81" i="31"/>
  <c r="L43" i="30"/>
  <c r="K43" i="31"/>
  <c r="L110" i="30"/>
  <c r="K110" i="31"/>
  <c r="L122" i="30"/>
  <c r="K122" i="31"/>
  <c r="L85" i="30"/>
  <c r="K85" i="31"/>
  <c r="L93" i="30"/>
  <c r="K93" i="31"/>
  <c r="L55" i="30"/>
  <c r="K55" i="31"/>
  <c r="L29" i="30"/>
  <c r="K29" i="31"/>
  <c r="L125" i="30"/>
  <c r="K125" i="31"/>
  <c r="L52" i="30"/>
  <c r="K52" i="31"/>
  <c r="L156" i="30"/>
  <c r="K156" i="31"/>
  <c r="K88" i="31"/>
  <c r="L88" i="30"/>
  <c r="L68" i="30"/>
  <c r="K68" i="31"/>
  <c r="K72" i="31"/>
  <c r="L72" i="30"/>
  <c r="L20" i="30"/>
  <c r="K20" i="31"/>
  <c r="K27" i="31"/>
  <c r="L27" i="30"/>
  <c r="L158" i="30"/>
  <c r="K158" i="31"/>
  <c r="K70" i="31"/>
  <c r="L70" i="30"/>
  <c r="K86" i="31"/>
  <c r="L86" i="30"/>
  <c r="K124" i="31"/>
  <c r="L124" i="30"/>
  <c r="L146" i="30"/>
  <c r="K270" i="30"/>
  <c r="L270" i="30" s="1"/>
  <c r="L227" i="33" l="1"/>
  <c r="K227" i="36"/>
  <c r="K266" i="36"/>
  <c r="L266" i="33"/>
  <c r="L231" i="33"/>
  <c r="K231" i="36"/>
  <c r="K217" i="36"/>
  <c r="L217" i="33"/>
  <c r="L198" i="33"/>
  <c r="K198" i="36"/>
  <c r="L204" i="33"/>
  <c r="K204" i="36"/>
  <c r="K259" i="36"/>
  <c r="L259" i="33"/>
  <c r="K260" i="36"/>
  <c r="L260" i="33"/>
  <c r="K211" i="36"/>
  <c r="L211" i="33"/>
  <c r="K214" i="36"/>
  <c r="L214" i="33"/>
  <c r="L238" i="33"/>
  <c r="K238" i="36"/>
  <c r="L234" i="33"/>
  <c r="K234" i="36"/>
  <c r="L183" i="33"/>
  <c r="K183" i="36"/>
  <c r="L236" i="33"/>
  <c r="K236" i="36"/>
  <c r="K253" i="36"/>
  <c r="L253" i="33"/>
  <c r="L182" i="33"/>
  <c r="K182" i="36"/>
  <c r="L206" i="33"/>
  <c r="K206" i="36"/>
  <c r="L203" i="33"/>
  <c r="K203" i="36"/>
  <c r="K258" i="36"/>
  <c r="L258" i="33"/>
  <c r="K264" i="36"/>
  <c r="L264" i="33"/>
  <c r="L243" i="33"/>
  <c r="K243" i="36"/>
  <c r="K256" i="36"/>
  <c r="L256" i="33"/>
  <c r="L249" i="33"/>
  <c r="K249" i="36"/>
  <c r="L247" i="33"/>
  <c r="K247" i="36"/>
  <c r="K215" i="36"/>
  <c r="L215" i="33"/>
  <c r="K216" i="36"/>
  <c r="L216" i="33"/>
  <c r="K268" i="36"/>
  <c r="L268" i="33"/>
  <c r="L208" i="33"/>
  <c r="K208" i="36"/>
  <c r="L205" i="33"/>
  <c r="K205" i="36"/>
  <c r="L196" i="33"/>
  <c r="K196" i="36"/>
  <c r="K219" i="36"/>
  <c r="L219" i="33"/>
  <c r="L186" i="33"/>
  <c r="K186" i="36"/>
  <c r="L226" i="33"/>
  <c r="K226" i="36"/>
  <c r="L207" i="33"/>
  <c r="K207" i="36"/>
  <c r="L184" i="33"/>
  <c r="K184" i="36"/>
  <c r="L229" i="33"/>
  <c r="K229" i="36"/>
  <c r="L221" i="33"/>
  <c r="K221" i="36"/>
  <c r="L185" i="33"/>
  <c r="K185" i="36"/>
  <c r="L232" i="33"/>
  <c r="K232" i="36"/>
  <c r="L210" i="33"/>
  <c r="K210" i="36"/>
  <c r="L201" i="33"/>
  <c r="K201" i="36"/>
  <c r="L194" i="33"/>
  <c r="K194" i="36"/>
  <c r="L240" i="33"/>
  <c r="K240" i="36"/>
  <c r="K255" i="36"/>
  <c r="L255" i="33"/>
  <c r="K250" i="36"/>
  <c r="L250" i="33"/>
  <c r="K262" i="36"/>
  <c r="L262" i="33"/>
  <c r="L192" i="33"/>
  <c r="K192" i="36"/>
  <c r="L197" i="33"/>
  <c r="K197" i="36"/>
  <c r="K254" i="36"/>
  <c r="L254" i="33"/>
  <c r="L199" i="33"/>
  <c r="K199" i="36"/>
  <c r="L200" i="33"/>
  <c r="K200" i="36"/>
  <c r="L228" i="33"/>
  <c r="K228" i="36"/>
  <c r="L244" i="33"/>
  <c r="K244" i="36"/>
  <c r="L187" i="33"/>
  <c r="K187" i="36"/>
  <c r="L209" i="33"/>
  <c r="K209" i="36"/>
  <c r="K252" i="36"/>
  <c r="L252" i="33"/>
  <c r="L190" i="33"/>
  <c r="K190" i="36"/>
  <c r="L241" i="33"/>
  <c r="K241" i="36"/>
  <c r="L189" i="33"/>
  <c r="K189" i="36"/>
  <c r="K257" i="36"/>
  <c r="L257" i="33"/>
  <c r="K251" i="36"/>
  <c r="L251" i="33"/>
  <c r="L146" i="32"/>
  <c r="K146" i="33"/>
  <c r="L224" i="33"/>
  <c r="K224" i="36"/>
  <c r="L191" i="33"/>
  <c r="K191" i="36"/>
  <c r="L230" i="33"/>
  <c r="K230" i="36"/>
  <c r="L223" i="33"/>
  <c r="K223" i="36"/>
  <c r="L222" i="33"/>
  <c r="K222" i="36"/>
  <c r="L248" i="33"/>
  <c r="K248" i="36"/>
  <c r="L239" i="33"/>
  <c r="K239" i="36"/>
  <c r="L202" i="33"/>
  <c r="K202" i="36"/>
  <c r="L245" i="33"/>
  <c r="K245" i="36"/>
  <c r="K220" i="36"/>
  <c r="L220" i="33"/>
  <c r="K265" i="36"/>
  <c r="L265" i="33"/>
  <c r="L225" i="33"/>
  <c r="K225" i="36"/>
  <c r="K261" i="36"/>
  <c r="L261" i="33"/>
  <c r="L193" i="33"/>
  <c r="K193" i="36"/>
  <c r="K218" i="36"/>
  <c r="L218" i="33"/>
  <c r="L181" i="33"/>
  <c r="K181" i="36"/>
  <c r="K263" i="36"/>
  <c r="L263" i="33"/>
  <c r="L188" i="33"/>
  <c r="K188" i="36"/>
  <c r="L237" i="33"/>
  <c r="K237" i="36"/>
  <c r="K212" i="36"/>
  <c r="L212" i="33"/>
  <c r="L235" i="33"/>
  <c r="K235" i="36"/>
  <c r="L195" i="33"/>
  <c r="K195" i="36"/>
  <c r="L233" i="33"/>
  <c r="K233" i="36"/>
  <c r="L242" i="33"/>
  <c r="K242" i="36"/>
  <c r="K213" i="36"/>
  <c r="L213" i="33"/>
  <c r="K13" i="36"/>
  <c r="L13" i="33"/>
  <c r="L164" i="31"/>
  <c r="K164" i="32"/>
  <c r="L108" i="31"/>
  <c r="K108" i="32"/>
  <c r="L139" i="31"/>
  <c r="K139" i="32"/>
  <c r="L89" i="31"/>
  <c r="K89" i="32"/>
  <c r="L132" i="31"/>
  <c r="K132" i="32"/>
  <c r="L162" i="31"/>
  <c r="K162" i="32"/>
  <c r="L134" i="31"/>
  <c r="K134" i="32"/>
  <c r="L173" i="31"/>
  <c r="K173" i="32"/>
  <c r="L38" i="31"/>
  <c r="K38" i="32"/>
  <c r="L116" i="31"/>
  <c r="K116" i="32"/>
  <c r="L51" i="31"/>
  <c r="K51" i="32"/>
  <c r="L84" i="31"/>
  <c r="K84" i="32"/>
  <c r="L69" i="31"/>
  <c r="K69" i="32"/>
  <c r="L64" i="31"/>
  <c r="K64" i="32"/>
  <c r="L152" i="31"/>
  <c r="K152" i="32"/>
  <c r="L124" i="31"/>
  <c r="K124" i="32"/>
  <c r="L88" i="31"/>
  <c r="K88" i="32"/>
  <c r="L55" i="31"/>
  <c r="K55" i="32"/>
  <c r="L119" i="31"/>
  <c r="K119" i="32"/>
  <c r="L56" i="31"/>
  <c r="K56" i="32"/>
  <c r="L161" i="31"/>
  <c r="K161" i="32"/>
  <c r="L177" i="31"/>
  <c r="K177" i="32"/>
  <c r="L62" i="31"/>
  <c r="K62" i="32"/>
  <c r="L179" i="31"/>
  <c r="K179" i="32"/>
  <c r="L127" i="31"/>
  <c r="K127" i="32"/>
  <c r="L174" i="31"/>
  <c r="K174" i="32"/>
  <c r="L15" i="31"/>
  <c r="K15" i="32"/>
  <c r="L148" i="31"/>
  <c r="K148" i="32"/>
  <c r="L141" i="31"/>
  <c r="K141" i="32"/>
  <c r="L113" i="31"/>
  <c r="K113" i="32"/>
  <c r="L39" i="31"/>
  <c r="K39" i="32"/>
  <c r="L159" i="31"/>
  <c r="K159" i="32"/>
  <c r="L155" i="31"/>
  <c r="K155" i="32"/>
  <c r="L57" i="31"/>
  <c r="K57" i="32"/>
  <c r="L46" i="31"/>
  <c r="K46" i="32"/>
  <c r="L48" i="31"/>
  <c r="K48" i="32"/>
  <c r="L153" i="31"/>
  <c r="K153" i="32"/>
  <c r="L163" i="31"/>
  <c r="K163" i="32"/>
  <c r="L95" i="31"/>
  <c r="K95" i="32"/>
  <c r="L176" i="31"/>
  <c r="K176" i="32"/>
  <c r="L47" i="31"/>
  <c r="K47" i="32"/>
  <c r="L149" i="31"/>
  <c r="K149" i="32"/>
  <c r="L120" i="31"/>
  <c r="K120" i="32"/>
  <c r="L114" i="31"/>
  <c r="K114" i="32"/>
  <c r="L142" i="31"/>
  <c r="K142" i="32"/>
  <c r="L27" i="31"/>
  <c r="K27" i="32"/>
  <c r="L156" i="31"/>
  <c r="K156" i="32"/>
  <c r="L86" i="31"/>
  <c r="K86" i="32"/>
  <c r="L105" i="31"/>
  <c r="K105" i="32"/>
  <c r="L91" i="31"/>
  <c r="K91" i="32"/>
  <c r="L170" i="31"/>
  <c r="K170" i="32"/>
  <c r="L44" i="31"/>
  <c r="K44" i="32"/>
  <c r="L140" i="31"/>
  <c r="K140" i="32"/>
  <c r="L111" i="31"/>
  <c r="K111" i="32"/>
  <c r="L117" i="31"/>
  <c r="K117" i="32"/>
  <c r="L92" i="31"/>
  <c r="K92" i="32"/>
  <c r="L169" i="31"/>
  <c r="K169" i="32"/>
  <c r="L41" i="31"/>
  <c r="K41" i="32"/>
  <c r="L59" i="31"/>
  <c r="K59" i="32"/>
  <c r="L29" i="31"/>
  <c r="K29" i="32"/>
  <c r="L144" i="31"/>
  <c r="K144" i="32"/>
  <c r="L65" i="31"/>
  <c r="K65" i="32"/>
  <c r="L49" i="31"/>
  <c r="K49" i="32"/>
  <c r="L171" i="31"/>
  <c r="K171" i="32"/>
  <c r="L22" i="31"/>
  <c r="K22" i="32"/>
  <c r="L20" i="31"/>
  <c r="K20" i="32"/>
  <c r="L110" i="31"/>
  <c r="K110" i="32"/>
  <c r="L154" i="31"/>
  <c r="K154" i="32"/>
  <c r="L52" i="31"/>
  <c r="K52" i="32"/>
  <c r="L93" i="31"/>
  <c r="K93" i="32"/>
  <c r="L43" i="31"/>
  <c r="K43" i="32"/>
  <c r="L145" i="31"/>
  <c r="K145" i="32"/>
  <c r="L147" i="31"/>
  <c r="K147" i="32"/>
  <c r="L98" i="31"/>
  <c r="K98" i="32"/>
  <c r="L167" i="31"/>
  <c r="K167" i="32"/>
  <c r="L71" i="31"/>
  <c r="K71" i="32"/>
  <c r="L23" i="31"/>
  <c r="K23" i="32"/>
  <c r="L133" i="31"/>
  <c r="K133" i="32"/>
  <c r="L104" i="31"/>
  <c r="K104" i="32"/>
  <c r="L16" i="31"/>
  <c r="K16" i="32"/>
  <c r="L97" i="31"/>
  <c r="K97" i="32"/>
  <c r="L34" i="31"/>
  <c r="K34" i="32"/>
  <c r="L42" i="31"/>
  <c r="K42" i="32"/>
  <c r="L180" i="31"/>
  <c r="K180" i="32"/>
  <c r="L151" i="31"/>
  <c r="K151" i="32"/>
  <c r="L115" i="31"/>
  <c r="K115" i="32"/>
  <c r="L18" i="31"/>
  <c r="K18" i="32"/>
  <c r="L53" i="31"/>
  <c r="K53" i="32"/>
  <c r="L26" i="31"/>
  <c r="K26" i="32"/>
  <c r="L76" i="31"/>
  <c r="K76" i="32"/>
  <c r="L19" i="31"/>
  <c r="K19" i="32"/>
  <c r="L130" i="31"/>
  <c r="K130" i="32"/>
  <c r="L143" i="31"/>
  <c r="K143" i="32"/>
  <c r="L79" i="31"/>
  <c r="K79" i="32"/>
  <c r="L54" i="31"/>
  <c r="K54" i="32"/>
  <c r="L160" i="31"/>
  <c r="K160" i="32"/>
  <c r="L31" i="31"/>
  <c r="K31" i="32"/>
  <c r="L61" i="31"/>
  <c r="K61" i="32"/>
  <c r="L126" i="31"/>
  <c r="K126" i="32"/>
  <c r="L77" i="31"/>
  <c r="K77" i="32"/>
  <c r="L24" i="31"/>
  <c r="K24" i="32"/>
  <c r="L32" i="31"/>
  <c r="K32" i="32"/>
  <c r="L30" i="31"/>
  <c r="K30" i="32"/>
  <c r="L157" i="31"/>
  <c r="K157" i="32"/>
  <c r="L72" i="31"/>
  <c r="K72" i="32"/>
  <c r="L131" i="31"/>
  <c r="K131" i="32"/>
  <c r="L13" i="32"/>
  <c r="L99" i="31"/>
  <c r="K99" i="32"/>
  <c r="L121" i="31"/>
  <c r="K121" i="32"/>
  <c r="L107" i="31"/>
  <c r="K107" i="32"/>
  <c r="L109" i="31"/>
  <c r="K109" i="32"/>
  <c r="L58" i="31"/>
  <c r="K58" i="32"/>
  <c r="L100" i="31"/>
  <c r="K100" i="32"/>
  <c r="L165" i="31"/>
  <c r="K165" i="32"/>
  <c r="L158" i="31"/>
  <c r="K158" i="32"/>
  <c r="L125" i="31"/>
  <c r="K125" i="32"/>
  <c r="L85" i="31"/>
  <c r="K85" i="32"/>
  <c r="L81" i="31"/>
  <c r="K81" i="32"/>
  <c r="L128" i="31"/>
  <c r="K128" i="32"/>
  <c r="L25" i="31"/>
  <c r="K25" i="32"/>
  <c r="L63" i="31"/>
  <c r="K63" i="32"/>
  <c r="L66" i="31"/>
  <c r="K66" i="32"/>
  <c r="L135" i="31"/>
  <c r="K135" i="32"/>
  <c r="L17" i="31"/>
  <c r="K17" i="32"/>
  <c r="L83" i="31"/>
  <c r="K83" i="32"/>
  <c r="L14" i="31"/>
  <c r="K14" i="32"/>
  <c r="L73" i="31"/>
  <c r="K73" i="32"/>
  <c r="L102" i="31"/>
  <c r="K102" i="32"/>
  <c r="L178" i="31"/>
  <c r="K178" i="32"/>
  <c r="L45" i="31"/>
  <c r="K45" i="32"/>
  <c r="L137" i="31"/>
  <c r="K137" i="32"/>
  <c r="L101" i="31"/>
  <c r="K101" i="32"/>
  <c r="L112" i="31"/>
  <c r="K112" i="32"/>
  <c r="L94" i="31"/>
  <c r="K94" i="32"/>
  <c r="L90" i="31"/>
  <c r="K90" i="32"/>
  <c r="L21" i="31"/>
  <c r="K21" i="32"/>
  <c r="L138" i="31"/>
  <c r="K138" i="32"/>
  <c r="L80" i="31"/>
  <c r="K80" i="32"/>
  <c r="L78" i="31"/>
  <c r="K78" i="32"/>
  <c r="L74" i="31"/>
  <c r="K74" i="32"/>
  <c r="L106" i="31"/>
  <c r="K106" i="32"/>
  <c r="L67" i="31"/>
  <c r="K67" i="32"/>
  <c r="L96" i="31"/>
  <c r="K96" i="32"/>
  <c r="L136" i="31"/>
  <c r="K136" i="32"/>
  <c r="L36" i="31"/>
  <c r="K36" i="32"/>
  <c r="L122" i="31"/>
  <c r="K122" i="32"/>
  <c r="L175" i="31"/>
  <c r="K175" i="32"/>
  <c r="L50" i="31"/>
  <c r="K50" i="32"/>
  <c r="L37" i="31"/>
  <c r="K37" i="32"/>
  <c r="L33" i="31"/>
  <c r="K33" i="32"/>
  <c r="L166" i="31"/>
  <c r="K166" i="32"/>
  <c r="L82" i="31"/>
  <c r="K82" i="32"/>
  <c r="L87" i="31"/>
  <c r="K87" i="32"/>
  <c r="L70" i="31"/>
  <c r="K70" i="32"/>
  <c r="L172" i="31"/>
  <c r="K172" i="32"/>
  <c r="L103" i="31"/>
  <c r="K103" i="32"/>
  <c r="L118" i="31"/>
  <c r="K118" i="32"/>
  <c r="L68" i="31"/>
  <c r="K68" i="32"/>
  <c r="L129" i="31"/>
  <c r="K129" i="32"/>
  <c r="L35" i="31"/>
  <c r="K35" i="32"/>
  <c r="L60" i="31"/>
  <c r="K60" i="32"/>
  <c r="L150" i="31"/>
  <c r="K150" i="32"/>
  <c r="L75" i="31"/>
  <c r="K75" i="32"/>
  <c r="L168" i="31"/>
  <c r="K168" i="32"/>
  <c r="L40" i="31"/>
  <c r="K40" i="32"/>
  <c r="L123" i="31"/>
  <c r="K123" i="32"/>
  <c r="L28" i="31"/>
  <c r="K28" i="32"/>
  <c r="L13" i="31"/>
  <c r="L130" i="32" l="1"/>
  <c r="K130" i="33"/>
  <c r="L71" i="32"/>
  <c r="K71" i="33"/>
  <c r="L171" i="32"/>
  <c r="K171" i="33"/>
  <c r="L48" i="32"/>
  <c r="K48" i="33"/>
  <c r="L195" i="36"/>
  <c r="K195" i="35"/>
  <c r="L195" i="35" s="1"/>
  <c r="K193" i="35"/>
  <c r="L193" i="35" s="1"/>
  <c r="L193" i="36"/>
  <c r="L210" i="36"/>
  <c r="K210" i="35"/>
  <c r="L210" i="35" s="1"/>
  <c r="L103" i="32"/>
  <c r="K103" i="33"/>
  <c r="L50" i="32"/>
  <c r="K50" i="33"/>
  <c r="L21" i="32"/>
  <c r="K21" i="33"/>
  <c r="L101" i="32"/>
  <c r="K101" i="33"/>
  <c r="L25" i="32"/>
  <c r="K25" i="33"/>
  <c r="K257" i="35"/>
  <c r="L257" i="35" s="1"/>
  <c r="L257" i="36"/>
  <c r="L255" i="36"/>
  <c r="K255" i="35"/>
  <c r="L255" i="35" s="1"/>
  <c r="K217" i="35"/>
  <c r="L217" i="35" s="1"/>
  <c r="L217" i="36"/>
  <c r="L30" i="32"/>
  <c r="K30" i="33"/>
  <c r="L126" i="32"/>
  <c r="K126" i="33"/>
  <c r="L54" i="32"/>
  <c r="K54" i="33"/>
  <c r="L19" i="32"/>
  <c r="K19" i="33"/>
  <c r="L18" i="32"/>
  <c r="K18" i="33"/>
  <c r="L42" i="32"/>
  <c r="K42" i="33"/>
  <c r="L104" i="32"/>
  <c r="K104" i="33"/>
  <c r="L167" i="32"/>
  <c r="K167" i="33"/>
  <c r="L43" i="32"/>
  <c r="K43" i="33"/>
  <c r="L110" i="32"/>
  <c r="K110" i="33"/>
  <c r="L49" i="32"/>
  <c r="K49" i="33"/>
  <c r="L59" i="32"/>
  <c r="K59" i="33"/>
  <c r="L117" i="32"/>
  <c r="K117" i="33"/>
  <c r="L170" i="32"/>
  <c r="K170" i="33"/>
  <c r="L156" i="32"/>
  <c r="K156" i="33"/>
  <c r="L120" i="32"/>
  <c r="K120" i="33"/>
  <c r="L95" i="32"/>
  <c r="K95" i="33"/>
  <c r="L46" i="32"/>
  <c r="K46" i="33"/>
  <c r="L39" i="32"/>
  <c r="K39" i="33"/>
  <c r="L15" i="32"/>
  <c r="K15" i="33"/>
  <c r="L62" i="32"/>
  <c r="K62" i="33"/>
  <c r="L119" i="32"/>
  <c r="K119" i="33"/>
  <c r="L152" i="32"/>
  <c r="K152" i="33"/>
  <c r="L51" i="32"/>
  <c r="K51" i="33"/>
  <c r="L134" i="32"/>
  <c r="K134" i="33"/>
  <c r="L139" i="32"/>
  <c r="K139" i="33"/>
  <c r="K235" i="35"/>
  <c r="L235" i="35" s="1"/>
  <c r="L235" i="36"/>
  <c r="L245" i="36"/>
  <c r="K245" i="35"/>
  <c r="L245" i="35" s="1"/>
  <c r="L222" i="36"/>
  <c r="K222" i="35"/>
  <c r="L222" i="35" s="1"/>
  <c r="K224" i="35"/>
  <c r="L224" i="35" s="1"/>
  <c r="L224" i="36"/>
  <c r="K189" i="35"/>
  <c r="L189" i="35" s="1"/>
  <c r="L189" i="36"/>
  <c r="K209" i="35"/>
  <c r="L209" i="35" s="1"/>
  <c r="L209" i="36"/>
  <c r="K200" i="35"/>
  <c r="L200" i="35" s="1"/>
  <c r="L200" i="36"/>
  <c r="K192" i="35"/>
  <c r="L192" i="35" s="1"/>
  <c r="L192" i="36"/>
  <c r="L240" i="36"/>
  <c r="K240" i="35"/>
  <c r="L240" i="35" s="1"/>
  <c r="L232" i="36"/>
  <c r="K232" i="35"/>
  <c r="L232" i="35" s="1"/>
  <c r="K184" i="35"/>
  <c r="L184" i="35" s="1"/>
  <c r="L184" i="36"/>
  <c r="K249" i="35"/>
  <c r="L249" i="35" s="1"/>
  <c r="L249" i="36"/>
  <c r="K238" i="35"/>
  <c r="L238" i="35" s="1"/>
  <c r="L238" i="36"/>
  <c r="L231" i="36"/>
  <c r="K231" i="35"/>
  <c r="L231" i="35" s="1"/>
  <c r="L180" i="32"/>
  <c r="K180" i="33"/>
  <c r="L159" i="32"/>
  <c r="K159" i="33"/>
  <c r="K188" i="35"/>
  <c r="L188" i="35" s="1"/>
  <c r="L188" i="36"/>
  <c r="L191" i="36"/>
  <c r="K191" i="35"/>
  <c r="L191" i="35" s="1"/>
  <c r="L234" i="36"/>
  <c r="K234" i="35"/>
  <c r="L234" i="35" s="1"/>
  <c r="L82" i="32"/>
  <c r="K82" i="33"/>
  <c r="L102" i="32"/>
  <c r="K102" i="33"/>
  <c r="L96" i="32"/>
  <c r="K96" i="33"/>
  <c r="L73" i="32"/>
  <c r="K73" i="33"/>
  <c r="L135" i="32"/>
  <c r="K135" i="33"/>
  <c r="L128" i="32"/>
  <c r="K128" i="33"/>
  <c r="L158" i="32"/>
  <c r="K158" i="33"/>
  <c r="L109" i="32"/>
  <c r="K109" i="33"/>
  <c r="K213" i="35"/>
  <c r="L213" i="35" s="1"/>
  <c r="L213" i="36"/>
  <c r="L263" i="36"/>
  <c r="K263" i="35"/>
  <c r="L263" i="35" s="1"/>
  <c r="L261" i="36"/>
  <c r="K261" i="35"/>
  <c r="L261" i="35" s="1"/>
  <c r="K219" i="35"/>
  <c r="L219" i="35" s="1"/>
  <c r="L219" i="36"/>
  <c r="K268" i="35"/>
  <c r="L268" i="35" s="1"/>
  <c r="L268" i="36"/>
  <c r="K258" i="35"/>
  <c r="L258" i="35" s="1"/>
  <c r="L258" i="36"/>
  <c r="L253" i="36"/>
  <c r="K253" i="35"/>
  <c r="L253" i="35" s="1"/>
  <c r="K259" i="35"/>
  <c r="L259" i="35" s="1"/>
  <c r="L259" i="36"/>
  <c r="L77" i="32"/>
  <c r="K77" i="33"/>
  <c r="L124" i="32"/>
  <c r="K124" i="33"/>
  <c r="L228" i="36"/>
  <c r="K228" i="35"/>
  <c r="L228" i="35" s="1"/>
  <c r="K197" i="35"/>
  <c r="L197" i="35" s="1"/>
  <c r="L197" i="36"/>
  <c r="L247" i="36"/>
  <c r="K247" i="35"/>
  <c r="L247" i="35" s="1"/>
  <c r="L58" i="32"/>
  <c r="K58" i="33"/>
  <c r="K13" i="35"/>
  <c r="L13" i="36"/>
  <c r="L264" i="36"/>
  <c r="K264" i="35"/>
  <c r="L264" i="35" s="1"/>
  <c r="L28" i="32"/>
  <c r="K28" i="33"/>
  <c r="L78" i="32"/>
  <c r="K78" i="33"/>
  <c r="L131" i="32"/>
  <c r="K131" i="33"/>
  <c r="L32" i="32"/>
  <c r="K32" i="33"/>
  <c r="L61" i="32"/>
  <c r="K61" i="33"/>
  <c r="L79" i="32"/>
  <c r="K79" i="33"/>
  <c r="L76" i="32"/>
  <c r="K76" i="33"/>
  <c r="L115" i="32"/>
  <c r="K115" i="33"/>
  <c r="L34" i="32"/>
  <c r="K34" i="33"/>
  <c r="L133" i="32"/>
  <c r="K133" i="33"/>
  <c r="L98" i="32"/>
  <c r="K98" i="33"/>
  <c r="L93" i="32"/>
  <c r="K93" i="33"/>
  <c r="L20" i="32"/>
  <c r="K20" i="33"/>
  <c r="L65" i="32"/>
  <c r="K65" i="33"/>
  <c r="L41" i="32"/>
  <c r="K41" i="33"/>
  <c r="L111" i="32"/>
  <c r="K111" i="33"/>
  <c r="L27" i="32"/>
  <c r="K27" i="33"/>
  <c r="L149" i="32"/>
  <c r="K149" i="33"/>
  <c r="L163" i="32"/>
  <c r="K163" i="33"/>
  <c r="L57" i="32"/>
  <c r="K57" i="33"/>
  <c r="L113" i="32"/>
  <c r="K113" i="33"/>
  <c r="L174" i="32"/>
  <c r="K174" i="33"/>
  <c r="L177" i="32"/>
  <c r="K177" i="33"/>
  <c r="L55" i="32"/>
  <c r="K55" i="33"/>
  <c r="L64" i="32"/>
  <c r="K64" i="33"/>
  <c r="L116" i="32"/>
  <c r="K116" i="33"/>
  <c r="L162" i="32"/>
  <c r="K162" i="33"/>
  <c r="L108" i="32"/>
  <c r="K108" i="33"/>
  <c r="K242" i="35"/>
  <c r="L242" i="35" s="1"/>
  <c r="L242" i="36"/>
  <c r="K181" i="35"/>
  <c r="L181" i="35" s="1"/>
  <c r="L181" i="36"/>
  <c r="K225" i="35"/>
  <c r="L225" i="35" s="1"/>
  <c r="L225" i="36"/>
  <c r="L202" i="36"/>
  <c r="K202" i="35"/>
  <c r="L202" i="35" s="1"/>
  <c r="L223" i="36"/>
  <c r="K223" i="35"/>
  <c r="L223" i="35" s="1"/>
  <c r="L146" i="33"/>
  <c r="K146" i="36"/>
  <c r="K241" i="35"/>
  <c r="L241" i="35" s="1"/>
  <c r="L241" i="36"/>
  <c r="L187" i="36"/>
  <c r="K187" i="35"/>
  <c r="L187" i="35" s="1"/>
  <c r="L199" i="36"/>
  <c r="K199" i="35"/>
  <c r="L199" i="35" s="1"/>
  <c r="L194" i="36"/>
  <c r="K194" i="35"/>
  <c r="L194" i="35" s="1"/>
  <c r="K185" i="35"/>
  <c r="L185" i="35" s="1"/>
  <c r="L185" i="36"/>
  <c r="L207" i="36"/>
  <c r="K207" i="35"/>
  <c r="L207" i="35" s="1"/>
  <c r="K196" i="35"/>
  <c r="L196" i="35" s="1"/>
  <c r="L196" i="36"/>
  <c r="L203" i="36"/>
  <c r="K203" i="35"/>
  <c r="L203" i="35" s="1"/>
  <c r="L236" i="36"/>
  <c r="K236" i="35"/>
  <c r="L236" i="35" s="1"/>
  <c r="K204" i="35"/>
  <c r="L204" i="35" s="1"/>
  <c r="L204" i="36"/>
  <c r="L53" i="32"/>
  <c r="K53" i="33"/>
  <c r="L44" i="32"/>
  <c r="K44" i="33"/>
  <c r="L173" i="32"/>
  <c r="K173" i="33"/>
  <c r="L248" i="36"/>
  <c r="K248" i="35"/>
  <c r="L248" i="35" s="1"/>
  <c r="L186" i="36"/>
  <c r="K186" i="35"/>
  <c r="L186" i="35" s="1"/>
  <c r="K182" i="35"/>
  <c r="L182" i="35" s="1"/>
  <c r="L182" i="36"/>
  <c r="L35" i="32"/>
  <c r="K35" i="33"/>
  <c r="L74" i="32"/>
  <c r="K74" i="33"/>
  <c r="L125" i="32"/>
  <c r="K125" i="33"/>
  <c r="L75" i="32"/>
  <c r="K75" i="33"/>
  <c r="L166" i="32"/>
  <c r="K166" i="33"/>
  <c r="L123" i="32"/>
  <c r="K123" i="33"/>
  <c r="L70" i="32"/>
  <c r="K70" i="33"/>
  <c r="L80" i="32"/>
  <c r="K80" i="33"/>
  <c r="L14" i="32"/>
  <c r="K14" i="33"/>
  <c r="L66" i="32"/>
  <c r="K66" i="33"/>
  <c r="L107" i="32"/>
  <c r="K107" i="33"/>
  <c r="K212" i="35"/>
  <c r="L212" i="35" s="1"/>
  <c r="L212" i="36"/>
  <c r="L262" i="36"/>
  <c r="K262" i="35"/>
  <c r="L262" i="35" s="1"/>
  <c r="K216" i="35"/>
  <c r="L216" i="35" s="1"/>
  <c r="L216" i="36"/>
  <c r="L256" i="36"/>
  <c r="K256" i="35"/>
  <c r="L256" i="35" s="1"/>
  <c r="K214" i="35"/>
  <c r="L214" i="35" s="1"/>
  <c r="L214" i="36"/>
  <c r="K266" i="35"/>
  <c r="L266" i="35" s="1"/>
  <c r="L266" i="36"/>
  <c r="L160" i="32"/>
  <c r="K160" i="33"/>
  <c r="L145" i="32"/>
  <c r="K145" i="33"/>
  <c r="L29" i="32"/>
  <c r="K29" i="33"/>
  <c r="L56" i="32"/>
  <c r="K56" i="33"/>
  <c r="L229" i="36"/>
  <c r="K229" i="35"/>
  <c r="L229" i="35" s="1"/>
  <c r="L168" i="32"/>
  <c r="K168" i="33"/>
  <c r="L17" i="32"/>
  <c r="K17" i="33"/>
  <c r="L220" i="36"/>
  <c r="K220" i="35"/>
  <c r="L220" i="35" s="1"/>
  <c r="K252" i="35"/>
  <c r="L252" i="35" s="1"/>
  <c r="L252" i="36"/>
  <c r="K260" i="35"/>
  <c r="L260" i="35" s="1"/>
  <c r="L260" i="36"/>
  <c r="L172" i="32"/>
  <c r="K172" i="33"/>
  <c r="L137" i="32"/>
  <c r="K137" i="33"/>
  <c r="L68" i="32"/>
  <c r="K68" i="33"/>
  <c r="L122" i="32"/>
  <c r="K122" i="33"/>
  <c r="L94" i="32"/>
  <c r="K94" i="33"/>
  <c r="L81" i="32"/>
  <c r="K81" i="33"/>
  <c r="L24" i="32"/>
  <c r="K24" i="33"/>
  <c r="L31" i="32"/>
  <c r="K31" i="33"/>
  <c r="L143" i="32"/>
  <c r="K143" i="33"/>
  <c r="L26" i="32"/>
  <c r="K26" i="33"/>
  <c r="L151" i="32"/>
  <c r="K151" i="33"/>
  <c r="L97" i="32"/>
  <c r="K97" i="33"/>
  <c r="L23" i="32"/>
  <c r="K23" i="33"/>
  <c r="L147" i="32"/>
  <c r="K147" i="33"/>
  <c r="L52" i="32"/>
  <c r="K52" i="33"/>
  <c r="L22" i="32"/>
  <c r="K22" i="33"/>
  <c r="L144" i="32"/>
  <c r="K144" i="33"/>
  <c r="L169" i="32"/>
  <c r="K169" i="33"/>
  <c r="L140" i="32"/>
  <c r="K140" i="33"/>
  <c r="L105" i="32"/>
  <c r="K105" i="33"/>
  <c r="L142" i="32"/>
  <c r="K142" i="33"/>
  <c r="L47" i="32"/>
  <c r="K47" i="33"/>
  <c r="L153" i="32"/>
  <c r="K153" i="33"/>
  <c r="L155" i="32"/>
  <c r="K155" i="33"/>
  <c r="L141" i="32"/>
  <c r="K141" i="33"/>
  <c r="L127" i="32"/>
  <c r="K127" i="33"/>
  <c r="L161" i="32"/>
  <c r="K161" i="33"/>
  <c r="L69" i="32"/>
  <c r="K69" i="33"/>
  <c r="L38" i="32"/>
  <c r="K38" i="33"/>
  <c r="L132" i="32"/>
  <c r="K132" i="33"/>
  <c r="L164" i="32"/>
  <c r="K164" i="33"/>
  <c r="L233" i="36"/>
  <c r="K233" i="35"/>
  <c r="L233" i="35" s="1"/>
  <c r="K237" i="35"/>
  <c r="L237" i="35" s="1"/>
  <c r="L237" i="36"/>
  <c r="L239" i="36"/>
  <c r="K239" i="35"/>
  <c r="L239" i="35" s="1"/>
  <c r="L230" i="36"/>
  <c r="K230" i="35"/>
  <c r="L230" i="35" s="1"/>
  <c r="K190" i="35"/>
  <c r="L190" i="35" s="1"/>
  <c r="L190" i="36"/>
  <c r="K244" i="35"/>
  <c r="L244" i="35" s="1"/>
  <c r="L244" i="36"/>
  <c r="K201" i="35"/>
  <c r="L201" i="35" s="1"/>
  <c r="L201" i="36"/>
  <c r="L221" i="36"/>
  <c r="K221" i="35"/>
  <c r="L221" i="35" s="1"/>
  <c r="K226" i="35"/>
  <c r="L226" i="35" s="1"/>
  <c r="L226" i="36"/>
  <c r="K205" i="35"/>
  <c r="L205" i="35" s="1"/>
  <c r="L205" i="36"/>
  <c r="K243" i="35"/>
  <c r="L243" i="35" s="1"/>
  <c r="L243" i="36"/>
  <c r="K206" i="35"/>
  <c r="L206" i="35" s="1"/>
  <c r="L206" i="36"/>
  <c r="L183" i="36"/>
  <c r="K183" i="35"/>
  <c r="L183" i="35" s="1"/>
  <c r="K198" i="35"/>
  <c r="L198" i="35" s="1"/>
  <c r="L198" i="36"/>
  <c r="K227" i="35"/>
  <c r="L227" i="35" s="1"/>
  <c r="L227" i="36"/>
  <c r="L157" i="32"/>
  <c r="K157" i="33"/>
  <c r="L16" i="32"/>
  <c r="K16" i="33"/>
  <c r="L154" i="32"/>
  <c r="K154" i="33"/>
  <c r="L92" i="32"/>
  <c r="K92" i="33"/>
  <c r="L114" i="32"/>
  <c r="K114" i="33"/>
  <c r="L176" i="32"/>
  <c r="K176" i="33"/>
  <c r="L148" i="32"/>
  <c r="K148" i="33"/>
  <c r="L179" i="32"/>
  <c r="K179" i="33"/>
  <c r="K208" i="35"/>
  <c r="L208" i="35" s="1"/>
  <c r="L208" i="36"/>
  <c r="L136" i="32"/>
  <c r="K136" i="33"/>
  <c r="L99" i="32"/>
  <c r="K99" i="33"/>
  <c r="L129" i="32"/>
  <c r="K129" i="33"/>
  <c r="L175" i="32"/>
  <c r="K175" i="33"/>
  <c r="L150" i="32"/>
  <c r="K150" i="33"/>
  <c r="L33" i="32"/>
  <c r="K33" i="33"/>
  <c r="L67" i="32"/>
  <c r="K67" i="33"/>
  <c r="L45" i="32"/>
  <c r="K45" i="33"/>
  <c r="L165" i="32"/>
  <c r="K165" i="33"/>
  <c r="L72" i="32"/>
  <c r="K72" i="33"/>
  <c r="L40" i="32"/>
  <c r="K40" i="33"/>
  <c r="L60" i="32"/>
  <c r="K60" i="33"/>
  <c r="L118" i="32"/>
  <c r="K118" i="33"/>
  <c r="L37" i="32"/>
  <c r="K37" i="33"/>
  <c r="L36" i="32"/>
  <c r="K36" i="33"/>
  <c r="L106" i="32"/>
  <c r="K106" i="33"/>
  <c r="L138" i="32"/>
  <c r="K138" i="33"/>
  <c r="L112" i="32"/>
  <c r="K112" i="33"/>
  <c r="L178" i="32"/>
  <c r="K178" i="33"/>
  <c r="L63" i="32"/>
  <c r="K63" i="33"/>
  <c r="L100" i="32"/>
  <c r="K100" i="33"/>
  <c r="L121" i="32"/>
  <c r="K121" i="33"/>
  <c r="K218" i="35"/>
  <c r="L218" i="35" s="1"/>
  <c r="L218" i="36"/>
  <c r="K265" i="35"/>
  <c r="L265" i="35" s="1"/>
  <c r="L265" i="36"/>
  <c r="K251" i="35"/>
  <c r="L251" i="35" s="1"/>
  <c r="L251" i="36"/>
  <c r="L254" i="36"/>
  <c r="K254" i="35"/>
  <c r="L254" i="35" s="1"/>
  <c r="K250" i="35"/>
  <c r="L250" i="35" s="1"/>
  <c r="L250" i="36"/>
  <c r="L215" i="36"/>
  <c r="K215" i="35"/>
  <c r="L215" i="35" s="1"/>
  <c r="L211" i="36"/>
  <c r="K211" i="35"/>
  <c r="L211" i="35" s="1"/>
  <c r="L86" i="32"/>
  <c r="K86" i="33"/>
  <c r="L90" i="32"/>
  <c r="K90" i="33"/>
  <c r="L89" i="32"/>
  <c r="K89" i="33"/>
  <c r="L91" i="32"/>
  <c r="K91" i="33"/>
  <c r="L88" i="32"/>
  <c r="K88" i="33"/>
  <c r="L84" i="32"/>
  <c r="K84" i="33"/>
  <c r="L87" i="32"/>
  <c r="K87" i="33"/>
  <c r="L83" i="32"/>
  <c r="K83" i="33"/>
  <c r="K83" i="36" s="1"/>
  <c r="L85" i="32"/>
  <c r="K85" i="33"/>
  <c r="K270" i="32"/>
  <c r="L270" i="32" s="1"/>
  <c r="K270" i="31"/>
  <c r="L270" i="31" s="1"/>
  <c r="L246" i="31"/>
  <c r="L180" i="33" l="1"/>
  <c r="K180" i="36"/>
  <c r="L95" i="33"/>
  <c r="K95" i="36"/>
  <c r="L103" i="33"/>
  <c r="K103" i="36"/>
  <c r="L92" i="33"/>
  <c r="K92" i="36"/>
  <c r="L132" i="33"/>
  <c r="K132" i="36"/>
  <c r="L127" i="33"/>
  <c r="K127" i="36"/>
  <c r="L47" i="33"/>
  <c r="K47" i="36"/>
  <c r="L169" i="33"/>
  <c r="K169" i="36"/>
  <c r="L147" i="33"/>
  <c r="K147" i="36"/>
  <c r="K26" i="36"/>
  <c r="L26" i="33"/>
  <c r="L81" i="33"/>
  <c r="K81" i="36"/>
  <c r="L137" i="33"/>
  <c r="K137" i="36"/>
  <c r="L56" i="33"/>
  <c r="K56" i="36"/>
  <c r="K14" i="36"/>
  <c r="L14" i="33"/>
  <c r="L166" i="33"/>
  <c r="K166" i="36"/>
  <c r="K35" i="36"/>
  <c r="L35" i="33"/>
  <c r="L173" i="33"/>
  <c r="K173" i="36"/>
  <c r="L162" i="33"/>
  <c r="K162" i="36"/>
  <c r="L177" i="33"/>
  <c r="K177" i="36"/>
  <c r="L163" i="33"/>
  <c r="K163" i="36"/>
  <c r="L41" i="33"/>
  <c r="K41" i="36"/>
  <c r="L98" i="33"/>
  <c r="K98" i="36"/>
  <c r="L76" i="33"/>
  <c r="K76" i="36"/>
  <c r="L131" i="33"/>
  <c r="K131" i="36"/>
  <c r="L73" i="33"/>
  <c r="K73" i="36"/>
  <c r="L62" i="33"/>
  <c r="K62" i="36"/>
  <c r="L178" i="33"/>
  <c r="K178" i="36"/>
  <c r="K36" i="36"/>
  <c r="L36" i="33"/>
  <c r="K40" i="36"/>
  <c r="L40" i="33"/>
  <c r="L67" i="33"/>
  <c r="K67" i="36"/>
  <c r="L129" i="33"/>
  <c r="K129" i="36"/>
  <c r="L179" i="33"/>
  <c r="K179" i="36"/>
  <c r="L158" i="33"/>
  <c r="K158" i="36"/>
  <c r="L96" i="33"/>
  <c r="K96" i="36"/>
  <c r="L51" i="33"/>
  <c r="K51" i="36"/>
  <c r="K15" i="36"/>
  <c r="L15" i="33"/>
  <c r="L120" i="33"/>
  <c r="K120" i="36"/>
  <c r="L59" i="33"/>
  <c r="K59" i="36"/>
  <c r="L167" i="33"/>
  <c r="K167" i="36"/>
  <c r="K19" i="36"/>
  <c r="L19" i="33"/>
  <c r="L101" i="33"/>
  <c r="K101" i="36"/>
  <c r="L171" i="33"/>
  <c r="K171" i="36"/>
  <c r="L109" i="33"/>
  <c r="K109" i="36"/>
  <c r="L134" i="33"/>
  <c r="K134" i="36"/>
  <c r="L117" i="33"/>
  <c r="K117" i="36"/>
  <c r="L43" i="33"/>
  <c r="K43" i="36"/>
  <c r="K18" i="36"/>
  <c r="L18" i="33"/>
  <c r="K30" i="36"/>
  <c r="L30" i="33"/>
  <c r="K25" i="36"/>
  <c r="L25" i="33"/>
  <c r="L48" i="33"/>
  <c r="K48" i="36"/>
  <c r="L84" i="33"/>
  <c r="K84" i="36"/>
  <c r="L90" i="33"/>
  <c r="K90" i="36"/>
  <c r="L85" i="33"/>
  <c r="K85" i="36"/>
  <c r="L88" i="33"/>
  <c r="K88" i="36"/>
  <c r="L86" i="33"/>
  <c r="K86" i="36"/>
  <c r="L121" i="33"/>
  <c r="K121" i="36"/>
  <c r="K112" i="36"/>
  <c r="L112" i="33"/>
  <c r="K37" i="36"/>
  <c r="L37" i="33"/>
  <c r="L72" i="33"/>
  <c r="K72" i="36"/>
  <c r="K33" i="36"/>
  <c r="L33" i="33"/>
  <c r="L99" i="33"/>
  <c r="K99" i="36"/>
  <c r="L148" i="33"/>
  <c r="K148" i="36"/>
  <c r="L154" i="33"/>
  <c r="K154" i="36"/>
  <c r="L38" i="33"/>
  <c r="K38" i="36"/>
  <c r="L141" i="33"/>
  <c r="K141" i="36"/>
  <c r="L142" i="33"/>
  <c r="K142" i="36"/>
  <c r="L144" i="33"/>
  <c r="K144" i="36"/>
  <c r="K23" i="36"/>
  <c r="L23" i="33"/>
  <c r="L143" i="33"/>
  <c r="K143" i="36"/>
  <c r="L94" i="33"/>
  <c r="K94" i="36"/>
  <c r="L172" i="33"/>
  <c r="K172" i="36"/>
  <c r="K17" i="36"/>
  <c r="L17" i="33"/>
  <c r="L29" i="33"/>
  <c r="K29" i="36"/>
  <c r="L80" i="33"/>
  <c r="K80" i="36"/>
  <c r="L75" i="33"/>
  <c r="K75" i="36"/>
  <c r="L44" i="33"/>
  <c r="K44" i="36"/>
  <c r="L146" i="36"/>
  <c r="K146" i="35"/>
  <c r="L146" i="35" s="1"/>
  <c r="L116" i="33"/>
  <c r="K116" i="36"/>
  <c r="L174" i="33"/>
  <c r="K174" i="36"/>
  <c r="L149" i="33"/>
  <c r="K149" i="36"/>
  <c r="L65" i="33"/>
  <c r="K65" i="36"/>
  <c r="L133" i="33"/>
  <c r="K133" i="36"/>
  <c r="L79" i="33"/>
  <c r="K79" i="36"/>
  <c r="L78" i="33"/>
  <c r="K78" i="36"/>
  <c r="L13" i="35"/>
  <c r="L58" i="33"/>
  <c r="K58" i="36"/>
  <c r="L124" i="33"/>
  <c r="K124" i="36"/>
  <c r="L128" i="33"/>
  <c r="K128" i="36"/>
  <c r="L102" i="33"/>
  <c r="K102" i="36"/>
  <c r="L152" i="33"/>
  <c r="K152" i="36"/>
  <c r="K39" i="36"/>
  <c r="L39" i="33"/>
  <c r="L156" i="33"/>
  <c r="K156" i="36"/>
  <c r="L49" i="33"/>
  <c r="K49" i="36"/>
  <c r="L104" i="33"/>
  <c r="K104" i="36"/>
  <c r="L54" i="33"/>
  <c r="K54" i="36"/>
  <c r="K21" i="36"/>
  <c r="L21" i="33"/>
  <c r="L71" i="33"/>
  <c r="K71" i="36"/>
  <c r="L53" i="33"/>
  <c r="K53" i="36"/>
  <c r="L64" i="33"/>
  <c r="K64" i="36"/>
  <c r="K113" i="36"/>
  <c r="L113" i="33"/>
  <c r="K27" i="36"/>
  <c r="L27" i="33"/>
  <c r="K20" i="36"/>
  <c r="L20" i="33"/>
  <c r="K34" i="36"/>
  <c r="L34" i="33"/>
  <c r="L61" i="33"/>
  <c r="K61" i="36"/>
  <c r="K28" i="36"/>
  <c r="L28" i="33"/>
  <c r="L83" i="36"/>
  <c r="K83" i="35"/>
  <c r="L83" i="35" s="1"/>
  <c r="L100" i="33"/>
  <c r="K100" i="36"/>
  <c r="L138" i="33"/>
  <c r="K138" i="36"/>
  <c r="L118" i="33"/>
  <c r="K118" i="36"/>
  <c r="L165" i="33"/>
  <c r="K165" i="36"/>
  <c r="L150" i="33"/>
  <c r="K150" i="36"/>
  <c r="L136" i="33"/>
  <c r="K136" i="36"/>
  <c r="K16" i="36"/>
  <c r="L16" i="33"/>
  <c r="L97" i="33"/>
  <c r="K97" i="36"/>
  <c r="L145" i="33"/>
  <c r="K145" i="36"/>
  <c r="L77" i="33"/>
  <c r="K77" i="36"/>
  <c r="L135" i="33"/>
  <c r="K135" i="36"/>
  <c r="L82" i="33"/>
  <c r="K82" i="36"/>
  <c r="L159" i="33"/>
  <c r="K159" i="36"/>
  <c r="L139" i="33"/>
  <c r="K139" i="36"/>
  <c r="L119" i="33"/>
  <c r="K119" i="36"/>
  <c r="L46" i="33"/>
  <c r="K46" i="36"/>
  <c r="L170" i="33"/>
  <c r="K170" i="36"/>
  <c r="L110" i="33"/>
  <c r="K110" i="36"/>
  <c r="L42" i="33"/>
  <c r="K42" i="36"/>
  <c r="L126" i="33"/>
  <c r="K126" i="36"/>
  <c r="L50" i="33"/>
  <c r="K50" i="36"/>
  <c r="L130" i="33"/>
  <c r="K130" i="36"/>
  <c r="L91" i="33"/>
  <c r="K91" i="36"/>
  <c r="L176" i="33"/>
  <c r="K176" i="36"/>
  <c r="L69" i="33"/>
  <c r="K69" i="36"/>
  <c r="L155" i="33"/>
  <c r="K155" i="36"/>
  <c r="L105" i="33"/>
  <c r="K105" i="36"/>
  <c r="K22" i="36"/>
  <c r="L22" i="33"/>
  <c r="K31" i="36"/>
  <c r="L31" i="33"/>
  <c r="L122" i="33"/>
  <c r="K122" i="36"/>
  <c r="L168" i="33"/>
  <c r="K168" i="36"/>
  <c r="L107" i="33"/>
  <c r="K107" i="36"/>
  <c r="L70" i="33"/>
  <c r="K70" i="36"/>
  <c r="L125" i="33"/>
  <c r="K125" i="36"/>
  <c r="L87" i="33"/>
  <c r="K87" i="36"/>
  <c r="L89" i="33"/>
  <c r="K89" i="36"/>
  <c r="L63" i="33"/>
  <c r="K63" i="36"/>
  <c r="L106" i="33"/>
  <c r="K106" i="36"/>
  <c r="L60" i="33"/>
  <c r="K60" i="36"/>
  <c r="L45" i="33"/>
  <c r="K45" i="36"/>
  <c r="L175" i="33"/>
  <c r="K175" i="36"/>
  <c r="K114" i="36"/>
  <c r="L114" i="33"/>
  <c r="L157" i="33"/>
  <c r="K157" i="36"/>
  <c r="L164" i="33"/>
  <c r="K164" i="36"/>
  <c r="L161" i="33"/>
  <c r="K161" i="36"/>
  <c r="L153" i="33"/>
  <c r="K153" i="36"/>
  <c r="L140" i="33"/>
  <c r="K140" i="36"/>
  <c r="L52" i="33"/>
  <c r="K52" i="36"/>
  <c r="L151" i="33"/>
  <c r="K151" i="36"/>
  <c r="K24" i="36"/>
  <c r="L24" i="33"/>
  <c r="L68" i="33"/>
  <c r="K68" i="36"/>
  <c r="L160" i="33"/>
  <c r="K160" i="36"/>
  <c r="L66" i="33"/>
  <c r="K66" i="36"/>
  <c r="L123" i="33"/>
  <c r="K123" i="36"/>
  <c r="L74" i="33"/>
  <c r="K74" i="36"/>
  <c r="L108" i="33"/>
  <c r="K108" i="36"/>
  <c r="L55" i="33"/>
  <c r="K55" i="36"/>
  <c r="L57" i="33"/>
  <c r="K57" i="36"/>
  <c r="L111" i="33"/>
  <c r="K111" i="36"/>
  <c r="L93" i="33"/>
  <c r="K93" i="36"/>
  <c r="L115" i="33"/>
  <c r="K115" i="36"/>
  <c r="K32" i="36"/>
  <c r="L32" i="33"/>
  <c r="L83" i="33"/>
  <c r="K270" i="33"/>
  <c r="L270" i="33" s="1"/>
  <c r="K44" i="35" l="1"/>
  <c r="L44" i="35" s="1"/>
  <c r="L44" i="36"/>
  <c r="L131" i="36"/>
  <c r="K131" i="35"/>
  <c r="L131" i="35" s="1"/>
  <c r="K169" i="35"/>
  <c r="L169" i="35" s="1"/>
  <c r="L169" i="36"/>
  <c r="K32" i="35"/>
  <c r="L32" i="35" s="1"/>
  <c r="L32" i="36"/>
  <c r="K24" i="35"/>
  <c r="L24" i="35" s="1"/>
  <c r="L24" i="36"/>
  <c r="L114" i="36"/>
  <c r="K114" i="35"/>
  <c r="L114" i="35" s="1"/>
  <c r="K113" i="35"/>
  <c r="L113" i="35" s="1"/>
  <c r="L113" i="36"/>
  <c r="K21" i="35"/>
  <c r="L21" i="35" s="1"/>
  <c r="L21" i="36"/>
  <c r="K17" i="35"/>
  <c r="L17" i="35" s="1"/>
  <c r="L17" i="36"/>
  <c r="L23" i="36"/>
  <c r="K23" i="35"/>
  <c r="L23" i="35" s="1"/>
  <c r="K33" i="35"/>
  <c r="L33" i="35" s="1"/>
  <c r="L33" i="36"/>
  <c r="K30" i="35"/>
  <c r="L30" i="35" s="1"/>
  <c r="L30" i="36"/>
  <c r="L19" i="36"/>
  <c r="K19" i="35"/>
  <c r="L19" i="35" s="1"/>
  <c r="L15" i="36"/>
  <c r="K15" i="35"/>
  <c r="L15" i="35" s="1"/>
  <c r="K36" i="35"/>
  <c r="L36" i="35" s="1"/>
  <c r="L36" i="36"/>
  <c r="L35" i="36"/>
  <c r="K35" i="35"/>
  <c r="L35" i="35" s="1"/>
  <c r="K16" i="35"/>
  <c r="L16" i="35" s="1"/>
  <c r="L16" i="36"/>
  <c r="K57" i="35"/>
  <c r="L57" i="35" s="1"/>
  <c r="L57" i="36"/>
  <c r="K153" i="35"/>
  <c r="L153" i="35" s="1"/>
  <c r="L153" i="36"/>
  <c r="L130" i="36"/>
  <c r="K130" i="35"/>
  <c r="L130" i="35" s="1"/>
  <c r="K78" i="35"/>
  <c r="L78" i="35" s="1"/>
  <c r="L78" i="36"/>
  <c r="L90" i="36"/>
  <c r="K90" i="35"/>
  <c r="L90" i="35" s="1"/>
  <c r="L179" i="36"/>
  <c r="K179" i="35"/>
  <c r="L179" i="35" s="1"/>
  <c r="L163" i="36"/>
  <c r="K163" i="35"/>
  <c r="L163" i="35" s="1"/>
  <c r="K137" i="35"/>
  <c r="L137" i="35" s="1"/>
  <c r="L137" i="36"/>
  <c r="L115" i="36"/>
  <c r="K115" i="35"/>
  <c r="L115" i="35" s="1"/>
  <c r="L55" i="36"/>
  <c r="K55" i="35"/>
  <c r="L55" i="35" s="1"/>
  <c r="L66" i="36"/>
  <c r="K66" i="35"/>
  <c r="L66" i="35" s="1"/>
  <c r="L151" i="36"/>
  <c r="K151" i="35"/>
  <c r="L151" i="35" s="1"/>
  <c r="K161" i="35"/>
  <c r="L161" i="35" s="1"/>
  <c r="L161" i="36"/>
  <c r="L175" i="36"/>
  <c r="K175" i="35"/>
  <c r="L175" i="35" s="1"/>
  <c r="L63" i="36"/>
  <c r="K63" i="35"/>
  <c r="L63" i="35" s="1"/>
  <c r="K70" i="35"/>
  <c r="L70" i="35" s="1"/>
  <c r="L70" i="36"/>
  <c r="K69" i="35"/>
  <c r="L69" i="35" s="1"/>
  <c r="L69" i="36"/>
  <c r="L50" i="36"/>
  <c r="K50" i="35"/>
  <c r="L50" i="35" s="1"/>
  <c r="L170" i="36"/>
  <c r="K170" i="35"/>
  <c r="L170" i="35" s="1"/>
  <c r="L159" i="36"/>
  <c r="K159" i="35"/>
  <c r="L159" i="35" s="1"/>
  <c r="K145" i="35"/>
  <c r="L145" i="35" s="1"/>
  <c r="L145" i="36"/>
  <c r="K150" i="35"/>
  <c r="L150" i="35" s="1"/>
  <c r="L150" i="36"/>
  <c r="K100" i="35"/>
  <c r="L100" i="35" s="1"/>
  <c r="L100" i="36"/>
  <c r="K64" i="35"/>
  <c r="L64" i="35" s="1"/>
  <c r="L64" i="36"/>
  <c r="K54" i="35"/>
  <c r="L54" i="35" s="1"/>
  <c r="L54" i="36"/>
  <c r="K124" i="35"/>
  <c r="L124" i="35" s="1"/>
  <c r="L124" i="36"/>
  <c r="L79" i="36"/>
  <c r="K79" i="35"/>
  <c r="L79" i="35" s="1"/>
  <c r="K174" i="35"/>
  <c r="L174" i="35" s="1"/>
  <c r="L174" i="36"/>
  <c r="L75" i="36"/>
  <c r="K75" i="35"/>
  <c r="L75" i="35" s="1"/>
  <c r="K172" i="35"/>
  <c r="L172" i="35" s="1"/>
  <c r="L172" i="36"/>
  <c r="K144" i="35"/>
  <c r="L144" i="35" s="1"/>
  <c r="L144" i="36"/>
  <c r="L154" i="36"/>
  <c r="K154" i="35"/>
  <c r="L154" i="35" s="1"/>
  <c r="K72" i="35"/>
  <c r="L72" i="35" s="1"/>
  <c r="L72" i="36"/>
  <c r="K86" i="35"/>
  <c r="L86" i="35" s="1"/>
  <c r="L86" i="36"/>
  <c r="K84" i="35"/>
  <c r="L84" i="35" s="1"/>
  <c r="L84" i="36"/>
  <c r="K109" i="35"/>
  <c r="L109" i="35" s="1"/>
  <c r="L109" i="36"/>
  <c r="L167" i="36"/>
  <c r="K167" i="35"/>
  <c r="L167" i="35" s="1"/>
  <c r="L51" i="36"/>
  <c r="K51" i="35"/>
  <c r="L51" i="35" s="1"/>
  <c r="K129" i="35"/>
  <c r="L129" i="35" s="1"/>
  <c r="L129" i="36"/>
  <c r="L178" i="36"/>
  <c r="K178" i="35"/>
  <c r="L178" i="35" s="1"/>
  <c r="K76" i="35"/>
  <c r="L76" i="35" s="1"/>
  <c r="L76" i="36"/>
  <c r="K177" i="35"/>
  <c r="L177" i="35" s="1"/>
  <c r="L177" i="36"/>
  <c r="K166" i="35"/>
  <c r="L166" i="35" s="1"/>
  <c r="L166" i="36"/>
  <c r="K81" i="35"/>
  <c r="L81" i="35" s="1"/>
  <c r="L81" i="36"/>
  <c r="L47" i="36"/>
  <c r="K47" i="35"/>
  <c r="L47" i="35" s="1"/>
  <c r="L103" i="36"/>
  <c r="K103" i="35"/>
  <c r="L103" i="35" s="1"/>
  <c r="K134" i="35"/>
  <c r="L134" i="35" s="1"/>
  <c r="L134" i="36"/>
  <c r="L34" i="36"/>
  <c r="K34" i="35"/>
  <c r="L34" i="35" s="1"/>
  <c r="L39" i="36"/>
  <c r="K39" i="35"/>
  <c r="L39" i="35" s="1"/>
  <c r="L18" i="36"/>
  <c r="K18" i="35"/>
  <c r="L18" i="35" s="1"/>
  <c r="K125" i="35"/>
  <c r="L125" i="35" s="1"/>
  <c r="L125" i="36"/>
  <c r="L155" i="36"/>
  <c r="K155" i="35"/>
  <c r="L155" i="35" s="1"/>
  <c r="K110" i="35"/>
  <c r="L110" i="35" s="1"/>
  <c r="L110" i="36"/>
  <c r="L139" i="36"/>
  <c r="K139" i="35"/>
  <c r="L139" i="35" s="1"/>
  <c r="K77" i="35"/>
  <c r="L77" i="35" s="1"/>
  <c r="L77" i="36"/>
  <c r="K136" i="35"/>
  <c r="L136" i="35" s="1"/>
  <c r="L136" i="36"/>
  <c r="K61" i="35"/>
  <c r="L61" i="35" s="1"/>
  <c r="L61" i="36"/>
  <c r="K149" i="35"/>
  <c r="L149" i="35" s="1"/>
  <c r="L149" i="36"/>
  <c r="K92" i="35"/>
  <c r="L92" i="35" s="1"/>
  <c r="L92" i="36"/>
  <c r="L31" i="36"/>
  <c r="K31" i="35"/>
  <c r="L31" i="35" s="1"/>
  <c r="K93" i="35"/>
  <c r="L93" i="35" s="1"/>
  <c r="L93" i="36"/>
  <c r="K108" i="35"/>
  <c r="L108" i="35" s="1"/>
  <c r="L108" i="36"/>
  <c r="K160" i="35"/>
  <c r="L160" i="35" s="1"/>
  <c r="L160" i="36"/>
  <c r="K52" i="35"/>
  <c r="L52" i="35" s="1"/>
  <c r="L52" i="36"/>
  <c r="K164" i="35"/>
  <c r="L164" i="35" s="1"/>
  <c r="L164" i="36"/>
  <c r="K45" i="35"/>
  <c r="L45" i="35" s="1"/>
  <c r="L45" i="36"/>
  <c r="K89" i="35"/>
  <c r="L89" i="35" s="1"/>
  <c r="L89" i="36"/>
  <c r="L107" i="36"/>
  <c r="K107" i="35"/>
  <c r="L107" i="35" s="1"/>
  <c r="K176" i="35"/>
  <c r="L176" i="35" s="1"/>
  <c r="L176" i="36"/>
  <c r="K126" i="35"/>
  <c r="L126" i="35" s="1"/>
  <c r="L126" i="36"/>
  <c r="K46" i="35"/>
  <c r="L46" i="35" s="1"/>
  <c r="L46" i="36"/>
  <c r="L82" i="36"/>
  <c r="K82" i="35"/>
  <c r="L82" i="35" s="1"/>
  <c r="K97" i="35"/>
  <c r="L97" i="35" s="1"/>
  <c r="L97" i="36"/>
  <c r="K165" i="35"/>
  <c r="L165" i="35" s="1"/>
  <c r="L165" i="36"/>
  <c r="K53" i="35"/>
  <c r="L53" i="35" s="1"/>
  <c r="L53" i="36"/>
  <c r="K104" i="35"/>
  <c r="L104" i="35" s="1"/>
  <c r="L104" i="36"/>
  <c r="K152" i="35"/>
  <c r="L152" i="35" s="1"/>
  <c r="L152" i="36"/>
  <c r="L58" i="36"/>
  <c r="K58" i="35"/>
  <c r="L58" i="35" s="1"/>
  <c r="K133" i="35"/>
  <c r="L133" i="35" s="1"/>
  <c r="L133" i="36"/>
  <c r="K116" i="35"/>
  <c r="L116" i="35" s="1"/>
  <c r="L116" i="36"/>
  <c r="K80" i="35"/>
  <c r="L80" i="35" s="1"/>
  <c r="L80" i="36"/>
  <c r="K94" i="35"/>
  <c r="L94" i="35" s="1"/>
  <c r="L94" i="36"/>
  <c r="K142" i="35"/>
  <c r="L142" i="35" s="1"/>
  <c r="L142" i="36"/>
  <c r="K148" i="35"/>
  <c r="L148" i="35" s="1"/>
  <c r="L148" i="36"/>
  <c r="K88" i="35"/>
  <c r="L88" i="35" s="1"/>
  <c r="L88" i="36"/>
  <c r="K48" i="35"/>
  <c r="L48" i="35" s="1"/>
  <c r="L48" i="36"/>
  <c r="L43" i="36"/>
  <c r="K43" i="35"/>
  <c r="L43" i="35" s="1"/>
  <c r="L171" i="36"/>
  <c r="K171" i="35"/>
  <c r="L171" i="35" s="1"/>
  <c r="L59" i="36"/>
  <c r="K59" i="35"/>
  <c r="L59" i="35" s="1"/>
  <c r="K96" i="35"/>
  <c r="L96" i="35" s="1"/>
  <c r="L96" i="36"/>
  <c r="L67" i="36"/>
  <c r="K67" i="35"/>
  <c r="L67" i="35" s="1"/>
  <c r="K62" i="35"/>
  <c r="L62" i="35" s="1"/>
  <c r="L62" i="36"/>
  <c r="L98" i="36"/>
  <c r="K98" i="35"/>
  <c r="L98" i="35" s="1"/>
  <c r="L162" i="36"/>
  <c r="K162" i="35"/>
  <c r="L162" i="35" s="1"/>
  <c r="L127" i="36"/>
  <c r="K127" i="35"/>
  <c r="L127" i="35" s="1"/>
  <c r="L95" i="36"/>
  <c r="K95" i="35"/>
  <c r="L95" i="35" s="1"/>
  <c r="L123" i="36"/>
  <c r="K123" i="35"/>
  <c r="L123" i="35" s="1"/>
  <c r="L122" i="36"/>
  <c r="K122" i="35"/>
  <c r="L122" i="35" s="1"/>
  <c r="K156" i="35"/>
  <c r="L156" i="35" s="1"/>
  <c r="L156" i="36"/>
  <c r="K38" i="35"/>
  <c r="L38" i="35" s="1"/>
  <c r="L38" i="36"/>
  <c r="K20" i="35"/>
  <c r="L20" i="35" s="1"/>
  <c r="L20" i="36"/>
  <c r="K37" i="35"/>
  <c r="L37" i="35" s="1"/>
  <c r="L37" i="36"/>
  <c r="K14" i="35"/>
  <c r="L14" i="36"/>
  <c r="K270" i="36"/>
  <c r="L270" i="36" s="1"/>
  <c r="L26" i="36"/>
  <c r="K26" i="35"/>
  <c r="L26" i="35" s="1"/>
  <c r="L106" i="36"/>
  <c r="K106" i="35"/>
  <c r="L106" i="35" s="1"/>
  <c r="L138" i="36"/>
  <c r="K138" i="35"/>
  <c r="L138" i="35" s="1"/>
  <c r="K128" i="35"/>
  <c r="L128" i="35" s="1"/>
  <c r="L128" i="36"/>
  <c r="K121" i="35"/>
  <c r="L121" i="35" s="1"/>
  <c r="L121" i="36"/>
  <c r="K22" i="35"/>
  <c r="L22" i="35" s="1"/>
  <c r="L22" i="36"/>
  <c r="L111" i="36"/>
  <c r="K111" i="35"/>
  <c r="L111" i="35" s="1"/>
  <c r="L74" i="36"/>
  <c r="K74" i="35"/>
  <c r="L74" i="35" s="1"/>
  <c r="K68" i="35"/>
  <c r="L68" i="35" s="1"/>
  <c r="L68" i="36"/>
  <c r="K140" i="35"/>
  <c r="L140" i="35" s="1"/>
  <c r="L140" i="36"/>
  <c r="K157" i="35"/>
  <c r="L157" i="35" s="1"/>
  <c r="L157" i="36"/>
  <c r="K60" i="35"/>
  <c r="L60" i="35" s="1"/>
  <c r="L60" i="36"/>
  <c r="L87" i="36"/>
  <c r="K87" i="35"/>
  <c r="L87" i="35" s="1"/>
  <c r="K168" i="35"/>
  <c r="L168" i="35" s="1"/>
  <c r="L168" i="36"/>
  <c r="K105" i="35"/>
  <c r="L105" i="35" s="1"/>
  <c r="L105" i="36"/>
  <c r="L91" i="36"/>
  <c r="K91" i="35"/>
  <c r="L91" i="35" s="1"/>
  <c r="L42" i="36"/>
  <c r="K42" i="35"/>
  <c r="L42" i="35" s="1"/>
  <c r="L119" i="36"/>
  <c r="K119" i="35"/>
  <c r="L119" i="35" s="1"/>
  <c r="L135" i="36"/>
  <c r="K135" i="35"/>
  <c r="L135" i="35" s="1"/>
  <c r="K118" i="35"/>
  <c r="L118" i="35" s="1"/>
  <c r="L118" i="36"/>
  <c r="L71" i="36"/>
  <c r="K71" i="35"/>
  <c r="L71" i="35" s="1"/>
  <c r="K49" i="35"/>
  <c r="L49" i="35" s="1"/>
  <c r="L49" i="36"/>
  <c r="K102" i="35"/>
  <c r="L102" i="35" s="1"/>
  <c r="L102" i="36"/>
  <c r="K65" i="35"/>
  <c r="L65" i="35" s="1"/>
  <c r="L65" i="36"/>
  <c r="K29" i="35"/>
  <c r="L29" i="35" s="1"/>
  <c r="L29" i="36"/>
  <c r="L143" i="36"/>
  <c r="K143" i="35"/>
  <c r="L143" i="35" s="1"/>
  <c r="K141" i="35"/>
  <c r="L141" i="35" s="1"/>
  <c r="L141" i="36"/>
  <c r="L99" i="36"/>
  <c r="K99" i="35"/>
  <c r="L99" i="35" s="1"/>
  <c r="K85" i="35"/>
  <c r="L85" i="35" s="1"/>
  <c r="L85" i="36"/>
  <c r="K117" i="35"/>
  <c r="L117" i="35" s="1"/>
  <c r="L117" i="36"/>
  <c r="K101" i="35"/>
  <c r="L101" i="35" s="1"/>
  <c r="L101" i="36"/>
  <c r="K120" i="35"/>
  <c r="L120" i="35" s="1"/>
  <c r="L120" i="36"/>
  <c r="K158" i="35"/>
  <c r="L158" i="35" s="1"/>
  <c r="L158" i="36"/>
  <c r="K73" i="35"/>
  <c r="L73" i="35" s="1"/>
  <c r="L73" i="36"/>
  <c r="K41" i="35"/>
  <c r="L41" i="35" s="1"/>
  <c r="L41" i="36"/>
  <c r="K173" i="35"/>
  <c r="L173" i="35" s="1"/>
  <c r="L173" i="36"/>
  <c r="K56" i="35"/>
  <c r="L56" i="35" s="1"/>
  <c r="L56" i="36"/>
  <c r="L147" i="36"/>
  <c r="K147" i="35"/>
  <c r="L147" i="35" s="1"/>
  <c r="K132" i="35"/>
  <c r="L132" i="35" s="1"/>
  <c r="L132" i="36"/>
  <c r="K180" i="35"/>
  <c r="L180" i="35" s="1"/>
  <c r="L180" i="36"/>
  <c r="K28" i="35"/>
  <c r="L28" i="35" s="1"/>
  <c r="L28" i="36"/>
  <c r="L27" i="36"/>
  <c r="K27" i="35"/>
  <c r="L27" i="35" s="1"/>
  <c r="K112" i="35"/>
  <c r="L112" i="35" s="1"/>
  <c r="L112" i="36"/>
  <c r="K25" i="35"/>
  <c r="L25" i="35" s="1"/>
  <c r="L25" i="36"/>
  <c r="K40" i="35"/>
  <c r="L40" i="35" s="1"/>
  <c r="L40" i="36"/>
  <c r="L14" i="35" l="1"/>
  <c r="K270" i="35"/>
  <c r="L270" i="35" s="1"/>
</calcChain>
</file>

<file path=xl/comments1.xml><?xml version="1.0" encoding="utf-8"?>
<comments xmlns="http://schemas.openxmlformats.org/spreadsheetml/2006/main">
  <authors>
    <author>Autor</author>
    <author>Eliana Iveth Alarcón Rondon</author>
  </authors>
  <commentList>
    <comment ref="K12" authorId="0" shapeId="0">
      <text>
        <r>
          <rPr>
            <sz val="9"/>
            <color indexed="81"/>
            <rFont val="Tahoma"/>
            <family val="2"/>
          </rPr>
          <t>Días acumulados del último reporte + Días del mes a reportar.</t>
        </r>
      </text>
    </comment>
    <comment ref="K183" authorId="1" shapeId="0">
      <text>
        <r>
          <rPr>
            <b/>
            <sz val="9"/>
            <color indexed="81"/>
            <rFont val="Tahoma"/>
            <family val="2"/>
          </rPr>
          <t>Eliana Iveth Alarcón Rondon:</t>
        </r>
        <r>
          <rPr>
            <sz val="9"/>
            <color indexed="81"/>
            <rFont val="Tahoma"/>
            <family val="2"/>
          </rPr>
          <t xml:space="preserve">
Un día más trabajado por Andrés Amaya en Abril</t>
        </r>
      </text>
    </comment>
    <comment ref="B285" authorId="0" shapeId="0">
      <text>
        <r>
          <rPr>
            <sz val="9"/>
            <color indexed="81"/>
            <rFont val="Tahoma"/>
            <family val="2"/>
          </rPr>
          <t>Firma de quién revisa</t>
        </r>
      </text>
    </comment>
    <comment ref="H285" authorId="0" shapeId="0">
      <text>
        <r>
          <rPr>
            <sz val="9"/>
            <color indexed="81"/>
            <rFont val="Tahoma"/>
            <family val="2"/>
          </rPr>
          <t>Firma del interventor</t>
        </r>
      </text>
    </comment>
    <comment ref="C286" authorId="0" shapeId="0">
      <text>
        <r>
          <rPr>
            <sz val="9"/>
            <color rgb="FF000000"/>
            <rFont val="Tahoma"/>
            <family val="2"/>
          </rPr>
          <t>Nombre completo de quién revisa</t>
        </r>
      </text>
    </comment>
    <comment ref="I286" authorId="0" shapeId="0">
      <text>
        <r>
          <rPr>
            <sz val="9"/>
            <color indexed="81"/>
            <rFont val="Tahoma"/>
            <family val="2"/>
          </rPr>
          <t>Nombre completo del interventor</t>
        </r>
      </text>
    </comment>
    <comment ref="B297" authorId="0" shapeId="0">
      <text>
        <r>
          <rPr>
            <sz val="9"/>
            <color indexed="81"/>
            <rFont val="Tahoma"/>
            <family val="2"/>
          </rPr>
          <t>Firma de quién revisa</t>
        </r>
      </text>
    </comment>
    <comment ref="H297" authorId="0" shapeId="0">
      <text>
        <r>
          <rPr>
            <sz val="9"/>
            <color indexed="81"/>
            <rFont val="Tahoma"/>
            <family val="2"/>
          </rPr>
          <t>Firma del interventor</t>
        </r>
      </text>
    </comment>
    <comment ref="C298" authorId="0" shapeId="0">
      <text>
        <r>
          <rPr>
            <sz val="9"/>
            <color rgb="FF000000"/>
            <rFont val="Tahoma"/>
            <family val="2"/>
          </rPr>
          <t>Nombre completo de quién revisa</t>
        </r>
      </text>
    </comment>
    <comment ref="I298" authorId="0" shapeId="0">
      <text>
        <r>
          <rPr>
            <sz val="9"/>
            <color indexed="81"/>
            <rFont val="Tahoma"/>
            <family val="2"/>
          </rPr>
          <t>Nombre completo del interventor</t>
        </r>
      </text>
    </comment>
  </commentList>
</comments>
</file>

<file path=xl/comments2.xml><?xml version="1.0" encoding="utf-8"?>
<comments xmlns="http://schemas.openxmlformats.org/spreadsheetml/2006/main">
  <authors>
    <author>Autor</author>
    <author>Eliana Iveth Alarcón Rondon</author>
  </authors>
  <commentList>
    <comment ref="K12" authorId="0" shapeId="0">
      <text>
        <r>
          <rPr>
            <sz val="9"/>
            <color indexed="81"/>
            <rFont val="Tahoma"/>
            <family val="2"/>
          </rPr>
          <t>Días acumulados del último reporte + Días del mes a reportar.</t>
        </r>
      </text>
    </comment>
    <comment ref="K183" authorId="1" shapeId="0">
      <text>
        <r>
          <rPr>
            <b/>
            <sz val="9"/>
            <color indexed="81"/>
            <rFont val="Tahoma"/>
            <family val="2"/>
          </rPr>
          <t>Eliana Iveth Alarcón Rondon:</t>
        </r>
        <r>
          <rPr>
            <sz val="9"/>
            <color indexed="81"/>
            <rFont val="Tahoma"/>
            <family val="2"/>
          </rPr>
          <t xml:space="preserve">
Un día más trabajado por Andrés Amaya en Abril</t>
        </r>
      </text>
    </comment>
    <comment ref="B285" authorId="0" shapeId="0">
      <text>
        <r>
          <rPr>
            <sz val="9"/>
            <color indexed="81"/>
            <rFont val="Tahoma"/>
            <family val="2"/>
          </rPr>
          <t>Firma de quién revisa</t>
        </r>
      </text>
    </comment>
    <comment ref="H285" authorId="0" shapeId="0">
      <text>
        <r>
          <rPr>
            <sz val="9"/>
            <color indexed="81"/>
            <rFont val="Tahoma"/>
            <family val="2"/>
          </rPr>
          <t>Firma del interventor</t>
        </r>
      </text>
    </comment>
    <comment ref="C286" authorId="0" shapeId="0">
      <text>
        <r>
          <rPr>
            <sz val="9"/>
            <color rgb="FF000000"/>
            <rFont val="Tahoma"/>
            <family val="2"/>
          </rPr>
          <t>Nombre completo de quién revisa</t>
        </r>
      </text>
    </comment>
    <comment ref="I286" authorId="0" shapeId="0">
      <text>
        <r>
          <rPr>
            <sz val="9"/>
            <color indexed="81"/>
            <rFont val="Tahoma"/>
            <family val="2"/>
          </rPr>
          <t>Nombre completo del interventor</t>
        </r>
      </text>
    </comment>
    <comment ref="B297" authorId="0" shapeId="0">
      <text>
        <r>
          <rPr>
            <sz val="9"/>
            <color indexed="81"/>
            <rFont val="Tahoma"/>
            <family val="2"/>
          </rPr>
          <t>Firma de quién revisa</t>
        </r>
      </text>
    </comment>
    <comment ref="H297" authorId="0" shapeId="0">
      <text>
        <r>
          <rPr>
            <sz val="9"/>
            <color indexed="81"/>
            <rFont val="Tahoma"/>
            <family val="2"/>
          </rPr>
          <t>Firma del interventor</t>
        </r>
      </text>
    </comment>
    <comment ref="C298" authorId="0" shapeId="0">
      <text>
        <r>
          <rPr>
            <sz val="9"/>
            <color rgb="FF000000"/>
            <rFont val="Tahoma"/>
            <family val="2"/>
          </rPr>
          <t>Nombre completo de quién revisa</t>
        </r>
      </text>
    </comment>
    <comment ref="I298" authorId="0" shapeId="0">
      <text>
        <r>
          <rPr>
            <sz val="9"/>
            <color indexed="81"/>
            <rFont val="Tahoma"/>
            <family val="2"/>
          </rPr>
          <t>Nombre completo del interventor</t>
        </r>
      </text>
    </comment>
  </commentList>
</comments>
</file>

<file path=xl/comments3.xml><?xml version="1.0" encoding="utf-8"?>
<comments xmlns="http://schemas.openxmlformats.org/spreadsheetml/2006/main">
  <authors>
    <author>Autor</author>
    <author>Eliana Iveth Alarcón Rondon</author>
  </authors>
  <commentList>
    <comment ref="K12" authorId="0" shapeId="0">
      <text>
        <r>
          <rPr>
            <sz val="9"/>
            <color indexed="81"/>
            <rFont val="Tahoma"/>
            <family val="2"/>
          </rPr>
          <t>Días acumulados del último reporte + Días del mes a reportar.</t>
        </r>
      </text>
    </comment>
    <comment ref="K183" authorId="1" shapeId="0">
      <text>
        <r>
          <rPr>
            <b/>
            <sz val="9"/>
            <color indexed="81"/>
            <rFont val="Tahoma"/>
            <family val="2"/>
          </rPr>
          <t>Eliana Iveth Alarcón Rondon:</t>
        </r>
        <r>
          <rPr>
            <sz val="9"/>
            <color indexed="81"/>
            <rFont val="Tahoma"/>
            <family val="2"/>
          </rPr>
          <t xml:space="preserve">
Un día más trabajado por Andrés Amaya en Abril</t>
        </r>
      </text>
    </comment>
    <comment ref="B285" authorId="0" shapeId="0">
      <text>
        <r>
          <rPr>
            <sz val="9"/>
            <color indexed="81"/>
            <rFont val="Tahoma"/>
            <family val="2"/>
          </rPr>
          <t>Firma de quién revisa</t>
        </r>
      </text>
    </comment>
    <comment ref="H285" authorId="0" shapeId="0">
      <text>
        <r>
          <rPr>
            <sz val="9"/>
            <color indexed="81"/>
            <rFont val="Tahoma"/>
            <family val="2"/>
          </rPr>
          <t>Firma del interventor</t>
        </r>
      </text>
    </comment>
    <comment ref="C286" authorId="0" shapeId="0">
      <text>
        <r>
          <rPr>
            <sz val="9"/>
            <color rgb="FF000000"/>
            <rFont val="Tahoma"/>
            <family val="2"/>
          </rPr>
          <t>Nombre completo de quién revisa</t>
        </r>
      </text>
    </comment>
    <comment ref="I286" authorId="0" shapeId="0">
      <text>
        <r>
          <rPr>
            <sz val="9"/>
            <color indexed="81"/>
            <rFont val="Tahoma"/>
            <family val="2"/>
          </rPr>
          <t>Nombre completo del interventor</t>
        </r>
      </text>
    </comment>
    <comment ref="B297" authorId="0" shapeId="0">
      <text>
        <r>
          <rPr>
            <sz val="9"/>
            <color indexed="81"/>
            <rFont val="Tahoma"/>
            <family val="2"/>
          </rPr>
          <t>Firma de quién revisa</t>
        </r>
      </text>
    </comment>
    <comment ref="H297" authorId="0" shapeId="0">
      <text>
        <r>
          <rPr>
            <sz val="9"/>
            <color indexed="81"/>
            <rFont val="Tahoma"/>
            <family val="2"/>
          </rPr>
          <t>Firma del interventor</t>
        </r>
      </text>
    </comment>
    <comment ref="C298" authorId="0" shapeId="0">
      <text>
        <r>
          <rPr>
            <sz val="9"/>
            <color rgb="FF000000"/>
            <rFont val="Tahoma"/>
            <family val="2"/>
          </rPr>
          <t>Nombre completo de quién revisa</t>
        </r>
      </text>
    </comment>
    <comment ref="I298" authorId="0" shapeId="0">
      <text>
        <r>
          <rPr>
            <sz val="9"/>
            <color indexed="81"/>
            <rFont val="Tahoma"/>
            <family val="2"/>
          </rPr>
          <t>Nombre completo del interventor</t>
        </r>
      </text>
    </comment>
  </commentList>
</comments>
</file>

<file path=xl/comments4.xml><?xml version="1.0" encoding="utf-8"?>
<comments xmlns="http://schemas.openxmlformats.org/spreadsheetml/2006/main">
  <authors>
    <author>Autor</author>
    <author>Eliana Iveth Alarcón Rondon</author>
  </authors>
  <commentList>
    <comment ref="K12" authorId="0" shapeId="0">
      <text>
        <r>
          <rPr>
            <sz val="9"/>
            <color indexed="81"/>
            <rFont val="Tahoma"/>
            <family val="2"/>
          </rPr>
          <t>Días acumulados del último reporte + Días del mes a reportar.</t>
        </r>
      </text>
    </comment>
    <comment ref="K183" authorId="1" shapeId="0">
      <text>
        <r>
          <rPr>
            <b/>
            <sz val="9"/>
            <color indexed="81"/>
            <rFont val="Tahoma"/>
            <family val="2"/>
          </rPr>
          <t>Eliana Iveth Alarcón Rondon:</t>
        </r>
        <r>
          <rPr>
            <sz val="9"/>
            <color indexed="81"/>
            <rFont val="Tahoma"/>
            <family val="2"/>
          </rPr>
          <t xml:space="preserve">
Un día más trabajado por Andrés Amaya en Abril</t>
        </r>
      </text>
    </comment>
    <comment ref="B290" authorId="0" shapeId="0">
      <text>
        <r>
          <rPr>
            <sz val="9"/>
            <color indexed="81"/>
            <rFont val="Tahoma"/>
            <family val="2"/>
          </rPr>
          <t>Firma de quién revisa</t>
        </r>
      </text>
    </comment>
    <comment ref="H290" authorId="0" shapeId="0">
      <text>
        <r>
          <rPr>
            <sz val="9"/>
            <color indexed="81"/>
            <rFont val="Tahoma"/>
            <family val="2"/>
          </rPr>
          <t>Firma del interventor</t>
        </r>
      </text>
    </comment>
    <comment ref="C291" authorId="0" shapeId="0">
      <text>
        <r>
          <rPr>
            <sz val="9"/>
            <color rgb="FF000000"/>
            <rFont val="Tahoma"/>
            <family val="2"/>
          </rPr>
          <t>Nombre completo de quién revisa</t>
        </r>
      </text>
    </comment>
    <comment ref="I291" authorId="0" shapeId="0">
      <text>
        <r>
          <rPr>
            <sz val="9"/>
            <color indexed="81"/>
            <rFont val="Tahoma"/>
            <family val="2"/>
          </rPr>
          <t>Nombre completo del interventor</t>
        </r>
      </text>
    </comment>
    <comment ref="B302" authorId="0" shapeId="0">
      <text>
        <r>
          <rPr>
            <sz val="9"/>
            <color indexed="81"/>
            <rFont val="Tahoma"/>
            <family val="2"/>
          </rPr>
          <t>Firma de quién revisa</t>
        </r>
      </text>
    </comment>
    <comment ref="H302" authorId="0" shapeId="0">
      <text>
        <r>
          <rPr>
            <sz val="9"/>
            <color indexed="81"/>
            <rFont val="Tahoma"/>
            <family val="2"/>
          </rPr>
          <t>Firma del interventor</t>
        </r>
      </text>
    </comment>
    <comment ref="C303" authorId="0" shapeId="0">
      <text>
        <r>
          <rPr>
            <sz val="9"/>
            <color rgb="FF000000"/>
            <rFont val="Tahoma"/>
            <family val="2"/>
          </rPr>
          <t>Nombre completo de quién revisa</t>
        </r>
      </text>
    </comment>
    <comment ref="I303" authorId="0" shapeId="0">
      <text>
        <r>
          <rPr>
            <sz val="9"/>
            <color indexed="81"/>
            <rFont val="Tahoma"/>
            <family val="2"/>
          </rPr>
          <t>Nombre completo del interventor</t>
        </r>
      </text>
    </comment>
  </commentList>
</comments>
</file>

<file path=xl/comments5.xml><?xml version="1.0" encoding="utf-8"?>
<comments xmlns="http://schemas.openxmlformats.org/spreadsheetml/2006/main">
  <authors>
    <author>Autor</author>
    <author>Eliana Iveth Alarcón Rondon</author>
  </authors>
  <commentList>
    <comment ref="K12" authorId="0" shapeId="0">
      <text>
        <r>
          <rPr>
            <sz val="9"/>
            <color indexed="81"/>
            <rFont val="Tahoma"/>
            <family val="2"/>
          </rPr>
          <t>Días acumulados del último reporte + Días del mes a reportar.</t>
        </r>
      </text>
    </comment>
    <comment ref="K183" authorId="1" shapeId="0">
      <text>
        <r>
          <rPr>
            <b/>
            <sz val="9"/>
            <color indexed="81"/>
            <rFont val="Tahoma"/>
            <family val="2"/>
          </rPr>
          <t>Eliana Iveth Alarcón Rondon:</t>
        </r>
        <r>
          <rPr>
            <sz val="9"/>
            <color indexed="81"/>
            <rFont val="Tahoma"/>
            <family val="2"/>
          </rPr>
          <t xml:space="preserve">
Un día más trabajado por Andrés Amaya en Abril</t>
        </r>
      </text>
    </comment>
    <comment ref="B289" authorId="0" shapeId="0">
      <text>
        <r>
          <rPr>
            <sz val="9"/>
            <color indexed="81"/>
            <rFont val="Tahoma"/>
            <family val="2"/>
          </rPr>
          <t>Firma de quién revisa</t>
        </r>
      </text>
    </comment>
    <comment ref="H289" authorId="0" shapeId="0">
      <text>
        <r>
          <rPr>
            <sz val="9"/>
            <color indexed="81"/>
            <rFont val="Tahoma"/>
            <family val="2"/>
          </rPr>
          <t>Firma del interventor</t>
        </r>
      </text>
    </comment>
    <comment ref="C290" authorId="0" shapeId="0">
      <text>
        <r>
          <rPr>
            <sz val="9"/>
            <color rgb="FF000000"/>
            <rFont val="Tahoma"/>
            <family val="2"/>
          </rPr>
          <t>Nombre completo de quién revisa</t>
        </r>
      </text>
    </comment>
    <comment ref="I290" authorId="0" shapeId="0">
      <text>
        <r>
          <rPr>
            <sz val="9"/>
            <color indexed="81"/>
            <rFont val="Tahoma"/>
            <family val="2"/>
          </rPr>
          <t>Nombre completo del interventor</t>
        </r>
      </text>
    </comment>
    <comment ref="B301" authorId="0" shapeId="0">
      <text>
        <r>
          <rPr>
            <sz val="9"/>
            <color indexed="81"/>
            <rFont val="Tahoma"/>
            <family val="2"/>
          </rPr>
          <t>Firma de quién revisa</t>
        </r>
      </text>
    </comment>
    <comment ref="H301" authorId="0" shapeId="0">
      <text>
        <r>
          <rPr>
            <sz val="9"/>
            <color indexed="81"/>
            <rFont val="Tahoma"/>
            <family val="2"/>
          </rPr>
          <t>Firma del interventor</t>
        </r>
      </text>
    </comment>
    <comment ref="C302" authorId="0" shapeId="0">
      <text>
        <r>
          <rPr>
            <sz val="9"/>
            <color rgb="FF000000"/>
            <rFont val="Tahoma"/>
            <family val="2"/>
          </rPr>
          <t>Nombre completo de quién revisa</t>
        </r>
      </text>
    </comment>
    <comment ref="I302" authorId="0" shapeId="0">
      <text>
        <r>
          <rPr>
            <sz val="9"/>
            <color indexed="81"/>
            <rFont val="Tahoma"/>
            <family val="2"/>
          </rPr>
          <t>Nombre completo del interventor</t>
        </r>
      </text>
    </comment>
  </commentList>
</comments>
</file>

<file path=xl/comments6.xml><?xml version="1.0" encoding="utf-8"?>
<comments xmlns="http://schemas.openxmlformats.org/spreadsheetml/2006/main">
  <authors>
    <author>Autor</author>
    <author>Eliana Iveth Alarcón Rondon</author>
  </authors>
  <commentList>
    <comment ref="K12" authorId="0" shapeId="0">
      <text>
        <r>
          <rPr>
            <sz val="9"/>
            <color indexed="81"/>
            <rFont val="Tahoma"/>
            <family val="2"/>
          </rPr>
          <t>Días acumulados del último reporte + Días del mes a reportar.</t>
        </r>
      </text>
    </comment>
    <comment ref="K183" authorId="1" shapeId="0">
      <text>
        <r>
          <rPr>
            <b/>
            <sz val="9"/>
            <color indexed="81"/>
            <rFont val="Tahoma"/>
            <family val="2"/>
          </rPr>
          <t>Eliana Iveth Alarcón Rondon:</t>
        </r>
        <r>
          <rPr>
            <sz val="9"/>
            <color indexed="81"/>
            <rFont val="Tahoma"/>
            <family val="2"/>
          </rPr>
          <t xml:space="preserve">
Un día más trabajado por Andrés Amaya en Abril</t>
        </r>
      </text>
    </comment>
    <comment ref="B289" authorId="0" shapeId="0">
      <text>
        <r>
          <rPr>
            <sz val="9"/>
            <color indexed="81"/>
            <rFont val="Tahoma"/>
            <family val="2"/>
          </rPr>
          <t>Firma de quién revisa</t>
        </r>
      </text>
    </comment>
    <comment ref="H289" authorId="0" shapeId="0">
      <text>
        <r>
          <rPr>
            <sz val="9"/>
            <color indexed="81"/>
            <rFont val="Tahoma"/>
            <family val="2"/>
          </rPr>
          <t>Firma del interventor</t>
        </r>
      </text>
    </comment>
    <comment ref="C290" authorId="0" shapeId="0">
      <text>
        <r>
          <rPr>
            <sz val="9"/>
            <color rgb="FF000000"/>
            <rFont val="Tahoma"/>
            <family val="2"/>
          </rPr>
          <t>Nombre completo de quién revisa</t>
        </r>
      </text>
    </comment>
    <comment ref="I290" authorId="0" shapeId="0">
      <text>
        <r>
          <rPr>
            <sz val="9"/>
            <color indexed="81"/>
            <rFont val="Tahoma"/>
            <family val="2"/>
          </rPr>
          <t>Nombre completo del interventor</t>
        </r>
      </text>
    </comment>
    <comment ref="B301" authorId="0" shapeId="0">
      <text>
        <r>
          <rPr>
            <sz val="9"/>
            <color indexed="81"/>
            <rFont val="Tahoma"/>
            <family val="2"/>
          </rPr>
          <t>Firma de quién revisa</t>
        </r>
      </text>
    </comment>
    <comment ref="H301" authorId="0" shapeId="0">
      <text>
        <r>
          <rPr>
            <sz val="9"/>
            <color indexed="81"/>
            <rFont val="Tahoma"/>
            <family val="2"/>
          </rPr>
          <t>Firma del interventor</t>
        </r>
      </text>
    </comment>
    <comment ref="C302" authorId="0" shapeId="0">
      <text>
        <r>
          <rPr>
            <sz val="9"/>
            <color rgb="FF000000"/>
            <rFont val="Tahoma"/>
            <family val="2"/>
          </rPr>
          <t>Nombre completo de quién revisa</t>
        </r>
      </text>
    </comment>
    <comment ref="I302" authorId="0" shapeId="0">
      <text>
        <r>
          <rPr>
            <sz val="9"/>
            <color indexed="81"/>
            <rFont val="Tahoma"/>
            <family val="2"/>
          </rPr>
          <t>Nombre completo del interventor</t>
        </r>
      </text>
    </comment>
  </commentList>
</comments>
</file>

<file path=xl/comments7.xml><?xml version="1.0" encoding="utf-8"?>
<comments xmlns="http://schemas.openxmlformats.org/spreadsheetml/2006/main">
  <authors>
    <author>Autor</author>
    <author>Eliana Iveth Alarcón Rondon</author>
  </authors>
  <commentList>
    <comment ref="K12" authorId="0" shapeId="0">
      <text>
        <r>
          <rPr>
            <sz val="9"/>
            <color indexed="81"/>
            <rFont val="Tahoma"/>
            <family val="2"/>
          </rPr>
          <t>Días acumulados del último reporte + Días del mes a reportar.</t>
        </r>
      </text>
    </comment>
    <comment ref="K183" authorId="1" shapeId="0">
      <text>
        <r>
          <rPr>
            <b/>
            <sz val="9"/>
            <color indexed="81"/>
            <rFont val="Tahoma"/>
            <family val="2"/>
          </rPr>
          <t>Eliana Iveth Alarcón Rondon:</t>
        </r>
        <r>
          <rPr>
            <sz val="9"/>
            <color indexed="81"/>
            <rFont val="Tahoma"/>
            <family val="2"/>
          </rPr>
          <t xml:space="preserve">
Un día más trabajado por Andrés Amaya en Abril</t>
        </r>
      </text>
    </comment>
    <comment ref="B290" authorId="0" shapeId="0">
      <text>
        <r>
          <rPr>
            <sz val="9"/>
            <color indexed="81"/>
            <rFont val="Tahoma"/>
            <family val="2"/>
          </rPr>
          <t>Firma de quién revisa</t>
        </r>
      </text>
    </comment>
    <comment ref="H290" authorId="0" shapeId="0">
      <text>
        <r>
          <rPr>
            <sz val="9"/>
            <color indexed="81"/>
            <rFont val="Tahoma"/>
            <family val="2"/>
          </rPr>
          <t>Firma del interventor</t>
        </r>
      </text>
    </comment>
    <comment ref="C291" authorId="0" shapeId="0">
      <text>
        <r>
          <rPr>
            <sz val="9"/>
            <color rgb="FF000000"/>
            <rFont val="Tahoma"/>
            <family val="2"/>
          </rPr>
          <t>Nombre completo de quién revisa</t>
        </r>
      </text>
    </comment>
    <comment ref="I291" authorId="0" shapeId="0">
      <text>
        <r>
          <rPr>
            <sz val="9"/>
            <color indexed="81"/>
            <rFont val="Tahoma"/>
            <family val="2"/>
          </rPr>
          <t>Nombre completo del interventor</t>
        </r>
      </text>
    </comment>
    <comment ref="B302" authorId="0" shapeId="0">
      <text>
        <r>
          <rPr>
            <sz val="9"/>
            <color indexed="81"/>
            <rFont val="Tahoma"/>
            <family val="2"/>
          </rPr>
          <t>Firma de quién revisa</t>
        </r>
      </text>
    </comment>
    <comment ref="H302" authorId="0" shapeId="0">
      <text>
        <r>
          <rPr>
            <sz val="9"/>
            <color indexed="81"/>
            <rFont val="Tahoma"/>
            <family val="2"/>
          </rPr>
          <t>Firma del interventor</t>
        </r>
      </text>
    </comment>
    <comment ref="C303" authorId="0" shapeId="0">
      <text>
        <r>
          <rPr>
            <sz val="9"/>
            <color rgb="FF000000"/>
            <rFont val="Tahoma"/>
            <family val="2"/>
          </rPr>
          <t>Nombre completo de quién revisa</t>
        </r>
      </text>
    </comment>
    <comment ref="I303" authorId="0" shapeId="0">
      <text>
        <r>
          <rPr>
            <sz val="9"/>
            <color indexed="81"/>
            <rFont val="Tahoma"/>
            <family val="2"/>
          </rPr>
          <t>Nombre completo del interventor</t>
        </r>
      </text>
    </comment>
  </commentList>
</comments>
</file>

<file path=xl/comments8.xml><?xml version="1.0" encoding="utf-8"?>
<comments xmlns="http://schemas.openxmlformats.org/spreadsheetml/2006/main">
  <authors>
    <author>Autor</author>
    <author>Eliana Iveth Alarcón Rondon</author>
  </authors>
  <commentList>
    <comment ref="K12" authorId="0" shapeId="0">
      <text>
        <r>
          <rPr>
            <sz val="9"/>
            <color indexed="81"/>
            <rFont val="Tahoma"/>
            <family val="2"/>
          </rPr>
          <t>Días acumulados del último reporte + Días del mes a reportar.</t>
        </r>
      </text>
    </comment>
    <comment ref="K183" authorId="1" shapeId="0">
      <text>
        <r>
          <rPr>
            <b/>
            <sz val="9"/>
            <color indexed="81"/>
            <rFont val="Tahoma"/>
            <family val="2"/>
          </rPr>
          <t>Eliana Iveth Alarcón Rondon:</t>
        </r>
        <r>
          <rPr>
            <sz val="9"/>
            <color indexed="81"/>
            <rFont val="Tahoma"/>
            <family val="2"/>
          </rPr>
          <t xml:space="preserve">
Un día más trabajado por Andrés Amaya en Abril</t>
        </r>
      </text>
    </comment>
    <comment ref="B289" authorId="0" shapeId="0">
      <text>
        <r>
          <rPr>
            <sz val="9"/>
            <color indexed="81"/>
            <rFont val="Tahoma"/>
            <family val="2"/>
          </rPr>
          <t>Firma de quién revisa</t>
        </r>
      </text>
    </comment>
    <comment ref="H289" authorId="0" shapeId="0">
      <text>
        <r>
          <rPr>
            <sz val="9"/>
            <color indexed="81"/>
            <rFont val="Tahoma"/>
            <family val="2"/>
          </rPr>
          <t>Firma del interventor</t>
        </r>
      </text>
    </comment>
    <comment ref="C290" authorId="0" shapeId="0">
      <text>
        <r>
          <rPr>
            <sz val="9"/>
            <color rgb="FF000000"/>
            <rFont val="Tahoma"/>
            <family val="2"/>
          </rPr>
          <t>Nombre completo de quién revisa</t>
        </r>
      </text>
    </comment>
    <comment ref="I290" authorId="0" shapeId="0">
      <text>
        <r>
          <rPr>
            <sz val="9"/>
            <color indexed="81"/>
            <rFont val="Tahoma"/>
            <family val="2"/>
          </rPr>
          <t>Nombre completo del interventor</t>
        </r>
      </text>
    </comment>
    <comment ref="B301" authorId="0" shapeId="0">
      <text>
        <r>
          <rPr>
            <sz val="9"/>
            <color indexed="81"/>
            <rFont val="Tahoma"/>
            <family val="2"/>
          </rPr>
          <t>Firma de quién revisa</t>
        </r>
      </text>
    </comment>
    <comment ref="H301" authorId="0" shapeId="0">
      <text>
        <r>
          <rPr>
            <sz val="9"/>
            <color indexed="81"/>
            <rFont val="Tahoma"/>
            <family val="2"/>
          </rPr>
          <t>Firma del interventor</t>
        </r>
      </text>
    </comment>
    <comment ref="C302" authorId="0" shapeId="0">
      <text>
        <r>
          <rPr>
            <sz val="9"/>
            <color rgb="FF000000"/>
            <rFont val="Tahoma"/>
            <family val="2"/>
          </rPr>
          <t>Nombre completo de quién revisa</t>
        </r>
      </text>
    </comment>
    <comment ref="I302" authorId="0" shapeId="0">
      <text>
        <r>
          <rPr>
            <sz val="9"/>
            <color indexed="81"/>
            <rFont val="Tahoma"/>
            <family val="2"/>
          </rPr>
          <t>Nombre completo del interventor</t>
        </r>
      </text>
    </comment>
  </commentList>
</comments>
</file>

<file path=xl/comments9.xml><?xml version="1.0" encoding="utf-8"?>
<comments xmlns="http://schemas.openxmlformats.org/spreadsheetml/2006/main">
  <authors>
    <author>Autor</author>
    <author>Eliana Iveth Alarcón Rondon</author>
  </authors>
  <commentList>
    <comment ref="K12" authorId="0" shapeId="0">
      <text>
        <r>
          <rPr>
            <sz val="9"/>
            <color indexed="81"/>
            <rFont val="Tahoma"/>
            <family val="2"/>
          </rPr>
          <t>Días acumulados del último reporte + Días del mes a reportar.</t>
        </r>
      </text>
    </comment>
    <comment ref="K183" authorId="1" shapeId="0">
      <text>
        <r>
          <rPr>
            <b/>
            <sz val="9"/>
            <color indexed="81"/>
            <rFont val="Tahoma"/>
            <family val="2"/>
          </rPr>
          <t>Eliana Iveth Alarcón Rondon:</t>
        </r>
        <r>
          <rPr>
            <sz val="9"/>
            <color indexed="81"/>
            <rFont val="Tahoma"/>
            <family val="2"/>
          </rPr>
          <t xml:space="preserve">
Un día más trabajado por Andrés Amaya en Abril</t>
        </r>
      </text>
    </comment>
    <comment ref="B289" authorId="0" shapeId="0">
      <text>
        <r>
          <rPr>
            <sz val="9"/>
            <color indexed="81"/>
            <rFont val="Tahoma"/>
            <family val="2"/>
          </rPr>
          <t>Firma de quién revisa</t>
        </r>
      </text>
    </comment>
    <comment ref="H289" authorId="0" shapeId="0">
      <text>
        <r>
          <rPr>
            <sz val="9"/>
            <color indexed="81"/>
            <rFont val="Tahoma"/>
            <family val="2"/>
          </rPr>
          <t>Firma del interventor</t>
        </r>
      </text>
    </comment>
    <comment ref="C290" authorId="0" shapeId="0">
      <text>
        <r>
          <rPr>
            <sz val="9"/>
            <color rgb="FF000000"/>
            <rFont val="Tahoma"/>
            <family val="2"/>
          </rPr>
          <t>Nombre completo de quién revisa</t>
        </r>
      </text>
    </comment>
    <comment ref="I290" authorId="0" shapeId="0">
      <text>
        <r>
          <rPr>
            <sz val="9"/>
            <color indexed="81"/>
            <rFont val="Tahoma"/>
            <family val="2"/>
          </rPr>
          <t>Nombre completo del interventor</t>
        </r>
      </text>
    </comment>
    <comment ref="B301" authorId="0" shapeId="0">
      <text>
        <r>
          <rPr>
            <sz val="9"/>
            <color indexed="81"/>
            <rFont val="Tahoma"/>
            <family val="2"/>
          </rPr>
          <t>Firma de quién revisa</t>
        </r>
      </text>
    </comment>
    <comment ref="H301" authorId="0" shapeId="0">
      <text>
        <r>
          <rPr>
            <sz val="9"/>
            <color indexed="81"/>
            <rFont val="Tahoma"/>
            <family val="2"/>
          </rPr>
          <t>Firma del interventor</t>
        </r>
      </text>
    </comment>
    <comment ref="C302" authorId="0" shapeId="0">
      <text>
        <r>
          <rPr>
            <sz val="9"/>
            <color rgb="FF000000"/>
            <rFont val="Tahoma"/>
            <family val="2"/>
          </rPr>
          <t>Nombre completo de quién revisa</t>
        </r>
      </text>
    </comment>
    <comment ref="I302" authorId="0" shapeId="0">
      <text>
        <r>
          <rPr>
            <sz val="9"/>
            <color indexed="81"/>
            <rFont val="Tahoma"/>
            <family val="2"/>
          </rPr>
          <t>Nombre completo del interventor</t>
        </r>
      </text>
    </comment>
  </commentList>
</comments>
</file>

<file path=xl/comments10.xml><?xml version="1.0" encoding="utf-8"?>
<comments xmlns="http://schemas.openxmlformats.org/spreadsheetml/2006/main">
  <authors>
    <author>Autor</author>
    <author>Eliana Iveth Alarcón Rondon</author>
  </authors>
  <commentList>
    <comment ref="K12" authorId="0" shapeId="0">
      <text>
        <r>
          <rPr>
            <sz val="9"/>
            <color indexed="81"/>
            <rFont val="Tahoma"/>
            <family val="2"/>
          </rPr>
          <t>Días acumulados del último reporte + Días del mes a reportar.</t>
        </r>
      </text>
    </comment>
    <comment ref="K183" authorId="1" shapeId="0">
      <text>
        <r>
          <rPr>
            <b/>
            <sz val="9"/>
            <color indexed="81"/>
            <rFont val="Tahoma"/>
            <family val="2"/>
          </rPr>
          <t>Eliana Iveth Alarcón Rondon:</t>
        </r>
        <r>
          <rPr>
            <sz val="9"/>
            <color indexed="81"/>
            <rFont val="Tahoma"/>
            <family val="2"/>
          </rPr>
          <t xml:space="preserve">
Un día más trabajado por Andrés Amaya en Abril</t>
        </r>
      </text>
    </comment>
    <comment ref="B289" authorId="0" shapeId="0">
      <text>
        <r>
          <rPr>
            <sz val="9"/>
            <color indexed="81"/>
            <rFont val="Tahoma"/>
            <family val="2"/>
          </rPr>
          <t>Firma de quién revisa</t>
        </r>
      </text>
    </comment>
    <comment ref="H289" authorId="0" shapeId="0">
      <text>
        <r>
          <rPr>
            <sz val="9"/>
            <color indexed="81"/>
            <rFont val="Tahoma"/>
            <family val="2"/>
          </rPr>
          <t>Firma del interventor</t>
        </r>
      </text>
    </comment>
    <comment ref="C290" authorId="0" shapeId="0">
      <text>
        <r>
          <rPr>
            <sz val="9"/>
            <color rgb="FF000000"/>
            <rFont val="Tahoma"/>
            <family val="2"/>
          </rPr>
          <t>Nombre completo de quién revisa</t>
        </r>
      </text>
    </comment>
    <comment ref="I290" authorId="0" shapeId="0">
      <text>
        <r>
          <rPr>
            <sz val="9"/>
            <color indexed="81"/>
            <rFont val="Tahoma"/>
            <family val="2"/>
          </rPr>
          <t>Nombre completo del interventor</t>
        </r>
      </text>
    </comment>
    <comment ref="B301" authorId="0" shapeId="0">
      <text>
        <r>
          <rPr>
            <sz val="9"/>
            <color indexed="81"/>
            <rFont val="Tahoma"/>
            <family val="2"/>
          </rPr>
          <t>Firma de quién revisa</t>
        </r>
      </text>
    </comment>
    <comment ref="H301" authorId="0" shapeId="0">
      <text>
        <r>
          <rPr>
            <sz val="9"/>
            <color indexed="81"/>
            <rFont val="Tahoma"/>
            <family val="2"/>
          </rPr>
          <t>Firma del interventor</t>
        </r>
      </text>
    </comment>
    <comment ref="C302" authorId="0" shapeId="0">
      <text>
        <r>
          <rPr>
            <sz val="9"/>
            <color rgb="FF000000"/>
            <rFont val="Tahoma"/>
            <family val="2"/>
          </rPr>
          <t>Nombre completo de quién revisa</t>
        </r>
      </text>
    </comment>
    <comment ref="I302" authorId="0" shapeId="0">
      <text>
        <r>
          <rPr>
            <sz val="9"/>
            <color indexed="81"/>
            <rFont val="Tahoma"/>
            <family val="2"/>
          </rPr>
          <t>Nombre completo del interventor</t>
        </r>
      </text>
    </comment>
  </commentList>
</comments>
</file>

<file path=xl/comments11.xml><?xml version="1.0" encoding="utf-8"?>
<comments xmlns="http://schemas.openxmlformats.org/spreadsheetml/2006/main">
  <authors>
    <author>Autor</author>
    <author>Eliana Iveth Alarcón Rondon</author>
  </authors>
  <commentList>
    <comment ref="K12" authorId="0" shapeId="0">
      <text>
        <r>
          <rPr>
            <sz val="9"/>
            <color indexed="81"/>
            <rFont val="Tahoma"/>
            <family val="2"/>
          </rPr>
          <t>Días acumulados del último reporte + Días del mes a reportar.</t>
        </r>
      </text>
    </comment>
    <comment ref="K183" authorId="1" shapeId="0">
      <text>
        <r>
          <rPr>
            <b/>
            <sz val="9"/>
            <color indexed="81"/>
            <rFont val="Tahoma"/>
            <family val="2"/>
          </rPr>
          <t>Eliana Iveth Alarcón Rondon:</t>
        </r>
        <r>
          <rPr>
            <sz val="9"/>
            <color indexed="81"/>
            <rFont val="Tahoma"/>
            <family val="2"/>
          </rPr>
          <t xml:space="preserve">
Un día más trabajado por Andrés Amaya en Abril</t>
        </r>
      </text>
    </comment>
    <comment ref="B290" authorId="0" shapeId="0">
      <text>
        <r>
          <rPr>
            <sz val="9"/>
            <color indexed="81"/>
            <rFont val="Tahoma"/>
            <family val="2"/>
          </rPr>
          <t>Firma de quién revisa</t>
        </r>
      </text>
    </comment>
    <comment ref="H290" authorId="0" shapeId="0">
      <text>
        <r>
          <rPr>
            <sz val="9"/>
            <color indexed="81"/>
            <rFont val="Tahoma"/>
            <family val="2"/>
          </rPr>
          <t>Firma del interventor</t>
        </r>
      </text>
    </comment>
    <comment ref="C291" authorId="0" shapeId="0">
      <text>
        <r>
          <rPr>
            <sz val="9"/>
            <color rgb="FF000000"/>
            <rFont val="Tahoma"/>
            <family val="2"/>
          </rPr>
          <t>Nombre completo de quién revisa</t>
        </r>
      </text>
    </comment>
    <comment ref="I291" authorId="0" shapeId="0">
      <text>
        <r>
          <rPr>
            <sz val="9"/>
            <color indexed="81"/>
            <rFont val="Tahoma"/>
            <family val="2"/>
          </rPr>
          <t>Nombre completo del interventor</t>
        </r>
      </text>
    </comment>
    <comment ref="B302" authorId="0" shapeId="0">
      <text>
        <r>
          <rPr>
            <sz val="9"/>
            <color indexed="81"/>
            <rFont val="Tahoma"/>
            <family val="2"/>
          </rPr>
          <t>Firma de quién revisa</t>
        </r>
      </text>
    </comment>
    <comment ref="H302" authorId="0" shapeId="0">
      <text>
        <r>
          <rPr>
            <sz val="9"/>
            <color indexed="81"/>
            <rFont val="Tahoma"/>
            <family val="2"/>
          </rPr>
          <t>Firma del interventor</t>
        </r>
      </text>
    </comment>
    <comment ref="C303" authorId="0" shapeId="0">
      <text>
        <r>
          <rPr>
            <sz val="9"/>
            <color rgb="FF000000"/>
            <rFont val="Tahoma"/>
            <family val="2"/>
          </rPr>
          <t>Nombre completo de quién revisa</t>
        </r>
      </text>
    </comment>
    <comment ref="I303" authorId="0" shapeId="0">
      <text>
        <r>
          <rPr>
            <sz val="9"/>
            <color indexed="81"/>
            <rFont val="Tahoma"/>
            <family val="2"/>
          </rPr>
          <t>Nombre completo del interventor</t>
        </r>
      </text>
    </comment>
  </commentList>
</comments>
</file>

<file path=xl/sharedStrings.xml><?xml version="1.0" encoding="utf-8"?>
<sst xmlns="http://schemas.openxmlformats.org/spreadsheetml/2006/main" count="12162" uniqueCount="1689">
  <si>
    <t>MES</t>
  </si>
  <si>
    <t>REPORTE DE AVANCE</t>
  </si>
  <si>
    <t>ENERO</t>
  </si>
  <si>
    <t>Fecha: 29/06/2022</t>
  </si>
  <si>
    <t>Version: 01</t>
  </si>
  <si>
    <t>GP-F-23</t>
  </si>
  <si>
    <t>FEBRERO</t>
  </si>
  <si>
    <t>Código Orden de servicio</t>
  </si>
  <si>
    <t>MARZO</t>
  </si>
  <si>
    <t>ABRIL</t>
  </si>
  <si>
    <t>MAYO</t>
  </si>
  <si>
    <t>JUNIO</t>
  </si>
  <si>
    <t>Mes a reportar</t>
  </si>
  <si>
    <t>JULIO</t>
  </si>
  <si>
    <t>AGOSTO</t>
  </si>
  <si>
    <t>Fecha reporte</t>
  </si>
  <si>
    <t>SEPTIEMBRE</t>
  </si>
  <si>
    <t>OCTUBRE</t>
  </si>
  <si>
    <t>Clasificación del servicio</t>
  </si>
  <si>
    <t>Reporte mes por servicio</t>
  </si>
  <si>
    <t>Reporte acumulado por servicio</t>
  </si>
  <si>
    <t>NOVIEMBRE</t>
  </si>
  <si>
    <t>Ítem general</t>
  </si>
  <si>
    <t>ítem actividad</t>
  </si>
  <si>
    <t>Descripción de la actividad</t>
  </si>
  <si>
    <t>Soporte</t>
  </si>
  <si>
    <t>Medio de entrega</t>
  </si>
  <si>
    <t>Días contratados</t>
  </si>
  <si>
    <t>Días</t>
  </si>
  <si>
    <t>% avance</t>
  </si>
  <si>
    <t xml:space="preserve">Días </t>
  </si>
  <si>
    <t>DICIEMBRE</t>
  </si>
  <si>
    <t>Digital</t>
  </si>
  <si>
    <t>TOTAL ACUMULADO</t>
  </si>
  <si>
    <t>Observaciones:</t>
  </si>
  <si>
    <t>Describa en este espacio su observación</t>
  </si>
  <si>
    <r>
      <t>¿Se presentó algún aspecto o situación que afecte la ejecución y calidad de los entregables? (</t>
    </r>
    <r>
      <rPr>
        <b/>
        <i/>
        <sz val="9"/>
        <color theme="1"/>
        <rFont val="Verdana"/>
        <family val="2"/>
      </rPr>
      <t>Marque con una X</t>
    </r>
    <r>
      <rPr>
        <b/>
        <sz val="9"/>
        <color theme="1"/>
        <rFont val="Verdana"/>
        <family val="2"/>
      </rPr>
      <t>)</t>
    </r>
  </si>
  <si>
    <t>PROFESIONAL</t>
  </si>
  <si>
    <t>SI</t>
  </si>
  <si>
    <t>NO</t>
  </si>
  <si>
    <t>INTERVENTOR O LIDER</t>
  </si>
  <si>
    <t>Revisa:</t>
  </si>
  <si>
    <t>Interventor:</t>
  </si>
  <si>
    <t>3.6</t>
  </si>
  <si>
    <t>Generar Modelo analítico del yacimiento integrando la información disponible en un software específico</t>
  </si>
  <si>
    <t>Modelo Analítico - Perfiles de Producción - Informe del modelo</t>
  </si>
  <si>
    <t>3.13</t>
  </si>
  <si>
    <t>Generar base de datos de producción (OFM o la que se requiera)</t>
  </si>
  <si>
    <t>Base de Datos</t>
  </si>
  <si>
    <t>3.16</t>
  </si>
  <si>
    <t>Análisis de Declinaciones por pozo y/o subunidad</t>
  </si>
  <si>
    <t>Base de Datos - Perfiles Generados - Informe del análisis</t>
  </si>
  <si>
    <t>3.17</t>
  </si>
  <si>
    <t>Analizar data histórica de producción, productividad y daño por pozo</t>
  </si>
  <si>
    <t>Base de Datos - Informe de la Evaluación</t>
  </si>
  <si>
    <t>3.18</t>
  </si>
  <si>
    <t>Generar perfiles de Producción por pozos para pozos existente en escenarios Bajo, Medio y Alto</t>
  </si>
  <si>
    <t>5.2</t>
  </si>
  <si>
    <t>Generación de oportunidades de intervención a Pozos</t>
  </si>
  <si>
    <t>5.9</t>
  </si>
  <si>
    <t>Realizar el seguimiento de producción/ inyección de pozos intervenidos con base en los comportamientos de producción previo y posterior a la intervención</t>
  </si>
  <si>
    <t>8.2</t>
  </si>
  <si>
    <t>Carga de datos, procesamiento de datos, Análisis Estadístico descriptivo considerando hipótesis desde la teoría, y análisis descriptivo considerando hipótesis generadas desde la misma data (pasos 1, 2 y 3 teoría CRISP-DM).</t>
  </si>
  <si>
    <t>Informe, con estadísticas descriptivas, histogramas, pruebas de ajuste, etc.</t>
  </si>
  <si>
    <t>Cambio en los cronogramas y perfiles del modelo analítico en ARPS para los perfiles de producción para el campo Akasias en para las etapas de ANE y Tinamu</t>
  </si>
  <si>
    <t>ACCESS - PLP 2024 - Todos los documentos (sharepoint.com)</t>
  </si>
  <si>
    <t>Generar archivos de carga de productores, inyectores y allocacion para el campo Tinamu.  Se realizó control de calidad a los archivos que se subieron al ARPS</t>
  </si>
  <si>
    <t>https://ecopetrol.sharepoint.com/sites/EquipoDesarrolloCPO-9/Documentos%20compartidos/Forms/AllItems.aspx?id=%2Fsites%2FEquipoDesarrolloCPO%2D9%2FDocumentos%20compartidos%2FGeneral%2F04%2DExploratorio%2FExploratorios%20CPO%2D9&amp;viewid=0e96c994%2D47e1%2D4e99%2D93c0%2D37826753815c</t>
  </si>
  <si>
    <t>Se generó un establecio la configuracion de allocacion de primeras y segundas lineas por RWA para el campo Akacias en la etapa de desarrollo temprano</t>
  </si>
  <si>
    <t>Se generó un archivo parcial de analisis de produccion de los pozos de cercanos y perforados del campo Tinamu para usar su produccion como referencia para los futuros pozos del campo</t>
  </si>
  <si>
    <t>Entrega de perfiles de la etapa de Tinamu para proyectos</t>
  </si>
  <si>
    <t>Informe de reservas Campo Akacias 2022 - Inicio (sharepoint.com)</t>
  </si>
  <si>
    <t>Profesional a cargo</t>
  </si>
  <si>
    <t>Alejandro D López</t>
  </si>
  <si>
    <t>1.2</t>
  </si>
  <si>
    <t>Generación Bases de Datos de Pozos (Registros, Topes e información 
disponible)</t>
  </si>
  <si>
    <t>\\10.100.25.35\pgtrabajodigital\JAH\Proyecto
groups21\akacias\2.- Ingeniería de Yacimientos\1.MONITOREO</t>
  </si>
  <si>
    <t>1.3</t>
  </si>
  <si>
    <t>Interpretación Sísmica</t>
  </si>
  <si>
    <t>1.5</t>
  </si>
  <si>
    <t>Digitalización, digitación y/o captura de información geológica 
(Mapas, Raw Data, topes, etc.)</t>
  </si>
  <si>
    <t>\\10.100.25.35\pgtrabajodigital\JAH\Proyecto</t>
  </si>
  <si>
    <t>1.8</t>
  </si>
  <si>
    <t>Balanceo de Secciones</t>
  </si>
  <si>
    <t>1.9</t>
  </si>
  <si>
    <t>Análisis de sellos de fallas</t>
  </si>
  <si>
    <t>1.10</t>
  </si>
  <si>
    <t>Amarre Sísmica Pozo</t>
  </si>
  <si>
    <t xml:space="preserve">\\10.100.25.35\pgtrabajodigital\JAH\Proyecto
groups21\akacias\5. Información de pozos
</t>
  </si>
  <si>
    <t>1.12</t>
  </si>
  <si>
    <t>Generación de mapas de facies</t>
  </si>
  <si>
    <t xml:space="preserve"> \\10.100.25.35\pgtrabajodigital\JAH\Proyecto</t>
  </si>
  <si>
    <t>1.15</t>
  </si>
  <si>
    <t>Carga de información para poblar el modelo geocelular (direccionales,  coordenadas, surveys, topes, data de presión, estados mecánicos, 
evento de pozos, etc.)</t>
  </si>
  <si>
    <t xml:space="preserve">
ruta: \\10.100.25.35\pgtrabajodigital\JAH\Proyecto</t>
  </si>
  <si>
    <t>1.25</t>
  </si>
  <si>
    <t>Análisis geoquímicos de Fingerprinting</t>
  </si>
  <si>
    <t>Julian A Hernández</t>
  </si>
  <si>
    <t>3.14</t>
  </si>
  <si>
    <t>Generar Distribución de Producción por sub- unidades (allocation)</t>
  </si>
  <si>
    <t>Jhon H Carreño</t>
  </si>
  <si>
    <t>Microsoft Teams, Email, Sharepoint Y:\akacias\37. Archivos</t>
  </si>
  <si>
    <t>Seguimiento de Producción e Inyección del proyecto de waterflooding del campo akacias</t>
  </si>
  <si>
    <t>Milton J Gualteros</t>
  </si>
  <si>
    <t>\\10.100.25.60\sya\gec</t>
  </si>
  <si>
    <t xml:space="preserve">\\10.100.25.60\sya\gec
 Sahara/ Tableros de diagnostico </t>
  </si>
  <si>
    <t>https://wellmeeting.ecopetrol.com.co/home 
https://ecopetrol.sharepoint.com/sites/CastillaWOs2022/Documentos%20compartidos/Forms/AllItems.aspx</t>
  </si>
  <si>
    <t>https://app.powerbi.com/singleSignOn?ru=https%3A%2F%2Fapp.powerbi.com%2Fgroups%2Fe5641789-d59d-4f86-b857-9812c65a1a04%2Freports%2Fdff68870-b9fb-4308-960e-6c4f8c41c79d%2FReportSection974a4271511adef5c478%3FnoSignUpCheck%3D1</t>
  </si>
  <si>
    <t>Ana M Castellanos</t>
  </si>
  <si>
    <t>\\10.100.25.60\sya\gec\Castilla\39. Proyecto_Inyeccion_de_Agua\SAHARA) y en las notas de wellmeeting</t>
  </si>
  <si>
    <t xml:space="preserve">\\10.100.25.60\sya\gec\Castilla\39. Proyecto_Inyeccion_de_Agua\SAHARA
</t>
  </si>
  <si>
    <t>https://wellmeeting.ecopetrol.com.co/login</t>
  </si>
  <si>
    <t>Se aseguraron los diagnósticos y acciones en wellmeeting por motivos de las revisiones con el equipo multidisciplinario y revisión interna. Ver mayor ampliación en GP-F-25</t>
  </si>
  <si>
    <t>teams (Sistemática WF y Gestión de la Básica y en la BD SAHARA (\\10.100.25.60\sya\gec\Castilla\39. Proyecto_Inyeccion_de_Agua\SAHARA)</t>
  </si>
  <si>
    <t>N/A</t>
  </si>
  <si>
    <t>Geisson Zafra</t>
  </si>
  <si>
    <t>Cesar E Rodriguez</t>
  </si>
  <si>
    <t>Diego F Galeano</t>
  </si>
  <si>
    <t>5.3</t>
  </si>
  <si>
    <t>Estimar restricciones de Presión y tasas para la generación de perfiles de producción</t>
  </si>
  <si>
    <t>5.5</t>
  </si>
  <si>
    <t>Adelantar la evaluación e interpretación de datos enfocada a candidatización de actividades de reacondicionamiento y optimización de productividad en los activos</t>
  </si>
  <si>
    <t>5.6</t>
  </si>
  <si>
    <t>Generar los análisis asociados a candidatización de pozos para optimización de la producción empleando simulación numérica (análisis nodal) de productividad de pozos</t>
  </si>
  <si>
    <t>Diego F Pinto</t>
  </si>
  <si>
    <t>X:\39. Proyecto_Inyeccion_de_Agua\SAHARA\BD Sahara</t>
  </si>
  <si>
    <t>DTWF CASTILLA | General | Microsoft Teams</t>
  </si>
  <si>
    <t>X:\39. Proyecto_Inyeccion_de_Agua\TABLERO DE CONTROLl\Python</t>
  </si>
  <si>
    <t>Jesus I Pacheco</t>
  </si>
  <si>
    <t>Digital:M:\39. Proyecto_Inyeccion_de_Agua\Geologia_seguimiento a la inyeccion</t>
  </si>
  <si>
    <t>Digital: Modelo Openworks</t>
  </si>
  <si>
    <t>Digital:  Openworks y Petrel</t>
  </si>
  <si>
    <t>Sección Balanceada (Proyecto y 
Reporte)</t>
  </si>
  <si>
    <t>Planos de fallas - Calculos de SGR 
(Shale Gouge Ratio) -Diagrama de 
Allan</t>
  </si>
  <si>
    <t>Digital: M:\39. Proyecto_Inyeccion_de_Agua\06. Geología</t>
  </si>
  <si>
    <t>Modelo - Informe del Modelo</t>
  </si>
  <si>
    <t>Digital:  Modelos Openworks y Petrel</t>
  </si>
  <si>
    <t>Mapas en formato digital - Informe</t>
  </si>
  <si>
    <t>Modelo poblado</t>
  </si>
  <si>
    <t>Análisis geoquímico - Informe</t>
  </si>
  <si>
    <t>2.9</t>
  </si>
  <si>
    <t>Generar tipos de roca / unidades de flujo por yacimiento y/o campo</t>
  </si>
  <si>
    <t>Digital: https://ecopetrol.sharepoint.com/sites/CastillaWOs2022</t>
  </si>
  <si>
    <t>Gloria F Vidal</t>
  </si>
  <si>
    <t>1.16</t>
  </si>
  <si>
    <t>Georeferenciación de Mapas, pozos, Imágenes satélite, etc. Y Definición de CRS (Cordinates Reference System)</t>
  </si>
  <si>
    <t>1.24</t>
  </si>
  <si>
    <t>Caracterización composicional de fluidos de hidrocarburos mediante técnicas geoquímicas.</t>
  </si>
  <si>
    <t>8.1</t>
  </si>
  <si>
    <t>3.12</t>
  </si>
  <si>
    <t>Generar Modelo de Presiones partiendo de las pruebas previamente validadas e interpretadas</t>
  </si>
  <si>
    <t>5.1</t>
  </si>
  <si>
    <t xml:space="preserve">Generar bases de datos de Eventos de pozos </t>
  </si>
  <si>
    <t>3.11</t>
  </si>
  <si>
    <t>Análisis e interpretación de datos de pruebas de presión-producción (DSTs, PBU, Pruebas Extendidas Producción, Gradientes Estáticos- Dinámicos PT, etc.) o de presión inyección (Inyectividad, SRT, FOT) aplicadas ya sea en tiempo real, memorizadas o con sarta temporal DST. Integración Probador Formación - Registros Open Hole.</t>
  </si>
  <si>
    <t>https://ecopetrol-my.sharepoint.com/:p:/r/personal/nayath_rodriguez_ecopetrol_com_co1/_layouts/15/Doc.aspx?sourcedoc=%7B1AE83FD1-423E-4DAF-A0AE-FA15584AE4BD%7D&amp;file=Estado%20Actual%20K1K2.pptx&amp;fromShare=true&amp;action=edit&amp;mobileredirect=true</t>
  </si>
  <si>
    <t>https://ecopetrol-my.sharepoint.com/:x:/r/personal/cesar_garnica_ecopetrol_com_co/_layouts/15/Doc.aspx?sourcedoc=%7BAA7899F4-3C92-43E6-A801-E6AC46835FA0%7D&amp;file=Pronosticos%20WF%20ExpK%20(3).xlsx&amp;action=default&amp;mobileredirect=true&amp;wdOrigin=OUTLOOK-METAOS.FILEBROWSER.FILES-HOME</t>
  </si>
  <si>
    <t>Cesar E Garnica</t>
  </si>
  <si>
    <t>Briggite Camacho</t>
  </si>
  <si>
    <t>Informe del análisis por pozo o prueba</t>
  </si>
  <si>
    <t>Castilla (\\10.100.25.60\sya\GEC)\20.Proyecto IOR K2</t>
  </si>
  <si>
    <t>\\10.100.25.60\sya\GEC\Castilla\39. Proyecto_Inyeccion_de_Agua\Planillas Power BI\6. Molinos de Viento</t>
  </si>
  <si>
    <t>Se actualizó el modelo analítico en el software Sahara con las  líneas base para el cálculo de los volumenes incrementales por pozo.</t>
  </si>
  <si>
    <t>Se mapearon y priorizaron los inyectores y productores para trabajos de remoción de daño emplendo la herramienta spiderweb.</t>
  </si>
  <si>
    <t>Se generaron perfiles de producción para los pozos K1 y K2 candidatos a trabajos de optimización, workover y rediseño.</t>
  </si>
  <si>
    <t>Actualización de la base de Datos con los cáculos de restricciones presión mediante análisis nodal</t>
  </si>
  <si>
    <t xml:space="preserve">Revisión sistemática pozo a pozo para la definición de pozos candidatos a Workover, 
optimización, repotenciación, rediseño y temporización. </t>
  </si>
  <si>
    <t>Z:\INFORMACIÓN_CAMPO_CHICHIMENE\7.- Maduración de Proyectos\Etapa 5_ Expansión K\Análisis nodales\ANÁLISIS NODAL-POZOS</t>
  </si>
  <si>
    <t>https://ecopetrol-my.sharepoint.com/:w:/r/personal/nayath_rodriguez_ecopetrol_com_co1/_layouts/15/Doc.aspx?sourcedoc=%7B16E8FA1B-CAFC-400A-9F16-5A2CECCADCD1%7D&amp;file=20240822_Documento%20soporte%20Reservas_GCH.docx&amp;nav=eyJjIjo4NzkxMjAwMDZ9&amp;action=default&amp;mobileredirect=true</t>
  </si>
  <si>
    <t xml:space="preserve">Digital-1. \\10.100.25.60\sya\GEC\Castilla\Proyecto W.O 2024 2027 GDT\WORKOVER Y REDISEÑOS SECUNDARIA     2.  \\10.100.25.60\sya\GEC\Castilla\20.Proyecto IOR K2\Expansión Recobro Mejorado GDT\reconfiguracion ERM junio 2024  3.\10.100.25.60\sya\GEC\Castilla\102.T2\Revision 2024                                 2. Presentación Semanal Sistemática Etapa 4  3.https://ecopetrol.sharepoint.com/sites/CastillaWOs2022/Documentos%20compartidos/Forms                        4.20230921 Sistemática Semanal - Sur Norte .pptx                                             5. \\10.100.25.60\sya\GEC\Castilla\20.Proyecto IOR K2\Expansión Recobro Mejorado GDT\02. EXP REC MEJORADO FASE 1                  </t>
  </si>
  <si>
    <t>Análisis de data histórica de producción para seguimiento proceso Waterflooding</t>
  </si>
  <si>
    <t>Paola Gomez</t>
  </si>
  <si>
    <t>-</t>
  </si>
  <si>
    <t>\\10.100.25.60\sya\gec\Castilla\39. Proyecto_Inyeccion_de_Agua\SAHARA</t>
  </si>
  <si>
    <t>TEAMS del equipo I&amp;A Castilla (Revision y seguimiento pozos Sur)</t>
  </si>
  <si>
    <t>https://wellmeeting.ecopetrol.com.co/home</t>
  </si>
  <si>
    <t>TEAMS del equipo I&amp;A Castilla (Revision Seguimiento de pozos productores inyectores - Zona Sur)</t>
  </si>
  <si>
    <t>C:\Users\c110096a\Ecopetrol S.A\Seguimiento I&amp;A Chichimene ECP - Documentos\04. Pwf Chichimene</t>
  </si>
  <si>
    <t>Se actualizan periodicamente diferentes archivos que alimentan Tableros, como lo es el 2.6 Seguimiento de producción Chiak. Igualmente archivos de consulta como Real vs P50.</t>
  </si>
  <si>
    <t>Luis Monsalve</t>
  </si>
  <si>
    <t>Repositorio digital: N:\39. Proyecto_Inyeccion_de_Agua\SAHARA\BD Sahara\2024-09-23 Sahara VyP Castilla</t>
  </si>
  <si>
    <t>OFM: \\10.100.25.35\ofm\C1118546</t>
  </si>
  <si>
    <t>Discriminación de intervalos por arenas y cálculo de propiedades petrofísicas y espesores netos en los pozos inyectores del sector sur, en los intervalos completados.</t>
  </si>
  <si>
    <t xml:space="preserve">Mónica Martínez </t>
  </si>
  <si>
    <t xml:space="preserve">DTWF CASTILLA-Tablero Castilla y   \\10.100.25.60\sya\gec\Castilla\39. Proyecto_Inyeccion_de_Agua\SAHARA
</t>
  </si>
  <si>
    <t>\\10.100.25.60\sya\gec\Castilla\39. Proyecto_Inyeccion_de_Agua\SAHARA\BD Sahara</t>
  </si>
  <si>
    <t>GDT Plus (El V.A.R.) - General - Todos los documentos y https://ecopetrol.sharepoint.com/sites/CastillaWOs2022/Documentos%20compartidos/Forms/AllItems.aspx</t>
  </si>
  <si>
    <t>DTWF CASTILLA - Tablero Castilla Fan Edition - Todos los documentos 
 \\10.100.25.60\sya\gec\Castilla\39. Proyecto_Inyeccion_de_Agua\SAHARA\BD Sahara</t>
  </si>
  <si>
    <t>https://wellmeeting.ecopetrol.com.co/login
GDT Plus (El V.A.R.) - General - Todos los documentos</t>
  </si>
  <si>
    <t>TEAMS del equipo I&amp;A Castilla (Sistemática WF): https://ecopetrol.sharepoint.com/sites/DTWFCASTILLA/Documentos%20compartidos/Forms/AllItems.aspx?OR=Teams%2DHL&amp;CT=1722020892543&amp;clickparams=eyJBcHBOYW1lIjoiVGVhbXMtRGVza3RvcCIsIkFwcFZlcnNpb24iOiI0OS8yNDA2MjcyNDgxNCIsIkhhc0ZlZGVyYXRlZFVzZXIiOmZhbHNlfQ%3D%3D&amp;id=%2Fsites%2FDTWFCASTILLA%2FDocumentos%20compartidos%2FGeneral&amp;viewid=9ba680aa%2D7c76%2D4823%2Dbaac%2Dba7ef8ef6f87</t>
  </si>
  <si>
    <t>La información quedó asegurada en el proyecto 131. \\10.100.25.35\ofm\c106559s</t>
  </si>
  <si>
    <t>Digital-1. \\10.100.25.60\sya\GEC\Castilla\Proyecto W.O 2024 2027 GDT\WORKOVER Y REDISEÑOS SECUNDARIA     2,\\10.100.25.60\sya\GEC\Castilla\DFGB Etapa 4</t>
  </si>
  <si>
    <t xml:space="preserve">Digital-1. \\10.100.25.60\sya\GEC\Castilla\Proyecto W.O 2024 2027 GDT\WORKOVER Y REDISEÑOS SECUNDARIA     2.  \\10.100.25.60\sya\GEC\Castilla\20.Proyecto IOR K2\Expansión Recobro Mejorado GDT\reconfiguracion ERM junio 2024  3.\10.100.25.60\sya\GEC\Castilla\102.T2\Revision 2024                                 2. Presentación Semanal Sistemática Etapa 4  3                               5. \\10.100.25.60\sya\GEC\Castilla\20.Proyecto IOR K2\Expansión Recobro Mejorado GDT\02. EXP REC MEJORADO FASE 1                  </t>
  </si>
  <si>
    <t xml:space="preserve">Digital-1. \\10.100.25.60\sya\GEC\Castilla\Proyecto W.O 2024 2027 GDT\WORKOVER Y REDISEÑOS SECUNDARIA  </t>
  </si>
  <si>
    <t>Seguimiento a la campaña de Workover en ejecucion Workover 2024-2027 GDT (antes, despues, e incremental), 7 trabajos ejecutados durante al año 2024</t>
  </si>
  <si>
    <t>\\10.100.25.60\sya\GEC\Castilla\Proyecto W.O 2024 2027 GDT</t>
  </si>
  <si>
    <t xml:space="preserve">Actualizacion de informacion de yacimiento para el  Proyecto futuro Expansion de recobro Unidades T2 y K1 </t>
  </si>
  <si>
    <t>Repositorio digital: N:\39. Proyecto_Inyeccion_de_Agua\SAHARA\BD Sahara\2024-10-21 Sahara VyP Castilla</t>
  </si>
  <si>
    <t>Sharepoint: 
https://ecopetrol.sharepoint.com/sites/BDSaharaCastilla/Documentos%20compartidos/Forms/AllItems.aspx?id=%2Fsites%2FBDSaharaCastilla%2FDocumentos%20compartidos%2FPresentaciones%20soporte%20sesiones%2F2024&amp;viewid=a035cf74%2D0100%2D4f66%2Da914%2D651dfeb02341&amp;noAuthRedirect=1&amp;OR=Teams%2DHL&amp;CT=1729284822343&amp;clickparams=eyJBcHBOYW1lIjoiVGVhbXMtRGVza3RvcCIsIkFwcFZlcnNpb24iOiI0OS8yNDA5MTIyMTMxOCIsIkhhc0ZlZGVyYXRlZFVzZXIiOmZhbHNlfQ%3D%3D</t>
  </si>
  <si>
    <t>Se calcularon los incrementales de producción  de los proyectos de secundaria ( D+,MINT,IOR K2) para actualizar la base de datos (Power BI) a través del aplicativo Molinos de Viento.</t>
  </si>
  <si>
    <t>Castilla Monitoreo.pbix</t>
  </si>
  <si>
    <t>Se continua con soporte geológico (correlaciones estratigráficas y continuidad de arenas) para la revisión de pozos candidatos a rediseño en el sector sur de Castilla</t>
  </si>
  <si>
    <t xml:space="preserve">Se continua con los cálculos de factores de conectividad geológica para los pozos declarados y faltantes candidatos a optimización en K1Inf </t>
  </si>
  <si>
    <t>ACCESS - Frontera - Todos los documentos</t>
  </si>
  <si>
    <t>ACCESS - Tinamu - Todos los documentos</t>
  </si>
  <si>
    <t>Aura Traslaviña</t>
  </si>
  <si>
    <t xml:space="preserve"> 1.  \\10.100.25.60\sya\GEC\Castilla\20.Proyecto IOR K2\Expansión Recobro Mejorado GDT\reconfiguracion ERM junio 2024  3.\10.100.25.60\sya\GEC\Castilla\102.T2\Revision 2024                                                       </t>
  </si>
  <si>
    <t>https://ecopetrol.sharepoint.com/sites/SeguimientoIAChichimeneECP/Documentos%20compartidos/Forms/AllItems.aspx?id=%2Fsites%2FSeguimientoIAChichimeneECP%2FDocumentos%20compartidos%2F17%2E%20IMR%2F2024%2F10%2E%20Octubre&amp;viewid=72844968%2Df801%2D450d%2D81d2%2D32c578273e17</t>
  </si>
  <si>
    <t>https://ecopetrol.sharepoint.com/sites/SeguimientoIAChichimeneECP/Documentos%20compartidos/Forms/AllItems.aspx?id=%2Fsites%2FSeguimientoIAChichimeneECP%2FDocumentos%20compartidos%2F45%2E%20WorkOvers%20GCH%202024%2D2026%2D2027&amp;viewid=72844968%2Df801%2D450d%2D81d2%2D32c578273e17</t>
  </si>
  <si>
    <t>1.  X:\39. Proyecto_Inyeccion_de_Agua\SAHARA\BD Sahara                                                                     2.https://ecopetrol.sharepoint.com/:x:/r/sites/SistemticaNorte/Documentos%20compartidos/General/Productores/seguimiento.xlsx?d=w78b46ae2216347788a53b33421d7206a&amp;csf=1&amp;web=1&amp;e=emMgt4</t>
  </si>
  <si>
    <t>1.  X:\39. Proyecto_Inyeccion_de_Agua\SAHARA\BD Sahara                                                                                 2.https://ecopetrol.sharepoint.com/:x:/r/sites/SistemticaNorte/Documentos%20compartidos/General/Productores/seguimiento.xlsx?d=w78b46ae2216347788a53b33421d7206a&amp;csf=1&amp;web=1&amp;e=emMgt4</t>
  </si>
  <si>
    <t>Generación Perfiles escenarios bajo, medio, alto en ARPS y evaluar perfiles enviados por auditor</t>
  </si>
  <si>
    <t>Cargue, análisis y procesamiento de los datos del modelo análitico de yacimientos. Analisis de datos en PowerBI</t>
  </si>
  <si>
    <t>1. Pronosticos de NUevos proyectos WOrkover secundaria y REdiseños. 2, DOcumento de soporte de reservas Word y Power point  3. Pronosticos de Proyecto Expansion de recobro Unidades T2 y K1  4. Memorando de modificacion del  proyecto Expansion de recobro mejorado   5. Reuniones sistematicas de los proyetos Etapa 4 y Modulo integral Norte /sur  6.  pozos inyectores de polímero proceso IDA- Explansion CEOR
.</t>
  </si>
  <si>
    <t>Generar declinaciones historicas para  Pronosticos de NUevos proyectos WOrkover secundaria y REdiseños.  Segimiento a la produccion e inyeccion y declinaciones de los pozos del proyecto etapa 4.
.</t>
  </si>
  <si>
    <t>Perfiles de produccion e inyeccion para proyectos Workover secundario GDT, expnasion de recobro unidades T2 &amp; K1, evaluacion de resultados de los pozos etapa 4, en escenarios Bajo, Medio y Alto
.</t>
  </si>
  <si>
    <t>Maduración del proyecto Intervension de pozos (Rediseños 40 trabajos 2025, 40 trabajos 2026)
.</t>
  </si>
  <si>
    <t>Se actualizó la Base de Datos Castilla con los incrementales de los Proyectos de secundaria  por sub-unidades</t>
  </si>
  <si>
    <t>Revisión de proyecto petrel, actualización de cañoneos y topes, desde el proyecto oficial Open Works</t>
  </si>
  <si>
    <t xml:space="preserve">Se  validaron  las propiedades trabajadas en cada uno de los campos para establecer el OOIP y el volumen recuperable, teniendo en cuenta los diferentes LKO que se encuentran en el Área;                               </t>
  </si>
  <si>
    <t>Se proporciona información de perfiles y volúmenes de pronóstico de reservas PDI a diferentes equipos y profesionales por solicitud.</t>
  </si>
  <si>
    <t>Se generó el informe de los pozos  inyectores con trabajos de workover ejecutados en el último mes.</t>
  </si>
  <si>
    <t>José Luis Ruíz</t>
  </si>
  <si>
    <t>Actualización de archivo con cálculo de áreas geoshapers de los polígonos utilizados para el cálculo volumétrico del campo, el cual aún se encuentra en progreso.</t>
  </si>
  <si>
    <t>Seguimiento de patrones de la zona sur del Campo Chichimene. Cargue de perfiles de inyección y producción en Sahara.</t>
  </si>
  <si>
    <t>Seguimiento de patrones de la zona sur del Campo Chichimene con el fin de definir optimizaciones y ajustes a PV.</t>
  </si>
  <si>
    <t>Generación Bases de Datos de Pozos (Registros, Topes e información disponible)</t>
  </si>
  <si>
    <t>Modelo generado - Informe del Modelo</t>
  </si>
  <si>
    <t>Mapas en formato digital</t>
  </si>
  <si>
    <t>Sección Balanceada (Proyecto y Reporte)</t>
  </si>
  <si>
    <t>1.1</t>
  </si>
  <si>
    <t>Recursos SharePoint y carpeta compartida. Sahara
Wellmeeting</t>
  </si>
  <si>
    <t>Se realizó el seguimiento a las optimizaciones, rediseños y WO a ejecutar. La información quedó asegurada en el archivo “Matriz priorizacion incrementos“ y "Priorizacion de acciones GDT_RD-WO-WS"</t>
  </si>
  <si>
    <t>Por solicitud de la líder, se diligenciaron los siguientes archivos con la información actualizada del estado de los pozos productores e inyectores del área que tengo en monitoreo:  Candidatos rediseños, Rediseños Ejecutados en 2024-2025 por zona. actualización de EM, propiedades petrofísicas y factores de alocación para los diferentes pozos en la BD de SAHARA</t>
  </si>
  <si>
    <t>https://ecopetrol.sharepoint.com/sites/gcres/conso/Forms/AllItems.aspx?id=%2Fsites%2Fgcres%2Fconso%2F02%2E%20Informaci%C3%B3n%20ANH%2F06%2E%20ANH%202024%2FVRO%2FCHICHIMENE%2FINFORME&amp;viewid=d5d52ee2%2D5e05%2D45ee%2D9b29%2D8f34fb00a583</t>
  </si>
  <si>
    <t>https://ecopetrol.sharepoint.com/sites/SeguimientoIAChichimeneECP/Documentos%20compartidos/Forms/AllItems.aspx?id=%2Fsites%2FSeguimientoIAChichimeneECP%2FDocumentos%20compartidos%2F11%2E%20Desviaciones%20Prod%5FIny%20Real%20vs%20P50%20vs%20Auditoria%20vs%20PDI%20vs%20GOP%20vs%20POP%2F2025&amp;viewid=72844968%2Df801%2D450d%2D81d2%2D32c578273e17</t>
  </si>
  <si>
    <t>1/2/3. Soporte en la carga semanal y análisis de datos en repositorios de bases de datos correspondientes al campo Akacias (proyecto Sahara, AVM, tableros de producción, molinos de viento y control de proyectos, WellMeeting.</t>
  </si>
  <si>
    <t>1)  Continua: Análisis de la posible influencia del acuífero a nivel CHIAK actualización del mapa con datos a corte del segundo semestre de 2024, a partir de la integración de información de análisis fisicoquímicos, continuidad estratigráfica, rasgos estructurales, resultados de PLTs e ILTs, BSW y Ql en los pozos de los campos Chichimene y Akacias.</t>
  </si>
  <si>
    <t>Base de datos</t>
  </si>
  <si>
    <t>Nubia Reyes</t>
  </si>
  <si>
    <t>Análisis de declinación pozos asociados a patrones de inyección</t>
  </si>
  <si>
    <t>Definición oportunidades de intervención en reunión sistematica WF</t>
  </si>
  <si>
    <t xml:space="preserve">Actualización de tablero en Power BI con inventario de data petrofísica, factor de conectividad, ILT, grafico de Lorenz y Spider.  Se socializo con el equipo el inventario del tablero y las acciones a seguir con la actividades pendientes. </t>
  </si>
  <si>
    <t>https://ecopetrol-my.sharepoint.com/:p:/g/personal/fabian_torres_ecopetrol_com_co1/EVDU7dil0AZKuEEvwl_wYUMBz5-ITb1XKJgfJvcLtCKwyg?email=geisson.zafra%40ecopetrol.com.co&amp;e=wAKzzZ&amp;wdOrigin=TEAMS-MAGLEV.p2p_ns.rwc&amp;wdExp=TEAMS-TREATMENT&amp;wdhostclicktime=1741892843119&amp;web=1&amp;previoussessionid=2053db84-be0f-ec5a-3ed2-fe60df430c3f</t>
  </si>
  <si>
    <t>Sharepoint: 
https://ecopetrol.sharepoint.com/sites/CastillaWOs2022/Documentos%20compartidos/Forms/AllItems.aspx?id=%2Fsites%2FCastillaWOs2022%2FDocumentos%20compartidos%2FJustificaciones&amp;viewid=9ecb22f4%2D2d68%2D4a78%2Db78d%2Df5ff342528b5</t>
  </si>
  <si>
    <t>Sharepoint:
https://ecopetrol.sharepoint.com/:x:/r/sites/ZonaEsteCAE/Documentos%20compartidos/CAE/Bit%C3%A1cora%20Zona%20Este.xlsx?d=w7a348467c50040ec94ebcaffa475a9d1&amp;csf=1&amp;web=1&amp;e=I8Rzqg</t>
  </si>
  <si>
    <t>Sharepoint:
https://ecopetrol.sharepoint.com/:x:/r/sites/ZonaEsteCAE/Documentos%20compartidos/CAE/Pozos_Este_LC.xlsx?d=w0c97719ca1034d22ab076f6215c3b74e&amp;csf=1&amp;web=1&amp;e=8jCOe3</t>
  </si>
  <si>
    <t>Se realizó cargue de pruebas de produccion, tasas de inyección, pruebas de ILT en la BD de Sahara, adicionalmente se realiza el seguimiento a las optimizaciones, rediseños y WO a ejecutar.</t>
  </si>
  <si>
    <t>Se realiza el reporte de producción a partir de correos y del tablero de producción prorrateada el cual es alimentado con base en la producción por formas y pruebas de producción de AVM.</t>
  </si>
  <si>
    <t>Para esta actividad se genera distribución vertical por unidad para los inyectores asociados a la Zona Centro Norte. La distribución se encuentra actualizada a la fecha con los últimos valores de ILT para cada inyector. La evidencia se encuentra en la Base de Datos SAHARA.</t>
  </si>
  <si>
    <t>se realiza relaciones y comparaciones con los datos de producción e inyección de la zona Centro Norte cargada en la base de datos de Sahara. Ver mayor ampliación en GP-F-25</t>
  </si>
  <si>
    <t>Se realizo el seguimiento de producción/ inyección de pozos a cargo (23 patrones de inyección) con base en los comportamientos de producción e inyección</t>
  </si>
  <si>
    <t>https://ecopetrol.sharepoint.com/sites/BDSaharaCastilla/Documentos%20compartidos/Forms/AllItems.aspx?id=%2Fsites%2FBDSaharaCastilla%2FDocumentos%20compartidos%2FBD%20Sahara&amp;viewid=a035cf74%2D0100%2D4f66%2Da914%2D651dfeb02341</t>
  </si>
  <si>
    <t>2025-04-21 Sahara VyP Castilla.zip
https://ecopetrol.sharepoint.com/sites/BDSaharaCastilla/Documentos%20compartidos/Forms/AllItems.aspx?id=%2Fsites%2FBDSaharaCastilla%2FDocumentos%20compartidos%2FPresentaciones%20soporte%20sesiones%2F2025&amp;viewid=a035cf74%2D0100%2D4f66%2Da914%2D651dfeb02341</t>
  </si>
  <si>
    <t xml:space="preserve">De acuerdo con el seguimiento a la producción e inyección, se realizó el seguimiento a los patrones CAN15, CAN22, CAN462, CAN700 y CAN450. </t>
  </si>
  <si>
    <t xml:space="preserve">Para este ítem para el mes de abril se realizó los perfiles son generados para los pozos candidatos a (RDG) rediseño y Workover (WO) los cuales quedan registrados en la ruta del equipo de taller de producción GDT </t>
  </si>
  <si>
    <t xml:space="preserve">Con el equipo multidiciplinario se realiza un análisis de los pozos encontrando bajas eficiencias y declinaciones presentadas de los pozos de la zona Centro Norte concluyendo las oportunidades de intervención en la medida que se puedan realizar las oportunidades en los pozos candidatos, lo cual queda consignado en el WM </t>
  </si>
  <si>
    <t>Para este ítem se realizó carga de datos de ILT en la BD de Sahara. Se realizó la actualización de volumetrías del pozo CAN454.</t>
  </si>
  <si>
    <t>Se lleva a cabo la distribución de la Básica de productores del campo a inyectores (RWA), para los Volúmenes proporcionados por el certificador 2024.</t>
  </si>
  <si>
    <t>Se generan cargadores IMR, primaria y Real_RWA para el mes de marzo. Lo anterior con el fin de ser cargados en el tablero de PDI como reales del mes.</t>
  </si>
  <si>
    <t xml:space="preserve">Se mantienen sesiones con Alejandra del equipo del declinador automático DCA, se construye archivo de Líneas Base que es entregado al equipo del DCA y se inicia el cargue en el mismo. </t>
  </si>
  <si>
    <t xml:space="preserve">Se analizan los reales del mes de marzo luego de generados los archivos cargadores de formas, a fin de realizar comparaciones pozo a pozo y que se identifiquen las brechas en patrones de REAL frente a P50, CERT, GOP 1Q y PDI. </t>
  </si>
  <si>
    <t>Se lleva a cabo el seguimiento de la campaña de WO vigente 2024-2026, al igual que se sostiene reunión de seguimiento de Planes Operativos con proyectos para actualizar el archivo correspondiente.</t>
  </si>
  <si>
    <t xml:space="preserve">Se lleva a cabo actualización del escenario Forecast en el tablero de Molinos de Viento, donde se hace referencia a la visión ECP. Lo anterior, a fin de realizar los análisis correspondientes. </t>
  </si>
  <si>
    <t xml:space="preserve">Se atienden diferentes sesiones, talleres y sistemáticas, en orden de planear las actividades del plan de cierre de brechas, la planeación del año desde los diferentes equipos, al igual que la sistemática del proyecto Frontera a fin de definir metodologías para su gerenciamiento adecuado. </t>
  </si>
  <si>
    <t>En la herramienta Sahara oficial con corte a Mar/2025, se corrigió y actualizó estado de capa y factores de alocacion pozos CA20 y CA65. Cargue de data de producción y Presiones dinamicas actualizadas a Abr/25 de zona centro sur</t>
  </si>
  <si>
    <t>De acuerdo con el seguimiento a la producción e inyección, se realizó el seguimiento a las optimizaciones realizadas en el mes de enero, febrero y marzo, de acuerdo con el BSW, pruebas de producción y toma de niveles.</t>
  </si>
  <si>
    <t>Se llevaron a mesa los pozos CA277 con la finalidad de aprobar oportunidades de WOP. Visualizados pozos con oportunidad de RDG: CA347, CA254H. Ver mayor ampliación en GP-F-25</t>
  </si>
  <si>
    <t>De acuerdo con los rediseños propuestos en el plan de cierre de brechas, se obtuvo una lista de 4 pozos que se requieren optimizar, se irán priorizando de acuerdo con el presupuesto aprobado: CA228, CA449, CA104 y CA105.</t>
  </si>
  <si>
    <t>Se realizo el seguimiento de producción/ inyección de pozos a cargo (13 patrones de inyección) con base en los comportamientos de producción e inyección</t>
  </si>
  <si>
    <t>En cuanto a la herramienta OFM se realizó el cargue de la producción, inyección y pruebas del mes de Marzo/2025. La información quedó asegurada en el proyecto 131. \\10.100.25.35\ofm\c110095a</t>
  </si>
  <si>
    <t>Se construyeron líneas base PDP para los camos Castilla y Castilla Norte empleando las herramientas DCA y Sahara</t>
  </si>
  <si>
    <t>Se generó el informe con los pozos productores e inyectores  candidatos a intervenir con trabajos de Workover o rediseño por perdidas de producción, pérdidades de inyectividad o desbalance de patrones de inyección en las áreas de evacuación y Norte.</t>
  </si>
  <si>
    <t xml:space="preserve">
Se generó el informe con el listado de  los pozos productores K1/ K2 candidatos a optimización en conjunto con el equipo interdisciplinar actuando como apoyo del area norte .
</t>
  </si>
  <si>
    <t>Revisión y estandarización de volumetrías por patron para el sector Sur del campo Castilla, calculo volumétrico de los pozos CA559 (ajuste), CA142 y CA455</t>
  </si>
  <si>
    <t>Definición de propiedades petrofísicas para el pozo CA52</t>
  </si>
  <si>
    <t>Export información de topes, registros eléctricos de pozos que requieran los ingenieros de Desarrollo para cargar en Sahara</t>
  </si>
  <si>
    <t>Digital
Sahara: \\ 10.11.46.149\02. Modelo Sahara Seguimiento\Sahara APIAY-SURIA 20250420</t>
  </si>
  <si>
    <t>Digital
Pwf: https://ecopetrol.sharepoint.com/sites/IAGDA/Documentos%20compartidos/Forms/AllItems.aspx?CID=3adabe1a%2D4747%2D4c97%2Db18d%2D9918c6e1130d&amp;FolderCTID=0x012000BFB80C44F3CD274CA2A2CE3C026E12AD&amp;id=%2Fsites%2FIAGDA%2FDocumentos%20compartidos%2FGeneral%2FPWF%20GDA%2F2025&amp;viewid=a6a9b233%2Ddd3c%2D46fa%2D8f6d%2Dd0f07af5f48a</t>
  </si>
  <si>
    <t>Digital
Tablero 2.6:  
https://ecopetrol.sharepoint.com/sites/INTERVENCIONESGDA/Documentos%20compartidos/Forms/AllItems.aspx?newTargetListUrl=%2Fsites%2FINTERVENCIONESGDA%2FDocumentos%20compartidos&amp;viewpath=%2Fsites%2FINTERVENCIONESGDA%2FDocumentos%20compartidos%2FForms%2FAllItems%2Easpx&amp;id=%2Fsites%2FINTERVENCIONESGDA%2FDocumentos%20compartidos%2FTablero%202%2E6%2E3%20Apiay%20Suria&amp;viewid=73e402f7%2D22ca%2D454e%2Db163%2Df5a2caf66532</t>
  </si>
  <si>
    <t>Digital
GOP: https://ecopetrol.sharepoint.com/sites/IAGDA/Documentos%20compartidos/Forms/AllItems.aspx?id=%2Fsites%2FIAGDA%2FDocumentos%20compartidos%2FGeneral%2FGOP%20Nodo%20de%20Yacimientos%2FGOP%202Q%202025&amp;viewid=a6a9b233%2Ddd3c%2D46fa%2D8f6d%2Dd0f07af5f48a</t>
  </si>
  <si>
    <t>Digital
RWA: https://ecopetrol.sharepoint.com/:f:/r/sites/IAGDA/Documentos%20compartidos/General/Seguimiento%20Secundaria/1.%20RWA/2025/03.%20RWA%20Marzo-2025?csf=1&amp;web=1&amp;e=S44p3n</t>
  </si>
  <si>
    <t>Digital
Molinos de Viento https://ecopetrol.sharepoint.com/:f:/r/sites/IAGDA/Documentos%20compartidos/General/Seguimiento%20Secundaria/2.%20MOLINOS%20DE%20VIENTO?csf=1&amp;web=1&amp;e=cZNEH2</t>
  </si>
  <si>
    <t>Digital
https://wellmeeting.ecopetrol.com.co/home
Sahara: \\ 10.11.46.149\02. Modelo Sahara Seguimiento\Sahara APIAY-SURIA 20250420</t>
  </si>
  <si>
    <t>Digital
'Bolsa Candidatos Gas': https://ecopetrol-my.sharepoint.com/:x:/g/personal/carlosan_perdomo_ecopetrol_com_co/EZV7YeCuN3tNiqSfhF1BYO8BxxG3mgRVs_Xb0TIMlyQtbA?e=34mGgL</t>
  </si>
  <si>
    <t>Digital
S-58: https://ecopetrol.sharepoint.com/:p:/r/sites/INTERVENCIONESGDA/Documentos%20compartidos/Analisis%20Generales/Reuniones_Tecnicas/2.%20Febrero%20-%20Sesi%C3%B3n%2027-Febrero.pptx?d=w515fdd1c4c744c10ac73cf07af44110a&amp;csf=1&amp;web=1&amp;e=dODlfR</t>
  </si>
  <si>
    <t>Digital
Construcción Herramienta Forecast: https://ecopetrol.sharepoint.com/:u:/r/sites/IAGDA/Documentos%20compartidos/General/Seguimiento%20Secundaria/2.%20MOLINOS%20DE%20VIENTO/Herramienta%20QAQC%20Perfiles/Forecast%20EN%20CONTRUCCI%C3%93N.pbix?csf=1&amp;web=1&amp;e=BRDSse</t>
  </si>
  <si>
    <t>Z:\INFORMACIÓN_CAMPO_CHICHIMENE\23.-Inyeccion de Agua\10. MONITOREO\09. Proyecto Sahara\2025\04. Abril</t>
  </si>
  <si>
    <t>DATA SHEET-CAMPAÑA 2</t>
  </si>
  <si>
    <t xml:space="preserve">https://ecopetrol-my.sharepoint.com/:p:/r/personal/nayath_rodriguez_ecopetrol_com_co1/_layouts/15/Doc.aspx?sourcedoc=%7B1AE83FD1-423E-4DAF-A0AE-FA15584AE4BD%7D&amp;file=Estado%20Actual%20K1K2.pptx&amp;fromShare=true&amp;action=edit&amp;mobileredirect=true  
</t>
  </si>
  <si>
    <t>Elaboración de cargadores operativos Chichimene, retroactivo anterior año 2013.</t>
  </si>
  <si>
    <t>Aumento de tasa de inyección, formación T2</t>
  </si>
  <si>
    <t>Aumento tasas iny T2 Briggite Camacho.xlsx</t>
  </si>
  <si>
    <t>Revisión velocidades críticas por zona. Consolidación de información.</t>
  </si>
  <si>
    <t>Velocidades Criticas.xlsx</t>
  </si>
  <si>
    <t>Revisión de resultados pozos optimizados Plan Cierre de Brechas.</t>
  </si>
  <si>
    <t>2.1_Monitoreo_Proyectos_VRO.pbix</t>
  </si>
  <si>
    <t>Revisión en foresite, pozos con toma de dato presión de yacimiento. Actualización semanal de modelo de Sahara para el Campo Chichimene.</t>
  </si>
  <si>
    <t>https://ecopetrol.sharepoint.com/:f:/r/sites/INTERVENCIONESGDA/Documentos%20compartidos/Monica%20Martinez/Entregables/Abril%202025?csf=1&amp;web=1&amp;e=uzdEiE</t>
  </si>
  <si>
    <t xml:space="preserve">El proyecto entre las diferentes actualizaciones ha presentado cambios en la estrategia sin embargo se ha ido consolidando las diferentes áreas (pachaquiaro, Aquila y polux ) con el fin de dar robustez y hacer más llamativo el caso de negocio.
El proyecto ha tenido un aporte significativo y es al generar un modelo Geocelular en los cuales se utilizaron atributos sísmicos sweetness y frecuencias como tendencia para el poblamiento de facies y demás propiedades petrofísicas, sin embargo, se debe tener en cuenta que estos atributos son cualitativos.
Debido a la poca densidad de pozos, el grado de incertidumbre en el modelamiento de las propiedades es alto, por esta razón se hicieron 3 escenarios para el modelamiento: N30E , Vshl y Redes Neuronales. Estos escenarios son producto de analogías con campos cercanos e interpretaciones que se realizaron con base en la información disponible. 
</t>
  </si>
  <si>
    <t>https://ecopetrol.sharepoint.com/:f:/r/sites/INTERVENCIONESGDA/Documentos%20compartidos/Monica%20Martinez/Entregables/Abril%202025?csf=1&amp;web=1&amp;e=v6w200</t>
  </si>
  <si>
    <t>https://ecopetrol.sharepoint.com/:f:/r/sites/INTERVENCIONESGDA/Documentos%20compartidos/Monica%20Martinez/Entregables/Abril%202025?csf=1&amp;web=1&amp;e=z1WNUb</t>
  </si>
  <si>
    <t xml:space="preserve">Informacion Inicial, Analisis de data  ( Aanlogia , Volumen poroso ) Perfiles                                                                                                                         Por el Lado del proyecto CETUS  El Área de Vex Solicito una información con la Data de producción de Gas en la formación K1 inferior y medio de los Campos Suria, Apiay y Libertad reforma con el fin de tener analogía de estos campos y poder ir a esta Formación en busca de pozos de Gas.
Se hizo un análisis de estos pozos teniendo información de 161 pozos que a lo largo de su historia han tenido producción de gas, posterior a esto se realiza un filtro de pozos que tengas producción de más de 500 MMKFC quedando 47 pozos generales pero que están en revisión para establecer cuales son de Gas libres y cuales son de Gas asociado al petróleo.
Posterior a esta revisión se tiene un filtro adicional de 20 pozos los cuales han servido para mapear un poco el comportamiento de la zona.
Adicionalmente se entregó información de Petrofísica de cada una de estos pozos, análisis , imágenes e información del modelo petrofísico.
</t>
  </si>
  <si>
    <t>https://ecopetrol.sharepoint.com/:f:/r/sites/INTERVENCIONESGDA/Documentos%20compartidos/Monica%20Martinez/Entregables/Abril%202025?csf=1&amp;web=1&amp;e=z1WNUb  ;  Ivonne.Garcia@ecopetrol.com.co;santiago.pinzon@ecopetrol.com.co;johan.ortiz@ecopetrol.com.co;</t>
  </si>
  <si>
    <t>1. Actualización semanal del modelo estático y dinámico del yacimiento y pozos del campo Akacias, mediante el proyecto Sahara Abr-2024 (Cargadores y modelo final)</t>
  </si>
  <si>
    <t>1. X:\CHICHIMENE\INFORMACIÓN_CAMPO_CHICHIMENE\23.-Inyeccion de Agua\10. MONITOREO\09. Proyecto Sahara\2025\04. Abril
2. W:\2.- Ingeniería de Yacimientos\1.MONITOREO\1.Sahara\2025\4. Abril</t>
  </si>
  <si>
    <t xml:space="preserve">1. Actualización de la producción por proyecto y tipo de recobro en los Tableros 2.1 y las bases de datos de Molinos de viento de los pozos </t>
  </si>
  <si>
    <t>1. https://ecopetrol.sharepoint.com/:f:/s/IAAKACIAS/EgCqFNT0rW9HqaUHUJ2Rl9QBCvS0kt0UAmo5iqfzicBI0Q?e=Qh9MOi
2. https://ecopetrol.sharepoint.com/:f:/s/IAAKACIAS/ErHM_OfTGKZLmCPrT3bK8O8BcnNF3UxaQIY023A7wFXXZg?e=2Qvz45</t>
  </si>
  <si>
    <t xml:space="preserve">1. Distribución de la producción asociada a la implementación del WF en los patrones de inyección del campo AK por medio del metodo RWA con la información a cierre de Mar-2025 </t>
  </si>
  <si>
    <t>1. https://ecopetrol.sharepoint.com/:f:/s/IAAKACIAS/EtPNskxPDDlCgotsjtO3ZMgBdz_yBC_z0GJdAK8Dr4LYNA?e=M3WzO2</t>
  </si>
  <si>
    <t>1. Elaboración y seguimiento a la estrategía de mitigación a la canalización presentada en los pozos AK-139 y AK-77 por el AK-26
2. Priorización de actividades para el POP del primer trimestre 2025</t>
  </si>
  <si>
    <t>1. https://ecopetrol.sharepoint.com/:p:/s/IAAKACIAS/EeE9kgAR8AxPn4UfJlXD_fAB2TJrx9FZPJU3F2Ddx2eXqQ?e=OQOaIb
2. https://ecopetrol.sharepoint.com/:x:/r/sites/IAAKACIAS/Documentos%20compartidos/34.%20POP%202024-2025/2025/ACT%20-%2011%2004%202025/POP_Vs_P50_RETO_11042025.xlsx?d=w0dc02f860ec24a6087e089a015726a66&amp;csf=1&amp;web=1&amp;e=Z1XrGc</t>
  </si>
  <si>
    <t>1. Interpretación del PBU AK-156
2. Corrida de nodales para ver efecto de la petrofísica en la afectación de la productividad
3. Ajuste en la visualización de la pestaña de productividad en el tablero 2.6 para visualizar la data historica posterior a la entrada de la estación Orotoy</t>
  </si>
  <si>
    <t>1. https://ecopetrol.sharepoint.com/:p:/s/IAAKACIAS/ETSl4EzNkxNCkKTkU5P7IlkBDiDfVPy--BoTL_sWcDdiPQ?e=SP4KAX
2. W:\2.- Ingeniería de Yacimientos\1.MONITOREO\3. Nodales\Analisis Nodal AK-153
3. https://ecopetrol.sharepoint.com/:u:/s/SeguimientoIAChichimeneECP/Ed09N9_VW1ZKvB1ao5Awy-gB2QfQA2HA2vexqLo-aLJh9g?e=nnAQQx</t>
  </si>
  <si>
    <t>1. Corrida del Resnode para el 2Q del 2025</t>
  </si>
  <si>
    <t>1. https://ecopetrol.sharepoint.com/:f:/s/IAAKACIAS/EqoG8uZYFsJNspSJS8-rSVwBZAlMrsbUA1Y20jTltnDz9g?e=OEg0Ft</t>
  </si>
  <si>
    <t>1. Intervención y análisis para reactivación de los pozos NE-3 y AK-153
2. Aplicación de la metodología planteada para selección de candidatos de CAF</t>
  </si>
  <si>
    <t>1. https://ecopetrol.sharepoint.com/:p:/s/IAAKACIAS/EVyNiCrA7vJLvqXNF7yt4XUBTSxOfZlIpPCElt9CI5_Q4A?e=nxAcRe
2. https://ecopetrol.sharepoint.com/:p:/s/IAAKACIAS/EUKgWHePs4lCu3t20r0UTf8BODOHQh_ioXZYeBUMqFqrmw?e=jNtCfN
3. https://ecopetrol.sharepoint.com/:f:/s/IAAKACIAS/EkNgGC2v_1BCrY4XoGinTtkBsvHzYHtlrhuRMyD9NgJ5Jg?e=mvoKQM</t>
  </si>
  <si>
    <t>1. Definición y arranque del proyecto frontera ChiAk
2. Elaboración del docuemento para solicitud de producción temprana de los pozos Tejón-1 y Guamal profundo-1</t>
  </si>
  <si>
    <t>1. https://ecopetrol.sharepoint.com/:p:/r/sites/SeguimientoIAChichimeneECP/Documentos%20compartidos/36.%20Pozos%20Frontera/Protocolo%20Frontera.pptx?d=w93ed7554ac204e7e8a8bd69117896fad&amp;csf=1&amp;web=1&amp;e=6JB57S
2. https://ecopetrol.sharepoint.com/:w:/s/IAAKACIAS/ESeATH2EI_xHiKHHxQYxEA0BmDMgLNeivKiYl9dRPYtigw?e=RqhYlH</t>
  </si>
  <si>
    <t>2. W:\2.- Ingeniería de Yacimientos\1.MONITOREO\22.Well Meeting\2025\4. Abril</t>
  </si>
  <si>
    <t>1) Actualización con la base de datos con información final para los pozos CH-234, AK-145, CH-239. Planes direccionales pozos AK-214, CHSW94 y CH-236.</t>
  </si>
  <si>
    <t>1) Revisón de información sismica para los pozos pertencientes a los patrones de inyección para identificar estructuras y establecer conectividades en los patrones de inyección. En busqueda del mejoramiento del factor de conectividad geológico.
2) Revisión información sísmica para identificar fallas o estrucutras en los patrones de inyección en pro de actualziar el factor de conectividad geológica para el campo Akacias.
3) Revisión en conjunto con el área de geofísica de la informaicón sismica para los pozos nuevos a perforar en el campo Akacias.</t>
  </si>
  <si>
    <t xml:space="preserve"> \\10.100.25.35\pgtrabajodigital\JAH\Proyecto
Z:\akacias\2.- Ingeniería de Yacimientos\1.MONITOREO\19.Sistematica WF Akacias\2025\04.Abril</t>
  </si>
  <si>
    <t>1) Generación mapas, cortes y correalciones para hacer seguimiento a los patrones de inyección del campo y monitoreo a los pozos productores.
2) Cargue informaicón final de los pozos CH-234, AK-145, CH-23 (registros e interpretación petrofísica).
3) Actualización y cargue de los planes direccionales finales para los pozos AK-214, CHSW94 y CH-236.</t>
  </si>
  <si>
    <t xml:space="preserve">1) Contrucción en petrel de secciones que permitan observar la continuidad horizontal de los ciclos estratigráficos en pro de establecer la conectividad geológica en los patrones de inyección, en el monitoreo del WF para el campo Akacias.
2) Generación de secciones estructurales que permitan observar el comportamiento areal del yacimiento para monitorear el comportamiento de pozos productores y conectividades en patrones de inyección.
3) Generación de secciones que permitan evaluar la continuidad lateral del yacimiento en el análisis de los pozos con baja inyectividad del campo Akacias. Adicionalmente, contrucción del material dentro del análisis de conectividad del patron del pozo AK-26 en el área de Nueva Esperanza.
</t>
  </si>
  <si>
    <t>1) Revisión del modelo estrucutural para el análisis de los patrones de inyección y así establecer la comunicación entre Inyec-produc durantes las sesiones de WF Akacias.
2) Revisión de los posibles sellos estructurales que condicionen el factor falla involucrado en la determinación del factor de conectividad geológico y continuar con la actualización de los tableros de conectividad geológica.
3) Análisis de las fallas dentro del estudio para identificar la influencia del acuífero en el campo a nivel CHIAK.
4) Actualziación de la interpretación estructural e inicio del análisis de conectividad en los patrones de inyección del campo.</t>
  </si>
  <si>
    <t>1) Revisión de la información sismíca con la trayectoria en las trayectorias entre pozos inyectores y porductores para identicar el Factor falla involucrado dentro del factor de conectividad geológica, insumo para actualizar el factor de conectividad geológico y el mapa de conectividad.
2) Revisión de las fallas interpretadas en las zonas de los pozos próximos a perforar para identificar los posibles riesgos geológicos y geofísicos.</t>
  </si>
  <si>
    <t xml:space="preserve">1) Continua la elaboración de la base de datos para la actualización de los tableros G&amp;G CHIAK.
2) Hacer seguimiento áreal de las facies para identificar los cambios laterales de facies que puedan indicar el comportamiento de arenas yto en los pozos productores.
</t>
  </si>
  <si>
    <t>1) Actualización final pozos CH-234, AK-145, CH-239 y actualización de los planes direccionales pozos AK-214, CHSW94 y CH-236.
2) Cargue de últimos planes direccionales aprobados para los pozos de la Etapa ANE y Frontera.</t>
  </si>
  <si>
    <t>Actualización modelo analítico de yacimientos ARPS (Frontera y Desarrollo Postrerios)</t>
  </si>
  <si>
    <t>Generación base de datos y construcción perfiles de producción campaña WO</t>
  </si>
  <si>
    <t>3.3</t>
  </si>
  <si>
    <t>Realice el plan de desarrollo del campo y los pronosticos:la prediccion se basaría en el plan de desarrollo de campo, la ubicación de perforaciones de relleno, el analisis de los patrones, la optimizacion de inyeccion de agua, las tasas de inyeccion óptima y el proceso de recuperacion terciaria (quimica y terminca). Realizar evaluaciones economicas y evaluaciones de cada proceso y presentar la mejor solucion optima.</t>
  </si>
  <si>
    <t>Carlos Olmos</t>
  </si>
  <si>
    <t xml:space="preserve">Se construyo archivo con el historial de caudales objetivos de inyección de los pozos inyectores de la zona sur del campo, </t>
  </si>
  <si>
    <t>Qwi_Obj_180325.xlsx</t>
  </si>
  <si>
    <t>Se construyeron los archivos .TXT que actualizan la base de datos de molinos de vientos para cada uno de los proyectos del activo.</t>
  </si>
  <si>
    <t>W:\39. Proyecto_Inyeccion_de_Agua\Planillas Power BI\6. Molinos de Viento\3. Actualizaciones\Cargue Proyectos\Real\2025\Febrero\TXT</t>
  </si>
  <si>
    <t xml:space="preserve">Se ajusto el tablero de capacidad de flujo de Castilla, realizándole cambios de forma necesarios para poder ser publicado en la web del equipo de Monitoreo VRO. </t>
  </si>
  <si>
    <t>Capacidad_de_flujo_Castilla_WF_Ene2025.pbix</t>
  </si>
  <si>
    <t>Se realizó revisión de los pozos que tienen una mayor brecha de producción, a los cuales se les propone un diagnóstico y se les establece una acción</t>
  </si>
  <si>
    <t xml:space="preserve">Se realizo revisión y actualización del tablero P50. Se actualizaron los perfiles P50 correspondientes al trienio 2025-2027. Se agregaron los perfiles de producción de petróleo, agua y agua inyectada. </t>
  </si>
  <si>
    <t>P50 CASTILLA_2024_V19.pbix</t>
  </si>
  <si>
    <t>8.3</t>
  </si>
  <si>
    <t>Construcción de modelo matemático utilizando las técnicas pertinentes de Ciencia de Datos (e.g. Programación Matemática / Optimización / Investigación de Operaciones, Modelamiento Probabilístico, Machine Learning, etc.), con dominio de conocimiento petrotécnico. Si el modelo es supervisado y no paramétrico, se debe generar el sustento y razonamiento respectivo, arquitectura, calibración de parámetros adecuado, pruebas de validación, generalización, desempeño, etc. La fase de modelamiento debe incluir el razonamiento del modelo y como se relaciona con los modelos petrotécnicos convencionales o actuales, en que difiere y cuál es su innovación en términos de analítica de datos. Lo anterior no indica que tenga que ser un modelo o metodología nueva – e.g. puede ser la aplicación de un modelo existente como el Capacitance Resistance Model (CRM). Etapa 4 y 5 de la metodología CRISP-DM). Los supuestos se deben descomponer en dos: i) del dominio petrotécnico (si la inferencia / deducción es válida, e.g. en el caso del modelo CRM la inferencia procede si la etapa de llenado se ha superado, etc.) y ii) matemáticos / estadísticos, e.g. si se requiere estacionariedad, el error debe ser Gaussiano, etc.</t>
  </si>
  <si>
    <t>8.4</t>
  </si>
  <si>
    <t>Análisis de resultados y análisis Estadístico - descriptivo de los resultados obtenidos, así como de las pruebas implementadas. Ejemplificación de la interpretación de resultados y auto-critica de los mismos. Mapeo de conclusiones, recomendaciones y validación de los objetivos con enfoque de valor. Es clave generar nociones para que los resultados puedan ser bien utilizados y/o asociados con otras metodologías. Si procede, se debe validar los resultados con los expertos o dolientes respectivos. Etapa 5 de la metodología CRISP-DM.</t>
  </si>
  <si>
    <t>Se apoyo con el diligenciamiento de las actas de las reuniones de la zona sur en la herramienta WellMeeting, donde se establecen los diagnósticos y acciones a llevar a cabo en cada uno de los pozos analizados en los espacios.</t>
  </si>
  <si>
    <t>8.5</t>
  </si>
  <si>
    <t>Programación del modelo matemático en las herramientas que se considere más adecuada, e.g. R, Python, SAS, C++, Java, Matlab, Visual, etc. Los scripts deben respetar los planteamientos y consideraciones contenidas en el informe, debe contener buenas prácticas de programación (e.g. comentarios, identación (anglicismo de “identation”), separación por métodos o funciones, etc. – el programa no necesariamente debe estar orientado a objetos y otros paradigmas, e.g. la programación funcional podría ser altamente recomendable).</t>
  </si>
  <si>
    <t>Se actualizo la base de datos de la zona sur para tener todos los parametros mas importantes al dia y mapeados.</t>
  </si>
  <si>
    <t>D:\Carlos Olmos\CARLOS O\PC VIEJO\Herramientas de informacion\CASTILLA\SUR</t>
  </si>
  <si>
    <t>Christian Pardo</t>
  </si>
  <si>
    <t>\\10.100.25.60\sya\GEC\Ariari\67. ENTREGAS DE CARGO\ING. DE PORTAFOLIO\CMPC\Christian Pardo\ENTREGABLES 2025\04. ABRIL</t>
  </si>
  <si>
    <t>•	Se realizó análisis de datos de Sahara para priorización de pozos M-12.
•	Se realizó carga de datos en power bi para gráficos diagnósticos de M-12.
•	Se realizó análisis pozo a pozo para identificación de oportunidades de WO de M-12.
•	Se realizó la definición de alcance del pozo AQ-1 para ser incluido en M-12.
•	Se validaron los volúmenes de los pozos con alto corte de agua SS-6R y SS-9 para ejercicio de robustez.
•	Se revisaron volúmenes de agua de producción del PDI3 del proyecto ET-4.2 y básica para identificar producción por encima de la capacidad de tratamiento.
•	Se realizó memorando motivador del proyecto M-12 (Alcance, ubicación, riesgos, cálculo de volumetrías).
•	Se realizó perfil de producción pozo a pozo de M-12 (23 WO).
•	Se diligenció documento IDD de IMR 1Q para campos sin variación material.
•	Se realizó asistencia técnica a proyecto Des. Pachaquiaro (Carga ARPS y conteo pozos)
•	Se realizó graficas de producción del proyecto ET-2 con visión actual y visión del 2021.
•	Se definieron premisas para cargue de PDI 2025.
•	Se realizó export de PDI3 de los proyectos de gas para análisis del equipo de procesos.
•	Se realizó archivo con caudales de inyección de agua unidad K2 para modelo hidrogeológico.</t>
  </si>
  <si>
    <t>2.2</t>
  </si>
  <si>
    <t>Generación Modelo Petrofísico</t>
  </si>
  <si>
    <t>Actualizacion de modelo petrofisico / Suria</t>
  </si>
  <si>
    <t>Maria Mojica</t>
  </si>
  <si>
    <t>2.3</t>
  </si>
  <si>
    <t>Definir Contactos de Fluidos, Arena neta, Net pay, por pozo y por zona</t>
  </si>
  <si>
    <t>Actualizacion de modelo petrofisico / Pachaquiaro / Evaluacion Petrodisica para WO Gas y M12</t>
  </si>
  <si>
    <t>2.4</t>
  </si>
  <si>
    <t>Realizar inventario y análisis de información petrofísica</t>
  </si>
  <si>
    <t>Interpretar datos en core Analysis para K1-K2 Suria</t>
  </si>
  <si>
    <t>2.5</t>
  </si>
  <si>
    <t>Realizar caracterización Scal (interpretación)</t>
  </si>
  <si>
    <t>2.6</t>
  </si>
  <si>
    <t>Realizar la digitalización de registros, normalización de curvas, edición y corrección de curvas</t>
  </si>
  <si>
    <t xml:space="preserve">Modelo de presiones Capilares para Pachaquiaro </t>
  </si>
  <si>
    <t>2.10</t>
  </si>
  <si>
    <t>Generar base de datos petrofísicos</t>
  </si>
  <si>
    <t>Promedios Petrofisicos Pozos Gas -M12</t>
  </si>
  <si>
    <t>2.11</t>
  </si>
  <si>
    <t>Generación de Modelos de Física de Rocas</t>
  </si>
  <si>
    <t xml:space="preserve">Estimacion y analisis DRX Suria </t>
  </si>
  <si>
    <t>Generar Modelo Estático del yacimiento integrando la información disponible</t>
  </si>
  <si>
    <t>Rafael Guatame</t>
  </si>
  <si>
    <t>1.17</t>
  </si>
  <si>
    <t>Calculo probabilístico de Volúmenes In situ.</t>
  </si>
  <si>
    <t>Para la actualización de Sahara correspondiente al mes de Abril, se realizó la creación de los cargadores de ILT’s, PLT’s, estados mecánicos, entre otros correspondientes a los pozos asignados de la zona centro del campo Chichimene. Por solicitud del equipo de Largo Plazo, se requirió apoyo y soporte en la revisión y ajuste de los archivos de Operativos Chichimene en el rango de fechas 2013 – 2019, para la cual se realizó la revisión detallada de los estados mecánicos de cada uno de los pozos en cuestión, de tal forma de actualizar los cambios en los PMP y sensores de la bomba que se efectuaron en ese rango de fechas</t>
  </si>
  <si>
    <t>Lizeth Bautista</t>
  </si>
  <si>
    <t>Y:\INFORMACIÓN_CAMPO_CHICHIMENE\23.-Inyeccion de Agua\10. MONITOREO\09. Proyecto Sahara\2025\04. Abril</t>
  </si>
  <si>
    <t>Se realizó la actualización del tablero 2.6 referente a producción e inyección diaria del campo Chichimene, con la finalidad de realizar los reportes diarios de producción, con la información proveniente de AVM. Se realizó el análisis de los nuevos patrones asignados, los cuales son: CH-12ª, CH-183ST, CH-182, CH-52, CH-77, CH-187, CH-32, CH-110, CH-132, CH-47, CH-185, CH-214, CH-215 y CH-216, para la evaluación tanto de pozos inyectores como de pozos productores asociados, y determinar las intervenciones correspondientes para la optimización de los pozos.</t>
  </si>
  <si>
    <t>01. Revisión Caudales Objetivo</t>
  </si>
  <si>
    <t>Para el mes de Abril, una de las actividades en las cuales me encontraba de frontal en el equipo de implementación y aseguramiento I&amp;A de Campo Chichimene, consistía en la actualización mensual de Molinos, actividad en la cual se realizó la actualización de los siguientes cargadores para el mes de Abril del año en curso: Alto performance, Real Chichimene 40 Acres  Etapa 2, Real Chichimene 40 Acres + CH-186 23L, Real Chichimene CEOR, Real Chichimene CH-12ª, Real Chichimene Corocora + CH-29, CH-59, CH-117, CH-119 23L, Real Chichimene Etapa 1 Upside, Real Chichimene Inyección K1K2, Real Chichimene Módulo Integral, Real Chichimene Piloto WF + CH-29, CH-59, CH-117, CH-119 23L y Real Chichimene WF K1 K2, cada uno de los cargadores anteriormente mencionados fueron elaborados con sus respectivas producciones de gas en los casos que aplicaba. Una vez construidos los cargados se procedió a realizar la actualización en Molinos-Puesto Digital y la actualización del tablero de PowerBI 2.1 Monitoreo_Proyectos_VRO.</t>
  </si>
  <si>
    <t>28. Molinos de Viento</t>
  </si>
  <si>
    <t>Por otra parte, durante el mes de Abril, dentro de las actividades ejecutadas se destacó la actualización del cargador trimestral por tecnología para Molinos, para ello se realizó la actualización de inyección histórica del campo, la producción de aceite de las formaciones T2 y K, producción de agua CEOR, producción de agua, y balance de gas producido por tecnología. Una vez actualizada toda la información se procedió a realizar la construcción del cargador en el cual se especifica la producción de aceite, agua y gas, así como el agua inyectada, discriminada para cada una de las tecnologías en el campo, las cuales son: Air injection, CEOR, Primary y Waterflooding.</t>
  </si>
  <si>
    <t>Cargue por Tecnologia</t>
  </si>
  <si>
    <t>Además de ello, en el mes de Abril se realizó la actualización del RWA Visualizador, para ello, se procedió a construir los cargadores correspondientes, los cuales son el cargador de coordenadas, el cargador de FatGeo RWA, el cargador de Inj_prod_Fcd, y el archivo output que surge como resultado de la corrida del RWA del mes en cuestión, en estos cargadores lo que se realiza es actualizar la información relacionada con conexiones geológicas entre inyector-productores, la ubicación de los pozos, el histórico de inyección real de los pozos inyectores presentes en el campo Chichimene, y la distribución de incrementales producto de la distribución obtenida con el RWA del mes anterior.</t>
  </si>
  <si>
    <t>Visualizadores</t>
  </si>
  <si>
    <t>De otro lado, se trabajó junto con el equipo de largo plazo del campo Chichimene en la determinación de las velocidades críticas para cada uno de los patrones en el campo, cuya finalidad es evaluar aquellos casos en los cuales por los altos caudales inyectados en los pozos inyectores, se han producido canalizaciones en los pozos productores aledaños. Información con la cual, el equipo de largo plazo tendrá presente junto con los resultados de las simulaciones para futuros análisis y predicciones lo más cercanas a la realidad del campo Chichimene.</t>
  </si>
  <si>
    <t>04. Pwf Chichimene</t>
  </si>
  <si>
    <t>Se trabajó en la construcción de las formas 8CR para formalizar ante la ANH el dato de prueba de presión tomado en el pozo inyector CH-182.</t>
  </si>
  <si>
    <t>Formas 8CR</t>
  </si>
  <si>
    <t>Se continuaron las reuniones sistemáticas de seguimiento Chichimene, en las cuales con todo el equipo multidisciplinario se analizan los patrones de inyección del campo Chichimene, se revisan prioridades y se toman las decisiones más pertinentes cuya finalidad es mejorar el comportamiento de los pozos tanto de los inyectores como de los productores</t>
  </si>
  <si>
    <t>09. Gerenciamiento Chichimene</t>
  </si>
  <si>
    <t xml:space="preserve">Se ha continuado el seguimiento del plan de optimización en el campo, en el cual se revisa a detalle aquellos pozos productores del campo que presentaban oportunidad de optimización para llegar a la Pwf reto, y ver el reflejo de la mejora en soporte gracias a la inyección, en términos de fluidos producidos. </t>
  </si>
  <si>
    <t>- Perfiles para proceso GOP, Capacidades.</t>
  </si>
  <si>
    <t>Jose Nassar</t>
  </si>
  <si>
    <t>\\10.100.25.60\sya\gec\JOSE GABRIEL NASSAR - PORTAFOLIO CASTILLA\0. ENTREGABLES\15. ABRIL_2025</t>
  </si>
  <si>
    <t>- Generación de alocación para carga en ARPS en proyectos WO GDT y WO secundario.
- Generación de alocación de pozos inyectores para ejercicio de Robustez.</t>
  </si>
  <si>
    <t>- Continuación de pruebas de calibración del declinador automático DCA con miras al ejercicio de Portafolio Castilla 2025.</t>
  </si>
  <si>
    <t>- Generación y cargue en ARPS de paramétrico del proyectos WO GDT, WO SECUNDARIO E INTERVENCIONES GDT, para ejercicio portafolio 2025.
- Generación de flujo de trabajo para cargue de la básica e incremental paramétrica en ARPS para ejercicio de Portafolio 2025.
- Soporte a compañeros de largo plazo para carga y generación de perfiles en herramienta ARPS.</t>
  </si>
  <si>
    <t>- Inicio de ejercicio de sensibilidad de agua producida por categoría, con el objetivo de aumentar límites económicos del campo y así aumentar reservas.</t>
  </si>
  <si>
    <t xml:space="preserve"> Actualización de información de pozos a cargo en la zona SW - Estados mecanicos e ILT's a la persona encargada del modelo oficial Sahara.</t>
  </si>
  <si>
    <t>Olmer Morales</t>
  </si>
  <si>
    <t>Compartido mediante Teams, modelo que contiene las actualizaciones semanalas enviadas: Z:\CHICHIMENE\INFORMACIÓN_CAMPO_CHICHIMENE\23.-Inyeccion de Agua\10. MONITOREO\09. Proyecto Sahara\2025\04. Abril</t>
  </si>
  <si>
    <t>Actualización de bases de datos historica operativos (PMP y ubicación del sensor) para calculo de PWF 2013-2019.</t>
  </si>
  <si>
    <t>Operativos CH 2013-2019: https://ecopetrol.sharepoint.com/:x:/r/sites/SeguimientoIAChichimeneECP/Documentos%20compartidos/04.%20Pwf%20Chichimene/OPERATIVOS_CHICHIMENE_2013-2019.xlsx?d=w94b731c59ab045f89dba9e1d3a27acd6&amp;csf=1&amp;web=1&amp;e=q5ca1m Deviation Interpolator: https://ecopetrol.sharepoint.com/:x:/r/sites/SeguimientoIAChichimeneECP/Documentos%20compartidos/04.%20Pwf%20Chichimene/Deviation%20Interpolator%20Chichimene-01.23.xlsx?d=wd5d35e8c54604be3ab6d10b4679e2e13&amp;csf=1&amp;web=1&amp;e=i3ETrj</t>
  </si>
  <si>
    <t>A) Definición de plan de acción CHSW65: cambio de sarta. B) Recopilación e identificación de pozos para interpretar presiones de yacimiento debido a paradas en el 1er semestre 2025.</t>
  </si>
  <si>
    <t>A) Sesión vía Teams y soporte en Wellmeeting. B) Sesiones vía Teams y soporte excel:      https://ecopetrol-my.sharepoint.com/:x:/g/personal/juanca_lizcanoni_ecopetrol_com_co/EbWfIIHY2adAuv26Hj7InVABjIGig7NsR3jI795g7wsa5A?e=h2fdkn</t>
  </si>
  <si>
    <t>Definición entre el equipo multidisciplinario de la propuesta de completamiento del CH-239i/AK-145 (Pozos frontera)</t>
  </si>
  <si>
    <t>Sesión vía Teams y propuesta enviada via correo electrónico CH-239i. Nota: AK-145 se encuentra en proceso.</t>
  </si>
  <si>
    <t>A) Definición de propuesta de aumento de inyección en T2 para los pozos a cargo.                           B) Establecer velocidades críticas de canalización por zona en los pozos a cargo del SW de acuerdo al historico de cada patrón.</t>
  </si>
  <si>
    <t>A) Aumento de inyección T2:  https://ecopetrol-my.sharepoint.com/:x:/g/personal/juanca_lizcanoni_ecopetrol_com_co/EXMtFfxvrMJEl3MZbsYtzNEBkKOC42wHF9xRobsl9aZ94g?e=76NSmt                                   B) Velocidades críticas: https://ecopetrol-my.sharepoint.com/:x:/g/personal/juanca_lizcanoni_ecopetrol_com_co/EWqfc085W9lAj4yjgqy9518BDoJy91LaAvYwT4ztKDLgrw?e=iXdeWi</t>
  </si>
  <si>
    <t>Seguimiento pozos frontera GLH.</t>
  </si>
  <si>
    <t>A) Sesiones via teams y acta de Wellmeeting.</t>
  </si>
  <si>
    <t>A) Priorización de acciones rigless de la zona sur.                 B) Revisión de necesidades y oportunidades de tecnología activos. C) Seguimiento de brechas de inyección a corte mar-25 - evolución de cumplimiento por formación - recopilación de causas y plan.</t>
  </si>
  <si>
    <t>A) Tabla priorizando acciones: https://ecopetrol-my.sharepoint.com/:x:/g/personal/olmer_morales_ecopetrol_com_co/EbvIsGwiwohNm6TioZ1VQ0oBoDw-XKnPIXmSkrHbgPpCEQ?e=EHyVZP                                 B) Sesiones vía teams. C) Excel de seguimiento brechas inyección mar-25: https://ecopetrol.sharepoint.com/:x:/r/sites/SeguimientoIAChichimeneECP/Documentos%20compartidos/11.%20Desviaciones%20Prod_Iny%20Real%20vs%20P50%20vs%20Auditoria%20vs%20PDI%20vs%20GOP%20vs%20POP/Seguimiento%20Inyectores%20Mar25%20%20GCH.xlsx?d=w8b995d1432af47309e5b4b102692cc36&amp;csf=1&amp;web=1&amp;e=xi3DMT Presentación: https://ecopetrol-my.sharepoint.com/:p:/r/personal/olmer_morales_ecopetrol_com_co/Documents/Archivos%20de%20chat%20de%20Microsoft%20Teams/Brechasinyeccionfeb25.pptx?d=wf85697861140465b8cb521724fc88a8c&amp;csf=1&amp;web=1&amp;e=Jw4Y8E</t>
  </si>
  <si>
    <t>Seguimiento de pozos zona sur - diagnóstico.</t>
  </si>
  <si>
    <t xml:space="preserve">Sesiones vía teams (sistemática seguimiento Chichimene) - acciones en Wellmeeting.  </t>
  </si>
  <si>
    <t>Envío de reporte de producción diario en los días asignados.</t>
  </si>
  <si>
    <t>Tablero 2.6: https://ecopetrol.sharepoint.com/:u:/r/sites/SeguimientoIAChichimeneECP/Documentos%20compartidos/04.%20Pwf%20Chichimene/2.61_SeguimientoProducci%C3%B3nChiak.pbix?csf=1&amp;web=1&amp;e=Kn93PZ</t>
  </si>
  <si>
    <t xml:space="preserve">Generación de visuales en power BI del PDI 2025+, actualización de tableros de producción (2.6) y seguimiento del tablero 1.1 portafolio VRO. </t>
  </si>
  <si>
    <t>Christian Mendoza</t>
  </si>
  <si>
    <t>2.62_SeguimientoProducciónCastilla.pbix</t>
  </si>
  <si>
    <t>Actualización tablero 2.2_Monitoreo_Prod_P50.</t>
  </si>
  <si>
    <t>2.2_Monitoreo_Prod_P50.pbix</t>
  </si>
  <si>
    <t xml:space="preserve">
Actualización tableros 2.61, 2.62 y 2.63 Seguimiento Producción ChiAk, Castilla y Apiay-Suria</t>
  </si>
  <si>
    <t xml:space="preserve">2.61_SeguimientoProducciónChiak.pbix. 
</t>
  </si>
  <si>
    <t>Actualización tablero 2.1_Monitoreo_Proyectos_VRO.</t>
  </si>
  <si>
    <t>Actualización de tablero 2.9 Calidad de Agua</t>
  </si>
  <si>
    <t>2.9_Seguimiento_Calidad_de_agua_VRO.pbix</t>
  </si>
  <si>
    <t>Actualización tablero 2.3 – Monitoreo secundaria.</t>
  </si>
  <si>
    <t>2.3_Monitoreo_Secundaria_VRO.pbix</t>
  </si>
  <si>
    <t>Revision modelo dinamico Chiak</t>
  </si>
  <si>
    <t>Ivan Mozo</t>
  </si>
  <si>
    <t>https://ecopetrol-my.sharepoint.com/:f:/r/personal/ivan_mozo_ecopetrol_com_co/Documents/Proyectos/Modelo_Dinamico?csf=1&amp;web=1&amp;e=37hrp0</t>
  </si>
  <si>
    <t xml:space="preserve">Cruces de información eventos de pozo, tipo de roca, porosidad, permeabilidad (Estadisticas por pozo) </t>
  </si>
  <si>
    <t>4.3</t>
  </si>
  <si>
    <t>Evaluación e interpretación de información de fluidos</t>
  </si>
  <si>
    <t>Actualización informe final modelo dinamico de K</t>
  </si>
  <si>
    <t>https://ecopetrol.sharepoint.com/:f:/r/sites/ChichimeneIA/Documentos%20compartidos/Informacion%20ODS%20CHIAK?csf=1&amp;web=1&amp;e=ocHFL0</t>
  </si>
  <si>
    <t>Revisión de presiones tomadas MDTs, elaboración de estadísticas y eventos de pozo</t>
  </si>
  <si>
    <t xml:space="preserve">Actualización de los ARPS para los proyectos Expansión K, WO y Frontera. </t>
  </si>
  <si>
    <t>https://ecopetrol-my.sharepoint.com/:u:/g/personal/fabian_torres_ecopetrol_com_co1/ERX18Etg1VFEk9TNraBb-YIBv-lOcmBMfk2gGvCUGkjXIw?e=BIqb3W</t>
  </si>
  <si>
    <t>Actualización de información modelo diamico de K año 2024.</t>
  </si>
  <si>
    <t>Archivo de excel  con generación de perfiles GOP 1T alineados a MOC A2.2 y P50 Mega reto</t>
  </si>
  <si>
    <t>David Garcia</t>
  </si>
  <si>
    <t>2"C:\Users\C1140847\Ecopetrol S.A\I&amp;A AKACIAS - Documentos\38. GOP\2025\1T"</t>
  </si>
  <si>
    <t xml:space="preserve">Archivo word Reportes de producción diarios y cargadores de softwares </t>
  </si>
  <si>
    <t>2"C:\Users\C1140847\Ecopetrol S.A\I&amp;A AKACIAS - Documentos\08.Reportes Diarios Producción Akacias\2025\4. Abril"</t>
  </si>
  <si>
    <t>Archivo excel y exports con avance de perfiles DCA para PDI 2025.</t>
  </si>
  <si>
    <t>2"C:\Users\C1140847\Ecopetrol S.A\I&amp;A AKACIAS - Documentos\21. Portafolio\2025\4.- PDI 2025\1.- Básica\DCA"</t>
  </si>
  <si>
    <t>Archivo excel con análisis de la producción histórica enviada a Chichimene y tratada en Orotoy.</t>
  </si>
  <si>
    <t>"C:\Users\C1140847\Ecopetrol S.A\I&amp;A AKACIAS - Documentos\42.- Perfiles varios\Orotoy\Histórico_PRD_Orotoy.xlsx"</t>
  </si>
  <si>
    <t>Archivo excel análisis CHIAK de la necesidad de tratamiento de agua para proteger producción 1P 2025.</t>
  </si>
  <si>
    <t>https://ecopetrol-my.sharepoint.com/:x:/r/personal/leidyla_alvarez_ecopetrol_com_co/Documents/Archivos%20de%20chat%20de%20Microsoft%20Teams/Proyecci%C3%B3n%20agua%202025%20Chiak.xlsx?d=w81d6ff629f4b45c5a01c30412f609e03&amp;csf=1&amp;web=1&amp;e=5my6Hd</t>
  </si>
  <si>
    <t>Priorización de intervenciones 2025 - 2027 vista a plan cierre de brechas.</t>
  </si>
  <si>
    <t>https://ecopetrol.sharepoint.com/:x:/r/sites/IAAKACIAS/Documentos%20compartidos/34.%20POP%202024-2025/2025/ACT%20-%2011%2004%202025/POP_Vs_P50_RETO_11042025.xlsx?d=w0dc02f860ec24a6087e089a015726a66&amp;csf=1&amp;web=1&amp;e=euKNpw</t>
  </si>
  <si>
    <t>Construcción de perfiles secundaria para POP Julio 2025</t>
  </si>
  <si>
    <t xml:space="preserve">Archivo ARPs, access y power bi con Ajuste, carga y análisis de los perfiles de los proyectos del campo Akacias a través de Solver y Molinos. </t>
  </si>
  <si>
    <t>01. Molinos</t>
  </si>
  <si>
    <t>Construcción de modelo en Sahara con la información del activo Apiay - Ariari exportado desde Petrel</t>
  </si>
  <si>
    <t>Jaime Martinez</t>
  </si>
  <si>
    <t>https://teams.microsoft.com/l/message/19:7b4c8586-d99b-4bd1-829f-dd3c0e5f277d_a4a12518-fd98-491f-8a3b-3cf43d597ded@unq.gbl.spaces/1728591074500?context=%7B%22contextType%22%3A%22chat%22%7D</t>
  </si>
  <si>
    <t>Vintage de producción de la unidad T2 en el campo Suria</t>
  </si>
  <si>
    <t>Metodología Perfiles Crudo .xlsx</t>
  </si>
  <si>
    <t>Histórico de producción y EUR de pozos de Suria unidad T2</t>
  </si>
  <si>
    <t>EUR vs hpay 2024 Suria.xlsx</t>
  </si>
  <si>
    <t>Perfiles de pozos piloto de gas con crudo, así como creación de ARPS con perfiles de la visión actual del campo Pachaquiaro. Perfiles del proyecto de Expansión de Gas</t>
  </si>
  <si>
    <t>https://ecopetrol.sharepoint.com/:x:/s/YACIMIENTOS-APIAY/EbmwQUUu8J5Jp5h1Urc4VHsBWIKkIMiuHgBVlbu1alVQuw?e=fPWH7k https://ecopetrol.sharepoint.com/:u:/s/YACIMIENTOS-APIAY/EWtfCURlZItHmxSj6uJzDeEBQIuyKTHVlJr8X5i1rmYffQ?e=dG26NZ https://ecopetrol.sharepoint.com/:x:/r/sites/YACIMIENTOS-APIAY/Documentos%20compartidos/General/PROYECTOS/GAS%20-%20%20Zocay/2025/Perfiles%20Expansion%20Base%20abril%202025.xlsx?d=wd9213e5f7b224165955f6d5568def283&amp;csf=1&amp;web=1&amp;e=fe3dpI</t>
  </si>
  <si>
    <t>Seguimiento a las intervenciones realizadas en el campo Pachaquiaro en proyecto de Sahara del activo</t>
  </si>
  <si>
    <t xml:space="preserve">Soporte geológico a las áreas Sur, Norte y Este del campo </t>
  </si>
  <si>
    <t>Formulación matemática, razonamientos, seudocódigo, definiciones, supuestos, pruebas estadísticas, pruebas de generalización, etc.</t>
  </si>
  <si>
    <t>PREMISAS.
• Análisis de productividad y comportamiento de recobro secundario con inyección de agua de acuerdo con campo cercano Suria y pozos perforados del campo Pachaquiaro. 
• Objetivo exclusivo a la formación San Fernando, Unidad T2.
• Ejecutar la perforación del proyecto en una ventana de 6 años utilizando 2 talados en simultáneo. Se recomienda evaluar la realización del proyecto con 3 taladros. 
• Yacimiento de crudo pesado con mayor viscosidad (aprox 70 cp en Suria y 230 cp en Pachaquiaro). 
• La estrategia de desarrollo del proyecto se plantea a través de 3 etapas. Las etapas 1 y 2 para el desarrollo del área de Pachaquiaro-Aquila (la etapa 1 consta de las fases 1 y 2) y la etapa 3 para el área de Pólux .Así mismo, para cada patrón, se contempla un periodo de producción primaria antes de iniciar el proceso de inyección de agua en cada arreglo. 
• Se estima alcanzar un factor de recobro cercano al 10% en el caso bajo (~3.3% primaria + ~7.2% secundaria), del 13,5% en el caso base (~5.7% primaria + ~7.8% secundaria) y un 17,8% en el escenario alto (~8.1% primaria + ~9.6% secundaria); de acuerdo con los perfiles planteados. 
• Los volúmenes estimados se continuarán evaluando de acuerdo con revisiones técnicas y sinergia con proyectos de otros activos que desarrollan la zona (Kimera-CPO9) y Castilla. Adicionalmente, se continúa con la generación del modelo dinámico para la zona Pachaquiaro, que permitirá dar soporte técnico a los volúmenes recuperables.
 SINTESIS.
• El OOIP total del área para la formación objetivo San Fernando T2 es de 360 MBO de los cuales 288 MBO corresponden a la zona de Pachaquiaro + Aquila y Polux 72 MBO.
• Se llevaron a cabo sensibilidades en el diseño y ubicación de los pozos, resultando en un patronamiento irregular entre 5 y 7 puntos invertido, con un tamaño promedio por patrón de 310 acres.
• El área consta de 20 patrones con un volumen total recuperable de aceite de 19.3 MBO y se estima un promedio por patrón de 0.97 MBO, en el escenario Base. 
• La estrategia de desarrollo completa contempla la perforación por etapas de 41 pozos productores (no incluye Polux-1), 19 pozos inyectores, 2 conversiones y 1 pozo Dispositor / Captador (total actividad: 61 perforaciones (no incluye Polux-1), 2 conversiones). Para cada patrón se estima una producción en primaria de 6 meses antes de iniciar el proceso de inyección de agua.
• Se estima alcanzar, de acuerdo con el plan de desarrollo conceptual, un FR cercano a 13.5% ( 5.7% primaria y 7.8% secundaria) en el escenario Base. 
• El caudal máximo de fluidos aproximado en la etapa 1 es de 16 KBFPD , en la etapa 2 es de 31.8 KBFPD y en la etapa 3 es de 42.2 KBFPD. Al inicio del proyecto se contempla una disposición de ~4500 BWPD y pasados los 2 años se requiere realizar captación de agua ~20 KBWPD. 
• El Proyecto Integrado de Desarrollo Pachaquiaro representa un reto técnico-económico para su desarrollo, por lo que se recomienda que desde todas las áreas se busquen alternativas, de manera que el proyecto sea viable.
• Los volúmenes estimados se continuarán evaluando de acuerdo con revisiones técnicas y sinergia con proyectos de otros activos que desarrollan la zona (Kimera-CPO9) y Castilla. Adicionalmente, se continúa con la generación del modelo dinámico para la zona Pachaquiaro, que permitirá ampliar el soporte técnico de los volúmenes recuperables.
• Se recomienda evaluar diferentes escenarios de facilidades: transportando fluidos a otros campos o construyendo facilidades en Pachaquiaro. 
• Es importante tener presente que los pozos a perforar tienen como objetivo solo la formación T2 y por tal razón se debe tener en cuenta al momento de la estimación de los AFE’s.</t>
  </si>
  <si>
    <t>Se generó modelo analítico del yacimiento para conceptualización del proyecto M-12.</t>
  </si>
  <si>
    <t xml:space="preserve">	Se generó base de datos de OFM para análisis histórico de producción para conceptualización del proyecto M-12.</t>
  </si>
  <si>
    <t>Se generó distribución de producción por sub-unidades para conceptualización del proyecto M-12.</t>
  </si>
  <si>
    <t xml:space="preserve">	Se analizó declinación de pozos para conceptualización del proyecto M-12.</t>
  </si>
  <si>
    <t>Se analizó data histórica de producción para conceptualización del proyecto M-12.</t>
  </si>
  <si>
    <t>Se calcularon los perfiles para cada uno de los escenarios bajo, base y alto para conceptualización del proyecto M-12.</t>
  </si>
  <si>
    <t>Se generaron oportunidades de intervención a pozos para conceptualización del proyecto M-12.</t>
  </si>
  <si>
    <t>Construcción Módulo 12</t>
  </si>
  <si>
    <t>Revisión PLT’s/ILT’s</t>
  </si>
  <si>
    <t xml:space="preserve">Mapeo y cálculo de presiones estáticas bloque Apiay
</t>
  </si>
  <si>
    <t>Apoyo a sistemáticas WF-Gestión de la básica-VRO</t>
  </si>
  <si>
    <t>Seguimiento a WO pozos de gas en Apiay Ariari.</t>
  </si>
  <si>
    <t>Informe de trazadores CQD</t>
  </si>
  <si>
    <r>
      <t xml:space="preserve">Diego Pinto:
</t>
    </r>
    <r>
      <rPr>
        <sz val="9"/>
        <color theme="1"/>
        <rFont val="Verdana"/>
        <family val="2"/>
      </rPr>
      <t xml:space="preserve">Se continuó con la expansión y análisis de las oportunidades detectadas en los pozos inyectores de alto caudal, con el objetivo de implementar soluciones eficientes y sostenibles para optimizar los procesos de evacuación de agua. Para ello, se propuso la implementación de nuevas estrategias de manejo de agua, que incluyeron la revisión de nuevas tecnologías químicas  para la remoción de daño, sistemas para control de sólidos en las corrientes de inyección y simulación numérica de yacimientos para cuantificar el potencial incremental esperado mediante trabajos de WO y WSV que pudieran mejorar la capacidad de inyección de agua en cada uno de los pozos. Se inició con la revisíón pozo a pozo para la determinación de los perfiles PDP empleando las herramientas DCA, Sahara y ARPS.
</t>
    </r>
    <r>
      <rPr>
        <b/>
        <sz val="9"/>
        <color theme="1"/>
        <rFont val="Verdana"/>
        <family val="2"/>
      </rPr>
      <t>Aura Traslaviña:</t>
    </r>
    <r>
      <rPr>
        <sz val="9"/>
        <color theme="1"/>
        <rFont val="Verdana"/>
        <family val="2"/>
      </rPr>
      <t xml:space="preserve">
1. Participación en reuniones sistemáticas para coordinar avances y actividades.
2. Soporte geológico en reuniones semanales de seguimiento a pozos CLIA, CRA, y pozos inyectores-productores del sector sur 
3. Actualización y ajustes del tablero geológico: Se continua con los cálculos de factores de conectividad geológica para los pozos declarados y faltantes candidatos a optimización en K1Inf, spider, Lorenz y data ILT.
4. Actualización de tablero en Power BI con inventario de data petrofísica, factor de conectividad, ILT, grafico de Lorenz y Spider.  
5. Definición de propiedades petrofísicas para los pozos CA52
6. Calculo volumétrico de los pozos CA559 (ajuste), CA142 y CA455
7. Se continua con la revisión y actualización petrel, carga de cañoneos y topes, desde el proyecto oficial Open Works
8. Export información de topes, registros eléctricos de pozos que requieran los ingenieros de Desarrollo para cargar en Sahara
9. Soporte geológico a las áreas Sur, Norte y Este del campo 
10. Soporte en la identificación de intervalos arcillosos para los pozos de abandono CA212 y CAN116.
</t>
    </r>
    <r>
      <rPr>
        <b/>
        <sz val="9"/>
        <color theme="1"/>
        <rFont val="Verdana"/>
        <family val="2"/>
      </rPr>
      <t>Christian Pardo:</t>
    </r>
    <r>
      <rPr>
        <sz val="9"/>
        <color theme="1"/>
        <rFont val="Verdana"/>
        <family val="2"/>
      </rPr>
      <t xml:space="preserve">
Se realizó cada una de las actividades propuestas para el periodo de la prestación del servicio.
</t>
    </r>
    <r>
      <rPr>
        <b/>
        <sz val="9"/>
        <color theme="1"/>
        <rFont val="Verdana"/>
        <family val="2"/>
      </rPr>
      <t>Lizeth Bautista:</t>
    </r>
    <r>
      <rPr>
        <sz val="9"/>
        <color theme="1"/>
        <rFont val="Verdana"/>
        <family val="2"/>
      </rPr>
      <t xml:space="preserve">
Para el mes de Abril se logró cumplir a cabalidad con las actividades planeadas y programadas, cumpliendo de igual forma con los tiempos establecidos, de tal forma que como equipo de trabajo se avance de manera efectiva en el cumplimiento de los objetivos trazados.</t>
    </r>
  </si>
  <si>
    <t>1. Actualización semanal del modelo estático y dinámico del yacimiento y pozos del campo Akacias, mediante el proyecto Sahara Mayo-2025 (Cargadores y modelo final)</t>
  </si>
  <si>
    <t>1. X:\CHICHIMENE\INFORMACIÓN_CAMPO_CHICHIMENE\23.-Inyeccion de Agua\10. MONITOREO\09. Proyecto Sahara\2025\05.Mayo
2. W:\2.- Ingeniería de Yacimientos\1.MONITOREO\1.Sahara\2025\5. Mayo</t>
  </si>
  <si>
    <t xml:space="preserve">1. Actualización de la producción por proyecto y tipo de recobro en los Tableros 2.1 y las bases de datos de Molinos de viento de los pozos con la información del mes de abril de 2025 </t>
  </si>
  <si>
    <t>1. W:\2.- Ingeniería de Yacimientos\1.MONITOREO\9.Tablero Power BI 2.1\2025\4. Abril
2. W:\2.- Ingeniería de Yacimientos\1.MONITOREO\14.Molinos de Viento\Cargadores\Real\2025\04. Abril</t>
  </si>
  <si>
    <t xml:space="preserve">1. Distribución de la producción asociada a la implementación del WF en los patrones de inyección del campo AK por medio del metodo RWA con la información a cierre de Abr-2025 </t>
  </si>
  <si>
    <t>1. W:\2.- Ingeniería de Yacimientos\1.MONITOREO\16.RWA\AKACIAS\2025\4. Abril</t>
  </si>
  <si>
    <t>1. Participación en el taller plan cierre de brechas a fin de establecer las actividades aprobadas y definir las bases para el plan de inversiones</t>
  </si>
  <si>
    <t>1. https://ecopetrol.sharepoint.com/:p:/s/IAAKACIAS/ERuRkXh3wQNPus0uGyB1N9UB7yXfOj7XEmce1gOnmCt4Cg?e=3IEjmr</t>
  </si>
  <si>
    <t>1. Presentación del efecto de la inyección en la zona NE, comportamiento de presiones</t>
  </si>
  <si>
    <t>1. W:\2.- Ingeniería de Yacimientos\1.MONITOREO\7.Presiones\2025\1_Semestre</t>
  </si>
  <si>
    <t>1. Elaboración del programa de evaluación de los pozos Tejón-1 y Guamal profundo-1 bajo el esquema de producción temprana
2. Ajuste de declinación y PDI para corrida de RWA en la PDP</t>
  </si>
  <si>
    <t>1. W:\34.- Exploratorios CPO-09\Producción temprana Guamal
2. https://ecopetrol.sharepoint.com/:x:/r/sites/IAAKACIAS/Documentos%20compartidos/21.%20Portafolio/2025/4.-%20PDI%202025/1.-%20B%C3%A1sica/DCA/AT%20Dnm%20Template.xlsx?d=w728cdf274b4946b9addc4b9b6feb6ec8&amp;csf=1&amp;web=1&amp;e=1X7h1Y</t>
  </si>
  <si>
    <t>1. Análisis de información previa y necesidad de adquisición de presiones para el AK-153 a fin de verificar la conexión con el bloque principal.
2. Análisis en Saphir para realizar una prueba de interferencia entre el AK-139 y AK-153</t>
  </si>
  <si>
    <t>1. W:\2.- Ingeniería de Yacimientos\1.MONITOREO\19.Sistematica WF Akacias\2025\04. Abril
2. W:\2.- Ingeniería de Yacimientos\1.MONITOREO\19.Sistematica WF Akacias\2025\05. Mayo</t>
  </si>
  <si>
    <t>1. Estrategía y escenarios de perdida de producción durante apagados de los pozos del CL-NE para evitar afectación en los pozos del patrón AK-26</t>
  </si>
  <si>
    <t>1. https://ecopetrol.sharepoint.com/:p:/s/IAAKACIAS/Eb1baMERUeNEjoPL3ygdW7oBXSSC67Fti9iIakUSZ0N6tw?e=b0S10l
2. https://ecopetrol.sharepoint.com/:x:/s/IAAKACIAS/EZdMvxsKHBNHmGIiwYOoHYEBZrEZrqxKMrOkARzdtJNFCw?e=GehYyk</t>
  </si>
  <si>
    <t>1. Registro de las actividades pendientes para el inyector frontera AK-147 en Wellmeeting
2. Registro de acciones especificas para los pozos Akacias</t>
  </si>
  <si>
    <t>1 y 2. W:\2.- Ingeniería de Yacimientos\1.MONITOREO\22.Well Meeting\2025\5. Mayo</t>
  </si>
  <si>
    <t>Actualización modelo analítico de yacimientos ARPS (Frontera, ANE, A3's)</t>
  </si>
  <si>
    <t>Generación base de datos y construcción perfiles proyecto inyección norte CHIAK</t>
  </si>
  <si>
    <t>Generación perfiles de producción escenarios bajo, medio, alto en ARPS (PDI)</t>
  </si>
  <si>
    <t>Se realizó cargue de pruebas de produccion, tasas de inyección, pruebas de ILT en la BD de Sahara CA61, CAN20, CAN255, CaN450, CAN49 Y CAN57, adicionalmente se realiza el seguimiento a las 22 optimizaciones, 1 rediseños y 6 WO a ejecutar.</t>
  </si>
  <si>
    <t>Para esta actividad se genera distribución vertical por unidad para los inyectores asociados a la Zona Centro Norte. La distribución se encuentra actualizada a la fecha con los últimos valores de ILT para cada inyector CA61, CAN20, CAN255, CaN450, CAN49 Y CAN57 . La evidencia se encuentra en la Base de Datos SAHARA.</t>
  </si>
  <si>
    <t xml:space="preserve">De acuerdo con el seguimiento a la producción e inyección, se realizó el seguimiento a los patrones CA61, CAN57, CAN56, CAN05 y CAN700. </t>
  </si>
  <si>
    <t>https://teams.microsoft.com/l/channel/19%3A0KSR0Sqd9sL27-AWAKb2UFAmZ-fupgWBuEQNEHUYOIY1%40thread.tacv2/Documentos?groupId=ba918c77-3768-4ebd-affe-4ef992094119&amp;tenantId=a4305987-cf78-4f93-9d64-bf18af65397b</t>
  </si>
  <si>
    <t xml:space="preserve">Para este ítem para el mes de abril se realizó los perfiles generados para los pozos candidatos a (RDG) rediseño y Workover (WO) los cuales quedan registrados en la ruta del equipo de taller de producción GDT </t>
  </si>
  <si>
    <t>Con el equipo multidiciplinario se realiza un análisis de los pozos encontrando bajas eficiencias y declinaciones presentadas de los pozos de la zona Centro Norte concluyendo las oportunidades de intervención en la medida que se puedan realizar las oportunidades en los pozos candidatos, lo cual queda consignado en el WM. Se declaran los pozos CAN128 y CAN238 con el inyector CAN462</t>
  </si>
  <si>
    <t>Para este ítem se realizó carga de datos de ILT en la BD de Sahara. Se realizó la actualización de volumetrías del pozo CAN450 y CAN56.</t>
  </si>
  <si>
    <t xml:space="preserve">Se inicia con el proceso de actualización de la básica para la corrida de plan de inversiones 2025, para lo cual se establecen las declinaciones y puntos de amarre de los pozos productores del campo para plantear el pronóstico de la PDP. Se deben asegurar cronogramas de WO, pozos inactivos y conversiones que se plasman en estos perfiles PDP. Acto seguido, se aseguran RWA historia y RWA PDP, a fin de ver el comportamiento de la secundaria. </t>
  </si>
  <si>
    <t>https://ecopetrol.sharepoint.com/sites/SeguimientoIAChichimeneECP/Documentos%20compartidos/Forms/AllItems.aspx?id=%2Fsites%2FSeguimientoIAChichimeneECP%2FDocumentos%20compartidos%2F20%2E%20Portafolio%2F2025%2FPlanInversiones052025&amp;newTargetListUrl=%2Fsites%2FSeguimientoIAChichimeneECP%2FDocumentos%20compartidos&amp;viewpath=%2Fsites%2FSeguimientoIAChichimeneECP%2FDocumentos%20compartidos%2FForms%2FAllItems%2Easpx</t>
  </si>
  <si>
    <t xml:space="preserve">Posteriormente a asegurados los RWA, se ajustan en los archivos preproceso para la entrada de la información al archivo de Curvas Características. Se inicia el ajuste de CC y se concentra la información en un solo archivo. </t>
  </si>
  <si>
    <t xml:space="preserve">Se distribuyen los volúmenes del auditor, se prepara el RWA CERT para que los volúmenes ingresen al archivo de Curvas Caracteríasticas al igual que los volúmenes Outside, a fin de que sirvan como guía en el ajuste de curvas características. </t>
  </si>
  <si>
    <t xml:space="preserve">Se mantienen sesiones con Alejandra del equipo del declinador automático DCA, ya que es la herramienta usada para declinar los perfiles PDP y de donde se toma la información para los cargadores de RWA PDP. Se evidenciaron falencias que fueron reportadas a medida que surgían para el ajuste de la herramienta. </t>
  </si>
  <si>
    <t xml:space="preserve">Se analizan los reales del mes de abril luego de generados los archivos cargadores de formas, a fin de realizar comparaciones pozo a pozo y que se identifiquen las brechas en patrones de REAL frente a P50, CERT, GOP 1Q y PDI. </t>
  </si>
  <si>
    <t>Se proporciona información de perfiles y volúmenes de pronóstico de reservas PDI de la corrida 12-2024 a diferentes equipos y profesionales por solicitud.</t>
  </si>
  <si>
    <t xml:space="preserve">Se mantienen sesiones con el equipo de inyección, planeación e ingeniería, para definir PDT de inyección, cronograma de pozos inactivos y conversiones, y cronograma de WO's. </t>
  </si>
  <si>
    <t>En la herramienta Sahara oficial con corte a Abr/2025, se corrigió y actualizó estado de capa y factores de alocacion pozos CA257. Cargue de data de producción y Presiones dinamicas actualizadas a Abr/25 de zona centro sur</t>
  </si>
  <si>
    <t>Por solicitud de la líder, se diligenciaron los siguientes archivos con la información actualizada del estado de los pozos productores e inyectores del área que tengo en monitoreo:  Candidatos rediseños, Rediseños Ejecutados en 2025 por zona. actualización de EM, propiedades petrofísicas y factores de alocación para los diferentes pozos en la BD de SAHARA</t>
  </si>
  <si>
    <t>De acuerdo con el seguimiento a la producción e inyección, se realizó el seguimiento a las optimizaciones realizadas en el mes de enero, febrero, marzo y abril, de acuerdo con el BSW, pruebas de producción y toma de niveles.</t>
  </si>
  <si>
    <t>Se llevaron a mesa los pozos CA41H con la finalidad de aprobar oportunidades de WOP. Visualizados pozos con oportunidad de RDG: CA347. Ver mayor ampliación en GP-F-25</t>
  </si>
  <si>
    <t>De acuerdo con los rediseños propuestos en el plan de cierre de brechas, se obtuvo una lista de 12 pozos que se requieren optimizar, se irán priorizando de acuerdo con el presupuesto aprobado: CA228, CA37, CA449, CA104 y CA105.</t>
  </si>
  <si>
    <t>En cuanto a la herramienta OFM se realizó el cargue de la producción, inyección y pruebas del mes de Abril/2025. La información quedó asegurada en el proyecto 05. Proyecto OFM\Archivos Excel\Cargue OFM\2025</t>
  </si>
  <si>
    <t>La información quedó asegurada en el proyecto 131. \\10.100.25.60\sya\gec\05. Proyecto OFM\Archivos Excel\Cargue OFM\2025</t>
  </si>
  <si>
    <t>Se ajustó el modelo analítico en el software Sahara, incorporando líneas base para el cálculo de volúmenes incrementales por pozo, así como estados mecánicos actualizados y datos recientes de producción e inyección.</t>
  </si>
  <si>
    <t>Se actualizó la base de datos Castilla con información proveniente de AVM, para su uso en el monitoreo continuo realizado por el equipo de Corto Plazo.</t>
  </si>
  <si>
    <t>Se analizó la data histórica de producción, productividad y daño por pozo, identificando oportunidades de intervención y generando una priorización de pozos con base en su impacto potencial.</t>
  </si>
  <si>
    <t>Se elaboró un informe con pozos candidatos a workover o rediseño por pérdidas de producción, inyectividad y desbalance en las áreas Norte y de evacuación.</t>
  </si>
  <si>
    <t>Se realizó un análisis nodal para estimar restricciones de presión y tasa, identificando potenciales incrementos de inyectividad en pozos slim mediante cambios en completamiento.</t>
  </si>
  <si>
    <t>Revisión y estandarización de volumetrías por patron para el sector Sur del campo Castilla, calculo volumétrico de los pozos CA559 (ajuste final)</t>
  </si>
  <si>
    <t>Z:\39. Proyecto_Inyeccion_de_Agua\Geologia_seguimiento a la inyeccion\Volumetrias Area Sur\Volumetrias Area Sur</t>
  </si>
  <si>
    <t>Z:\39. Proyecto_Inyeccion_de_Agua\Geologia_seguimiento a la inyeccion\Volumetrias Area Sur\Areas Geoshapers e inventario tabla geologica</t>
  </si>
  <si>
    <t>Definición de propiedades petrofísicas para el pozo CA257, CAN326, CAN376, CAN301, CA41H</t>
  </si>
  <si>
    <t>Z:\39. Proyecto_Inyeccion_de_Agua\Geologia_seguimiento a la inyeccion\Volumetrias Area Sur\Datos petrofisica</t>
  </si>
  <si>
    <t>Z:\39. Proyecto_Inyeccion_de_Agua\Geologia_seguimiento a la inyeccion\Areas Geoshapers e inventario tabla geologica\Inventario_Tabla_Geologica</t>
  </si>
  <si>
    <t>Z:\39. Proyecto_Inyeccion_de_Agua\Geologia_seguimiento a la inyeccion\Info Topes Para Ingeniería</t>
  </si>
  <si>
    <t xml:space="preserve"> Soporte geológico a las áreas Sur, Norte y Este del campo </t>
  </si>
  <si>
    <t>Digital, sharepoint</t>
  </si>
  <si>
    <t>Z:\39. Proyecto_Inyeccion_de_Agua\Geologia_seguimiento a la inyeccion\Empalme J Fabian Rojas\EMPALME FABIAN\Petrel\Petrel_AMT</t>
  </si>
  <si>
    <t>Z:\39. Proyecto_Inyeccion_de_Agua\Geologia_seguimiento a la inyeccion\Analisis_patrones_2021</t>
  </si>
  <si>
    <t>Digital
Modelo Sahara Compartido en red: \\10.11.46.149\Apiay\Recobro GDA\02. Modelo Sahara Seguimiento.</t>
  </si>
  <si>
    <t>Digital
https://ecopetrol.sharepoint.com/sites/IAGDA/Documentos%20compartidos/Forms/AllItems.aspx?CID=3adabe1a%2D4747%2D4c97%2Db18d%2D9918c6e1130d&amp;FolderCTID=0x012000BFB80C44F3CD274CA2A2CE3C026E12AD&amp;id=%2Fsites%2FIAGDA%2FDocumentos%20compartidos%2FGeneral%2FPWF%20GDA%2F2025&amp;viewid=a6a9b233%2Ddd3c%2D46fa%2D8f6d%2Dd0f07af5f48a</t>
  </si>
  <si>
    <t>Digital
https://ecopetrol.sharepoint.com/sites/INTERVENCIONESGDA/Documentos%20compartidos/Forms/AllItems.aspx?newTargetListUrl=%2Fsites%2FINTERVENCIONESGDA%2FDocumentos%20compartidos&amp;viewpath=%2Fsites%2FINTERVENCIONESGDA%2FDocumentos%20compartidos%2FForms%2FAllItems%2Easpx&amp;id=%2Fsites%2FINTERVENCIONESGDA%2FDocumentos%20compartidos%2FTablero%202%2E6%2E3%20Apiay%20Suria&amp;viewid=73e402f7%2D22ca%2D454e%2Db163%2Df5a2caf66532</t>
  </si>
  <si>
    <t>Digital
https://ecopetrol.sharepoint.com/sites/iagda/documentos%20compartidos/forms/allitems.aspx?id=%2fsites%2fiagda%2fdocumentos%20compartidos%2fgeneral%2fgop%20nodo%20de%20yacimientos%2fgop%202q%202025&amp;viewid=a6a9b233%2ddd3c%2d46fa%2d8f6d%2dd0f07af5f48a</t>
  </si>
  <si>
    <t>Digital
Modelo Sahara: \\ 10.11.46.149\02. Modelo Sahara Seguimiento\</t>
  </si>
  <si>
    <t>Digital
Reporte Semanal compartido en: h ttps://ecopetrol.sharepoint.com/sites/iagda/documentos%20compartidos/forms/allitems.aspx?id=%2Fsites%2FIAGDA%2FDocumentos%20compartidos%2FGeneral%2FReporte%20semanal&amp;viewid=a6a9b233-dd3c-46fa-8f6d-d0f07af5f48a
Reporte de Secundaria compartido en: https://ecopetrol.sharepoint.com/sites/iagda/documentos%20compartidos/forms/allitems.aspx?id=%2Fsites%2FIAGDA%2FDocumentos%20compartidos%2FGeneral%2FSeguimiento%20Secundaria%2F1%2E%20RWA%2F2025&amp;viewid=a6a9b233-dd3c-46fa-8f6d-d0f07af5f48a</t>
  </si>
  <si>
    <t>Digital
https://ecopetrol.sharepoint.com/:f:/r/sites/IAGDA/Documentos%20compartidos/General/Seguimiento%20Secundaria/2.%20MOLINOS%20DE%20VIENTO?csf=1&amp;web=1&amp;e=cZNEH2"</t>
  </si>
  <si>
    <t xml:space="preserve">Digital
•	https://wellmeeting.ecopetrol.com.co/home, se lleva Llevar una bitácora técnica de intervenciones, pruebas e hipótesis validadas para facilitar la trazabilidad de decisiones y compartir conocimiento técnico dentro del equipo.
•	Proyecto Sahara: \\ 10.11.46.149\02. Modelo Sahara Seguimiento
•	Teams Equipo I&amp;A Apiay: Reporte semanal de reuniones de reto </t>
  </si>
  <si>
    <t>Digital
https://ecopetrol-my.sharepoint.com/:x:/g/personal/carlosan_perdomo_ecopetrol_com_co/EZV7YeCuN3tNiqSfhF1BYO8BxxG3mgRVs_Xb0TIMlyQtbA?e=34mGgL</t>
  </si>
  <si>
    <t>Digital
https://ecopetrol.sharepoint.com/sites/IAGDA/Documentos%20compartidos/Forms/AllItems.aspx?id=%2Fsites%2FIAGDA%2FDocumentos%20compartidos%2FGeneral%2FS%2D58&amp;viewid=a6a9b233%2Ddd3c%2D46fa%2D8f6d%2Dd0f07af5f48a</t>
  </si>
  <si>
    <t>Digital
https://ecopetrol.sharepoint.com/:u:/r/sites/IAGDA/Documentos%20compartidos/General/Seguimiento%20Secundaria/2.%20MOLINOS%20DE%20VIENTO/Herramienta%20QAQC%20Perfiles/Forecast%20EN%20CONTRUCCI%C3%93N.pbix?csf=1&amp;web=1&amp;e=BRDSse</t>
  </si>
  <si>
    <t>Z:\INFORMACIÓN_CAMPO_CHICHIMENE\23.-Inyeccion de Agua\10. MONITOREO\09. Proyecto Sahara\2025\05.Mayo</t>
  </si>
  <si>
    <t>Actualización Tablero 2.3 Coeficiente de Balanceo y Distribución de Inyección a corte de Aabr-25</t>
  </si>
  <si>
    <t>02. Tablero 2.3</t>
  </si>
  <si>
    <t>Definición de BSW histórico incremental, para juste de IP y corrida de Resnode.</t>
  </si>
  <si>
    <t>D:\CHICHIMENE\RESNODE</t>
  </si>
  <si>
    <t xml:space="preserve">Generación de pronósticos de producción de la básica de patrones de la zona sur; definición plan de trabajo de pozo inyectores. </t>
  </si>
  <si>
    <t>Declinaciones</t>
  </si>
  <si>
    <t>Definicón Puntos de amarre para ejercicio de Portafolio 2025 de pozos productores. Elaboración del PDT de inyección para el año 2025.</t>
  </si>
  <si>
    <t>Puntos de Amarre</t>
  </si>
  <si>
    <t>Ajuste histórico de curvas características de los patrones de la zona Centro Sur del campo.</t>
  </si>
  <si>
    <t>CC</t>
  </si>
  <si>
    <t>Elaboración Forma 8 CR CH-176, análisis de presiones Pansystem.</t>
  </si>
  <si>
    <t>2025 1S</t>
  </si>
  <si>
    <t xml:space="preserve">Se  validaron  las propiedades trabajadas en cada uno de los campos para establecer el OOIP y el volumen recuperable, teniendo en cuenta los diferentes LKO que se encuentran en el Área.                          </t>
  </si>
  <si>
    <t>https://ecopetrol.sharepoint.com/:f:/r/sites/INTERVENCIONESGDA/Documentos%20compartidos/Monica%20Martinez/Entregables/Mayo%202025?csf=1&amp;web=1&amp;e=NndQ68</t>
  </si>
  <si>
    <t xml:space="preserve">El proyecto entre las diferentes actualizaciones ha presentado cambios en la estrategia sin embargo se ha ido consolidando las diferentes áreas (pachaquiaro, Aquila y polux ) con el fin de dar robustez y hacer más llamativo el caso de negocio. El proyecto ha tenido un aporte significativo y es al generar un modelo Geocelular en los cuales se utilizaron atributos sísmicos sweetness y frecuencias como tendencia para el poblamiento de facies y demás propiedades petrofísicas.Desde el área de Desarrollo se ha estado trabajando el proyecto incluyendo el área de Pachaquiaro, Aquila y Pólux; sin embargo, en el caso de exploración a parte de las áreas anteriormente mencionadas se le agrego una zona que en el proyecto inicial denominado Pólux estaba y era hacia el lado del Campo Suria; así mismo se incluyó 2 patrones en la parte baja del área de Aquila para hacer un compilado del volumen que se presento anteriormente con el Plan de Desarrollo conceptual.Para este caso se evaluaron Varias alternativas que ya fueron compartidos con el equipo de proyectos haciendo variaciones para encontrar la mejor alternativa (Desarrollo por fases, 2-3 Taladros, por etapas).
Así mismo se compartieron los perfiles caso base para poder continuar con la evaluación y ajustes al plan de desarrollo.
</t>
  </si>
  <si>
    <t xml:space="preserve">Se hizo un análisis  de 20 pozos los cuales han servido para mapear un poco el comportamiento de la zona.
Adicionalmente se entregó información de Petrofísica de cada una de estos pozos, análisis , imágenes e información del modelo petrofísico.
</t>
  </si>
  <si>
    <t xml:space="preserve">Se ajustaron los paramétricos para poder correr el Caso y poder obtener los perfiles finales
• El OOIP total del área para la formación objetivo San Fernando T2 es de 360 MBO de los cuales 288 MBO corresponden a la zona de Pachaquiaro + Aquila y Polux 72 MBO.
• Se llevaron a cabo sensibilidades en el diseño y ubicación de los pozos, resultando en un patronamiento irregular entre 5 y 7 puntos invertido, con un tamaño promedio por patrón de 310 acres.
Se ajustaron los paramétricos para poder correr el Caso y poder obtener los perfiles finales
Así mismo se compartieron los perfiles caso base para poder continuar con la evaluación y ajustes al plan de desarrollo.• El área consta de 20 patrones con un volumen total recuperable de aceite de 19.3 MBO y se estima un promedio por patrón de 0.97 MBO, en el escenario Base. 
• La estrategia de desarrollo completa contempla la perforación por etapas de 41 pozos productores (no incluye Polux-1), 19 pozos inyectores, 2 conversiones y 1 pozo Dispositor / Captador (total actividad: 61 perforaciones (no incluye Polux-1), 2 conversiones). Para cada patrón se estima una producción en primaria de 6 meses antes de iniciar el proceso de inyección de agua.
• Se estima alcanzar, de acuerdo con el plan de desarrollo conceptual, un FR cercano a 13.5% ( 5.7% primaria y 7.8% secundaria) en el escenario Base. 
• El caudal máximo de fluidos aproximado en la etapa 1 es de 16 KBFPD , en la etapa 2 es de 31.8 KBFPD y en la etapa 3 es de 42.2 KBFPD. Al inicio del proyecto se contempla una disposición de ~4500 BWPD y pasados los 2 años se requiere realizar captación de agua ~20 KBWPD. 
• El Proyecto Integrado de Desarrollo Pachaquiaro representa un reto técnico-económico para su desarrollo, por lo que se recomienda que desde todas las áreas se busquen alternativas, de manera que el proyecto sea viable.
• Los volúmenes estimados se continuarán evaluando de acuerdo con revisiones técnicas y sinergia con proyectos de otros activos que desarrollan la zona (Kimera-CPO9) y Castilla. Adicionalmente, se continúa con la generación del modelo dinámico para la zona Pachaquiaro, que permitirá ampliar el soporte técnico de los volúmenes recuperables.
• Se recomienda evaluar diferentes escenarios de facilidades: transportando fluidos a otros campos o construyendo facilidades en Pachaquiaro. 
• Es importante tener presente que los pozos a perforar tienen como objetivo solo la formación T2 y por tal razón se debe tener en cuenta al momento de la estimación de los AFE’s. 
</t>
  </si>
  <si>
    <t>Se revisaron los estados mecánicos de los pozos productores e inyectores de la zona sur en SAHARA, con el objetivo de verificar si estaban actualizados con respecto a las intervenciones que están en OpenWells. Dentro del ejercicio se encontraron desactualizados los pozos CA269H, CA447, CA58 y CA08, los cuales fueron actualizados en SAHARA.</t>
  </si>
  <si>
    <t>SOFTWARE SAHARA</t>
  </si>
  <si>
    <t>1.   W:\39. Proyecto_Inyeccion_de_Agua\Planillas Power BI\6. Molinos de Viento\3. Actualizaciones\Cargue Proyectos\Real\2025\Abril\TXT</t>
  </si>
  <si>
    <t xml:space="preserve">Se actualizo y ajusto el tablero 2.3_Monitoreo_Secundaria_VRO_May_2025. Se modifico la fuente de la producción real de aceite y de la inyección de agua real ya que anteriormente se tomaban los volúmenes declarados totales y el ejercicio debía realizarse con la producción e inyección de los pozos de primera línea. </t>
  </si>
  <si>
    <t>2.3_Monitoreo_Secundaria_VRO_May_2025.pbix</t>
  </si>
  <si>
    <t>WELLMEETING</t>
  </si>
  <si>
    <t>\\10.100.25.60\sya\GEC\Ariari\67. ENTREGAS DE CARGO\ING. DE PORTAFOLIO\CMPC\Christian Pardo\ENTREGABLES 2025\05. MAYO</t>
  </si>
  <si>
    <t>•	Se realizó revisión de proyecto PDI para modelo hidrogeológico, nombre y coordenadas de pozos.
•	Se cargar de compromisos en wellmeeting del proyecto M-12.
•	Se realizó memorando motivador del proyecto M-12. 
•	Se validaron pozos del proyecto CO2 para proyecto denver.
•	Se realizó análisis de perfiles del proyecto M-12 con base en Fr y EUR por pozo.
•	Se realizó parametrización de proyectos Lib-Ref y Exp WF suria con allocation para PDI 2025.
•	Se generó archivo con perfiles de AUD 2024 A-7, GA-7, PCH-1, PCN-1.
•	Se realizó validación de carga de básica en ARPS.
•	Se revisaron curvas oficiales del 2024 para construcción de PDI 2025.
•	Se generó archivo de factores de blancos de la planta de gas.
•	Se realizó archivo con curvas auditadas, POP, P-50 y producción real.
•	Se validaron nombres de auditoría para carga de curvas en declinador automático.
•	Se revisó el alcance del proyecto CO2 en conjunto con otros campos para suministro de gas y construcción del PDI 2025.
•	Se validó balance de agua del proyecto ET-2 y demás proyectos del campo Apiay.
•	Se generó archivo con volúmenes del proyecto ET-4.2 para ejercicio de robustez.</t>
  </si>
  <si>
    <t>Se generó modelo analítico del yacimiento para construcción del plan de inversiones 2025.</t>
  </si>
  <si>
    <t>Se generó base de datos de OFM para análisis histórico de producción para construcción del plan de inversiones 2025.</t>
  </si>
  <si>
    <t>Se generó distribución de producción por sub-unidades para construcción del plan de inversiones 2025.</t>
  </si>
  <si>
    <t>Se analizó declinación de pozos para construcción del plan de inversiones 2025.</t>
  </si>
  <si>
    <t>Se analizó data histórica de producción para construcción del plan de inversiones 2025.</t>
  </si>
  <si>
    <t xml:space="preserve">	Se calcularon los perfiles para cada uno de los escenarios bajo, base y alto para para construcción del plan de inversiones 2025.</t>
  </si>
  <si>
    <t>Se generaron oportunidades de intervención a pozos para para construcción del plan de inversiones 2025.</t>
  </si>
  <si>
    <t>ecopetrol.sharepoint.com/sites/INTERVENCIONESGDA/Documento/Proyectos_MariaMojica/_Mayo_2025</t>
  </si>
  <si>
    <t xml:space="preserve"> Modelo petrofisico / Pachaquiaro</t>
  </si>
  <si>
    <t>Core Analysis - Suria</t>
  </si>
  <si>
    <t>Peer review Pachaquiaro</t>
  </si>
  <si>
    <t>Soporte PLTs e ILTs.</t>
  </si>
  <si>
    <t xml:space="preserve"> C:\Users\c3040586\Documents\I&amp;A\Petrel/PROYECTO ENERO 2025</t>
  </si>
  <si>
    <t>Apoyo y seguimiento a Cambio menor de MHM vigente y actualización MHM 2025</t>
  </si>
  <si>
    <t xml:space="preserve"> Teams: YACIMIENTOS GDA/ General/PROYECTOS/MODELO HIDROGEOLOGICO 2025</t>
  </si>
  <si>
    <t>Recopilación información para estudios geoquímicos 2025</t>
  </si>
  <si>
    <t xml:space="preserve"> Teams: I&amp;A GDA/ General/Archivos/Geoquímica K1+K2 2025</t>
  </si>
  <si>
    <t xml:space="preserve">Apoyo a sistemáticas WF-Gestión de la básica-VRO </t>
  </si>
  <si>
    <t>Estimación de OOIP pozos Módulo 12</t>
  </si>
  <si>
    <t>Cálculo áreas de drenaje pozos M12</t>
  </si>
  <si>
    <t>Rafael Guatame / Diana Cáceres</t>
  </si>
  <si>
    <t xml:space="preserve">Para la actualización de Sahara correspondiente al mes de Mayo se realizó la creación de los cargadores de ILT’s, PLT’s, estados mecánicos, entre otros correspondientes a los pozos asignados de la zona centro del campo Chichimene. </t>
  </si>
  <si>
    <t>Y:\INFORMACIÓN_CAMPO_CHICHIMENE\23.-Inyeccion de Agua\10. MONITOREO\09. Proyecto Sahara\2025\05.Mayo</t>
  </si>
  <si>
    <t>Se continuó el seguimiento y monitoreo a los pozos productores de los patrones de la zona Centro, los cuales se ven afectados por los procesos de inyección de agua en el campo, se realizó el análisis de los nuevos patrones asignados, los cuales son: CH-12ª, CH-183ST, CH-182, CH-52, CH-77, CH-187, CH-32, CH-110, CH-132, CH-47, CH-185, CH-214, CH-215 y CH-216, para la evaluación tanto de pozos inyectores como de pozos productores asociados, y determinar las intervenciones correspondientes para la optimización de los pozos, se realizó la actualización del tablero 2.6 referente a producción e inyección diaria del campo Chichimene, con la finalidad de realizar los reportes diarios de producción, con la información proveniente de AVM.</t>
  </si>
  <si>
    <t>Para el mes de Mayo, dentro de las actividades desarrolladas y ejecutadas con alta prioridad, se encontraba la revisión y actualización de los puntos de amarre de los siguientes pozos productores del campo Chichimene: CH-78, CH-50, CH-76, CH-75, CH-87, CH-85, CH-24, CH-226, CH-69, CH-180, CH-171, CH-127, CH-123, CH-19, CH-15, CH-124, CH-126, CH-181, CH-36, CH-48, CH-194, CH-88ST,CH-170, CH-125, CH-90H, CH-128, CH-122, CH-30, CH-91H, CH-89, CH-17, CH-179R, para cada uno de los cuales se analizó el comportamiento de producción de aceite, agua y líquidos, con la finalidad de determinar el punto de amarre ya sea a lo reportado por formas o las últimas pruebas de producción presentadas en el pozo teniendo en cuenta las diferidas presentadas en los pozos mencionados anteriormente.</t>
  </si>
  <si>
    <t>PlanInversiones052025</t>
  </si>
  <si>
    <t>Por otra parte, para el mismo ejercicio de actualización de Portafolio durante el mes de Mayo, además de la actualización de los puntos de amarre se procedió a realizar la actualización de las declinaciones para los siguientes pozos del campo Chichimene: CH-179R, CH-17, CH-89, CH-91H, CH-30, CH-122, CH-128, CH-90H, CH-125, CH-170, CH-88ST, CH-194, CH-48, CH-36, CH-181,CH-126, CH-124, CH-15, CH-19, CH-123, CH-127, CH-171, CH-180, CH-69, CH-226, CH-24, CH-85, CH-87, CH-75, CH-76, CH-50, CH-78. Para este ejercicio, se utilizaron dos herramientas, Sahara y el declinador automático asistido DCA, para ello se escogió un período de tiempo estable de los pozos, en el cual no se haya realizado optimización en los mismos, y se actualizó el comportamiento de declinación de los pozos. Una vez ejecutado el ejercicio de declinaciones en el Sahara, se procedió a declinar los mismos pozos en la herramienta DCA, evidenciando en la mayoría de pozos un buen ajuste en las declinaciones sin embargo en pozos como CH-78, CH-50 y CH-76 se apreció una diferencia considerable entre la declinación obtenida en el DCA y en el Sahara.</t>
  </si>
  <si>
    <t>Además de ello, para el mismo mes de Mayo, se realizó la revisión de la estrategia de inyección en K, de aquellos pozos en los cuales operativamente es viable llegar a considerar un aumento de inyección, dentro de estos pozos encontramos los siguientes: CH-208, CH-209, CH-68, CH-70, CH-77, CHSW-11. Por otra parte, se estableció el plan de monitoreo en el campo teniendo en consideración el desbalance de fluidos en la formación K, y el aumento de presión en esta formación, para ello se plantearon la tomade PBU en los pozos CH-181, CH-180, CH-194 y CH-179R, además de toma de nivel en el pozo CH-16. En cuanto al seguimiento de presión en los inyectores, se planteó la toma de FOT a los siguientes inyectores: CH-40, CH-59, CH-192, CH-68/CH-77, CHSW-13, dependiendo de los recursos se proponen considerar inyectores adicionales.</t>
  </si>
  <si>
    <t>Por otra parte, se está realizando el ejercicio de actualizar datos de presión en el campo Chichimene partiendo de aquella información obtenida cuando se realiza el apagado de los pozos por alguna circunstancia en particular. De esos apagados registrados en lo que va corrido del año 2025, se obtiene la información proveniente de Foresite, la cual es analizada y llevada a Pansystem, para a partir de allí obtener datos estimulados de presión de yacimiento en el campo Chichimene</t>
  </si>
  <si>
    <t>Y:\INFORMACIÓN_CAMPO_CHICHIMENE\23.-Inyeccion de Agua\10. MONITOREO\29. Presiones</t>
  </si>
  <si>
    <t>De otro lado, se continuó con el trabajo junto con el equipo de largo plazo del campo Chichimene en la determinación de las velocidades críticas para cada uno de los patrones en el campo, cuya finalidad es evaluar aquellos casos en los cuales por los altos caudales inyectados en los pozos inyectores, se han producido canalizaciones en los pozos productores aledaños. Se adicionó información relacionada con la distancia entre el inyector y el productor, permeabilidades, espesores entre otras variables.</t>
  </si>
  <si>
    <t>- Descarga y generación de gráficas de perfiles PLP y PDI 2024 oficiales desde Spotfire para taller de premisas de Portafolio 2025 con campo.</t>
  </si>
  <si>
    <t>\\10.100.25.60\sya\gec\JOSE GABRIEL NASSAR - PORTAFOLIO CASTILLA\0. ENTREGABLES\16. MAYO_2025</t>
  </si>
  <si>
    <t>- Pruebas y sugerencias a desarrolladores de la aplicación ARPS con miras a proceso de Portafolio. Poder filtrar el balance de agua por escenario de probabilidad (Bajo, Base, Alto).</t>
  </si>
  <si>
    <t>- Modificación y cargue en ARPS de paramétrico del proyectos CIS, CEOR Y EXTENSIÓN PERIMETRAL T2, con nuevos cronogramas para ejercicio portafolio 2025.
- Generación de flujo de trabajo para cargue de la básica e incremental paramétrica en ARPS para ejercicio de Portafolio 2025. Inclusión en tableros de Promedios día año, WOR, actividades por proyecto-año, balance de agua y conteo de pozos.
- Soporte a compañeros de largo plazo y corto plazo para carga y generación de perfiles en herramienta ARPS.</t>
  </si>
  <si>
    <t>- Ejercicio de sensibilidad de agua producida por categoría, carga en Valnav de los perfiles, con el objetivo de aumentar límites económicos del campo y así aumentar reservas.</t>
  </si>
  <si>
    <t>A) Actualización del modelo de sahara ChiAk por la última de mayo-25. B)  Actualización de información de pozos a cargo en la zona SW - Estados mecanicos e ILT's a la persona encargada del modelo oficial Sahara.</t>
  </si>
  <si>
    <t>Compartido mediante Teams, modelo que contiene las actualizaciones semanalas enviadas: Z:\CHICHIMENE\INFORMACIÓN_CAMPO_CHICHIMENE\23.-Inyeccion de Agua\10. MONITOREO\09. Proyecto Sahara\2025\05. Mayo</t>
  </si>
  <si>
    <t>A) Seguimiento pozos frontera GLH. B) Apoyo con el equipo de G&amp;G para la revisión general de variaciones entre el modelo estatico actual y el propuesto.</t>
  </si>
  <si>
    <t>A) Sesiones via teams y acta de Wellmeeting. B) Sesión vía teams.</t>
  </si>
  <si>
    <t>Priorización de acciones rigless de la zona sur y seguimiento de brechas de inyección a corte abr-25 - evolución de cumplimiento por formación - recopilación de causas y plan.</t>
  </si>
  <si>
    <t>Excel de seguimiento brechas inyección abr-25 y priorización: https://ecopetrol.sharepoint.com/:x:/r/sites/SeguimientoIAChichimeneECP/Documentos%20compartidos/11.%20Desviaciones%20Prod_Iny%20Real%20vs%20P50%20vs%20Auditoria%20vs%20PDI%20vs%20GOP%20vs%20POP/Seguimiento%20Inyectores%20Abr25%20%20GCH.xlsx?d=wd822c671450e435992a950dc3303e223&amp;csf=1&amp;web=1&amp;e=VV71Yd</t>
  </si>
  <si>
    <t>A) Seguimiento de pozos zona sur - diagnóstico. B) Interpretación de prueba de presión CHSW03 y elaboración Forma 8CR</t>
  </si>
  <si>
    <t xml:space="preserve">A) Sesiones vía teams (sistemática seguimiento Chichimene) - acciones en Wellmeeting.  B) Soporte interpretación PBU: Z:\CHICHIMENE\INFORMACIÓN_CAMPO_CHICHIMENE\23.-Inyeccion de Agua\10. MONITOREO\29. Presiones\PBU\2025 1S                                                             Forma 8CR CHSW03: https://ecopetrol.sharepoint.com/:x:/r/sites/SeguimientoIAChichimeneECP/Documentos%20compartidos/22.%20PBU/Formas%208CR/2025%201S/Forma%208CR%20CHSW-03.xlsx?d=wdc0c1e74e96344749b48d593185e77e0&amp;csf=1&amp;web=1&amp;e=leuQrl  </t>
  </si>
  <si>
    <t>Suministro de información para piloto de bacterias en el campo.</t>
  </si>
  <si>
    <t>Vía teams.</t>
  </si>
  <si>
    <t>A) Revisión plan de acción para CHSW30 - crossflow/sin admisión Z2 B) Definir priorización WSV 2025 junto al equipo multidiciplinario.</t>
  </si>
  <si>
    <t>A) Sesiones vía teams y acciones en WM. B) Sesiones vía teams y soporte de revisión: https://ecopetrol-my.sharepoint.com/:x:/g/personal/alexandraka_londono_ecopetrol_com_co/EV7x7B8qe6xAtXuGXzG4BnoBlD4d_3yHSm-9j6vdr3m77Q?e=UwIC2U</t>
  </si>
  <si>
    <t>A) Definición de PDT inyección, puntos de amarre y declinaciones para los pozos a cargo, empleando Sahara y DCA (ejercicio actualización portafolio 2025).                           B) Ajuste de curvas caracteristicas de pozos zona SW.</t>
  </si>
  <si>
    <t>A)  PDT inyección: https://ecopetrol.sharepoint.com/:x:/r/sites/SeguimientoIAChichimeneECP/Documentos%20compartidos/20.%20Portafolio/2025/PlanInversiones052025/WINJ%202025%20PlanInversionesMayo25.xlsx?d=w39c16bac8f8b467c9a0e0e15ff8f76d3&amp;csf=1&amp;web=1&amp;e=HFhrr7                       Punto de amarre: https://ecopetrol.sharepoint.com/:x:/r/sites/SeguimientoIAChichimeneECP/Documentos%20compartidos/20.%20Portafolio/2025/PlanInversiones052025/Puntos%20de%20Amarre/PuntodeAmarreMay2025.xlsx?d=w072b4f93f10a45969032fa1d59047190&amp;csf=1&amp;web=1&amp;e=na6bHR                           Declinaciones: https://ecopetrol.sharepoint.com/:x:/r/sites/SeguimientoIAChichimeneECP/Documentos%20compartidos/20.%20Portafolio/2025/PlanInversiones052025/Declinaciones/Declinaciones%20052025.xlsx?d=w69b7e7f8ec1d4f20924cd66cad3e6dd5&amp;csf=1&amp;web=1&amp;e=gXxGcr  Casos DCA guardados en la herramienta.                                                       B) Soportes de ajuste de CC: https://ecopetrol.sharepoint.com/:f:/r/sites/SeguimientoIAChichimeneECP/Documentos%20compartidos/20.%20Portafolio/2025/PlanInversiones052025/CC?csf=1&amp;web=1&amp;e=C0EJ6K</t>
  </si>
  <si>
    <t>A) Apoyo en información para completamiento CH239i.                                     B) Paritcipación en definición de plan de acción pozo CHSW65.</t>
  </si>
  <si>
    <t>A) Información de Qobj, zonas y muestreo de pozos compartida por correo electronico.                                              B) Sesiones vía teams y acciones registradas en WM.</t>
  </si>
  <si>
    <t>A) Envío de reporte de producción diario en los días asignados.                         B) Definición de Lb CH188 intervención nanos/WO y revisión de casos especiales CH02 y CH25 junto al equipo multidisciplinario.</t>
  </si>
  <si>
    <t>A) Tablero 2.6: https://ecopetrol.sharepoint.com/:u:/r/sites/SeguimientoIAChichimeneECP/Documentos%20compartidos/04.%20Pwf%20Chichimene/2.61_SeguimientoProducci%C3%B3nChiak.pbix?csf=1&amp;web=1&amp;e=Kn93PZ                                                     B) Sesiones vía teams y soportes de LB CH188: https://ecopetrol.sharepoint.com/:t:/r/sites/SeguimientoIAChichimeneECP/Documentos%20compartidos/07.%20Pozos%20Nanofluidos/Lineas%20Base/Lb_WO+Nanos_CH-188.txt?csf=1&amp;web=1&amp;e=YS3NGy</t>
  </si>
  <si>
    <t>1.1_Portafolio_VRO_2025_2027_OFICIALES.pbix</t>
  </si>
  <si>
    <r>
      <t xml:space="preserve">Diego Pinto:
</t>
    </r>
    <r>
      <rPr>
        <sz val="9"/>
        <color theme="1"/>
        <rFont val="Verdana"/>
        <family val="2"/>
      </rPr>
      <t xml:space="preserve">Se desarrollaron actividades orientadas a optimizar la gestión de pozos productores e inyectores. Se aplicó un diseño de experimentos con análisis ANOVA para evaluar la sensibilidad del coeficiente de declinación (Di) frente a factores operativos y mejorar la confiabilidad de los perfiles PDP. Se actualizaron bases de datos y archivos de seguimiento con información proveniente de AVM. Además, se priorizaron intervenciones en pozos del área Norte, estimando los incrementales asociados. Finalmente, se definió y planificó una prueba tecnológica en PAD4 para la remoción de sólidos y daño en formación mediante inyección química, incluyendo un análisis de escenarios para mitigar riesgos operacionales.
</t>
    </r>
    <r>
      <rPr>
        <b/>
        <sz val="9"/>
        <color theme="1"/>
        <rFont val="Verdana"/>
        <family val="2"/>
      </rPr>
      <t>Aura Traslaviña:</t>
    </r>
    <r>
      <rPr>
        <sz val="9"/>
        <color theme="1"/>
        <rFont val="Verdana"/>
        <family val="2"/>
      </rPr>
      <t xml:space="preserve">
1. Participación en reuniones sistemáticas para coordinar avances y actividades.
2. Soporte geológico en reuniones semanales de seguimiento a pozos CLIA, CRA, y pozos inyectores-productores del sector sur 
3. Actualización y ajustes del tablero geológico: Se continua con los cálculos de factores de conectividad geológica para los pozos declarados y faltantes candidatos a optimización en K1Inf, spider, Lorenz y data ILT.
4. Actualización de tablero en Power BI con inventario de data petrofísica, factor de conectividad, ILT, grafico de Lorenz y Spider.  
5. Definición de propiedades petrofísicas para los pozos CA257, CAN326, CAN376, CAN301, CA41H
6. Calculo volumétrico de los pozos CA559 (ajuste final)
7. Se continua con la revisión y actualización petrel, carga de cañoneos y topes, desde el proyecto oficial Open Works
8. Export información de topes, registros eléctricos de pozos que requieran los ingenieros de Desarrollo para cargar en Sahara
9. Soporte geológico a las áreas Sur, Norte y Este del campo 
10. Soporte a WO de los pozos CA326, CA301, CA41H, CAN306
</t>
    </r>
    <r>
      <rPr>
        <b/>
        <sz val="9"/>
        <color theme="1"/>
        <rFont val="Verdana"/>
        <family val="2"/>
      </rPr>
      <t>Christian Pardo:</t>
    </r>
    <r>
      <rPr>
        <sz val="9"/>
        <color theme="1"/>
        <rFont val="Verdana"/>
        <family val="2"/>
      </rPr>
      <t xml:space="preserve">
Se realizó cada una de las actividades propuestas para el periodo de la prestación del servicio.
</t>
    </r>
    <r>
      <rPr>
        <b/>
        <sz val="9"/>
        <color theme="1"/>
        <rFont val="Verdana"/>
        <family val="2"/>
      </rPr>
      <t>Lizeth Bautista:</t>
    </r>
    <r>
      <rPr>
        <sz val="9"/>
        <color theme="1"/>
        <rFont val="Verdana"/>
        <family val="2"/>
      </rPr>
      <t xml:space="preserve">
Durante el mes de Mayo del año en curso no se presentaron novedades,  las actividades se lograron ejecutar de la mejor manera cumpliendo con los tiempos y objetivos establecidos.
</t>
    </r>
    <r>
      <rPr>
        <b/>
        <sz val="9"/>
        <color theme="1"/>
        <rFont val="Verdana"/>
        <family val="2"/>
      </rPr>
      <t>Christian Mendoza:</t>
    </r>
    <r>
      <rPr>
        <sz val="9"/>
        <color theme="1"/>
        <rFont val="Verdana"/>
        <family val="2"/>
      </rPr>
      <t xml:space="preserve">
Actualización de tablero 1.1 PDI 2025+ 
Actualización tablero 2.1_Monitoreo_Proyectos_VRO. 
Actualización y cargue de datos tablero 2.2_Monitoreo_Prod_P50.   
Actualización tablero 2.3_Monitoreo secundaria. 
Actualizacion tablero 2.61_SeguimientoProducción ChiAk                                                                                                                                                  
Actualizacion tablero 2.62_SeguimientoProducción Castilla        
Actualizacion tablero 2.63_SeguimientoProducción Apiay-Suria
Actualizacion tablero 2.8_Seguimiento Pulsos
Actualización de tablero 2.9_Calidad_de_agua_VRO
Seguimiento a modificaciónes de tableros 2.9 y 2.8 para automatización</t>
    </r>
  </si>
  <si>
    <t>Actualizacion Base de Datos presiones CHIAK</t>
  </si>
  <si>
    <t>Archivo de excel, ppt con análisis de recobro secundario POP Agosto campo Akacías</t>
  </si>
  <si>
    <t>POP Agosto</t>
  </si>
  <si>
    <t>5. Mayo</t>
  </si>
  <si>
    <t>Archivo excel, DCA y Sahara con anáñlisis de las declinaciones 2025</t>
  </si>
  <si>
    <t>DCA</t>
  </si>
  <si>
    <t>Archivo excel con análisis de las eficiencias de recobro secundario POP Agosto &amp; PDI 2025</t>
  </si>
  <si>
    <t>1.- Básica</t>
  </si>
  <si>
    <t>Generación de la PDP Básica primaria y secundaria para PDI 2025</t>
  </si>
  <si>
    <t>AT Dnm Template.xlsx</t>
  </si>
  <si>
    <t>Archivo excel con 3 escenarios priorizados con rutas alternas para OPT/ON 2025 2026</t>
  </si>
  <si>
    <t>Cronograma Equipo_2305_Ruta_Alterna_3.xlsx</t>
  </si>
  <si>
    <t xml:space="preserve">Archivo excel y ppt con la construcción del punto de amarre a mayo para PDI </t>
  </si>
  <si>
    <t>Comparativo Saharas.xlsx</t>
  </si>
  <si>
    <t>https://ecopetrol.sharepoint.com/:x:/r/sites/YACIMIENTOS-APIAY/Documentos%20compartidos/General/PROYECTOS/GAS%20-%20%20Zocay/2025/Perfiles/Perfil%20Base%20Pilotos%20Gas_Mayo_23.xlsx?d=w2437dd7449d04257af772d597fca07df&amp;csf=1&amp;web=1&amp;e=tktQCL / https://ecopetrol.sharepoint.com/:x:/r/sites/YACIMIENTOS-APIAY/Documentos%20compartidos/General/PROYECTOS/GAS%20-%20%20Zocay/2025/Perfiles/Perfiles%20Expansion%20Base%20mayo%202025.xlsx?d=w430681510b1545678a4817df3e9bb8c0&amp;csf=1&amp;web=1&amp;e=defaXt / https://ecopetrol.sharepoint.com/:u:/r/sites/YACIMIENTOS-APIAY/Documentos%20compartidos/General/PROYECTOS/PACHAQUIARO/2025/Escenarios%20Abr%202025/Escenario%201%20%20con%20Suria/Pachaquiaro+Suria_Access_Abr_2025_Esc1.accdb?csf=1&amp;web=1&amp;e=tyqrEq</t>
  </si>
  <si>
    <t>1) Actualización con la base de datos con información final para el pozo AK-147 y AK-221. Planes direccionales pozos AK-150 y AK-158</t>
  </si>
  <si>
    <t xml:space="preserve"> \\10.100.25.35\pgtrabajodigital\JAH\Proyecto
Z:\akacias\2.- Ingeniería de Yacimientos\1.MONITOREO\19.Sistematica WF Akacias\2025\05.Mayo</t>
  </si>
  <si>
    <t>1) Generación mapas, cortes y correalciones para hacer seguimiento a los patrones de inyección del campo y monitoreo a los pozos productores.
2) Cargue informaicón final de los pozos AK-147 y AK-221 (registros e interpretación petrofísica).
3) Actualización y cargue de los planes direccionales finales para los pozos AK-150 y AK-158.</t>
  </si>
  <si>
    <t xml:space="preserve">1) Contrucción en petrel de secciones que permitan observar la continuidad horizontal de los ciclos estratigráficos en pro de establecer la conectividad geológica en los patrones de inyección, en el monitoreo del WF para el campo Akacias.
2) Generación de secciones estructurales que permitan observar el comportamiento areal del yacimiento para monitorear el comportamiento de pozos productores y conectividades en patrones de inyección.
</t>
  </si>
  <si>
    <t>1) Revisión del modelo estrucutural para el análisis de los patrones de inyección y así establecer la comunicación entre Inyec-produc durantes las sesiones de WF Akacias.
2) Revisión de los posibles sellos estructurales que condicionen el factor falla involucrado en la determinación del factor de conectividad geológico y continuar con la actualización de los tableros de conectividad geológica.
3) Análisis de las fallas dentro del estudio para identificar la influencia del acuífero en el campo a nivel CHIAK.
4) Continua la actualziación de la interpretación estructural e inicio del análisis de conectividad en los patrones de inyección del campo.</t>
  </si>
  <si>
    <t>1) Revisión de la información sismíca con la trayectoria en las trayectorias entre pozos inyectores y porductores para identicar el Factor falla involucrado dentro del factor de conectividad geológica, insumo para actualizar el factor de conectividad geológico y el mapa de conectividad.
2) Revisión de las fallas interpretadas en las zonas de los pozos próximos a perforar para identificar los posibles riesgos geológicos y geofísicos, incolucrando la nueva información estructural.</t>
  </si>
  <si>
    <t>1) Actualización final pozos AK-147 y AK-221 y actualización de los planes direccionales pozos AK-150 y AK-158.
2) Continua cargue de últimos planes direccionales aprobados para los pozos de la Etapa ANE y Frontera para la elaboración de los archivos RMS.</t>
  </si>
  <si>
    <t>1. Actualización semanal del modelo estático y dinámico del yacimiento y pozos del campo Akacias, mediante el proyecto Sahara Junio-2025 (Cargadores y modelo final)</t>
  </si>
  <si>
    <t>X:\CHICHIMENE\INFORMACIÓN_CAMPO_CHICHIMENE\23.-Inyeccion de Agua\10. MONITOREO\09. Proyecto Sahara\2025\06. Junio
W:\2.- Ingeniería de Yacimientos\1.MONITOREO\1.Sahara\2025\6. Junio</t>
  </si>
  <si>
    <t xml:space="preserve">1. Actualización de la producción por proyecto y tipo de recobro en los Tableros 2.1 y los cargadores para la bases de datos de Molinos de viento de los pozos con la información del mes de mayo de 2025 </t>
  </si>
  <si>
    <t>W:\2.- Ingeniería de Yacimientos\1.MONITOREO\9.Tablero Power BI 2.1\2025
W:\2.- Ingeniería de Yacimientos\1.MONITOREO\14.Molinos de Viento\Cargadores\Real\2025</t>
  </si>
  <si>
    <t xml:space="preserve">1. Distribución de la producción asociada a la implementación del WF en los patrones de inyección del campo AK por medio del metodo RWA con la información a cierre de May-2025 </t>
  </si>
  <si>
    <t>W:\2.- Ingeniería de Yacimientos\1.MONITOREO\16.RWA\AKACIAS\2025\5. Mayo</t>
  </si>
  <si>
    <t>1. Análisis de la delcinación post BT en la generación de las curvas CC, distribución de la producción incremental para los trabajos de WO, OPT y OPEX bajo la metodología RWA para el plan de inversiones</t>
  </si>
  <si>
    <t>https://ecopetrol.sharepoint.com/:x:/s/IAAKACIAS/EXxBMXZqPrBMv9-HmsMp444BQgL9qkjBseaENWHbk4w31g?e=wfBNQM
C:\Users\c109868u\Ecopetrol S.A\I&amp;A AKACIAS - Documentos\21. Portafolio\2025\4.- PDI 2025\2. NPs\1. CCs\3. CCs</t>
  </si>
  <si>
    <t>1. Interpretación y análisis de la influencia en inyección del productor de segunda línea AK-90ST con el inyector AK-135i  por medio de presiones</t>
  </si>
  <si>
    <t>W:\2.- Ingeniería de Yacimientos\1.MONITOREO\7.Presiones\2025\1_Semestre\4. AK-90ST
https://ecopetrol.sharepoint.com/:p:/r/sites/IAAKACIAS/Documentos%20compartidos/03.Sistem%C3%A1tica%20WF%20Akacias/2025/05.%20Mayo/Sistem%C3%A1tica%20WF-%20Akac%C3%ADas%2021.05.20251.pptx?d=wc1685bbd511144e38e83cbdf281d5bba&amp;csf=1&amp;web=1&amp;e=w6J5DN</t>
  </si>
  <si>
    <t>1. Construcción y arme de las curvas caracteristicas para los pozos de la zona NE y Frontera del campo Akacias incluyendo los escenarios de control de cambios A2.2 y modificación del VRR</t>
  </si>
  <si>
    <t>https://ecopetrol.sharepoint.com/:x:/s/IAAKACIAS/Eeu5b4fKMIRIn-TWjqiJSWIBlMASlQTwnfDNZqXLCPkh5w?e=0CfOjy</t>
  </si>
  <si>
    <t>1. Diseño de caudales objetivos y estimación de propiedades por intervalo/zona para el pozo inyector AK-145i del proyecto frontera</t>
  </si>
  <si>
    <t>https://ecopetrol.sharepoint.com/:x:/s/IAAKACIAS/EVktu4yXZU9AoSJ9Rx6GnHMB_emfaXyqnG-lwIQPuxelWQ?e=2V1Hf5</t>
  </si>
  <si>
    <t>1. Descripción de causas en el seguimiento de los proyectos en ejecución para el campo Akacias</t>
  </si>
  <si>
    <t>Actualización de las diferentes bases de datos para la actualización de tableros y distintas visuales</t>
  </si>
  <si>
    <t>https://ecopetrol.sharepoint.com/:f:/s/IAAKACIAS/EoI_hVXr9Q5FtD_ADjltMeYB1mxxF9WpklMtD9QXGgqRTA?e=FXnE5b</t>
  </si>
  <si>
    <t>1) Actualización con la base de datos con información preliminar para los pozos de la etapa ANE.</t>
  </si>
  <si>
    <t xml:space="preserve"> \\10.100.25.35\pgtrabajodigital\JAH\Proyecto
Z:\akacias\2.- Ingeniería de Yacimientos\1.MONITOREO\19.Sistematica WF Akacias\2025\06.Junio</t>
  </si>
  <si>
    <t>1) Generación mapas, cortes y correalciones para hacer seguimiento a los patrones de inyección del campo y monitoreo a los pozos productores.
2) Cargue informaicón preliminar para los pozos de la etapa ANE.</t>
  </si>
  <si>
    <t>1) Revisión de la información sismíca con la trayectoria en las trayectorias entre pozos inyectores y porductores para identicar el Factor falla involucrado dentro del factor de conectividad geológica, insumo para actualizar el factor de conectividad geológico y el mapa de conectividad.
2) Revisión de las fallas interpretadas en las zonas de los pozos próximos a perforar para identificar los posibles riesgos geológicos y geofísicos, involucrando la nueva información estructural. Información que se usa como insumo para contrucción de los documentos RMS elaborados para los próximos pozos a perforar (etapas ANE y Frontera).</t>
  </si>
  <si>
    <t>1) Actualización última información aprobada para los pozos de la etapa ANE y Frontera para la elaboración de los archivos RMS.</t>
  </si>
  <si>
    <t>Actualización modelo analítico de yacimientos ARPS PDI2025 ESC3 - Frontera, ANE, Etapa 3, Inyección norte CHIAK</t>
  </si>
  <si>
    <t>Generación base de datos y construcción perfiles proyectos Desarrollo Posterior</t>
  </si>
  <si>
    <t>Generación perfiles de producción escenarios bajo, medio, alto en ARPS (PDI2025 ESC3)</t>
  </si>
  <si>
    <t>Se realizó cargue de pruebas de produccion, tasas de inyección, pruebas de ILT en la BD de Sahara CAN15, CAN57, y CAN462 adicionalmente se realiza el seguimiento a las 17 optimizaciones, 1 rediseños y 4 WO (2 en ejecucion y 2 a ejecutar).</t>
  </si>
  <si>
    <t>Se realizó la base de datos de seguimiento a patrones de Centro Norte con datos del tablero de producción prorrateada el cual es alimentado con base en la producción por formas y pruebas de producción de AVM.</t>
  </si>
  <si>
    <t>Para esta actividad se genera distribución vertical por unidad para los inyectores asociados a la Zona Centro Norte. La distribución se encuentra actualizada a la fecha con los últimos valores de ILT para cada inyector CAN15, CAN462, Y CAN57 . La evidencia se encuentra en la Base de Datos SAHARA.</t>
  </si>
  <si>
    <t xml:space="preserve">De acuerdo con el seguimiento a la producción e inyección, se realizó el seguimiento a los patrones CA61, CAN255, CAN57, CAN56, CAN05 y CAN462. </t>
  </si>
  <si>
    <t xml:space="preserve">Para este ítem para el mes de abril se realizó los perfiles generados para los pozos candidatos a (RDG) rediseño y Workover (WO) CAN376, CAN301, CAN102, CAN264 los cuales quedan registrados en la ruta del equipo de taller de producción GDT </t>
  </si>
  <si>
    <t>Con el equipo multidiciplinario se realiza un análisis de los pozos encontrando bajas eficiencias y declinaciones presentadas de los pozos de la zona Centro Norte concluyendo las oportunidades de intervención en la medida que se puedan realizar las oportunidades en los pozos candidatos, lo cual queda consignado en el WM. Se declaran los pozos CAN403, CAN261 y CAN264 con el inyector CAN24</t>
  </si>
  <si>
    <t>Se realizo el seguimiento de producción/ inyección de pozos a cargo (22 patrones de inyección) con base en los comportamientos de producción e inyección</t>
  </si>
  <si>
    <t>Para este ítem se realizó carga de datos de ILT en la BD de Sahara. Se realizó la actualización de volumetrías del pozo CAN255 y CA61.</t>
  </si>
  <si>
    <t xml:space="preserve">Se continua con el proceso de actualización de la básica para la corrida de plan de inversiones 2025, para lo cual se hacen ajustes referentes a los perfiles de proyección dentro del archivo de Curvas Características, se imprimen los txt correspondientes para su cargue en la herramienta ARPS y así generar el archivo ARPS de la básica para ser exportada y cargada, primero a un tablero Power Bi para su revisión, con el objetivo de finalmente ser enviados los perfiles y volúmenes a Assembler. </t>
  </si>
  <si>
    <t>C:\Users\c110096a\OneDrive - Ecopetrol S.A\tablero\01_ECP\02_VIGENCIA\20250613\Entrega_Equipos\ESC_03</t>
  </si>
  <si>
    <t xml:space="preserve">Se concentra la data de los diferentes proyectos y se inicia el balance de agua del campo. Para lo cual se llevan a cabo diferentes cambios en el archivo de la básica, como el cierre de pozos del norte que poseen altos BSW.  </t>
  </si>
  <si>
    <t>Se realiza revisión de las Ideas de los diferentes proyectos asociados a la básica, ajuste en nombre de pozos de acuerdo a la base de datos de la que se alimenta ARPS.</t>
  </si>
  <si>
    <t>Se sostienen sesiones con el desarrollador de la herramienta ARPS para implementar funciones en aras de ajustar los volúmenes a las necesidades previstas. Igualmente para subsanar fallas a la hora de exportar, conexión con base de datos, permisos para cargues en los campo contratos, permisos a assembler.</t>
  </si>
  <si>
    <t xml:space="preserve">Se analizan los reales del mes de mayo luego de generados los archivos cargadores de formas, a fin de realizar comparaciones pozo a pozo y que se identifiquen las brechas en patrones de REAL frente a P50, CERT, GOP 1Q y PDI. </t>
  </si>
  <si>
    <t xml:space="preserve">Se mantienen sesiones con el equipo de inyección, planeación e ingeniería, para definir PDT de inyección incrementos en T2, sincronización con POP, y cronograma de WO's. </t>
  </si>
  <si>
    <t xml:space="preserve">Se atienden diferentes sesiones, talleres y sistemáticas, en orden de planear las actividades previstas para aumento de inyección en T2, al igual que la sistemática del proyecto Frontera a fin de definir metodologías para su gerenciamiento adecuado. </t>
  </si>
  <si>
    <t>En la herramienta Sahara oficial con corte a Jun/2025, se corrigió y actualizó estado de capa y factores de alocacion pozos CA73. Cargue de data de producción y Presiones dinamicas actualizadas a Jun/25 de zona centro sur</t>
  </si>
  <si>
    <t>Se llevaron a mesa los pozos CA402st y CA21 con la finalidad de aprobar oportunidades de WOP. Visualizados pozos con oportunidad de RDG: CA347. Ver mayor ampliación en GP-F-25</t>
  </si>
  <si>
    <t>De acuerdo con los rediseños propuestos en el plan de cierre de brechas, se obtuvo una lista de 8 pozos que se requieren optimizar, se irán priorizando de acuerdo con el presupuesto aprobado: CA228, CA325, CA153H, CA155H, CA358, CA194, CA281H y CA105.</t>
  </si>
  <si>
    <t>Se realizo el seguimiento de producción/ inyección de pozos a cargo (15 patrones de inyección) con base en los comportamientos de producción e inyección</t>
  </si>
  <si>
    <t>En cuanto a la herramienta OFM se realizó el cargue de la producción, inyección y pruebas del mes deMayo/2025. La información quedó asegurada en el proyecto 05. Proyecto OFM\Archivos Excel\Cargue OFM\2025</t>
  </si>
  <si>
    <t>Revisión y estandarización de volumetrías por patron para el sector Sur del campo Castilla, calculo volumétrico de los pozos CA455 (Revisión), CA56, CAN87</t>
  </si>
  <si>
    <t>Definición de propiedades petrofísicas para los pozos CA21, CA558, CAN113</t>
  </si>
  <si>
    <t>Z:\INFORMACIÓN_CAMPO_CHICHIMENE\23.-Inyeccion de Agua\10. MONITOREO\09. Proyecto Sahara\2025\06. Junio</t>
  </si>
  <si>
    <t>Actualización bases para corrida Spiderweb, elaboración tablero de visualización.</t>
  </si>
  <si>
    <t>Prueba_Chichimene_2006025.xlsx</t>
  </si>
  <si>
    <t>Verificación plan de acción y fecha de ejecución del listado de los pozos inactivos. Justificación volumen real por encima de volumnes del certificador.</t>
  </si>
  <si>
    <t>Real vs certificador - Abril.xlsx</t>
  </si>
  <si>
    <t>Apoyo actualización Sahara para la primera semana del mes de junio.</t>
  </si>
  <si>
    <t>Z:\INFORMACIÓN_CAMPO_CHICHIMENE\23.-Inyeccion de Agua\10. MONITOREO\09. Proyecto Sahara\2025\06. Junio\1ra Semana</t>
  </si>
  <si>
    <t>Presentación y tablero de resultados piloto de nano inyección en el pozo CH-31</t>
  </si>
  <si>
    <t>CH-31</t>
  </si>
  <si>
    <t>Z:\INFORMACIÓN_CAMPO_CHICHIMENE\23.-Inyeccion de Agua\10. MONITOREO\09. Proyecto Sahara\2025\06.Junio</t>
  </si>
  <si>
    <t>Análisis de productividad y comportamiento de recobro secundario con inyección de agua de acuerdo con campo cercano Suria y pozos perforados del campo Pachaquiaro. ​
Objetivo exclusivo a la formación San Fernando, Unidad T2.​
Ejecutar la perforación del proyecto en una ventana de 6 años utilizando 2 talados en simultáneo. Se recomienda evaluar la realización del proyecto con 3 taladros. ​
Yacimiento de crudo pesado con mayor viscosidad (aprox 70 cp en Suria y 230 cp en Pachaquiaro). ​
La estrategia de desarrollo del proyecto se plantea a través de 4 etapas. Las etapas 1 y 2 para el desarrollo del área de Pachaquiaro-Aquila (la etapa 1 consta de las fases 1 y 2), la etapa 3 para el área de Pólux y la etapa 4 para el área de Suria y Aquila Bajo .Así mismo, para cada patrón, se contempla un periodo de producción primaria antes de iniciar el proceso de inyección de agua en cada arreglo. ​
Se estima alcanzar un factor de recobro cercano al 10% en el caso bajo (~3.3% primaria + ~7.2% secundaria), del 13,5% en el caso base (~5.7% primaria + ~7.8% secundaria) y un 17,8% en el escenario alto (~8.1% primaria + ~9.6% secundaria); de acuerdo con los perfiles planteados. ​
Los volúmenes estimados se continuarán evaluando de acuerdo con revisiones técnicas y sinergia con proyectos de otros activos que desarrollan la zona (Kimera-CPO9) y Castilla. Adicionalmente, se continúa con la generación del modelo dinámico para la zona Pachaquiaro, que permitirá dar soporte técnico a los volúmenes recuperables.​</t>
  </si>
  <si>
    <t>https://ecopetrol.sharepoint.com/:f:/r/sites/INTERVENCIONESGDA/Documentos%20compartidos/Monica%20Martinez/Entregables/Junio%202025?csf=1&amp;web=1&amp;e=L846nj</t>
  </si>
  <si>
    <t>Se montaron los parametricos en ARPS para asi poder correr los perfiles del proyecto de Pachaquiaro integrado y asi mismo generar los entregables para el PDI.</t>
  </si>
  <si>
    <t>Se hizo un análisis  de 20 pozos los cuales han servido para mapear un poco el comportamiento de la zona.
Adicionalmente se entregó información de Petrofísica de cada una de estos pozos, análisis , imágenes e información del modelo petrofísico. Se entrego informacion de presiones de los campos Suria y Libertad reforma</t>
  </si>
  <si>
    <t>johan.ortiz@ecopetrol.com.co  santiago.pinzon@ecopetrol.com.co</t>
  </si>
  <si>
    <t>INTEGRACION DESARROLLO – VEX
Como anteriormente se mostro se ha venido haciendo una integración entre las áreas pero a su vez el proyecto ha tenido cambios para así integrar nuevas áreas y volúmenes.  Se ajustaron los paramétricos para poder correr el Caso y poder obtener los perfiles finales
Para poder realizar los perfiles primero se hizo una análisis del comportamiento de los pozos de Suria y de pachaquiaro en primaria y para la secunadria se usaron las curvas caracteristicas del Pozo Suria Sur -16 teniendo en cuenta que son los campos cercanos con propiedades similares y que la estrategia de desarrollo de esta área será a través de inyección de agua en la formación T2 como se ha venido adelantando en los campos ya mencionados.</t>
  </si>
  <si>
    <t>Se apoyo en la construcción de los perfiles de portafolio por parte del equipo de corto plazo. En este ejercicio se compartieron los perfiles con el caudal de inyección distribuido en las categorías PDP y PDNP. En este portafolio estaban 124 patrones del campo, correspondientes a todos los proyectos del activo.</t>
  </si>
  <si>
    <t>ARPS-Perfiles 2025 v.5.xlsx</t>
  </si>
  <si>
    <t>W:\39. Proyecto_Inyeccion_de_Agua\Planillas Power BI\6. Molinos de Viento\3. Actualizaciones\Cargue Proyectos\Real\2025\Mayo\TXT</t>
  </si>
  <si>
    <t>•	Se generó modelo analítico del yacimiento para construcción del plan de inversiones 2025.</t>
  </si>
  <si>
    <t>\\10.100.25.60\sya\GEC\Ariari\67. ENTREGAS DE CARGO\ING. DE PORTAFOLIO\CMPC\Christian Pardo\ENTREGABLES 2025\06. JUNIO</t>
  </si>
  <si>
    <t>•	Se generó base de datos de OFM para análisis histórico de producción para construcción del plan de inversiones 2025.</t>
  </si>
  <si>
    <t>•	Se generó distribución de producción por sub-unidades para construcción del plan de inversiones 2025.</t>
  </si>
  <si>
    <t>•	Se analizó declinación de pozos para construcción del plan de inversiones 2025.</t>
  </si>
  <si>
    <t>•	Se analizó data histórica de producción para construcción del plan de inversiones 2025.</t>
  </si>
  <si>
    <t>•	Se calcularon los perfiles para cada uno de los escenarios bajo, base y alto para para construcción del plan de inversiones 2025.</t>
  </si>
  <si>
    <t>•	Se generaron oportunidades de intervención a pozos para para construcción del plan de inversiones 2025.</t>
  </si>
  <si>
    <t>•	Se realizó ajuste de pozos de proyecto ET-4.2 en proyectos de desarrollo posterior.
•	Se realizó cargue en ARPS de proyecto WO gas.
•	Se realizó cargue en ARPS de proyecto M-12.
•	Se realizó cargue en ARPS de proyecto CO2.
•	Se realizó cargue en ARPS de proyecto Alcaravan.
•	Se realizó cargue en ARPS de proyecto EXP WF Suria.
•	Se realizó cargue en ARPS de proyecto CEOR.
•	Se realizó cargue en ARPS de proyecto Libertad reforma.
•	Se validó cronogramas de Esc. Alto, medio y bajo de PDI.
•	Se validó premisas manejo agua en superficie y capacidades.
•	Se realizó archivo con factores de blancos planta de gas.
•	Se realizó balance de agua del escenario 3 del plan de inversiones.
•	Se realizó archivo y presentación para verificación trimestral de recursos y reservas 2T.</t>
  </si>
  <si>
    <t>ecopetrol.sharepoint.com/sites/INTERVENCIONESGDA/Documento/Proyectos_MariaMojica/_Junio_2025</t>
  </si>
  <si>
    <t>Definicion de FWL- Revsion PVT</t>
  </si>
  <si>
    <t xml:space="preserve">Soporte a equipo de corto plazo </t>
  </si>
  <si>
    <t>Diana Cáceres</t>
  </si>
  <si>
    <t>Revisión caudales objetivos y diseño de trazadores CQD 2025</t>
  </si>
  <si>
    <t>PD C:\Users\c3040586\Documents\I&amp;A\Petrel/PROYECTO ENERO 2025</t>
  </si>
  <si>
    <t>Apoyo a justificación de Workovers</t>
  </si>
  <si>
    <t>FR Módulo 12</t>
  </si>
  <si>
    <t xml:space="preserve"> Teams: YACIMIENTOS GDA/ General/Archivos/PROYECTOS/ MODULO 12/ 09. CALCULO FR</t>
  </si>
  <si>
    <t xml:space="preserve">Estimación de presiones estáticas </t>
  </si>
  <si>
    <t xml:space="preserve"> Teams: I&amp;A GDA/ General/Archivos/Mapas e imágenes/Ps</t>
  </si>
  <si>
    <t>Para el mes de Junio, estuve de frontal con la actualización semanal de Sahara, la cual se realiza todos los lunes del mes. En dichas actualizaciones se realizó el cargue de registros de inyección (ILT’s), registros de producción (PLT’s), estados mecánicos, estados de capa, welltesting, operativos, inyección, notas/eventos de pozos, formas de producción e inyección, distribución OFM de producción e inyección, incrementales asociados de petróleo y agua, entre otros tanto para Chichimene como para Akacías</t>
  </si>
  <si>
    <t>Y:\INFORMACIÓN_CAMPO_CHICHIMENE\23.-Inyeccion de Agua\10. MONITOREO\09. Proyecto Sahara\2025\06. Junio</t>
  </si>
  <si>
    <t>Para el mes de Junio, una de las actividades en las cuales me encontraba de frontal se focalizaba en realizar la corrida de RWA, ejercicio en el cual se inicia con la liquidación oficial del mes de Mayo. En esta actividad se realizó la corrida del RWA-Paso 1 Corocora, RWA-Paso 2 Histórico, RWA-Paso 3 Zonas CEOR. Se realizó la construcción de los cargadores Hist_Inj, Inj_prod_Fcd, Pet_Wat_Liq_Gas, Qosec_Qlsec a corte de Mayo/2025, los cuales son los archivos input para la ejecución del RWA, una vez realizada la corrida del RWA- Corocora y RWA- Histórico, los archivos obtenidos como output son utilizados para realizar la redistribución de Qoinc. Por otra parte, se realizó la corrida del RWA CEOR, en el cual primero se realiza la corrida del Split, para el cual se procedió a actualizar el archivo de ILT’s e Inyección, y cuyo output es el archivo de entrada para el RWA CEOR. Una vez concluidas las tres corridas de RWA, se construyó el archivo de RWA Resdistribuido, obteniendo como resultado, el listado de los patrones de inyección del campo Chichimene, logrando identificar aquellos patrones en los cuales se registraron aumentos en el aceite incremental, en los cuales el comportamiento está muy bien, y por otra parte, un listado de patrones de inyección que se han presentado pérdidas de aceite incremental, los cuales requieren un análisis y un plan de acción a implementar. En la redistribución del RWA para la producción liquidada correspondiente al mes de Mayo, se identificaron los siguientes patrones con pérdidas en aceite incremental: CH-174, CH-29, CH-186, CH-52, CH-99, CHSW-23, CHSW-40, CHSW-44, CHSW-75, CH-132, CH-184 y CHSW-77 principalmente.</t>
  </si>
  <si>
    <t>29. RWA Mayo 2025</t>
  </si>
  <si>
    <t>Por otra parte, para realizar el envío del correo referente al reporte de Seguimiento Producción WF-CIS Chichimene Mayo 2025, se realizó la actualización de las gráficas de comportamiento de producción por tecnología WF T2 CEOR-CIS-WF-K1K2, producción primaria, secundaria y terciaria real, comportamiento inyección-producción WF, producción real mensual – Inyección de agua WF, comportamiento inyección – producción CIS, producción real mensual – Inyección de aire CIS, Mapas de comportamiento de presión de presión de fondo fluyendo (Pwf) y Rendimiento (BWIPD/BOPD incremental), Mapa de rendimiento Mayo 2025, Mapa de Pwf Mayo 2025, comportamiento de producción de aceite diario (desde enero-23),  coeficiente de balanceo de patrones, detalle por proyecto y patrón.</t>
  </si>
  <si>
    <t>Además de ello, otra actividad en la cual se trabajó durante el mes de Junio 2025, consistió en la actualización de los cargadores de VRR y RWA incrementales, para ello se realizó la construcción del cargador VRR de Inyección, con la información por patrón, fecha y agua inyectada, seguidamente el cargador de VRR producción, con la información por patrón, fecha aceite incremental y agua incremental, y finalmente se construyó el cargador de incrementales RWA, en el cual se asocia el aceite incremental y el agua incremental a cada patrón para cada mes correspondiente de acuerdo a los resultados obtenidos en las corridas de RWA. Una vez construidos se procedió a realizar el respectivo cargue en el modelo oficial de Sahara, en el escenario RWA, en las variables Petróleo, Agua, Agua Inyectada, Petróleo Incremental Asociado y Agua Incremental Asociado.</t>
  </si>
  <si>
    <t>VRR</t>
  </si>
  <si>
    <t>Con el equipo de largo plazo, se realizó la revisión de las recomendaciones generadas por Streamlines, para los patrones de inyección en el campo Chichimene, como complemento a los ejercicios que se han venido realizando de velocidades críticas y tasas de aumento de inyección propuestas para T2, con la finalidad de determinar alguna oportunidad adicional para incremento de tasas de inyección</t>
  </si>
  <si>
    <t>Se realizó el análisis de los nuevos patrones asignados, los cuales son: CH-12ª, CH-183ST, CH-182, CH-52, CH-77, CH-187, CH-32, CH-110, CH-132, CH-47, CH-185, CH-214, CH-215 y CH-216, para la evaluación tanto de pozos inyectores como de pozos productores asociados, y determinar las intervenciones correspondientes para la optimización de los pozos.</t>
  </si>
  <si>
    <t>Se continuó el seguimiento y monitoreo a los pozos productores de los patrones de la zona Centro, los cuales se ven afectados por los procesos de inyección de agua en el campo, para identificación de oportunidades y acciones de mejora a implementar en los pozos inyectores y productores</t>
  </si>
  <si>
    <t>\\10.100.25.60\sya\gec\JOSE GABRIEL NASSAR - PORTAFOLIO CASTILLA\0. ENTREGABLES\17. JUNIO_2025</t>
  </si>
  <si>
    <t>- Pruebas y sugerencias a desarrolladores de la aplicación ARPS con miras a proceso de Portafolio. Poder realizar carga de ideas y scenarios por plan_id. Reporte de fluidos por estación, reporte de última fecha económica de pozo, botón de corte de los pozos a última fecha económica por wellbore.</t>
  </si>
  <si>
    <t>- Carga en ARPS de curva básica y proyectos de inyección alocados en sus respectivos pozos productores.</t>
  </si>
  <si>
    <t>- Ejercicios con declinaciones para la curva básica enviada por corto plazo con miras al ejercicio de portafolio.</t>
  </si>
  <si>
    <t>- Carga en ARPS de proyectos de intervenciones de pozo para PDI 2026-2028 Escenario 3.</t>
  </si>
  <si>
    <t>- Generación y justificación de Informe de Movimiento de Reservas para el 2 trimestre de 2025.</t>
  </si>
  <si>
    <t>- Carga de datos de todo el portafolio del campo Castilla en la herramienta ARPS para PDI 2026-2028 Escenario 3.
- Validación de volúmenes cargados en la herramienta Assembler.
- Soporte a compañeros de largo plazo y corto plazo para carga y generación de perfiles en herramienta ARPS.</t>
  </si>
  <si>
    <t xml:space="preserve"> A) Actualización de información de pozos a cargo en la zona SW - Estados mecanicos, ILT's, registros electricos, topes, survey a la persona encargada del modelo oficial Sahara.  B) Recepción de actividades/cargo por parte de miembro del equipo CHIAK I&amp;A.</t>
  </si>
  <si>
    <t>Taller de limpiezas CH</t>
  </si>
  <si>
    <t>Corrida de RWA CHIAK con diferentes sensibilidades: Fact Geo integrado, por campo, aumento de inyección, etc. para incluir pozos frontera. QAQC construcción de tableros.</t>
  </si>
  <si>
    <t>Soportes de las sensibilidades con RWA/tableros QAQC: https://ecopetrol.sharepoint.com/:f:/r/sites/SeguimientoIAChichimeneECP/Documentos%20compartidos/15.%20RWA/RWA%20CHIAK?csf=1&amp;web=1&amp;e=5xcBtV</t>
  </si>
  <si>
    <t>Revisión de lineas base y monitoreo de pozos productores con nanotecnología 2025.</t>
  </si>
  <si>
    <t>Definición de aumentos de inyección en T2 para los pozos a cargo empleando sugerencias dada por streamlines.</t>
  </si>
  <si>
    <t>Priorización de acciones rigless de la zona sur y seguimiento de brechas de inyección a corte may-25 - evolución de cumplimiento por formación - recopilación de causas y plan.</t>
  </si>
  <si>
    <t>Toma de puntos de presión y cambio de selectividad en el CH234i (pozo frontera)</t>
  </si>
  <si>
    <t>A) Informe seguimiento proyecto frontera ANH a mayo/25.  B) Seguimiento de pozos zona sur - diagnóstico. C) Seguimiento pozos frontera GLH.</t>
  </si>
  <si>
    <t xml:space="preserve">A) Actualización de declinaciones, pmp/sensor, Pwf obj y Presión de yacimiento para herrramienta ResNode.  B) Envío de reporte de producción diario en los días asignados.    </t>
  </si>
  <si>
    <t>A) Compartido mediante Teams, modelo que contiene las actualizaciones semanalas enviadas: Z:\CHICHIMENE\INFORMACIÓN_CAMPO_CHICHIMENE\23.-Inyeccion de Agua\10. MONITOREO\09. Proyecto Sahara\2025\06. Junio                                                    B) Acta de entrega Alexandra Londoño.</t>
  </si>
  <si>
    <t>Sesiones vía teams y soporte de lo registrado entre el equipo multidisciplinario:                                  https://ecopetrol-my.sharepoint.com/:x:/g/personal/alexandraka_londono_ecopetrol_com_co/EYTqFvrG6alEmWqiyJyPPzcBIWEmnAFkRFfZQO6TiDEWRA?e=L0KFni</t>
  </si>
  <si>
    <t>Sesiones vía teams y soporte de seguimiento: https://ecopetrol.sharepoint.com/:p:/r/sites/SeguimientoIAChichimeneECP/Documentos%20compartidos/07.%20Pozos%20Nanofluidos/Nanoproductores/16062025_Nanoproductores.pptx?d=w5008080b35764011a980da5c53c14809&amp;csf=1&amp;web=1&amp;e=apaBpK</t>
  </si>
  <si>
    <t>Excel de aumentos de inyección T2 revisado con SL: https://ecopetrol.sharepoint.com/:x:/r/sites/SeguimientoIAChichimeneECP/Documentos%20compartidos/03.%20Seguimiento%20Inyectores/Consolidado%20aumentos%20T2.xlsx?d=w39bb45b57b33478aa9159b33d2211bee&amp;csf=1&amp;web=1&amp;e=fCqtfx</t>
  </si>
  <si>
    <t>Excel de seguimiento brechas inyección may-25 y priorización: https://ecopetrol.sharepoint.com/:x:/r/sites/SeguimientoIAChichimeneECP/Documentos%20compartidos/11.%20Desviaciones%20Prod_Iny%20Real%20vs%20P50%20vs%20Auditoria%20vs%20PDI%20vs%20GOP%20vs%20POP/Seguimiento%20Inyectores%20May25%20%20GCH.xlsx?d=wb4a0145eb4374b808296bde4017f3594&amp;csf=1&amp;web=1&amp;e=PUkjqu</t>
  </si>
  <si>
    <t>Sesión vía team para toma de puntos de presión. Información en el repositorio ECP:                                    Z:\CHICHIMENE\POZOS\Chichimene 234\PRESSURE DATA                                   Base de datos I&amp;A https://ecopetrol.sharepoint.com/:x:/r/sites/SeguimientoIAChichimeneECP/Documentos%20compartidos/04.%20Pwf%20Chichimene/Presiones_CHICHIMENE.xlsx?d=wddb466d254ac4314855c2e83f301d935&amp;csf=1&amp;web=1&amp;e=IntkSJ</t>
  </si>
  <si>
    <t>A) Informe frontera ANH may25: https://ecopetrol.sharepoint.com/:w:/r/sites/SeguimientoIAChichimeneECP/Documentos%20compartidos/36.%20Pozos%20Frontera/Informes/Informe%20Seguimiento%20Frontera%20%20-%20Mayo%202025.docx?d=wcd531b4e19254e3ba705a1a7458ea7b1&amp;csf=1&amp;web=1&amp;e=t9LSf8                            B) Sesiones vía teams (sistemática seguimiento Chichimene) - acciones en Wellmeeting.                            C) Sesiones via teams y acta de Wellmeeting.</t>
  </si>
  <si>
    <t xml:space="preserve">A) Archivo con la información actualizada ResNode 2Q: https://ecopetrol.sharepoint.com/:x:/r/sites/EstimadorGOP-NodoYacimiento-1.SharePointEstimadorNodYac/Documentos%20compartidos/1.%20SharePoint%20Estimador%20NodYac/1.%20Registros%20Datos/1.%20Registros%20VRO/1.%20Registros%20GCH/1.Datos_SharePoint_GCH.xlsx?d=w8b76dfe52db04cae8ae369f9a21aff71&amp;csf=1&amp;web=1&amp;e=F6dtX1                                                        B) Tablero 2.6:  https://ecopetrol.sharepoint.com/:u:/r/sites/SeguimientoIAChichimeneECP/Documentos%20compartidos/04.%20Pwf%20Chichimene/2.61_SeguimientoProducci%C3%B3nChiak.pbix?csf=1&amp;web=1&amp;e=R31NLH       </t>
  </si>
  <si>
    <t>Actualización de los ARPS para los proyectos E2, WFNG.</t>
  </si>
  <si>
    <t>Actualización Base de Datos presiones CHIAK</t>
  </si>
  <si>
    <t>Actualización de los ARPS para los proyectos Cachirria, Norte.</t>
  </si>
  <si>
    <t>Cargue PDI ESC01, ESC02 2026 en Assembler</t>
  </si>
  <si>
    <t>Cargue PDI ESC03 2026 en Assembler</t>
  </si>
  <si>
    <t>Archivo de excel con análisis de recobro secundario para el PDI 2025 (COC A22)</t>
  </si>
  <si>
    <t>Generación_CCs_Akacías_PDI_2025_ON_OPT_OPEX_COC_A22_VRR.xlsx</t>
  </si>
  <si>
    <t xml:space="preserve">Archivo word y análisis PPT Reportes de producción diarios y cargadores de softwares </t>
  </si>
  <si>
    <t>08.Reportes Diarios Producción Akacias</t>
  </si>
  <si>
    <t>Archivo excel y presentación PPT con análisis Dnm post BT</t>
  </si>
  <si>
    <t>Excel, PPT Generación de perfiles PDI 2025 &amp; IMR 2T</t>
  </si>
  <si>
    <t>2.- IMR 2T</t>
  </si>
  <si>
    <t>RWA para las intervenciones OPEX, OPT, ON</t>
  </si>
  <si>
    <t>3. OPT ON</t>
  </si>
  <si>
    <t>Construcción de PPT con todo el monitoreo y seguimeinto de la producción vista IMR 2T</t>
  </si>
  <si>
    <t>IMR 2T-CPO_09_26JUN2025.pptx</t>
  </si>
  <si>
    <t>Perfiles de pozos piloto de gas con crudo presentado en el Plan de Inversión en herramienta ARPS, al igual que proyecto Pachaquiaro.</t>
  </si>
  <si>
    <t>https://ecopetrol.sharepoint.com/:u:/r/sites/YACIMIENTOS-APIAY/Documentos%20compartidos/General/DOCUMENTOS%20SOPORTE/PDI/2025/Pruebas/PDI_Gas_20062025_ESC_ALTO_Final_4%201.arps?csf=1&amp;web=1&amp;e=sZaiib / https://ecopetrol.sharepoint.com/:u:/r/sites/YACIMIENTOS-APIAY/Documentos%20compartidos/General/PROYECTOS/PACHAQUIARO/2025/Escenarios%20Abr%202025/Escenario%201/Pachaquiaro_Caso_1_Abr2025_Exportable.arps?csf=1&amp;web=1&amp;e=1Gmqki</t>
  </si>
  <si>
    <t>Revisión y estandarización de volumetrías por patron para el sector Sur del campo Castilla, calculo volumétrico de los pozos CA102, CA703, CA114 y CA46</t>
  </si>
  <si>
    <t>Definición de propiedades petrofísicas para los pozos inyectores del area sur, por intervalos cañoneados (31 pozos) y pozo CA315</t>
  </si>
  <si>
    <t xml:space="preserve">Actualización de tablero en Power BI con inventario de data petrofísica, factor de conectividad, ILT, grafico de Lorenz y Spider. </t>
  </si>
  <si>
    <t>Se continua con los cálculos de factores de conectividad geológica para los pozos declarados y faltantes candidatos a optimización en K1Inf, spider, Lorenz y data ILT. Se inicio con los cálculos de fact5.	Se continua con la elaboración de archivo y definición de criterios para el cálculo de factor de conectividad para la unidad K2, spider, Lorenz y data ILT</t>
  </si>
  <si>
    <t xml:space="preserve"> Soporte geológico a las áreas Sur</t>
  </si>
  <si>
    <t>Z:\INFORMACIÓN_CAMPO_CHICHIMENE\23.-Inyeccion de Agua\10. MONITOREO\09. Proyecto Sahara\2025\07. Julio</t>
  </si>
  <si>
    <t xml:space="preserve">Elaboración de cargadores para RWA del mes de junio. </t>
  </si>
  <si>
    <t>30. RWA Junio 2025</t>
  </si>
  <si>
    <t>Corrida de RWA para generación de Datos Mapas Pwf y Rendimiento e histórico de producción.</t>
  </si>
  <si>
    <t>Revisión y definición árbol  toma de decisiones para el pozo CH-219.</t>
  </si>
  <si>
    <t>C:\Users\C1098B92\Downloads\Correo_ Briggite Susec Camacho Jerez (Meridian Consulting Ltda.) - Outlook.pdf</t>
  </si>
  <si>
    <t>Elaboración correo de incrementales, y seguimiento a la producción del mes de junio</t>
  </si>
  <si>
    <t>C:\Users\C1098B92\Downloads\Correo_ Briggite Susec Camacho Jerez (Meridian Consulting Ltda.) - Outlook Seguimiento producción.pdf</t>
  </si>
  <si>
    <t>Revisión de pozo de la Campaña OPT 2025-2027, con el fin de definir candidatos a adelantar en el tiempo. Revisión trabajo de WO CHSW-40.</t>
  </si>
  <si>
    <t>Reunión Teams</t>
  </si>
  <si>
    <t>Análisis pozo a pozo, de productores criticos con pérdida de potencial p aumento de BSW.</t>
  </si>
  <si>
    <t>pozos_data.xlsx</t>
  </si>
  <si>
    <t xml:space="preserve">Se exportaron de OFM bases de datos Access con el historial de producción e inyección del campo Castilla, y se compartieron a los compañeros del campo Kimera con el objetivo de nutrir la evaluación del yacimiento en el área del campo Kimera. </t>
  </si>
  <si>
    <t>CASTILLA OFM.mdb
CASTILLA INY.mdb</t>
  </si>
  <si>
    <t xml:space="preserve">Se compartieron slides con gráficos de los parámetros y comportamiento de la producción de los pozos geonavegados del campo Castilla. Los gráficos fueron obtenidos de Sahara. Los parámetros compartidos fueron: PIP, Frecuencia, Pwf, BWIPD, BFPD, %BSW, BPPD. Además, se le agrego el Np de los pozos solicitados. </t>
  </si>
  <si>
    <t>C:\Users\c104745a\OneDrive - Ecopetrol S.A\Produccion Pozos Geonavegados.pptx</t>
  </si>
  <si>
    <t>W:\39. Proyecto_Inyeccion_de_Agua\Planillas Power BI\6. Molinos de Viento\3. Actualizaciones\Cargue Proyectos\Real\2025\Junio\TXT</t>
  </si>
  <si>
    <t>Se construyeron y enviaron las plantillas para el cargue trimestral por campo para la actualización de molinos de viento. Los archivos están alojados en la carpeta compartida del equipo Castilla</t>
  </si>
  <si>
    <t>W:\39. Proyecto_Inyeccion_de_Agua\Planillas Power BI\6. Molinos de Viento\3.Actualizaciones\Cargue por campo\2025\6.Junio</t>
  </si>
  <si>
    <t>Z:\INFORMACIÓN_CAMPO_CHICHIMENE\23.-Inyeccion de Agua\10. MONITOREO\09. Proyecto Sahara\2025\07.Julio</t>
  </si>
  <si>
    <t>En la herramienta Sahara oficial con corte a Jul/2025, se corrigió y actualizó estado de capa y factores de alocacion pozos CA20, CA222st, CA300. Cargue de data de producción y Presiones dinamicas actualizadas a Jul/25 de zona centro sur</t>
  </si>
  <si>
    <t>De acuerdo con el seguimiento a la producción e inyección, se realizó el seguimiento a las optimizaciones realizadas en el mes de febrero, marzo, abril, mayo y junio de acuerdo con el BSW, pruebas de producción y toma de niveles.</t>
  </si>
  <si>
    <t>Se llevaron a mesa los pozos CA315 y CA371 con la finalidad de aprobar oportunidades de WOP. Visualizados pozos con oportunidad de RDG: CA146H. Ver mayor ampliación en GP-F-25</t>
  </si>
  <si>
    <t>De acuerdo con los rediseños propuestos en el plan de cierre de brechas, se obtuvo una lista de 12 pozos que se requieren optimizar, se irán priorizando de acuerdo con el presupuesto aprobado: CA40H, CA325, CA149H, CA155H, CA358, CA194, CA281H, CA105, CA70, CAN182, CAN63 y CA243H.</t>
  </si>
  <si>
    <t>En cuanto a la herramienta OFM se realizó el cargue de la producción, inyección y pruebas del mes de Junio/2025. La información quedó asegurada en el proyecto 05. Proyecto OFM\Archivos Excel\Cargue OFM\2025</t>
  </si>
  <si>
    <t>•	Se generó modelo analítico del yacimiento para construcción del plan de inversiones 2025. y verificación trimestral de reservas 2T 2025.</t>
  </si>
  <si>
    <t>\\10.100.25.60\sya\GEC\Ariari\67. ENTREGAS DE CARGO\ING. DE PORTAFOLIO\CMPC\Christian Pardo\ENTREGABLES 2025\07. JULIO</t>
  </si>
  <si>
    <t>•	Se generó base de datos de OFM para análisis histórico de producción para construcción del plan de inversiones 2025 y verificación trimestral de reservas 2T 2025.</t>
  </si>
  <si>
    <t>•	Se generó distribución de producción por sub-unidades para construcción del plan de inversiones 2025 y verificación trimestral de reservas 2T 2025.</t>
  </si>
  <si>
    <t>•	Se analizó declinación de pozos para construcción del plan de inversiones 2025 y verificación trimestral de reservas 2T 2025.</t>
  </si>
  <si>
    <t>•	Se analizó data histórica de producción para construcción del plan de inversiones 2025 y verificación trimestral de reservas 2T 2025.</t>
  </si>
  <si>
    <t>•	Se calcularon los perfiles para cada uno de los escenarios bajo, base y alto para para construcción del plan de inversiones 2025 y verificación trimestral de reservas 2T 2025.</t>
  </si>
  <si>
    <t>•	Se generaron oportunidades de intervención a pozos para para construcción del plan de inversiones 2025 y verificación trimestral de reservas 2T 2025.</t>
  </si>
  <si>
    <t>•	Se realizó ajuste de pozos de proyecto ET-4.2 en proyectos de desarrollo posterior.
•	Se realizó cargue en ARPS de proyecto WO gas.
•	Se realizó cargue en ARPS de proyecto M-12.
•	Se realizó cargue en ARPS de proyecto CO2.
•	Se realizó cargue en ARPS de proyecto Alcaravan.
•	Se realizó cargue en ARPS de proyecto EXP WF Suria.
•	Se realizó cargue en ARPS de proyecto CEOR.
•	Se realizó cargue en ARPS de proyecto Libertad reforma.
•	Se validó cronogramas de Esc. Alto, medio y bajo de PDI.
•	Se validó premisas manejo agua en superficie y capacidades.
•	Se realizó archivo con factores de blancos planta de gas.
•	Se realizó balance de agua del escenario 3 del plan de inversiones.
•	Se realizó archivo y presentación para verificación trimestral de recursos y reservas 2T.
•	Se realizó archivo de IMR para campos con movimientos materiales 2T.</t>
  </si>
  <si>
    <t xml:space="preserve">Generación de perfiles PDI 2025 en ARPs, .access + desarrollo de tablero de trabajo en 3 escenarios de sensibilidad </t>
  </si>
  <si>
    <t>PDI_2025_ESCENARIOS.pbix</t>
  </si>
  <si>
    <t>Análsiis CCs del recobro secundario de los pozos Akacías para su extrapolación a DP</t>
  </si>
  <si>
    <t>Archivo excel y PPT con análisi de producción básica + PDI para comité de desarrollo.</t>
  </si>
  <si>
    <t>Gráficas Comité de desarrollo 300725.xlsx</t>
  </si>
  <si>
    <t>Excel, con perfiles de producción + conteo de pozos de los proyectos ANE y A3</t>
  </si>
  <si>
    <t>ANE_A3_PERFILES.xlsx</t>
  </si>
  <si>
    <t>Excel y power bi con el análisis de la justificación de la necesidad de protección de reservas del nuevo pozo disposal 2027</t>
  </si>
  <si>
    <t>GRAFICAS AK-222.pptx</t>
  </si>
  <si>
    <t>Generación de perfiles GOP, Robustez y para facilidades 2026 - 2060</t>
  </si>
  <si>
    <t>P50_Distribución_Basica_inc_Por pozo.xlsx</t>
  </si>
  <si>
    <t>Cargue a Molinos de los proyectos MOC A2.2, WO 2024 y WO 2025 - 2027</t>
  </si>
  <si>
    <t>Apoyo a justificación de Workovers  y soporte en puesta en profundidad de cañoneos y tapones</t>
  </si>
  <si>
    <t>Revisiones contractuales Pachaquiaro</t>
  </si>
  <si>
    <t>Distribución de Mercurio en Apiay-Suria</t>
  </si>
  <si>
    <t xml:space="preserve">1. Uso de base de datos (OFM &amp; Sahara) para Generacion de Pronosticos de Nuevos proyectos Workover secundaria y Rediseños.  2. Pronosticos de Proyecto Expansion de recobro Unidades T2 y K1   
</t>
  </si>
  <si>
    <t xml:space="preserve">Digital-1. \\10.100.25.60\sya\GEC\Castilla\Proyecto W.O 2024 2027 GDT\WORKOVER Y REDISEÑOS SECUNDARIA     2.  \\10.100.25.60\sya\GEC\Castilla\20.Proyecto IOR K2\Expansión Recobro Mejorado GDT\reconfiguracion ERM junio 2024  3.\10.100.25.60\sya\GEC\Castilla\102.T2\Revision 2024                                       </t>
  </si>
  <si>
    <t xml:space="preserve">1. Analisis de distribución de la produccion e inyeccion por Fomacion (T2,K1 &amp;K2), para la generacion Pronosticos de Nuevos proyectos WOrkover secundaria y Rediseños &amp; Pronosticos de Proyecto Expansion de recobro Unidades T2 y K1  
</t>
  </si>
  <si>
    <r>
      <t xml:space="preserve">Diego Pinto:
</t>
    </r>
    <r>
      <rPr>
        <sz val="9"/>
        <color theme="1"/>
        <rFont val="Verdana"/>
        <family val="2"/>
      </rPr>
      <t xml:space="preserve">* Se realizó el análisis de declinación en pozos inyectores de alto caudal, con el fin de caracterizar su comportamiento a lo largo del tiempo y evaluar su eficiencia operativa bajo diferentes condiciones de inyección. 
* Se recopiló y sistematizó la información técnica requerida para el desarrollo del proyecto de recuperación mejorada (CEOR), incluyendo propiedades de yacimiento, datos de producción y características operativas de los sistemas de inyección. 
* Se efectuó el monitoreo continuo y seguimiento técnico a los inyectores  CLIA y pozos de disposición, evaluando su desempeño hidráulico y condiciones de integridad. 
* Se actualizó la base de datos técnica en la plataforma SAHARA y el repositorio documental de WellMeeting, asegurando la trazabilidad y disponibilidad de la información operativa más reciente. Adicionalmente, se recopiló la información necesaria para la ejecución del piloto de inyecta plus en el PAD 4, y se realizó el análisis y priorización de pozos candidatos a bacheos químicos, tomando en cuenta criterios de eficiencia de inyección, desviación de caudales y comportamiento histórico. 
* Finalmente, se elaboró un informe detallado de radios de garganta poral para los inyectores del campo Castilla, con el fin de apoyar futuras estrategias de estimulación y optimización de inyección.
</t>
    </r>
  </si>
  <si>
    <r>
      <t xml:space="preserve">Diego Galeano:
</t>
    </r>
    <r>
      <rPr>
        <sz val="9"/>
        <color theme="1"/>
        <rFont val="Verdana"/>
        <family val="2"/>
      </rPr>
      <t>* Trabajo enfocado en la maduración de proyecto Intervenciones GDT, generación de diferentes escenarios de produccion para el cierre temprano del proyecto Etapa 4. Seguiminto de Workover de la Unidad T2 del proyecto Mudulo Integral</t>
    </r>
  </si>
  <si>
    <r>
      <t xml:space="preserve">Christian Mendoza:
</t>
    </r>
    <r>
      <rPr>
        <sz val="9"/>
        <color theme="1"/>
        <rFont val="Verdana"/>
        <family val="2"/>
      </rPr>
      <t>* Creación de tablero 1.1 PDI 2026+ (Cargue de datos, análisis de datos de productividad, creación de DAX y visuales)
* Actualización y modificación tablero 2.1_Monitoreo_Proyectos_VRO. 
* Actualización y cargue de datos tablero 2.2_Monitoreo_Prod_P50.   
* Actualización y modificación tablero 2.3_Monitoreo secundaria. 
* Actualizacion y modificación tablero 2.61_SeguimientoProducción ChiAk                                                                                                                                                  
* Actualizacion tablero 2.62_SeguimientoProducción Castilla        
* Actualizacion tablero 2.63_SeguimientoProducción Apiay-Suria
* Actualizacion tablero 2.8_Seguimiento Pulsos
* Actualización de tablero 2.9_Calidad_de_agua_VRO</t>
    </r>
  </si>
  <si>
    <r>
      <t>Aura Traslaviña:</t>
    </r>
    <r>
      <rPr>
        <sz val="9"/>
        <color theme="1"/>
        <rFont val="Verdana"/>
        <family val="2"/>
      </rPr>
      <t xml:space="preserve">
* Participación en reuniones sistemáticas para coordinar avances y actividades.
* Soporte geológico en reuniones semanales de seguimiento a pozos CLIA, CRA, y pozos inyectores-productores del sector sur 
* Actualización y ajustes del tablero geológico: Se continua con los cálculos de factores de conectividad geológica para los pozos declarados y faltantes candidatos a optimización en K1Inf, spider, Lorenz y data ILT.
* Actualización de tablero en Power BI con inventario de data petrofísica, factor de conectividad, ILT, grafico de Lorenz y Spider.  
* Se continua con la elaboración de archivo y definición de criterios para el cálculo de factor de conectividad para la unidad K2, spider, Lorenz y data ILT
* Definición de propiedades petrofísicas para los pozos inyectores del área sur, por intervalos cañoneados (31 pozos) y pozo CA315 
* Calculo volumétrico de los pozos CA102, CA703, CA114 y CA46
* Se continua con la revisión y actualización petrel, carga de cañoneos y topes, desde el proyecto oficial Open Works
* Export información de topes, registros eléctricos de pozos que requieran los ingenieros de Desarrollo para cargar en Sahara
* Soporte geológico a las áreas Sur, Centro Norte y Centro Sur</t>
    </r>
  </si>
  <si>
    <t xml:space="preserve">Se generan los diferentes escenarios (3) de la básica en arps para su cargue en assembler, una vez se aseguró el balance de agua y se haya revisado el límite en capacidad. De igual forma, quedan pendientes ajustes a realizar cuando den la oportunidad de cambiar en asssembler. Adicionalmente, se generan los export de Access de los diferentes proyectos en el campo, para ser integrados con AK. </t>
  </si>
  <si>
    <t xml:space="preserve">Se procede a realizar un análisis de reales vs Pronóstico para el mes de junio, con el fin de acercar el perfil de aceite al POP. Para lo anterior, se generaron archivos pareto que los compañeros de Corto Plazo han revisado para llegar a un ajuste más cercano al real. </t>
  </si>
  <si>
    <t>Se reciben las dudas por parte de Financiera y Proyectos sobre los perfiles cargados en assembler. Las cuales se han respondido con el apoyo de los diferentes equipos y resolución de ajustes en assembler, como el conteo de pozos o ideas no correctamente asociadas.</t>
  </si>
  <si>
    <t>Se contruye presentación del proceso de PDI 2026 con sus resultados y premisas, para ser expuesto frente al comité de Desarrollo GDO.</t>
  </si>
  <si>
    <t>https://ecopetrol-my.sharepoint.com/:p:/r/personal/leidyla_alvarez_ecopetrol_com_co/_layouts/15/Doc.aspx?sourcedoc=%7BBED50890-D34E-452E-9CF1-4EA9E7AC5B43%7D&amp;file=Escenario%203.pptx&amp;fromShare=true&amp;action=edit&amp;mobileredirect=true</t>
  </si>
  <si>
    <t>Se proporciona información de perfiles y volúmenes de pronóstico de reservas PDI 2026 para diferentes equipos y profesionales por solicitud.</t>
  </si>
  <si>
    <t>Colaboración en la actualización del informe reservas Chichimene</t>
  </si>
  <si>
    <t>https://ecopetrol-my.sharepoint.com/:w:/r/personal/fabian_torres_ecopetrol_com_co1/_layouts/15/Doc.aspx?sourcedoc=%7BB6276F6A-FA1F-473C-A0EC-C7519A5C0C35%7D&amp;file=20250722_Documento%20soporte%20Reservas_Chichimene.docx&amp;fromShare=true&amp;action=default&amp;mobileredirect=true</t>
  </si>
  <si>
    <t>Actualización semanal del modelo estático y dinámico del yacimiento y pozos del campo Akacias, mediante el proyecto Sahara Junio-2025 (Cargadores y modelo final)</t>
  </si>
  <si>
    <t>X:\CHICHIMENE\INFORMACIÓN_CAMPO_CHICHIMENE\23.-Inyeccion de Agua\10. MONITOREO\09. Proyecto Sahara\2025
W:\2.- Ingeniería de Yacimientos\1.MONITOREO\1.Sahara\2025\7. Julio</t>
  </si>
  <si>
    <t>Actualización de la producción con base a la información de las formas ministeriales para las base de datos (molinos de viento) de producción mensual y cargue trimestral y seguimiento a proyectos en tableros de seguimiento</t>
  </si>
  <si>
    <t>Distribución de la producción asociada a la implementación del WF en los patrones de inyección del campo AK por medio del metodo RWA con la información a cierre de Jun-2025 y distribución de la inyección de agua por medio de factores de alocación usando como información base los registros ILT adquiridos</t>
  </si>
  <si>
    <t>W:\2.- Ingeniería de Yacimientos\1.MONITOREO\9.Tablero Power BI 2.1\2025\6. Junio
W:\2.- Ingeniería de Yacimientos\1.MONITOREO\14.Molinos de Viento\Cargadores\Real\2025\06. Junio</t>
  </si>
  <si>
    <t>Definición del efecto de inyección del AK-135i sobre los productores AK-133 y 137. Construcción de líneas base en Sahara</t>
  </si>
  <si>
    <t>X:\CHICHIMENE\INFORMACIÓN_CAMPO_CHICHIMENE\23.-Inyeccion de Agua\10. MONITOREO\09. Proyecto Sahara\2025</t>
  </si>
  <si>
    <t>Interpretación del cierre para los pozos AK-79, AK-96, AK-127, AK-155 y AK-156 del sector Nueva Esperanza para determinar el grado de recuperación de presión por efecto de la inyección en el AK-26i, AK-147i y CH-235i del proyecto frontera</t>
  </si>
  <si>
    <t>W:\2.- Ingeniería de Yacimientos\1.MONITOREO\7.Presiones\2025\1_Semestre\Información de presión Jun2025 NE</t>
  </si>
  <si>
    <t>Actualización del coeficiente de eficiencia veritical para seguimiento de los patrones de inyección del campo Akacias</t>
  </si>
  <si>
    <t>W:\2.- Ingeniería de Yacimientos\1.MONITOREO\37. Coeficientes de eficiencia vertical\2025\3. Junio</t>
  </si>
  <si>
    <t>Interpretación del gradiente estático adquirido en el AK-153 del sector Nueva esperanza a fin de conocer el grado de conexión con los pozos del patrón, además de verificar el incremeto de presión en el tiempo</t>
  </si>
  <si>
    <t>W:\2.- Ingeniería de Yacimientos\1.MONITOREO\7.Presiones\2025\1_Semestre\5. AK-153</t>
  </si>
  <si>
    <t>Seguimiento a la intervención de WO de los pozos AK-35i, AK-33 y AK-05</t>
  </si>
  <si>
    <t>W:\2.- Ingeniería de Yacimientos\1.MONITOREO\4. Inyectores\Etapa A2.2\AK-35\2025
https://ecopetrol.sharepoint.com/:p:/s/IAAKACIAS/EVKgMF0gGsVHtQBEs1cOyrwBuReCBoJh1yvlEMqX3lTqHw?e=79vEVM</t>
  </si>
  <si>
    <t>\\10.100.25.60\sya\gec\JOSE GABRIEL NASSAR - PORTAFOLIO CASTILLA\0. ENTREGABLES\18. JULIO_2025</t>
  </si>
  <si>
    <t>- Carga en ARPS de proyectos Incrementales: WO Secundario, MINT, Intervención GDT, Expansión de Recobro Mejorado Módulo1.</t>
  </si>
  <si>
    <t>- Carga de datos de todo el portafolio del campo Castilla en la herramienta ARPS para PDI 2026-2028 Escenario 3, Escenario 2, Escenario 1.
- Corridas de capacidades para perfiles de agua de producción cargada.
- Balanceo de aguas de disposición, reuso y vertimiento para cargue de PDI en los escenarios 3, 2, 1.
- Validación de volúmenes cargados en la herramienta Assembler.
- Soporte a compañeros de largo plazo y corto plazo para carga y generación de perfiles en herramienta ARPS.</t>
  </si>
  <si>
    <t>1) Actualización con la base de datos con información de pozos inyectores del campo y la información preliminar aprobada para los pozos AK222 y AK99.</t>
  </si>
  <si>
    <t>1) Revisón de información sismica para los pozos pertencientes a los patrones de inyección para identificar estructuras y establecer conectividades en los patrones de inyección. En busqueda del mejoramiento del factor de conectividad geológico.
2) Revisión información sísmica para identificar fallas o estrucutras en los patrones de inyección en pro de actualziar el factor de conectividad geológica para el campo Akacias.
3) Revisión en conjunto con el área de geofísica de la informaicón sismica para los pozos nuevos a perforar en el campo Akacias (AK222)</t>
  </si>
  <si>
    <t xml:space="preserve"> \\10.100.25.35\pgtrabajodigital\JAH\Proyecto
Z:\akacias\2.- Ingeniería de Yacimientos\1.MONITOREO\19.Sistematica WF Akacias\2025\07.Julio</t>
  </si>
  <si>
    <t>1) Generación mapas, cortes y correalciones para hacer seguimiento a los patrones de inyección del campo y monitoreo a los pozos productores.
2) Cargue informaicón preliminar para el pozo dispositor AK222.</t>
  </si>
  <si>
    <t>1) Contrucción en petrel de secciones que permitan observar la continuidad horizontal de los ciclos estratigráficos en pro de establecer la conectividad geológica en los patrones de inyección, en el monitoreo del WF para el campo Akacias.
2) Generación de secciones estructurales que permitan observar el comportamiento areal del yacimiento, enfocadas en monitorear el comportamiento de pozos productores y las conectividades en patrones de inyección en el campo Akacias.</t>
  </si>
  <si>
    <t>1) Revisión del modelo estrucutural para el análisis de los patrones de inyección y así establecer la comunicación entre Inyec-produc durantes las sesiones de WF Akacias.
2) Revisión de los posibles sellos estructurales que condicionen el factor falla involucrado en la determinación del factor de conectividad geológico y continuar con la actualización de los tableros de conectividad geológica.
3) Análisis de las fallas dentro del estudio para identificar la influencia del acuífero en el campo a nivel CHIAK.</t>
  </si>
  <si>
    <t>1) Revisión de la información sismíca con la trayectoria en las trayectorias entre pozos inyectores y porductores para identicar el Factor falla involucrado dentro del factor de conectividad geológica, insumo para actualizar el factor de conectividad geológico y el mapa de conectividad.
2) Revisión de las fallas interpretadas en las zonas de los pozos próximos a perforar para identificar los posibles riesgos geológicos y geofísicos, involucrando la nueva información estructural. Información que se usa como insumo para contrucción de los documentos RMS elaborados para los próximos pozos a perforar (AK222).</t>
  </si>
  <si>
    <t xml:space="preserve">1) Continua la elaboración de la base de datos para la actualización de los tableros G&amp;G CHIAK. Actualización de mapas estructural, conectividad, cloruros, presiones y BSW
2) Hacer seguimiento áreal de las facies para identificar los cambios laterales de facies que puedan indicar el comportamiento de arenas yto en los pozos productores.
</t>
  </si>
  <si>
    <t>1) Actualización última información aprobada para la elaboración de los archivos RMS.</t>
  </si>
  <si>
    <t>1)  Continua: Análisis de la influencia del acuífero a nivel CHIAK actualización del mapa con datos a corte del primer semestre de 2025, a partir de la integración de información de análisis fisicoquímicos, continuidad estratigráfica, rasgos estructurales, resultados de PLTs e ILTs, BSW y Ql en los pozos de los campos Chichimene y Akacias.</t>
  </si>
  <si>
    <t>Se realizó la actualización de los factores de alocación a corte Junio/2025 teniendo en cuenta los últimos registros ILT´s tomados en la zona para actualizar la distribución del agua de inyección por arenas. Creación de cargadores de ILT. 6)	Dentro de las actividades desarrollados durante el mes de Julio, se ha realizado el control y monitoreo en especial a dos productores CH-50 y CH-49ST, los cuales son pozos productores en los cuales se realizó estimulación y aplicación de nanos. En particular, el pozo productor CH-50 se encuentra aún en WO desde el día 9/Jun/2025 y el CH-49ST se reactivó y se encuentra nuevamente en línea desde el día 23/Mayo/2025.Es importante tener en cuenta que, dentro de las recomendaciones para los pozos productores con nanos se desatacan: mantener las condiciones de Pwf en las que se encontraba el pozo antes de la intervención de tal forma que sea posible una adecuada evaluación del comportamiento de la química aplicada.</t>
  </si>
  <si>
    <t>Y:\INFORMACIÓN_CAMPO_CHICHIMENE\23.-Inyeccion de Agua\10. MONITOREO\09. Proyecto Sahara\2025\07. Julio</t>
  </si>
  <si>
    <t>Se realizó el análisis de los nuevos patrones asignados, los cuales son: CH-12ª, CH-183ST, CH-182, CH-52, CH-77, CH-187, CH-32, CH-110, CH-132, CH-47, CH-185, CH-214, CH-215 y CH-216, para la evaluación tanto de pozos inyectores como de pozos productores asociados, y determinar las intervenciones correspondientes para la optimización de los pozos. Se continuó el seguimiento y monitoreo a los pozos productores de los patrones de la zona Centro, los cuales se ven afectados por los procesos de inyección de agua en el campo.</t>
  </si>
  <si>
    <t xml:space="preserve">En el mes de Julio, se realizó la revisión y seguimiento de las brechas de inyección realizada de manera mensual, en la cual se realiza la comparación del caudal de inyección a corte Junio con respecto al caudal objetivo, y posteriormente una vez realizado el análisis e identificación de las causas se plantearon las acciones pertinentes para la recuperación de caudal objetivo para cada uno de los patrones. De los patrones asignados de la zona central del campo las acciones planteadas son las siguientes: CH-110, CH-77 Cambio de línea, CH-52, CH-187 Instalación de bomba adicional, CH-12ª, CH-216, CH-215, CH-214, CH-132 Intervención Rigless, CH-47, CH-32 Monitoreo, CH-182, CH-183ST Reactivación de pozo. </t>
  </si>
  <si>
    <t>Seguimiento Inyectores Jun25 GCH.xlsx</t>
  </si>
  <si>
    <t xml:space="preserve">Una de las actividades en las cuales me encuentro a cargo se relacionan con el plan de monitoreo de K, el cual es esencial teniendo en cuenta lo observado desde el punto de vista de simulación numérica, la cual arroja alertas referentes al aumento de presión en la formación K y el desbalance entre el agua inyectada y los fluidos producidos. De acuerdo con lo anterior, se estableció un plan de monitoreo en la formación K antes de ejecutar la estrategia de aumento de inyección en K en los pozos CH-182 y CH-183ST. El monitoreo consiste en una primera parte inicial realizar la toma de registros de PBU en los pozos productores CH-181 y CH-180, y el registro de FOT en el pozo CH-59 para contar con data antes de y poder realizar el monitoreo de presión en K. Al momento se encuentra realizando la programación para la toma de dichas pruebas de presión. </t>
  </si>
  <si>
    <t>Después de realizada la corrida de RWA del mes de Junio, dentro de los patrones que registraron disminución de aceite incremental de la zona centro del campo Chichimene se encuentran los patrones CH-52, CH-12ª, CH-77, CH-110, CH-185, CH-187, y CH-215. Una vez revisados y analizados se determinó que el patrón del CH-52 presentó diferidas 6,42 hr asociada a mantenimiento de equipos, CH-12ª presentó 14,41 hr de diferidas asociadas principalmente por temas de variador, CH-77 falla en suministro de energía, donde uno de los pozos productores CH36 presentó falla de la bomba, CH-110 presentó disminución en tasa de inyección con respecto al mes inmediatamente anterior, CH-185 pozo inyector presentó 14,74 hr diferidas asociadas principalmente a variador y sobrecorriente, CH-187 pozo inyector presentó 6,42 hr diferidas asociadas principalmente a mantenimiento de equipos, CH-215 presentó falla VSD en el pozo productor CH-124</t>
  </si>
  <si>
    <t>Se realizó la revisión de los patrones CH-110 y CH-32, patrones en los cuales se ha observado un incremento en términos de corte de agua. Con respecto al patrón del CH-110, es un pozo inyector el cual se encuentra inyectando por gravedad, actualmente el pozo inyecta aproximadamente 810 BWIPD, de acuerdo al último ILT tomado en Septiembre/2024 toda el agua se está yendo por la Z3, el patrón en general estaba presentando un comportamiento relativamente estable en términos de corte de agua, sin embargo desde aproximadamente Noviembre/2024 se aprecia un incremento de Wcut, el cual no está directamente relacionado con la inyección en el CH-110 por la limitación en superficie. Realizando la comparación entre Noviembre/2024 y Junio/2025 se aprecia el mayor incremento en los productores CH-90H y CH-93, los cuales son pozos productores compartidos con el patrón CH-32. El patrón del CH-32 es un pozo inyector de 4 zonas, en el cual se tiene una válvula desenroscada en la Z1 desde Noviembre/2024, dicha ha estado en sobreinyección desde esa fecha. Realizando el análisis de la tasa de aumento de corte de agua por mes, se logró apreciar que ha venido aumentando desde Noviembre/2024. Dentro de las acciones establecidas se encuentran: toma de ILT en el pozo CH-110, ajuste de PV en los pozos CH-185, CH-214, y CH-215.</t>
  </si>
  <si>
    <t>Dentro de las actividades en las cuales me encuentro de frontal se encuentra el piloto de Nano inyectores en los patrones CH-132, CH-228, CHSW-80. Durante el mes de Julio, se llevaron a cabo reuniones multidisciplinarias con el equipo y el grupo de la Universidad Nacional, para la revisión de los avances. Ya se realizó el envío de todas las muestras de agua de inyección, agua de producción, crudo y los tratamientos químicos aplicados tanto en los pozos productores como en los pozos inyectores. De otra parte, los plug´s fueron enviados una vez realizada la revisión de los plug´s más indicados y disponibles en la litoteca del ICPET. De manera paralela, se continúan las revisiones sistemáticas de avances (Resultados de las pruebas de la Universidad Nacional).</t>
  </si>
  <si>
    <t>Nanoinyectores</t>
  </si>
  <si>
    <t>Dentro de las actividades desarrollados durante el mes de Julio, se ha realizado el control y monitoreo en especial a dos productores CH-50 y CH-49ST, los cuales son pozos productores en los cuales se realizó estimulación y aplicación de nanos. En particular, el pozo productor CH-50 se encuentra aún en WO desde el día 9/Jun/2025 y el CH-49ST se reactivó y se encuentra nuevamente en línea desde el día 23/Mayo/2025.Es importante tener en cuenta que, dentro de las recomendaciones para los pozos productores con nanos se desatacan: mantener las condiciones de Pwf en las que se encontraba el pozo antes de la intervención de tal forma que sea posible una adecuada evaluación del comportamiento de la química aplicada.</t>
  </si>
  <si>
    <t>Se continuó el seguimiento y monitoreo a los pozos productores de los patrones de la zona Centro, los cuales se ven afectados por los procesos de inyección de agua en el campo.</t>
  </si>
  <si>
    <t>Actualizacion de modelo petrofisico / Suria - Suria Sur</t>
  </si>
  <si>
    <t xml:space="preserve">https://ecopetrol.sharepoint.com/sites/INTERVENCIONESGDA/Documento/Proyectos_MariaMojica/_Julio_2025
</t>
  </si>
  <si>
    <t>Petrofisica Pozo AW1</t>
  </si>
  <si>
    <t xml:space="preserve">Correccion Core analysis Suria - Suria Sur </t>
  </si>
  <si>
    <t xml:space="preserve">Generacion de promedios petrofisicos </t>
  </si>
  <si>
    <t xml:space="preserve">Generacion Tipos de roca -Datos PC Suria - Suria Sur </t>
  </si>
  <si>
    <t xml:space="preserve">Revision de TR - con Autoridad de Yacimientos- Correcciones </t>
  </si>
  <si>
    <t xml:space="preserve">Perfiles de Produccion en los escenarios bajo , medio y alto para el proyecto Pachaquiaro integrado                                                       Establecer pozo tipo (alto, media y baja).
Definir estrategia de desarrollo
Revisar # pozos (cronograma)
Calcular volumen recuperable </t>
  </si>
  <si>
    <t>INTERVENCIONES GDA - Documentos - Julio 2025 - Todos los documentos</t>
  </si>
  <si>
    <t>Análisis de productividad y comportamiento de recobro secundario con inyección de agua de acuerdo con campo cercano Suria y pozos perforados del campo Pachaquiaro. ​
Objetivo exclusivo a la formación San Fernando, Unidad T2.​
Los volúmenes estimados se continuarán evaluando de acuerdo con revisiones técnicas y sinergia con proyectos de otros activos que desarrollan la zona (Kimera-CPO9) y Castilla. Adicionalmente, se continúa con la generación del modelo dinámico para la zona Pachaquiaro, que permitirá dar soporte técnico a los volúmenes recuperables.​</t>
  </si>
  <si>
    <t>Se entrega Perfiles Generados en los Casos bajo, medio y alto para el proyecto integrado del Campo Pachaquiaro</t>
  </si>
  <si>
    <t>A) Generación de cargadores real inyección, aceite y agua producida para cada uno de los proyectos del campo, y su respectivo cargue a la herramienta Molinos de Viento. B) Actualización de actividad de los proyectos Etapa 2 y Frontera en Molinos de Viento. C) Construcción de cargadores por tecnología trimestral.</t>
  </si>
  <si>
    <t>Priorización de acciones rigless de la zona sur y seguimiento de brechas de inyección a corte jun-25 - evolución de cumplimiento por formación - recopilación de causas y plan.</t>
  </si>
  <si>
    <t>A) Informe seguimiento proyecto frontera ANH a junio/25.  B) Seguimiento de pozos zona sur - diagnóstico. C) Seguimiento pozos frontera GLH.</t>
  </si>
  <si>
    <t xml:space="preserve">A) Elaboración de memorando de completamiento CH-234i (pozo frontera)  B) Envío de reporte de producción diario en los días asignados.    </t>
  </si>
  <si>
    <t xml:space="preserve">A) Construcción de certificado de nanotecnología 2Q 2025. B) Revisión de resultados aplicación de nanos en productores 1er semestre 2025. </t>
  </si>
  <si>
    <t>A) Actualización de causas de desviación proyectos incrementales a corte jun-25. B) Actualización RWA Visualizador a corte de jun-25 y definición de coordenadas para nuevos pozos (incluyendo frontera).</t>
  </si>
  <si>
    <t>A) Actualización de variaciones BSW por acciones de gerenciamiento a jun-25. B) Definición de plan de acción pozos con aumento de BSW y perdida de potencial post WSV.</t>
  </si>
  <si>
    <t>A) Definición de acciones perdida de potencial CHSW-58.  B) Interpretación PBU/PS de CH111, CH149 y CH84.</t>
  </si>
  <si>
    <t xml:space="preserve">A) Compartido mediante Teams, modelo que contiene las actualizaciones semanalas enviadas: Z:\CHICHIMENE\INFORMACIÓN_CAMPO_CHICHIMENE\23.-Inyeccion de Agua\10. MONITOREO\09. Proyecto Sahara\2025\07. Julio                                                    </t>
  </si>
  <si>
    <t>A) Soportes cargadores proyectos:                                       https://ecopetrol.sharepoint.com/:f:/r/sites/SeguimientoIAChichimeneECP/Documentos%20compartidos/28.%20Molinos%20de%20Viento/2025/06.%20Julio?csf=1&amp;web=1&amp;e=v6WsXh                                                         B) Soportes actividad ET2 y Frontera: https://ecopetrol.sharepoint.com/:f:/r/sites/SeguimientoIAChichimeneECP/Documentos%20compartidos/28.%20Molinos%20de%20Viento/2025/06.%20Julio/Cargadores%20Reales%20+%20Gas?csf=1&amp;web=1&amp;e=k5qcwo                                                  C) Cargadores por tecnología trimestral: https://ecopetrol.sharepoint.com/:f:/r/sites/SeguimientoIAChichimeneECP/Documentos%20compartidos/28.%20Molinos%20de%20Viento/Cargue%20por%20Tecnologia?csf=1&amp;web=1&amp;e=nO9zN8</t>
  </si>
  <si>
    <t>Excel de seguimiento brechas inyección jun-25 y priorización: https://ecopetrol.sharepoint.com/:x:/r/sites/SeguimientoIAChichimeneECP/Documentos%20compartidos/11.%20Desviaciones%20Prod_Iny%20Real%20vs%20P50%20vs%20Auditoria%20vs%20PDI%20vs%20GOP%20vs%20POP/Seguimiento%20Inyectores%20Jun25%20%20GCH.xlsx?d=w3b3cdf605177489a9061ae6b52e6e46a&amp;csf=1&amp;web=1&amp;e=2si3VG</t>
  </si>
  <si>
    <t>A) Informe frontera ANH jun25: https://ecopetrol.sharepoint.com/:w:/r/sites/SeguimientoIAChichimeneECP/Documentos%20compartidos/36.%20Pozos%20Frontera/Informes/Informe%20Seguimiento%20Frontera%20%20-%20Junio%202025.docx?d=wf167cb69bf4d4cf3b864aad848a6972c&amp;csf=1&amp;web=1&amp;e=phaNUY                                                                B) Sesiones vía teams (sistemática seguimiento Chichimene) - acciones en Wellmeeting.                                                     C) Sesiones via teams y acta de Wellmeeting.</t>
  </si>
  <si>
    <t xml:space="preserve">A) Memorando CH-234i:  Z:\CHICHIMENE\INFORMACIÓN_CAMPO_CHICHIMENE\23.-Inyeccion de Agua\10. MONITOREO\50. Completamiento\Inyectores\CH-234i                 B) Tablero 2.6:  https://ecopetrol.sharepoint.com/:u:/r/sites/SeguimientoIAChichimeneECP/Documentos%20compartidos/04.%20Pwf%20Chichimene/2.61_SeguimientoProducci%C3%B3nChiak.pbix?csf=1&amp;web=1&amp;e=AWzMbl </t>
  </si>
  <si>
    <t>A) Certificado 2Q 2025 Nanos: https://ecopetrol.sharepoint.com/:f:/r/sites/SeguimientoIAChichimeneECP/Documentos%20compartidos/07.%20Pozos%20Nanofluidos/Certificados?csf=1&amp;web=1&amp;e=MMwBdk                                                               B) Resultados 1er semestre 2025 Nanos: https://ecopetrol.sharepoint.com/:p:/r/sites/SeguimientoIAChichimeneECP/Documentos%20compartidos/07.%20Pozos%20Nanofluidos/Nanoproductores/14072025_Nanoproductores.pptx?d=w1274cadeae834d678af7b76c7b8ce6ad&amp;csf=1&amp;web=1&amp;e=Z6SppW</t>
  </si>
  <si>
    <t>A) Causas de desviación actualizadas en excel compartido vía teams por el área a cargo.                                                                  B) Cargadores RWA visualizador: https://ecopetrol.sharepoint.com/:f:/r/sites/SeguimientoIAChichimeneECP/Documentos%20compartidos/15.%20RWA/Visualizadores/RWA%20cargadores%20visualizador%20Jun%202025?csf=1&amp;web=1&amp;e=k6ewLf</t>
  </si>
  <si>
    <t>A) Excel soporte BW gerenciamiento jun-25: https://ecopetrol.sharepoint.com/:x:/r/sites/SeguimientoIAChichimeneECP/Documentos%20compartidos/03.%20Seguimiento%20Inyectores/GerenciamientoInyectoresBSW.xlsx?d=w24fc118353764a3faf553c0e907104b1&amp;csf=1&amp;web=1&amp;e=bxZDNb                                  B) Plan de acción pozos con aumento de BSW:                                           https://ecopetrol-my.sharepoint.com/:x:/g/personal/monica_lara_ecopetrol_com_co/Eb-CjfcJ22JAi7oI1ExIRnMBB3iIKaVXfHFfUYtfAFlgvQ?e=XUWcCM                                                Plan de acción pozos con perdida de potencial postWSV:                                   https://ecopetrol-my.sharepoint.com/:x:/g/personal/juanca_lizcanoni_ecopetrol_com_co/EZ6-1OnCSUtIuPIQs-YD4HABVI35erMGrnoeyTU6Cro7Ag?e=Ts4Spu</t>
  </si>
  <si>
    <t>A) Soporte revisión CHSW-58: https://ecopetrol.sharepoint.com/:p:/r/sites/SeguimientoIAChichimeneECP/Documentos%20compartidos/36.%20Pozos%20Frontera/CHSW58_Revision04072025.pptx?d=wc9456f2f546f4a0f9096cb124cd0a66b&amp;csf=1&amp;web=1&amp;e=GTAUAR                                      B) Datos registrado en el historico de presiones y soportes PBU: https://ecopetrol.sharepoint.com/:x:/r/sites/SeguimientoIAChichimeneECP/Documentos%20compartidos/04.%20Pwf%20Chichimene/Presiones_CHICHIMENE.xlsx?d=wddb466d254ac4314855c2e83f301d935&amp;csf=1&amp;web=1&amp;e=d2Zl0Q                                     Soportes PBU:                                         Z:\CHICHIMENE\INFORMACIÓN_CAMPO_CHICHIMENE\23.-Inyeccion de Agua\10. MONITOREO\29. Presiones\PBU\2025 1S</t>
  </si>
  <si>
    <t>A) Actualización de información de pozos a cargo en la zona SW - Estados mecanicos, ILT's, registros electricos, topes, survey a la persona encargada del modelo oficial Sahara.</t>
  </si>
  <si>
    <t>Se realizó cargue de pruebas de produccion, tasas de inyección, pruebas de ILT en la BD de Sahara CAN22, CAN24, y CAN61 adicionalmente se realiza el seguimiento a las 20 optimizaciones, 1 rediseños y 2 WO (2 en ejecucion).</t>
  </si>
  <si>
    <t>Para esta actividad se genera distribución vertical por unidad para los inyectores asociados a la Zona Centro Norte. La distribución se encuentra actualizada a la fecha con los últimos valores de ILT para cada inyector CAN22, CAN24, y CAN617 . La evidencia se encuentra en la Base de Datos SAHARA.</t>
  </si>
  <si>
    <t xml:space="preserve">De acuerdo con el seguimiento a la producción e inyección, se realizó el seguimiento a los patrones CAN05, CAN450, CAN15, CAN01,y CAN57. </t>
  </si>
  <si>
    <t xml:space="preserve">Para este ítem para el mes de abril se realizó los perfiles generados para los pozos candidatos a (RDG) rediseño y Workover (WO)  los cuales quedan registrados en la ruta del equipo de taller de producción GDT </t>
  </si>
  <si>
    <t>Con el equipo multidiciplinario se realiza un análisis de los pozos encontrando bajas eficiencias y declinaciones presentadas de los pozos de la zona Centro Norte concluyendo las oportunidades de intervención en la medida que se puedan realizar las oportunidades en los pozos candidatos, lo cual queda consignado en el WM. Se realizo analisis de incremento de WOR de 47 pozos productores</t>
  </si>
  <si>
    <t>Para este ítem se realizó carga de datos de ILT en la BD de Sahara. Se realizó la actualización de volumetrías del pozo CAN22.</t>
  </si>
  <si>
    <r>
      <t>Christian Pardo:</t>
    </r>
    <r>
      <rPr>
        <sz val="9"/>
        <color theme="1"/>
        <rFont val="Verdana"/>
        <family val="2"/>
      </rPr>
      <t xml:space="preserve">
Se realizó cada una de las actividades propuestas para el periodo de la prestación del servicio.
</t>
    </r>
    <r>
      <rPr>
        <b/>
        <sz val="9"/>
        <color theme="1"/>
        <rFont val="Verdana"/>
        <family val="2"/>
      </rPr>
      <t/>
    </r>
  </si>
  <si>
    <r>
      <t>Lizeth Bautista:</t>
    </r>
    <r>
      <rPr>
        <sz val="9"/>
        <color theme="1"/>
        <rFont val="Verdana"/>
        <family val="2"/>
      </rPr>
      <t xml:space="preserve">
Durante la ejecución de las actividades correspondientes al mes de Julio no se presentaron novedades que afectaran la ejecución de los entregables. 
</t>
    </r>
    <r>
      <rPr>
        <b/>
        <sz val="9"/>
        <color theme="1"/>
        <rFont val="Verdana"/>
        <family val="2"/>
      </rPr>
      <t/>
    </r>
  </si>
  <si>
    <t>Revisión y estandarización de volumetrías por patron para el sector Sur del campo Castilla, calculo volumétrico de los pozos CA52, CA94, CA455, CA78</t>
  </si>
  <si>
    <t>Definición de propiedades petrofísicas para los pozos inyectores del area Centro Norte, por intervalos cañoneados en proceso aun (29 pozos) y pozo CA558, CA181, CAN338</t>
  </si>
  <si>
    <t>Se continua con los cálculos de factores de conectividad geológica para los pozos declarados y faltantes candidatos a optimización en K1Inf, spider, Lorenz y data ILT. Se continua con el cálculo de factor de conectividad para la unidad K2, spider, Lorenz y data ILT</t>
  </si>
  <si>
    <t xml:space="preserve"> Soporte geológico al área Sur</t>
  </si>
  <si>
    <r>
      <t>Aura Traslaviña:</t>
    </r>
    <r>
      <rPr>
        <sz val="9"/>
        <color theme="1"/>
        <rFont val="Verdana"/>
        <family val="2"/>
      </rPr>
      <t xml:space="preserve">
* 1. Participación en reuniones sistemáticas para coordinar avances y actividades.
* 2. Soporte geológico en reuniones semanales de seguimiento a pozos CLIA, CRA, y pozos inyectores-productores del sector sur 
* 3. Actualización y ajustes del tablero geológico: Se continua con los cálculos de factores de conectividad geológica para los pozos declarados y faltantes candidatos a optimización en K1Inf, spider, Lorenz y data ILT.
* 4. Actualización de tablero en Power BI con inventario de data petrofísica, factor de conectividad, ILT, grafico de Lorenz y Spider.  
* 5. Se continua con los cálculos de factores de conectividad geológica para los pozos declarados y faltantes candidatos a optimización en K1Inf, spider, Lorenz y data ILT. Se continua con el cálculo de factor de conectividad para la unidad K2, spider, Lorenz y data ILT 
* 6. Definición de propiedades petrofísicas para los pozos inyectores del area Centro Norte, por intervalos cañoneados en proceso aun (29 pozos) y pozo CA558, CA181, CAN338
* 7. Calculo volumétrico de los pozos CA52, CA94, CA455, CA78
* 8. Se continua con la revisión y actualización petrel, carga de cañoneos y topes, desde el proyecto oficial Open Works
* 9. Export información de topes, registros eléctricos de pozos que requieran los ingenieros de Desarrollo para cargar en Sahara
* 10. Soporte geológico al área Sur</t>
    </r>
  </si>
  <si>
    <t>Análisis PBU pozos CHSW-20, CHSW-54 y CHSW-39, cargue de información en Pansystem.</t>
  </si>
  <si>
    <t>Presiones_CHICHIMENE.xlsx</t>
  </si>
  <si>
    <t>Z:\INFORMACIÓN_CAMPO_CHICHIMENE\23.-Inyeccion de Agua\10. MONITOREO\09. Proyecto Sahara\2025\08. Agosto</t>
  </si>
  <si>
    <t>Revisión conexiones nuevas a declarar. Elaboración línea base pozo CH-203</t>
  </si>
  <si>
    <t>C:\Users\C1098B92\Downloads\Conexiones Agosto.pptx</t>
  </si>
  <si>
    <t>Apoyo elaboración Informe de Reservas 2025</t>
  </si>
  <si>
    <t>Informe Reservas - Corto plazo 2025.docx</t>
  </si>
  <si>
    <t>Apoyo en la elaboración del Plan de Monitoreo 2026</t>
  </si>
  <si>
    <t>Plan_Monitoreo_y_Surveillance_2026_Chichimene_05-08-2025.docx</t>
  </si>
  <si>
    <t>Ajustes campañas de WO Chichimene | Chat de reunión | Microsoft Teams</t>
  </si>
  <si>
    <t>Se consolidaron los Qobj, arenas, mandriles y presiones en cabeza de la zona Centro Norte en el archivo Qobj.xlsx.</t>
  </si>
  <si>
    <t>Qobj.xlsx</t>
  </si>
  <si>
    <t xml:space="preserve">Se compartieron slides con gráficos de los parámetros y comportamiento de la producción de los pozos geonavegados del campo Castilla. Los gráficos fueron obtenidos de Sahara. Los parámetros compartidos fueron: PIP, Frecuencia, Pwf, BWIPD, BFPD, %BSW, BPPD. Se agregaron gráficos de WOR vs Np </t>
  </si>
  <si>
    <t xml:space="preserve">Se realizo la construcción de los archivos .TXT que actualizan la base de datos de molinos de vientos para cada uno de los proyectos del activo. </t>
  </si>
  <si>
    <t>W:\39. Proyecto_Inyeccion_de_Agua\Planillas Power BI\6. Molinos de Viento\3. Actualizaciones\Cargue Proyectos\Real\2025\Julio\TXT</t>
  </si>
  <si>
    <t>Se construyeron las diapositivas de seguimiento de revisión de pozos inyectores y productores de la zona Centro Norte con los datos de producción prorrateada de agosto. Estas llevan gráficos de control, mapas de Pwf, RAP y Utilidad.</t>
  </si>
  <si>
    <t>Seguimiento P&amp;I Ago - Juli 2025 Zona Centro Norte (Agosto prorrateado).pptx</t>
  </si>
  <si>
    <t>Se actualizo y ajusto el tablero 2.3_Monitoreo_Secundaria_VRO_Jul_2025. Se modifico la fuente de la producción real de aceite y de la inyección de agua real ya que anteriormente se tomaban los volúmenes declarados totales y el ejercicio debía realizarse con la producción e inyección de los pozos de primera línea. Se crearon visuales de Factor de Recobro con los perfiles cargados en el ejercicio de portafolio. El tablero se encuentra en la siguiente ruta:</t>
  </si>
  <si>
    <t xml:space="preserve">Se realizo revisión y actualización del tablero P50. Se actualizaron los perfiles P50 correspondientes al trienio 2025-2027. Se trabajo en los perfiles de producción de petróleo, agua y agua inyectada. </t>
  </si>
  <si>
    <t>Se apoyo con el diligenciamiento de las actas de las reuniones de la zona centro norte en la herramienta WellMeeting, donde se establecen los diagnósticos y acciones a llevar a cabo en cada uno de los pozos analizados en los espacios.</t>
  </si>
  <si>
    <t>Z:\INFORMACIÓN_CAMPO_CHICHIMENE\23.-Inyeccion de Agua\10. MONITOREO\09. Proyecto Sahara\2025\08.Julio</t>
  </si>
  <si>
    <t>Z:\INFORMACIÓN_CAMPO_CHICHIMENE\23.-Inyeccion de Agua\10. MONITOREO\09. Proyecto Sahara\2025\07.Agosto</t>
  </si>
  <si>
    <t>1.1_Portafolio_VRO_PDI_2026+.pbix</t>
  </si>
  <si>
    <r>
      <t xml:space="preserve">Christian Mendoza:
</t>
    </r>
    <r>
      <rPr>
        <sz val="9"/>
        <color theme="1"/>
        <rFont val="Verdana"/>
        <family val="2"/>
      </rPr>
      <t>* Creación de tablero 1.1 PDI 2026+ (Cargue de datos, análisis de datos de productividad, creación de DAX y visuales)
* Actualización tablero 2.1_Monitoreo_Proyectos_VRO. 
* Actualización y cargue de datos tablero 2.2_Monitoreo_Prod_P50.   
* Actualización y modificación tablero 2.3_Monitoreo secundaria. 
* Actualizacion y modificación tablero 2.61_SeguimientoProducción ChiAk                                                                                                                                                  
* Actualizacion y modificación tablero 2.62_SeguimientoProducción Castilla        
* Actualizacion y modificación tablero 2.63_SeguimientoProducción Apiay-Suria
* Actualizacion tablero 2.8_Seguimiento Pulsos
* Actualización de tablero 2.9_Calidad_de_agua_VRO</t>
    </r>
  </si>
  <si>
    <t>•	Se generó modelo analítico del yacimiento para presentación de auditoría 2025 de reservas y recursos contingentes.</t>
  </si>
  <si>
    <t>\\10.100.25.60\sya\GEC\Ariari\67. ENTREGAS DE CARGO\ING. DE PORTAFOLIO\CMPC\Christian Pardo\ENTREGABLES 2025\08. AGOSTO</t>
  </si>
  <si>
    <t>•	Se generó base de datos de OFM para análisis histórico de producción para presentación de auditoría 2025 de reservas y recursos contingentes.</t>
  </si>
  <si>
    <t>•	Se generó distribución de producción por sub-unidades para presentación de auditoría 2025 de reservas y recursos contingentes.</t>
  </si>
  <si>
    <t>•	Se analizó declinación de pozos para presentación de auditoría 2025 de reservas y recursos contingentes.</t>
  </si>
  <si>
    <t>•	Se analizó data histórica de producción para presentación de auditoría 2025 de reservas y recursos contingentes.</t>
  </si>
  <si>
    <t>•	Se calcularon los perfiles para cada uno de los escenarios bajo, base y alto para presentación de auditoría 2025 de reservas y recursos contingentes.</t>
  </si>
  <si>
    <t>•	Se generaron oportunidades de intervención a pozos para presentación de auditoría 2025 de reservas y recursos contingentes.</t>
  </si>
  <si>
    <t>•	Se realizó ajuste de pozos de proyecto M-12 para corte de LT ejercicio robustez.
•	Se realizó ajuste de pozos de proyecto WO gas para corte de LT ejercicio robustez.
•	Se realizó cargue en ARPS de proyecto WO gas y M-12.
•	Se realizó cargue y validación de volúmenes de reservas en PBI.
•	Se realizó descripción, gráficas y tablas del proyecto M-12 para documento soporte de auditoría.
•	Se realizó conteo de pozos del proyecto M-12, ET-2 para valoración de FMV.
•	Se realizó conteo de pozos para proyecto Protección de la básica.
•	Se realizó balance de agua para el proyecto desarrollo pachaquiaro.
•	Se realizó balance de agua para los proyectos a presentar en auditoría de reservas.</t>
  </si>
  <si>
    <r>
      <t>Christian Pardo:</t>
    </r>
    <r>
      <rPr>
        <sz val="9"/>
        <color theme="1"/>
        <rFont val="Verdana"/>
        <family val="2"/>
      </rPr>
      <t xml:space="preserve">
* Se realizó cada una de las actividades propuestas para el periodo de la prestación del servicio.</t>
    </r>
  </si>
  <si>
    <t xml:space="preserve">Generación de perfiles nueva visión PDI 2025 en ARPs, .access + desarrollo de tablero de trabajo en 3 escenarios de sensibilidad </t>
  </si>
  <si>
    <t>PDI_RV_ESC_2_240825.xlsx</t>
  </si>
  <si>
    <t>Análsiis CCs y potencial de pozos para selección inteligente de pozos a apagar por límite capacidad de tratamiento</t>
  </si>
  <si>
    <t>PERFIL_ESCENARIO_2_PDI_2025_010925.xlsx</t>
  </si>
  <si>
    <t>Archivo excel y PPT con análsiis de las lecciones aprendidas PDI 2025 &amp; Declinaciones</t>
  </si>
  <si>
    <t>Lecciones Aprendidas PDI 2025.pptx</t>
  </si>
  <si>
    <t>Excel, con perfiles de producción + conteo de pozos de los proyectos ANE y Frontera para su COC</t>
  </si>
  <si>
    <t>BÁSICA ANE</t>
  </si>
  <si>
    <t>Gráficas para comité de desarrollo AK-222</t>
  </si>
  <si>
    <t>BALANCE DE AGUA 220825 &amp; AK-222.xlsx</t>
  </si>
  <si>
    <t>Generación de perfiles para balance de agua PDI 2025</t>
  </si>
  <si>
    <t>Revisión caudales objetivos y apoyo en sistemáticas multidisciplinarias</t>
  </si>
  <si>
    <t>Apoyo a justificación de Workovers  y soporte en puesta en profundidad de cañoneos, sartas y tapones</t>
  </si>
  <si>
    <t>Preparación material para auditoría</t>
  </si>
  <si>
    <t xml:space="preserve"> Teams: YACIMIENTOS GDA/ General/PROYECTOS/MODULO 12</t>
  </si>
  <si>
    <t>Distribución de Mercurio y H2S en Apiay-Suria</t>
  </si>
  <si>
    <r>
      <t xml:space="preserve">Diego Galeano:
</t>
    </r>
    <r>
      <rPr>
        <sz val="9"/>
        <color theme="1"/>
        <rFont val="Verdana"/>
        <family val="2"/>
      </rPr>
      <t>* Trabajo enfocado en la maduración hasta llevarlo a FID el proyecto Intervenciones GDT, Soporte tecnico de acompañamiento del control de cambios  del proyecto Etapa 4. Seguiminto de Workover de la Unidad T2 del proyecto Mudulo Integral</t>
    </r>
  </si>
  <si>
    <t>Se ajustó el modelo analítico en el software Sahara, incorporando líneas base para el cálculo de volúmenes incrementales por pozo, así como estados mecánicos actualizados y datos recientes de producción e inyección, con énfasis en los pozos disposal.</t>
  </si>
  <si>
    <t>Se realizó el análisis de declinación con base en el comportamiento del I.I en los inyectores de alto caudal del campo Castilla</t>
  </si>
  <si>
    <t>Revisión sistemática de los inyectores de alto caudal para la definición de candidatos a Workover, bacheos químicos y estimulación matricial.</t>
  </si>
  <si>
    <r>
      <t xml:space="preserve">Diego Pinto:
</t>
    </r>
    <r>
      <rPr>
        <sz val="9"/>
        <color theme="1"/>
        <rFont val="Verdana"/>
        <family val="2"/>
      </rPr>
      <t>* Se realizó el análisis de los patrones de inyección, la declinación en pozos inyectores de alto caudal y los resultados de las campañas de WO, con el objetivo de sustentar el proceso de certificación de reservas y evaluar la eficiencia técnica de los trabajos ejecutados. 
* Se recopiló y sistematizó la información técnica necesaria para el desarrollo del proyecto de recuperación mejorada (CEOR), incluyendo propiedades del yacimiento, datos de producción y características operativas de los sistemas de inyección.
* Asimismo, se llevó a cabo el monitoreo continuo y el seguimiento técnico de los inyectores CLIA y los pozos de disposición, evaluando su desempeño hidráulico y condiciones de integridad.
* Se actualizó la base de datos técnica en la plataforma SAHARA y el repositorio documental en WellMeeting, garantizando la trazabilidad y disponibilidad de la información operativa más reciente.
* Adicionalmente, se realizó el monitoreo y seguimiento de los inyectores bajo inyección piloto de química continua en el PAD-4.</t>
    </r>
  </si>
  <si>
    <t>Se inicia y completa construcción del documento soporte de reservas 2025. Donde diferentes equipos intervienen para realizar la actualización completa de los diferentes proyectos a la visión hasta junio/2025. Se realiza revisión, ajustes, se organiza y completa dicho documento, que es soporte para la presentación de reservas que se realizará en el mes de septiembre.</t>
  </si>
  <si>
    <t>https://ecopetrol-my.sharepoint.com/:w:/r/personal/fabian_torres_ecopetrol_com_co1/Documents/ECP/tablero/05_INFORMES/2025/20250722_Documento%20soporte%20Reservas_Chichimene.docx?d=wb6276f6afa1f473ca0ecc7519a5c0c35&amp;csf=1&amp;web=1&amp;e=yHtkAS</t>
  </si>
  <si>
    <t xml:space="preserve">Se llevan a cabo ajustes a la básica visión patrón y pozos de primaria, en aras de acercar más la proyección de la básica a la producción real incluyendo todos los pozos que según cronograma estarán activos.  </t>
  </si>
  <si>
    <t>Se realiza revisión de las líneas base del proyecto CIS M1, a fin de aterrizarlas al comportamiento que se ha visto de los pozos. Las mismas se implementarán a partir de la próxima actualización de la básica.</t>
  </si>
  <si>
    <t>Se construye presentación para el comité de Desarrollo, con respecto al PDI 2026 vista ChiAk</t>
  </si>
  <si>
    <t xml:space="preserve">Se analizan los reales del mes de julio luego de generados los archivos cargadores de formas, a fin de realizar comparaciones pozo a pozo y que se identifiquen las brechas en patrones de REAL frente a P50, CERT, GOP 1Q y PDI. </t>
  </si>
  <si>
    <t xml:space="preserve">Se asiste a capacitación de Recursos y Reservas programada para una semana, la cual ayudó a afianzar temas y a preparar al equipo de portafolio para la auditoría de reservas. </t>
  </si>
  <si>
    <t xml:space="preserve">https://ecopetrol.sharepoint.com/:u:/r/sites/YACIMIENTOS-APIAY/Documentos%20compartidos/General/DOCUMENTOS%20SOPORTE/PDI/2025/Pruebas/PDI_Gas_20062025_ESC_ALTO_Final_4%201.arps?csf=1&amp;web=1&amp;e=sZaiib /  https://ecopetrol.sharepoint.com/:x:/s/YACIMIENTOS-APIAY/EaD6paUyEslOhCbrlg1mBmkBuj2OEKTfnSBA9OzyxaaQ6g?e=4mhChm </t>
  </si>
  <si>
    <t>Seguimiento a las intervenciones realizadas en el campo Pachaquiaro en proyecto de Sahara del activo, así como a los pozos del campo Suria con estimulaciones y/o fracturamiento.</t>
  </si>
  <si>
    <t>https://ecopetrol.sharepoint.com/:u:/r/sites/YACIMIENTOS-APIAY/Documentos%20compartidos/General/PROYECTOS/PACHAQUIARO/2025/Escenarios%20Abr%202025/Escenario%201/Pachaquiaro_Caso_1_Abr2025_Exportable.arps?csf=1&amp;web=1&amp;e=1Gmqki</t>
  </si>
  <si>
    <t>Actualización semanal del modelo estático y dinámico del yacimiento y pozos del campo Akacias, mediante el proyecto Sahara Agosto-2025 (Cargadores y modelo final)</t>
  </si>
  <si>
    <t>1. W:\2.- Ingeniería de Yacimientos\1.MONITOREO\1.Sahara\2025\8. Agosto
2. X:\CHICHIMENE\INFORMACIÓN_CAMPO_CHICHIMENE\23.-Inyeccion de Agua\10. MONITOREO\09. Proyecto Sahara\2025\08. Agosto</t>
  </si>
  <si>
    <t>1. W:\2.- Ingeniería de Yacimientos\1.MONITOREO\9.Tablero Power BI 2.1\2025\7. Julio
2. W:\2.- Ingeniería de Yacimientos\1.MONITOREO\14.Molinos de Viento\Cargadores\Real\2025</t>
  </si>
  <si>
    <t>Distribución de la producción asociada a la implementación del WF en los patrones de inyección del campo AK por medio del metodo RWA con la información a cierre de Jul-2025</t>
  </si>
  <si>
    <t>1. W:\2.- Ingeniería de Yacimientos\1.MONITOREO\16.RWA\AKACIAS\2025\7. Julio</t>
  </si>
  <si>
    <t>Líneas base para los trabajos de WO ON-2025 para los pozos AK-05 y AK-33</t>
  </si>
  <si>
    <t>1. C:\Users\c109868u\Ecopetrol S.A\I&amp;A AKACIAS - Documentos\23. Intervenciones WO-WS\00. Campaña WO 2025-2026 (ON_OPT)\Líneas base</t>
  </si>
  <si>
    <t>Elaboración del memorando de completamiento del pozo AK-101, escenarios de producción corregidos por el potencial del CL-8B. Pendiente el registro de cemento a la fecha no se ha adquirido</t>
  </si>
  <si>
    <t>1. https://ecopetrol.sharepoint.com/:w:/r/sites/IAAKACIAS/Documentos%20compartidos/07.Memorandos%20de%20Completamiento/AK-101/Memorando%20de%20Completamiento%20pozo%20Akacias-101%20-%20Final.docx?d=w422dd0a9e89b445e86c61b8beb7794e3&amp;csf=1&amp;web=1&amp;e=Z7myfB</t>
  </si>
  <si>
    <t>Actualización de presiones, comportamiento de la básica, metodología de estimación y seguimiento a proyectos en el documento que se presentará a la GCR para la estimación de reservas 2025</t>
  </si>
  <si>
    <t>1. https://ecopetrol.sharepoint.com/:w:/r/sites/ReportesMensualesCP0-9/Documentos%20compartidos/General/07-Reservas%20y%20Recursos/2025/Documento%20de%20Reservas%20Akacias/DRAFT_Anexo%201%20Documento%20soporte%20RESERVAS_AK_agosto2025_Versi%C3%B3n_Firmada.docx?d=w515815fcf8a74bffbd776e138121dfa1&amp;csf=1&amp;web=1&amp;e=Su8irS</t>
  </si>
  <si>
    <t>Análisis de actividades ejecutadas en los pozos inyectores y monitoreo de resultados en los pozos AK-102, AK-110 y AK-24 con la estimulación multifase orgánico/ inorgánico. Seguimiento de la inyección en los demás pozos inyectores.</t>
  </si>
  <si>
    <t>1. https://ecopetrol.sharepoint.com/:x:/r/sites/IAAKACIAS/Documentos%20compartidos/Estado%20Inyeccion%20Akacias.xlsx?d=w3036497b2a664978adab52adb742cd36&amp;csf=1&amp;web=1&amp;e=sA0xIv</t>
  </si>
  <si>
    <t>Seguimiento de producción de los pozos Guamal prof-1 y Tejón-1. Presentación del estado actual post comercialidad para la GCR</t>
  </si>
  <si>
    <t>1. https://ecopetrol-my.sharepoint.com/:p:/r/personal/fredy_cardenas_ecopetrol_com_co/Documents/Archivos%20de%20chat%20de%20Microsoft%20Teams/Informaci%C3%B3n%20T%C3%A9cnica%20Guamal%20GCR%20Agosto%202025.pptx?d=w14a97b9bb90045368ffcca7585960bf7&amp;csf=1&amp;web=1&amp;e=6ibWXY</t>
  </si>
  <si>
    <t>1. https://ecopetrol.sharepoint.com/:f:/r/sites/IAAKACIAS/Documentos%20compartidos/0.Bases%20de%20Datos?csf=1&amp;web=1&amp;e=DTiRcq</t>
  </si>
  <si>
    <t>\\10.100.25.60\sya\gec\JOSE GABRIEL NASSAR - PORTAFOLIO CASTILLA\0. ENTREGABLES\19. AGOSTO_2025</t>
  </si>
  <si>
    <t>- Pruebas y sugerencias a desarrolladores de la aplicación ARPS con miras a proceso de Reservas. Poder realizar cierres de de pozos por WOR agrupando todos los fluidos po Wellbore y hallando la fecha en que estos alcancen un cierto valor de WOR.</t>
  </si>
  <si>
    <t>- Realización documento soporte de Reservas.
- Soporte a compañeros de largo plazo y corto plazo en pronósticos para realizar documento soporte de reservas.</t>
  </si>
  <si>
    <t>- Generación de varios escenarios de pronósticos del proyecto Expansión Recobro Mejorado Módulo 1 para conseguir el objetivo de que fuera económico.</t>
  </si>
  <si>
    <t>- Justificación de Informe de Movimiento de Reservas para el 2 trimestre de 2025.
- Realización del Informe IDD.</t>
  </si>
  <si>
    <t xml:space="preserve">- Carga de datos de todo el portafolio del campo Castilla en la herramienta ARPS para PDI 2026-2028 Escenario 3, Escenario 2, Escenario 1, con cambios realizados al proyecto Expansió de Recobro M1.
- Balanceo de aguas de disposición, reuso y vertimiento para cargue de PDI en los escenarios 3, 2, 1.
- Validación de volúmenes cargados en la herramienta Assembler.
</t>
  </si>
  <si>
    <t>1) Actualización con la base de datos con información de pozos inyectores del campo y la información preliminar para los pozos de la etapa ANE.</t>
  </si>
  <si>
    <t>1) Revisón de información sismica para los pozos pertencientes a los patrones de inyección para identificar estructuras y establecer conectividades en los patrones de inyección. En busqueda del mejoramiento del factor de conectividad geológico.
2) Revisión información sísmica para identificar fallas o estrucutras en los patrones de inyección en pro de actualziar el factor de conectividad geológica para el campo Akacias.
3) Revisión en conjunto con el área de geofísica de la informaicón sismica para los pozos pertenecientes a la etapa ANE.</t>
  </si>
  <si>
    <t xml:space="preserve"> \\10.100.25.35\pgtrabajodigital\JAH\Proyecto
Z:\akacias\2.- Ingeniería de Yacimientos\1.MONITOREO\19.Sistematica WF Akacias\2025\08.Agosto</t>
  </si>
  <si>
    <t>1) Generación mapas, cortes y correalciones para hacer seguimiento a los patrones de inyección del campo y monitoreo a los pozos productores.
2) Cargue informaicón preliminar para los pozos de la etapa ANE. Exportar insumos para la construcción de los documentos RMS.</t>
  </si>
  <si>
    <t>1) Revisión del modelo estrucutural para el análisis de los patrones de inyección y así establecer la comunicación entre Inyec-produc durantes las sesiones de WF Akacias.
2) Revisión de los posibles sellos estructurales que condicionen el factor falla involucrado en la determinación del factor de conectividad geológico y continuar con la actualización de de geología a nivel CHIAK.
3) Análisis de las fallas dentro del estudio para identificar la influencia del acuífero en el campo a nivel CHIAK.</t>
  </si>
  <si>
    <t>1) Revisión de la información sismíca con la trayectoria en las trayectorias entre pozos inyectores y porductores para identicar el Factor falla involucrado dentro del factor de conectividad geológica, insumo para actualizar el factor de conectividad geológico y el mapa de conectividad.
2) Revisión de las fallas interpretadas en las zonas de los pozos próximos a perforar para identificar los posibles riesgos geológicos y geofísicos, involucrando la nueva información estructural. Información que se usa como insumo para contrucción de los documentos RMS elaborados para los pozos pertenecientes a la etapa de desarrollo ANE.</t>
  </si>
  <si>
    <t>1)  Continua: Análisis de la influencia del acuífero a nivel CHIAK, a partir de la integración de información de análisis fisicoquímicos, continuidad estratigráfica, rasgos estructurales, resultados de PLTs e ILTs, BSW y Ql en los pozos de los campos Chichimene y Akacias.</t>
  </si>
  <si>
    <t>Se continuó el seguimiento y monitoreo a los pozos productores de los patrones de la zona Centro, los cuales se ven afectados por los procesos de inyección de agua en el campo. Se realizó el análisis de los nuevos patrones asignados, los cuales son: CH-12ª, CH-183ST, CH-182, CH-52, CH-77, CH-187, CH-32, CH-110, CH-132, CH-47, CH-185, CH-214, CH-215 y CH-216, para la evaluación tanto de pozos inyectores como de pozos productores asociados, y determinar las intervenciones correspondientes para la optimización de los pozos. Se realizó el envío correspondiente de los reportes de producción para el campo Chichimene durante el mes de Agosto/2025</t>
  </si>
  <si>
    <t>Y:\INFORMACIÓN_CAMPO_CHICHIMENE\23.-Inyeccion de Agua\10. MONITOREO\09. Proyecto Sahara\2025\08. Agosto</t>
  </si>
  <si>
    <t>Dentro de las actividades relacionadas con el informe de Reservas 2025, se realizó la actualización del apartado referente al proyecto de Expansión K1 K2. Para ello, se procedió a actualizar la información relacionado con el piloto y sus respectivas gráficas, dentro de las cuales se encontraba la gráfica relacionada con Producción Secundaria – Plan, Real, Forecast (BPD), realizando la discretización en el inicio del piloto y la finalización del mismo, así como el inicio de la estrategia K1-K2</t>
  </si>
  <si>
    <t>https://ecopetrol.sharepoint.com/:w:/r/sites/SeguimientoIAChichimeneECP/Documentos%20compartidos/20.%20Portafolio/2025/Reservas/Informe%20de%20Reservas/Informe%20Reservas%20-%20Corto%20plazo%202025.docx?d=w54c5466fa95b4047b75aec67a7d3a957&amp;csf=1&amp;web=1&amp;e=zOpLvh</t>
  </si>
  <si>
    <t xml:space="preserve">Se realizó la actualización de los archivos de brechas de inyección a corte Julio/2025 teniendo en cuenta los últimos valores liquidados en términos de inyección para los pozos inyectores asignados de la zona central del campo Chichimene con respecto a sus caudales objetivos de inyección. </t>
  </si>
  <si>
    <t>03. Seguimiento Inyectores</t>
  </si>
  <si>
    <t>Se continuó el seguimiento de los pozos productores en los cuales se han inyectado nanopartículas, CH-50 y CH-49ST. Particularmente, para el caso del CH-50 se realizó la creación de la línea base, para la cual se eligió un período de tiempo con frecuencia estable, con punto de amarre al valor de la última prueba de producción 20/Mayo/2025, obteniendo un valor de declinación Dni Oil 0,025 y líquido constante</t>
  </si>
  <si>
    <t>24072025_Nanoproductores.pptx</t>
  </si>
  <si>
    <t>Durante el mes de Agosto, como parte de las actividades relacionadas con le piloto de Nanos en los pozos inyectores del campo Chichimene, se trabajó en el informe de solicitud ante la ANH, procediendo a la actualización de la información correspondiente a ítems tales como: Ubicación geográfica, reseña histórica del campo, marco geológico, propiedades de fluidos, análisis de presiones, mecanismo de producción y factor de recobro, permeabilidades relativas, antecedentes CEOR en Ecopetrol, evaluación de tecnologías aplicadas en el campo entre otros</t>
  </si>
  <si>
    <t>13. WO2024-26 Nanos</t>
  </si>
  <si>
    <t>Por otra parte, otra de las actividades complementarias relacionadas con el piloto de Nano CEOR en el campo, consiste en la creación de perfiles sintéticos de factor de recobro asociado a la aplicación de nanos en los patrones CH-132, CHSW-80, CH-228, para ello se tuvo en cuenta el historial de producción de cada patrón (Producción de crudo, agua, fluidos), así como el historial del rendimiento. Información a partir de la cual se plantearon tres (3) posibles escenarios, escenario Low, escenario Base y escenario High, estableciendo posibles mejoras en los rendimientos de cada uno de los patrones intervenidos. Los valores de estos FR planteados se validarán posteriormente con los resultados arrojados por las pruebas de laboratorio que actualmente se están ejecutando en los laboratorios de la Universidad Nacional de Medellín</t>
  </si>
  <si>
    <t>14. Spiderweb</t>
  </si>
  <si>
    <t>Otra de las actividades en las cuales me encuentro de focal es el plan de monitoreo de K, para ello se estableció un esquema de pruebas de presión pre y post a las actividades de aumento de inyección en K, en las cuales se quiere llevar a 40K BWIPD los pozos CH-182 y CH-183ST. Teniendo en cuenta lo anterior, se planteó la realización de PBU en los pozos productores CH-179R y CH-180. Dado que el pozo CH-179R es uno de los pozos que ocasionalmente se apaga por tema de capacidades, con la data del último apagado se realizó el análisis de la data para la determinación del valor de presión de yacimiento allí. Sin embargo, para el pozo CH-180 si se realizó el respectivo apagado y cierre del pozo para ejecutar la prueba de presión (PBU). Por otra parte, también se realizó la toma de prueba de presión en un pozo inyector, CH-59, un pozo perteneciente al piloto Corocora, donde se validó nuevamente el dato de presión de yacimiento</t>
  </si>
  <si>
    <t>22. PBU</t>
  </si>
  <si>
    <t>Se realizó el envío correspondiente de los reportes de producción para el campo Chichimene durante el mes de Agosto/2025</t>
  </si>
  <si>
    <t xml:space="preserve"> En el mes de Agosto, una de las actividades en las cuales me encontraba de frontal consistía en la actualización de una herramienta conocida como Spiderweb, para ello se actualizaron parámetros tales como fecha, BOPD, BWPD, BFPD, WCUT, IP, PIP, PYTO, PWF, K, H, Frecuencia, Fecha PIP, Last Fluid Gradient, Last PMP, Last Depth Sensor. Información para todos los pozos productores del campo Chichimene. Una vez actualizada la herramienta, es muy importante dado que permite realizar análisis profundos de gráficos de IP vs K*h, BOPD vs Wcut, BOPD vs BWPD, IP vs WCUT, BFPD vs PWF.</t>
  </si>
  <si>
    <t xml:space="preserve">Actualizacion de modelo petrofisico / Suria - Suria Sur  </t>
  </si>
  <si>
    <t>https://ecopetrol.sharepoint.com/sites/INTERVENCIONESGDA/Documento/Proyectos_MariaMojica/_Agosto_2025</t>
  </si>
  <si>
    <t xml:space="preserve"> Analisis de FWL y RW para Suria y Suria Sur  </t>
  </si>
  <si>
    <t>Generacion tipos de roca Suria y Suria Sur.</t>
  </si>
  <si>
    <t xml:space="preserve">Soporte a equipo de corto plazo con pozos inyectores y de cañoneo- Evaluacion de petrofisica y analisis de Lorenz. </t>
  </si>
  <si>
    <t>Sesiones con la GCR. Campo Pachaquiaro</t>
  </si>
  <si>
    <t>Actualización modelo analítico de yacimientos ARPS PDI2025 ESC3 - Frontera, ANE</t>
  </si>
  <si>
    <t>Generación perfiles de producción escenarios bajo, medio, alto en ARPS (PDI2025)</t>
  </si>
  <si>
    <t>La Estrategia de Desarrollo que se plantea para esta zona es a través de 26 patrones los cuales contemplan: 78 pozos perforados, de los cuales 52 pozos son productores en la formación T2, 25 pozos inyectores y 1 conversión de productor a inyector (Aquila –1), adicionalmente se contempla un 1 disposal y luego de un tiempo conversión a captador.
Se propone un patronamiento irregular entre 5 y 7 puntos invertidos, y el tamaño por patrón esta alrededor 300 acres.                               •	Se estima un pico de producción de 14,2 MBOPD en 2032, resultado de la incorporación progresiva de pozos productores y respuesta temprana del yacimiento bajo inyección de agua.
•	La curva muestra una declinación progresiva acorde con la dinámica de presión.
•	Volumen recuperable estimado (caso medio): 46,54 MBO.</t>
  </si>
  <si>
    <t>https://ecopetrol.sharepoint.com/:f:/r/sites/INTERVENCIONESGDA/Documentos%20compartidos/Monica%20Martinez/Entregables/Agosto%202025?csf=1&amp;web=1&amp;e=cLVnRD</t>
  </si>
  <si>
    <t>Se montaron los parametricos en ARPS para asi poder correr los perfiles del proyecto de Pachaquiaro integrado y calcular reservas y volumenes descubiertos,</t>
  </si>
  <si>
    <t xml:space="preserve">Análisis de Volumen Recuperable.
Primaria 
Se utilizaron datos de producción de más de 50 pozos en la Formación San Fernando (T2) Donde se muestra el comportamiento normalizado en producción primaria de los Campos Suria y Pachaquiaro.                                                                                Se incluyeron también los valores de EUR reportados en la Auditoría de Reservas 2024. Para este análisis:                                             •	Se excluyeron 23 pozos sin producción en T2.
•	Se eliminaron 17 pozos con producción menor a 5,000 barriles.
Se evidencia que el promedio en primarias esta alrededor de 0.45 MBO.                                                                                           Secundaria
Teniendo en cuenta que el área de Pachaquiaro no cuenta aún con comportamiento por secundaria, tomamos la respuesta exitosa del campo cercano Suria.
Para este análisis se tomó la curva característica usada en el Campos Suria actualmente, construida con la información del patrón del pozo Suria Sur-16, El cual es el pozo que cuenta con más información de inyección desde el año 2014.
se construyeron 3 curvas,  un escenario bajo con un FR de 7.20%,el caso medio que es la que más se ajusta a la información real arrojado por el pozo y estima alcanzar un FR de 7.77% y ya por último  el escenario alto que estiman alcanzar un 9.5% de FR por secundaria. </t>
  </si>
  <si>
    <t xml:space="preserve"> A) Actualización de información de pozos a cargo en la zona SW - Estados mecanicos, ILT's, Pwf a la persona encargada del modelo oficial Sahara.</t>
  </si>
  <si>
    <t xml:space="preserve">A) Corrida RWA Julio 25 ChiAk y correo de seguimiento de producción a corte de Julio 25 para el campo CH:  histórico prod WF, Pwf, rendimiento, liquidación incrementales: </t>
  </si>
  <si>
    <t>A) Seguimiento de brechas de inyección a corte jul-25 - evolución de cumplimiento por formación - recopilación de causas y plan. B) Recopilación y alineación de Qobj del campo CH.</t>
  </si>
  <si>
    <t>A) Informe seguimiento proyecto frontera ANH a julio/25.  B) Seguimiento pozos frontera GLH.</t>
  </si>
  <si>
    <t>A) Implementación de metodología y definición de candidatos a estimulación productores.</t>
  </si>
  <si>
    <t>A) Interpretación PBU de CHSW58, CHSW62ST y CHSW64.</t>
  </si>
  <si>
    <t>A) Seguimiento de pozos zona sur - diagnóstico</t>
  </si>
  <si>
    <t>A) Seguimiento de pozos con nanotecnología / apoyo en definición de Lb. B) Información soporte para piloto de biocompetencia.</t>
  </si>
  <si>
    <t>A) Sesiones vía teams                             B) Información compartida vía teams/correo electronico.</t>
  </si>
  <si>
    <t xml:space="preserve">  A) Envío de reporte de producción diario en los días asignados</t>
  </si>
  <si>
    <t xml:space="preserve">A) Compartido mediante Teams, modelo que contiene las actualizaciones semanalas enviadas: Z:\CHICHIMENE\INFORMACIÓN_CAMPO_CHICHIMENE\23.-Inyeccion de Agua\10. MONITOREO\09. Proyecto Sahara\2025\08. Agosto                                                    </t>
  </si>
  <si>
    <t>A) Archivos soportes de la corrida RWA julio 25, histórico prod WF, Pwf, rendimiento, liquidación incrementales: https://ecopetrol.sharepoint.com/:f:/r/sites/SeguimientoIAChichimeneECP/Documentos%20compartidos/15.%20RWA/31.%20RWA%20Julio%202025?csf=1&amp;web=1&amp;e=NjRrSI                                                         B) Correo Seguimiento de Producción Chichimene a Julio 25 compartido vía correo electrónico institucional.</t>
  </si>
  <si>
    <t>A) Excel de seguimiento brechas inyección jul-25: https://ecopetrol.sharepoint.com/:x:/r/sites/SeguimientoIAChichimeneECP/Documentos%20compartidos/11.%20Desviaciones%20Prod_Iny%20Real%20vs%20P50%20vs%20Auditoria%20vs%20PDI%20vs%20GOP%20vs%20POP/Seguimiento%20Inyectores%20Jul25%20%20GCH.xlsx?d=w1c80226870c44b42bac1790fcb3ecad3&amp;csf=1&amp;web=1&amp;e=W8Ou13                                          B) Qobj enviados por correo electronico institucional a las diferentes áreas y excel en la ruta: https://ecopetrol.sharepoint.com/:f:/r/sites/SeguimientoIAChichimeneECP/Documentos%20compartidos/52.%20QobjCh_Sistematica?csf=1&amp;web=1&amp;e=eEwvOk</t>
  </si>
  <si>
    <t>A) Informe frontera ANH jul25: https://ecopetrol.sharepoint.com/:w:/r/sites/SeguimientoIAChichimeneECP/Documentos%20compartidos/36.%20Pozos%20Frontera/Informes/Informe%20Seguimiento%20Frontera%20%20-%20Julio%202025.docx?d=w8f1b29fe9b4c48e99242208d5937dcbb&amp;csf=1&amp;web=1&amp;e=cPJeZh                                                                                                               B) Sesiones via teams y acta de Wellmeeting.</t>
  </si>
  <si>
    <t>A) Sesiones con el equipo de productividad y soporte de revisión: https://ecopetrol.sharepoint.com/:x:/r/sites/SeguimientoIAChichimeneECP/Documentos%20compartidos/07.%20Pozos%20Nanofluidos/Nanoproductores/MatrizEstimulacionProductores2025.xlsx?d=w1c30019980e64495b1b8f6e0b7c56644&amp;csf=1&amp;web=1&amp;e=rltS40</t>
  </si>
  <si>
    <t>A) Datos registrado en el historico de presiones y soportes PBU: https://ecopetrol.sharepoint.com/:x:/r/sites/SeguimientoIAChichimeneECP/Documentos%20compartidos/04.%20Pwf%20Chichimene/Presiones_CHICHIMENE.xlsx?d=wddb466d254ac4314855c2e83f301d935&amp;csf=1&amp;web=1&amp;e=d2Zl0Q                                     Soportes PBU:                                         Z:\CHICHIMENE\INFORMACIÓN_CAMPO_CHICHIMENE\23.-Inyeccion de Agua\10. MONITOREO\29. Presiones\PBU\2025 2S Diferida Nafta SW</t>
  </si>
  <si>
    <t xml:space="preserve">A) Sesiones vía teams (sistemática seguimiento Chichimene) - acciones en Wellmeeting.     </t>
  </si>
  <si>
    <t xml:space="preserve">A) Tablero 2.6:  https://ecopetrol.sharepoint.com/:u:/r/sites/SeguimientoIAChichimeneECP/Documentos%20compartidos/04.%20Pwf%20Chichimene/2.61_SeguimientoProducci%C3%B3nChiak.pbix?csf=1&amp;web=1&amp;e=lEzgkT </t>
  </si>
  <si>
    <t>Se realizó cargue de pruebas de produccion, tasas de inyección, pruebas de ILT en la BD de Sahara CAN60, CA700, CAN15 y CAN49 adicionalmente se realiza el seguimiento a las 20 optimizaciones, 1 rediseños y 2 WO (ejecutados).</t>
  </si>
  <si>
    <t>Para esta actividad se genera distribución vertical por unidad para los inyectores asociados a la Zona Centro Norte. La distribución se encuentra actualizada a la fecha con los últimos valores de ILT para cada inyector CAN60, CA700, CAN15 y CAN49. La evidencia se encuentra en la Base de Datos SAHARA.</t>
  </si>
  <si>
    <t xml:space="preserve">De acuerdo con el seguimiento a la producción e inyección, se realizó el seguimiento a los patrones CAN15, CAN60, CAN462, CAN61,y CAN20. </t>
  </si>
  <si>
    <t>Con el equipo multidiciplinario se realiza un análisis de los pozos encontrando bajas eficiencias y declinaciones presentadas de los pozos de la zona Centro Norte concluyendo las oportunidades de intervención en la medida que se puedan realizar las oportunidades en los pozos candidatos, lo cual queda consignado en el WM. Se realizo analisis de de pozos inyectores con respecto a la petrofisica</t>
  </si>
  <si>
    <t>Para este ítem se realizó carga de datos de ILT en la BD de Sahara. Se realizó la actualización de volumetrías del pozo CAN350.</t>
  </si>
  <si>
    <t>Revisión y estandarización de volumetrías por patron para el sector Sur del campo Castilla, calculo volumétrico de los pozos CA82, CA704, CA747, CA84</t>
  </si>
  <si>
    <t>Definición de propiedades petrofísicas para los pozos CAN45, CA264, CAN306, CA226</t>
  </si>
  <si>
    <t>Se continua con soporte geológico (correlaciones estratigráficas y continuidad de arenas) para la revisión de pozos candidatos a rediseño en el sector sur y areas requeridas del campo Castilla</t>
  </si>
  <si>
    <t>Se finalizo con el cálculo de factor de conectividad para las unidades K1Inf y K2, spider, Lorenz y data ILT,  se socializo con el equipo, de igual forma se continua con el calculo de FC para los pozos que se requieran adicionales y pozos de segunda linea.</t>
  </si>
  <si>
    <r>
      <t>Aura Traslaviña:</t>
    </r>
    <r>
      <rPr>
        <sz val="9"/>
        <color theme="1"/>
        <rFont val="Verdana"/>
        <family val="2"/>
      </rPr>
      <t xml:space="preserve">
* 1. Participación en reuniones sistemáticas para coordinar avances y actividades.
* 2. Soporte geológico en reuniones semanales de seguimiento a pozos CLIA, CRA, y pozos inyectores-productores del sector sur 
* 3. Actualización y ajustes del tablero geológico: Se continua con los cálculos de factores de conectividad geológica para los pozos declarados y faltantes candidatos a optimización en K1Inf, spider, Lorenz y data ILT.
* 4. Actualización de tablero en Power BI con inventario de data petrofísica, factor de conectividad, ILT, grafico de Lorenz y Spider.  
* 5. Se finalizo con el cálculo de factor de conectividad para las unidades K1Inf y K2, spider, Lorenz y data ILT,  se socializo con el equipo, de igual forma se continua con el calculo de FC para los pozos que se requieran adicionales y pozos de segunda linea.
* 6. Definición de propiedades petrofísicas para los pozos CAN45, CA264, CAN306, CA226
* 7. Calculo volumétrico de los pozos CA82, CA704, CA747, CA84
* 8. Se continua con la revisión y actualización petrel, carga de cañoneos y topes, desde el proyecto oficial Open Works
* 9. Export información de topes, registros eléctricos de pozos que requieran los ingenieros de Desarrollo para cargar en Sahara
* 10. Soporte geológico al área Sur y áreas requeridas</t>
    </r>
  </si>
  <si>
    <t>Z:\INFORMACIÓN_CAMPO_CHICHIMENE\23.-Inyeccion de Agua\10. MONITOREO\09. Proyecto Sahara\2025\09.Septiembre</t>
  </si>
  <si>
    <t>Elaboración de cargadores para Molinos del mes de agosto. Actualización Tablero 2.1.</t>
  </si>
  <si>
    <t>08. Agosto</t>
  </si>
  <si>
    <t>Revisión y definición árbol  toma de decisiones para el pozo CH-219. Elaboración de presentación y socialización equipo Desarrollo.</t>
  </si>
  <si>
    <t>CH-219.pptx</t>
  </si>
  <si>
    <t>Apoyo elaboración Presentación de Reservas 2025</t>
  </si>
  <si>
    <t>Presentación Auditoria Chichimene 2025_.pptx</t>
  </si>
  <si>
    <t>Ajuste perfil CHSW-39. Revisión justificación CHSW-40, definición de apertura de K.</t>
  </si>
  <si>
    <t>Perfil CHSW39 (1).xlsx</t>
  </si>
  <si>
    <t>Revisión de pozo de la Campaña OPT 2025-2027, con el fin de definir candidatos a adelantar en el tiempo, e inclusión de nuevos candidatos limitados.</t>
  </si>
  <si>
    <t>D:\Ejerciico Limitados Pwf.xlsx</t>
  </si>
  <si>
    <t>Análisis pozo a pozo, de productores criticos con pérdida de potencial y aumento de BSW.</t>
  </si>
  <si>
    <t>Análisis Pozos Post WSV.pptx</t>
  </si>
  <si>
    <t>Revisión conexiones nuevas a declarar patrón CHSW-37, elaboración de presentación y socilización.</t>
  </si>
  <si>
    <t>D:\CHICHIMENE\Conexiones Septiembre.pptx</t>
  </si>
  <si>
    <t>W:\39. Proyecto_Inyeccion_de_Agua\Planillas Power BI\6. Molinos de Viento\3. Actualizaciones\Cargue Proyectos\Real\2025\Agosto\TXT</t>
  </si>
  <si>
    <t>Capacidad_de_flujo_Castilla_WF_Ago2025.pbix</t>
  </si>
  <si>
    <t>Se construyeron las diapositivas de seguimiento de revisión de pozos inyectores y productores de la zona Centro Norte con los datos de producción prorrateada de septiembre. Estas llevan gráficos de control, mapas de Pwf, RAP y Utilidad.</t>
  </si>
  <si>
    <t>Seguimiento P&amp;I Ago - Sep 2025 Zona Centro Norte (Septiembre prorrateado).pptx</t>
  </si>
  <si>
    <t>Se actualizo y ajusto el tablero 2.3_Monitoreo_Secundaria_VRO_Ago_2025. Se modifico la fuente de la producción real de aceite y de la inyección de agua real ya que anteriormente se tomaban los volúmenes declarados totales y el ejercicio debía realizarse con la producción e inyección de los pozos de primera línea. Se crearon visuales de Factor de Recobro con los perfiles cargados en el ejercicio de portafolio. El tablero se encuentra en la siguiente ruta:</t>
  </si>
  <si>
    <t>2.3_Monitoreo_Secundaria_VRO_Ago_2025.pbix</t>
  </si>
  <si>
    <t>Uso del software Sahara para tratamiento de datos disponibles para el proyecto de expansión WF K1-K2 del campo Chichimene.</t>
  </si>
  <si>
    <t>Z:\INFORMACIÓN_CAMPO_CHICHIMENE\23.-Inyeccion de Agua\10. MONITOREO\09. Proyecto Sahara\2024\08. Agosto\4ta Semana</t>
  </si>
  <si>
    <t>Recopilación y análisis de pruebas de  STR y PBU como información input para el desarrollo del proyecto de expansión WF K1-K2 en el campo Chichimene</t>
  </si>
  <si>
    <t xml:space="preserve">Búsqueda de reportes de producción para el proyeto de expansión WF K1-K2 en el campo Chichimene </t>
  </si>
  <si>
    <t>Analizar distribución de producción e inyección de las formaciones K1 y K2 del campo Chichimene a partir de software Sahara.</t>
  </si>
  <si>
    <t>Realizar análisis y procesamiento de información de pozos para proyecto expansión WF K1-K2 campo Chichimene.</t>
  </si>
  <si>
    <t>Realización de  nodales para pozos del campo Chichimene.</t>
  </si>
  <si>
    <t>Recopilar pronósticos de producción a partir del software Power BI para el proyecto de expansión WF K1-K2 para el campo Chichimene-Informe de reservas.</t>
  </si>
  <si>
    <t>Revisión de presentación para proyecto expasión WF K1-K2 para el campo Chichimene.</t>
  </si>
  <si>
    <t>Recopilación de información a partir del software Sahara para proyecto expasión WF K1-K2 para el campo Chichimene.</t>
  </si>
  <si>
    <t>Realizar análisis y procesamiento de datos para proyecto expansión WF K1-K2 en el campo Chichimene.</t>
  </si>
  <si>
    <t xml:space="preserve">Generación de visuales en power BI del PDI 2026+ y actualización del del tablero 1.1 portafolio VRO. </t>
  </si>
  <si>
    <r>
      <t xml:space="preserve">Christian Mendoza:
</t>
    </r>
    <r>
      <rPr>
        <sz val="9"/>
        <color theme="1"/>
        <rFont val="Verdana"/>
        <family val="2"/>
      </rPr>
      <t>*</t>
    </r>
    <r>
      <rPr>
        <b/>
        <sz val="9"/>
        <color theme="1"/>
        <rFont val="Verdana"/>
        <family val="2"/>
      </rPr>
      <t xml:space="preserve"> </t>
    </r>
    <r>
      <rPr>
        <sz val="9"/>
        <color theme="1"/>
        <rFont val="Verdana"/>
        <family val="2"/>
      </rPr>
      <t>Creación de visual Proyectos Gross tablero 1.1 PDI 2026+ (Cargue de datos, análisis de datos de productividad, creación de DAX y visuales)
* Actualización tablero 2.1_Monitoreo_Proyectos_VRO. 
* Actualización y cargue de datos tablero 2.2_Monitoreo_Prod_P50.   
* Actualización y modificación tablero 2.3_Monitoreo secundaria. 
* Actualización  tablero 2.61_SeguimientoProducción ChiAk                                                                                                                                                  
* Actualización tablero 2.62_SeguimientoProducción Castilla        
* Actualización  tablero 2.63_SeguimientoProducción Apiay-Suria
* Actualización tablero 2.8_Seguimiento Pulsos
* Actualización de tablero 2.9_Calidad_de_agua_VRO</t>
    </r>
  </si>
  <si>
    <t>•	Se generó modelo analítico del yacimiento para presentación de auditoría 2025 de reservas y recursos contingentes y verificación trimestral de reservas 3T.</t>
  </si>
  <si>
    <t>\\10.100.25.60\sya\GEC\Ariari\67. ENTREGAS DE CARGO\ING. DE PORTAFOLIO\CMPC\Christian Pardo\ENTREGABLES 2025\09. SEPTIEMBRE</t>
  </si>
  <si>
    <t>•	Se generó base de datos de OFM para análisis histórico de producción para presentación de auditoría 2025 de reservas y recursos contingentes y verificación trimestral de reservas 3T.</t>
  </si>
  <si>
    <t>•	Se generó distribución de producción por sub-unidades para presentación de auditoría 2025 de reservas y recursos contingentes y verificación trimestral de reservas 3T.</t>
  </si>
  <si>
    <t>•	Se analizó declinación de pozos para presentación de auditoría 2025 de reservas y recursos contingentes y verificación trimestral de reservas 3T.</t>
  </si>
  <si>
    <t>•	Se analizó data histórica de producción para presentación de auditoría 2025 de reservas y recursos contingentes y verificación trimestral de reservas 3T.</t>
  </si>
  <si>
    <t>•	Se calcularon los perfiles para cada uno de los escenarios bajo, base y alto para presentación de auditoría 2025 de reservas y recursos contingentes y verificación trimestral de reservas 3T.</t>
  </si>
  <si>
    <t>•	Se generaron oportunidades de intervención a pozos para presentación de auditoría 2025 de reservas y recursos contingentes y verificación trimestral de reservas 3T.</t>
  </si>
  <si>
    <t>•	Se realizó archivo de balance de PDI y volúmenes reservas 2026+.
•	Se realizó archivo de evolución de FR para el escenario 3 de PDI.
•	Se realizó cargue en ARPS y PBI de volúmenes para reservas 2026+.
•	Se realizó verificación y ajuste de los TOW para auditoría 2025.
•	Se realizó verificación de volúmenes cargados en ValNav de auditoría 2025.
•	Se realizó proyección de perfiles para verificación trimestral de reservas 3T.
•	Se realizó validación y ajuste en conteo de pozos para auditoría 2025.
•	Se realizó nuevo cargue de volúmenes de reservas 2026+ con volúmenes alocados en pozos productores.
•	Se realizó archivo con perfiles de M-12.</t>
  </si>
  <si>
    <t xml:space="preserve">Generación de perfiles nueva visión PDI 2025 ESC 1, 2 y 3 con potencial de proyectos incremenetales apagando básica en ARPs, .access + desarrollo de tablero de trabajo en los 6 escenarios de sensibilidad </t>
  </si>
  <si>
    <t>11.- Actualización 190825 ANE</t>
  </si>
  <si>
    <t>Archivo ARPs Access y TXT con los balances de producción, inyección y soportes ICO</t>
  </si>
  <si>
    <t>5. Tableros</t>
  </si>
  <si>
    <t>Presentación de modelo exponencial de declinaciones en básica e incremental primaria Reservas 2025</t>
  </si>
  <si>
    <t>7.- Presentación Reservas</t>
  </si>
  <si>
    <t>Presentación PPT &amp; EXCEL del activo Akacías con las correlaciones históricas de producción, RAP, %Wc y CCs para soportar perfiles incrementales</t>
  </si>
  <si>
    <t>1. CCs</t>
  </si>
  <si>
    <t>Carga ARPs deperfiles básica + incremental en ValNav + conteo de pozos y TOW</t>
  </si>
  <si>
    <t>10.- Conteo de pozos</t>
  </si>
  <si>
    <t>Presentación PPT y análsis  IMR 3T de la básica más incremental</t>
  </si>
  <si>
    <t>8.- IMR 3T</t>
  </si>
  <si>
    <t>Generación de perfiles Robustez, para ánalisis de de rentabilidad pozo a pozo</t>
  </si>
  <si>
    <t>https://ecopetrol.sharepoint.com/:f:/s/IAAKACIAS/Et2XXaKuOshAkr9O1lhJ5h4BQUweGJoIr6oxoHEgjIG7bg?email=laura.cubides%40ecopetrol.com.co&amp;e=Q95O4j</t>
  </si>
  <si>
    <t>Cargue en Molinos proyecto Frontera, A2.2, A2.1 A1.3</t>
  </si>
  <si>
    <t>PD E:\c3040586\Documents\I&amp;A\Petrel\Proyecto_Sept_2025_I&amp;A</t>
  </si>
  <si>
    <r>
      <t xml:space="preserve">Diego Galeano:
</t>
    </r>
    <r>
      <rPr>
        <sz val="9"/>
        <color theme="1"/>
        <rFont val="Verdana"/>
        <family val="2"/>
      </rPr>
      <t>*</t>
    </r>
    <r>
      <rPr>
        <b/>
        <sz val="9"/>
        <color theme="1"/>
        <rFont val="Verdana"/>
        <family val="2"/>
      </rPr>
      <t xml:space="preserve"> </t>
    </r>
    <r>
      <rPr>
        <sz val="9"/>
        <color theme="1"/>
        <rFont val="Verdana"/>
        <family val="2"/>
      </rPr>
      <t>Trabajo enfocado en presentacion y informae tecnico de Autoria de reservas 2026 campo Castilla,  maduración hasta llevarlo a FID el proyecto Intervenciones GDT-
* Seguimiento de Workover de la Unidad T2 del proyecto Mudulo Integral</t>
    </r>
  </si>
  <si>
    <r>
      <t xml:space="preserve">Diego Pinto:
</t>
    </r>
    <r>
      <rPr>
        <sz val="9"/>
        <color theme="1"/>
        <rFont val="Verdana"/>
        <family val="2"/>
      </rPr>
      <t xml:space="preserve">* Se realizó el monitoreo técnico continuo de los inyectores CLIA y los pozos de disposición, evaluando su desempeño hidráulico y condiciones de integridad.
* Como resultado, se ejecutaron acciones orientadas a mitigar el daño generado por la presencia de sólidos en la corriente de inyección, incluyendo la aplicación de bacheos químicos. 
* Asimismo, se desarrolló un análisis "What If" para evaluar intervenciones a corto plazo en pozos CLIA tipo slim, con el objetivo de reducir pérdidas por fricción y aumentar las tasas de inyección.
* Se actualizó la base de datos técnica en la plataforma SAHARA y el repositorio documental en WellMeeting, asegurando la trazabilidad y disponibilidad de la información operativa más reciente.
* Adicionalmente, se dio seguimiento al desempeño de los inyectores bajo inyección piloto de química continua en el PAD-4 y los nuevos pozos CLIA perforados. </t>
    </r>
  </si>
  <si>
    <t>https://ecopetrol.sharepoint.com/sites/gcres/vro/Forms/AllItems.aspx?id=%2Fsites%2Fgcres%2Fvro%2FInformacion%5FEnviada%2FCHICHIMENE%2F3%2E%20Tecnica&amp;viewid=2e604630%2D8d97%2D4567%2Db3ee%2D0f1c0815b1e8&amp;FolderCTID=0x012000C7AA752B8739E44AAF4CF2E7FC099EDD&amp;ovuser=a4305987%2Dcf78%2D4f93%2D9d64%2Dbf18af65397b%2Cgeisson%2Ezafra%40ecopetrol%2Ecom%2Eco&amp;OR=Teams%2DHL&amp;CT=1759246910809&amp;clickparams=eyJBcHBOYW1lIjoiVGVhbXMtRGVza3RvcCIsIkFwcFZlcnNpb24iOiI0OS8yNTA5MTExNjAxNSIsIkhhc0ZlZGVyYXRlZFVzZXIiOmZhbHNlfQ%3D%3D</t>
  </si>
  <si>
    <t>https://ecopetrol.sharepoint.com/:f:/r/sites/SeguimientoIAChichimeneECP/Documentos%20compartidos/39.%20Incrementales%20P50%20-%20Ingenieria/2025/08.%20Agosto?csf=1&amp;web=1&amp;e=59RDS8</t>
  </si>
  <si>
    <t>Tablero proyecciones Chichimene 3.7.9</t>
  </si>
  <si>
    <t>Colaboración en la actualización del informe y presentación reservas Chichimene</t>
  </si>
  <si>
    <t>Cargue PDI ESC01, ESC02, ESC03 2026 en Assembler</t>
  </si>
  <si>
    <t>Ejercicios de Balance de Agua para cada uno de los escenarios.</t>
  </si>
  <si>
    <t>Perfiles de pozos de gas con nuevo cronograma, perfiles proyecto integrado Pachaquiaro - Polux.</t>
  </si>
  <si>
    <t>https://ecopetrol.sharepoint.com/:u:/r/sites/YACIMIENTOS-APIAY/Documentos%20compartidos/General/DOCUMENTOS%20SOPORTE/PDI/2025/Pruebas%20NO%20TOCAR!!!!%20NO%20ELIMINAR!!!/TABLERO%203%20ESCENARIOS%20CONSOLIDADOS/PDI%202025%203%20ESCENARIOS%20+%20RESERVAS%202025%20+%20AUD%202024%20+%20VT%20ECP%20V2%20+%20ALLOCATION.pbix?csf=1&amp;web=1&amp;e=BDckdf ; https://ecopetrol.sharepoint.com/:x:/r/sites/YACIMIENTOS-APIAY/Documentos%20compartidos/General/PROYECTOS/GAS%20-%20%20Zocay/2025/Perfiles/PDT%2022%20agosto%202025/Perfiles%20gas%20PilExp%2004092025.xlsx?d=wb1cb16f6130548d181b9c3bead053120&amp;csf=1&amp;web=1&amp;e=35bzkM</t>
  </si>
  <si>
    <t>Actualización semanal del modelo estático y dinámico del yacimiento y pozos del campo Akacias, mediante el proyecto Sahara a Sept-2025 (Cargadores y modelo final)</t>
  </si>
  <si>
    <t>1. X:\CHICHIMENE\INFORMACIÓN_CAMPO_CHICHIMENE\23.-Inyeccion de Agua\10. MONITOREO\09. Proyecto Sahara\2025\09. Septiembre
2. W:\Akacias\2.- Ingeniería de Yacimientos\1.MONITOREO\1.Sahara\2025\9. Septiembre</t>
  </si>
  <si>
    <t>Actualización de los cargadores para corrida RWA ChiAk con la información de formas 9 para definir la incremental por secundaría</t>
  </si>
  <si>
    <t>1. W:\Akacias\2.- Ingeniería de Yacimientos\1.MONITOREO\16.RWA\AKACIAS\2025\8. Agosto\Cargadores Formas</t>
  </si>
  <si>
    <t>Distribución de la producción asociada a la implementación del WF en los patrones de inyección del campo AK por medio del metodo RWA con la información a cierre de Ago-2025 para verificar el VRR y FR en los patrones que actualemente se encuentran inyectando</t>
  </si>
  <si>
    <t>1. W:\Akacias\2.- Ingeniería de Yacimientos\1.MONITOREO\16.RWA\AKACIAS\RWA para VRR\2025\8. Agosto</t>
  </si>
  <si>
    <t>Líneas base de primaria para los pozos AK-78 y NE-3 a fin de reportar incremental posterior a la reactivación de estos pozos.</t>
  </si>
  <si>
    <t>1. W:\Akacias\2.- Ingeniería de Yacimientos\1.MONITOREO\19.Sistematica WF Akacias\2025\07. Septiembre</t>
  </si>
  <si>
    <t>Elaboración del memorando de completamiento del pozo AK-101, escenarios de producción corregidos por el potencial del CL-8B. Con actualización del registro de cemento y revisión por parte del coordinador y envio para firmas del lider del activo</t>
  </si>
  <si>
    <t>1. W:\Akacias\2.- Ingeniería de Yacimientos\1.MONITOREO\5. Memorandos Completamiento\AK-101</t>
  </si>
  <si>
    <t>Corrida de escenarios de producción por medio de análisis nodal en pipesim para el pozo AK-100, teniendo en cuenta la interpretación petrofísica, las propiedades del fluido y los pozos vecinos del CL-25</t>
  </si>
  <si>
    <t>1. https://ecopetrol.sharepoint.com/:f:/r/sites/IAAKACIAS/Documentos%20compartidos/07.Memorandos%20de%20Completamiento/AK-101?csf=1&amp;web=1&amp;e=GgLU2V</t>
  </si>
  <si>
    <t>Propuesta de ajustes en el perfil vertical y actividades de limpieza con CT en pozos inyectores</t>
  </si>
  <si>
    <t>1. https://ecopetrol.sharepoint.com/:x:/r/sites/GLC/PUC/Recobro/05.%20TBG%20Inyecci%C3%B3n%20-%20Recobro/Seguimiento_ILTs_Historia_Pozos.xlsx?d=w2a6e23d2701a43959d15437da623a0dd&amp;csf=1&amp;web=1&amp;e=Dhen0M</t>
  </si>
  <si>
    <t>Seguimiento a las actividades ejecutadas en la campaña de WO 2025-206 y rediseños por OPEX ejecutadas a la fecha por medio del seguimiento de reportes diarios</t>
  </si>
  <si>
    <t>1. https://ecopetrol.sharepoint.com/:f:/r/sites/IAAKACIAS/Documentos%20compartidos/08.Reportes%20Diarios%20Producci%C3%B3n%20Akacias/2025/9.%20Septiembre?csf=1&amp;web=1&amp;e=F5Y4sZ</t>
  </si>
  <si>
    <t>\\10.100.25.60\sya\gec\JOSE GABRIEL NASSAR - PORTAFOLIO CASTILLA\0. ENTREGABLES\20. SEPTIEMBRE_2025</t>
  </si>
  <si>
    <t>- Carga en ARPS de curva básica y proyectos de inyección alocados en sus respectivos pozos productores para ejercicio de reservas.
- Cierre de pozos a diferentes valores de WOR/Qo y sensibilidad de extensión de límites económicos para certificación de reservas.</t>
  </si>
  <si>
    <t>- Realización presentación de Auditoria de Reservas.
- Soporte a compañeros de largo plazo y corto plazo en presentación soporte de reservas.</t>
  </si>
  <si>
    <t>- Generación de varios escenarios de pronósticos del proyecto Expansión Recobro Mejorado Módulo 1 para conseguir el objetivo de que fuera económico. Se incluye para cada escenario del proyecto, un proyecto de cierre de pozos para habilitar capacidades para la entrada del proyecto.</t>
  </si>
  <si>
    <t xml:space="preserve">- Justificación de Informe de Movimiento de Reservas para el tercer trimestre de 2025.
</t>
  </si>
  <si>
    <t xml:space="preserve">- Carga de datos de pronósticos escenario certificación de Reservas.
- Balanceo de aguas de disposición, reuso y vertimiento para escenario certificación de reservas.
- Validación de volúmenes cargados en la herramienta Assembler.
</t>
  </si>
  <si>
    <t>1) Revisón de información sismica para los pozos pertencientes a los patrones de inyección para identificar estructuras y establecer conectividades en los patrones de inyección. En busqueda del mejoramiento del factor de conectividad geológico.
2) Revisión información sísmica para identificar fallas o estrucutras en los patrones de inyección en pro de actualziar el factor de conectividad geológica para el campo Akacias.
3) Revisión en conjunto con el área de geofísica de la informaicón sismica para los próximos pozos a perforar y a completar (AK-100 y AK-99) según cronograma.</t>
  </si>
  <si>
    <t xml:space="preserve"> \\10.100.25.35\pgtrabajodigital\JAH\Proyecto
Z:\akacias\2.- Ingeniería de Yacimientos\1.MONITOREO\19.Sistematica WF Akacias\2025\09.Septiembre</t>
  </si>
  <si>
    <t>1) Generación mapas, cortes y correalciones para hacer seguimiento a los patrones de inyección del campo y monitoreo a los pozos productores.
2) Contrucción mapas de soporte para elaboración del informe y la presentación de la Interventoría de Reservas 2025 para el Campo Akacias.</t>
  </si>
  <si>
    <t>1) Revisión del modelo estrucutural para el análisis de los patrones de inyección y así establecer la comunicación entre Inyec-produc durantes las sesiones de WF Akacias.
2) Revisión de los posibles sellos estructurales que condicionen el factor falla involucrado en la determinación del factor de conectividad geológico.
3) Análisis de las fallas dentro del estudio para identificar la influencia del acuífero en el campo a nivel CHIAK.</t>
  </si>
  <si>
    <t>1) Revisión de la información sismíca con la trayectoria en las trayectorias entre pozos inyectores y porductores para identicar el Factor falla involucrado dentro del factor de conectividad geológica, insumo para actualizar el factor de conectividad geológico y el mapa de conectividad.</t>
  </si>
  <si>
    <t xml:space="preserve">1) Actualización del Tablero de G&amp;G CHIAK a corte de Agosto/2025.
2) Hacer seguimiento áreal de las facies para identificar los cambios laterales de facies que puedan indicar el comportamiento de arenas yto en los pozos productores.
3)Actualización Fc Geológica a corte de Ago/2025.
4) Generación de mapas de PWF y Rendimiento para el Campo Akacias a corte de Ago/2025.
</t>
  </si>
  <si>
    <t>1) Actualización última información aprobada para los próximos pozos a completar (AK-99 y AK-100)</t>
  </si>
  <si>
    <t>1) Actualización con la base de datos con información de nuevos registros adquiridos, PLT, ILT e información final de próximos pozos a perforar.</t>
  </si>
  <si>
    <t>Se continuó el seguimiento y monitoreo a los pozos productores de los patrones de la zona Centro, los cuales se ven afectados por los procesos de inyección de agua en el campo.  como de pozos productores asociados, y determinar las intervenciones correspondientes para la optimización de los pozos. 7)	Se procedió a realizar la actualización del archivo de brechas de inyección a corte Agosto/2025 para los siguientes pozos: CH12A, CH-183ST, CH-182, CH-52, CH-77, CH-187, CH-32, CH-110, CH-132, CH-47, CH-185, CH-214, CH-215 y CH-216, haciendo especial énfasis en las limitaciones existentes en algunos de ellos, asociadas principalmente a temas de bomba y/o superficie. Para este análisis, se utilizaron los valores liquidados en términos de inyección para cada uno de los pozos anteriormente mencionados comparados con los valores establecidos de caudales de inyección</t>
  </si>
  <si>
    <t>Y:\INFORMACIÓN_CAMPO_CHICHIMENE\23.-Inyeccion de Agua\10. MONITOREO\09. Proyecto Sahara\2025\09. Septiembre</t>
  </si>
  <si>
    <t>Teniendo en cuenta la información proveniente de las bases de datos (AVM) se procedió a realizar y enviar oportunamente los reportes de producción diarios asignados y distribuidos de manera mensual, para este caso, durante el mes de Septiembre</t>
  </si>
  <si>
    <t>Se realizó la actualización de los factores de alocación para los pozos inyectores asignados de la zona centro sur – centro norte – norte teniendo en cuenta los últimos registros ILT tomados en cada uno de ellos: CH-12ª, CH-183ST, CH-182, CH-52, CH-77, CH-187, CH-32, CH-110, CH-132, CH-47, CH-185, CH-214, CH-215 y CH-216.De igual forma, se realizó la evaluación tanto de pozos inyectores como de pozos productores asociados, y determinar las intervenciones correspondientes para la optimización de los pozos</t>
  </si>
  <si>
    <t>Dentro de las actividades desarrolladas durante el mes de Septiembre, consistió en la revisión detallada de aquellos patrones, los cuales durante la corrida de RWA de este mes, presentaron pérdidas en términos de producción de aceite con respecto al mes inmediatamente anterior. En este caso, los patrones que experimentaron pérdidas fueron los siguientes: CH-77, CH-132, CH-214 y CH-216. El CH-77 presentó disminución en la tasa de inyección además de diferidas asociadas principalmente a taponamiento del tramo de la línea (Múltiple CL35). CH-132 presentó falla en el pozo productor CH-128. CH-214 presentó diferidas asociadas principalmente a limpieza de filtro en la línea de succión, y finalmente el CH-216 presentó diferidas asociadas principalmente a baja presión de succión en bomba Booster y baja presión de descarga</t>
  </si>
  <si>
    <t>32. RWA Agosto 2025</t>
  </si>
  <si>
    <t>Durante el mes de Septiembre, se continuó trabajando en el informe que se debe presentar ante la ANH referente al piloto de inyección de Nano CEOR en tres (3) de los patrones de inyección en el campo Chichimene (CH-132, CH-228, CHSW-80), principalmente refinando detalles relacionados con los resultados de las pruebas de desplazamiento (Coreflooding) realizadas en la Universidad Nacional sede Medellín para la determinación de factores de recobro (FR) y los resultados de las simulaciones ejecutadas en REVEAL en orden de predecir de igual forma el aceite incremental que se obtendrá mediante la implementación y ejecución de este piloto en el Campo Chichimene.</t>
  </si>
  <si>
    <t>Dentro del proyecto piloto de Nano CEOR para pozos inyectores en el campo Chichimene, más exactamente en los patrones CH-132, CH-228, CHSW-80 se realizó la actualización de parámetros correspondientes a cada uno de los patrones anteriormente mencionados, referente a volúmenes poroso (VP) HCPV, espesores y áreas (Acres) todo discretizado por capa (T2_60, T2_50 T2_40 T2_30 T2_20 T2_10) con la finalidad de realizar el análisis de dilución correspondiente de los químicos que serán inyectados en estos patrones de inyección.</t>
  </si>
  <si>
    <t>Dentro del plan de monitoreo de K, la cual es una de las actividades en las cuales me encuentro de frontal, se realizó la toma de presión en uno de los pozos inyectores del proyecto Corocora (CH-59) durante el mes de Septiembre, con la finalidad el dato de presión obtenido en el año 2024, el cual era una presión @PMP de 3692 psi y 3885 psi @datum. Con la prueba realizada durante este mes de Septiembre del presente año en curso, el resultado obtenido fue de 3567 psi @PMP y de 3761 psi @datum. Teniendo en cuenta estos resultados, y en espera de realizar la prueba de presión estática en el CH-99 y el FOT en el CHSW-12 se procederá a revisar de manera multidisciplinaria la viabilidad de ejecutar las acciones de aumento de inyección en K en la zona sur del campo</t>
  </si>
  <si>
    <t>En el mes de Septiembre, dentro de las actividades ejecutadas se encontró la revisión de los PLT´s tomados durante todo el año 2024 con la finalidad de poder obtener un análisis completo de la totalidad del campo Chichimene, y basados en ello, encaminar las futuras acciones a implementar bajo las premisas obtenidas en el análisis. Para mi zona central del campo, los PLT´s evaluados correspondieron a los pozos CH-46, CH-15, CH-19, CH-179R, CH-89. Para el caso particular de los pozos CH-19 y CH-179R dados sus altos valores de BSW, los resultados de los registros PLT´s no pudieron discretizarsen en términos de producción de aceite y producción de agua.</t>
  </si>
  <si>
    <t>Correlaciones PLT 2024.pptx</t>
  </si>
  <si>
    <t xml:space="preserve"> Continuó el monitoreo, control y seguimiento del pozo productor CH-50, en el cual se realizó la estimulación con nanos. Para este pozo, ya se cuenta con la definición de la línea base (para la cual se eligió un período de tiempo con frecuencia estable, con punto de amarre al valor de la última prueba de producción 20/Mayo/2025, obteniendo un valor de declinación Dni Oil 0,025 y líquido constante). De acuerdo con el monitoreo, se ha observado un comportamiento positivo post intervención en el pozo, el cual se ha visto reflejado en aumento en términos de potencial de aceite, disminución en producción de agua y disminución considerable en el corte de agua, el cual pasó de valores cercanos a 93,2% a valores cercanos a 86%</t>
  </si>
  <si>
    <t xml:space="preserve">Actualizacion de modelo petrofisico / Suria - Suria Sur en formaciones T2 y K  y Apiay formacion T1.   </t>
  </si>
  <si>
    <t>https://ecopetrol.sharepoint.com/sites/INTERVENCIONESGDA/Documento/Proyectos_MariaMojica/_Septiembre_2025</t>
  </si>
  <si>
    <t>Interpretacion y seguimiento al registro de saturacion corrido en el pozo S74 - Adicionales a equipo de corto plazo</t>
  </si>
  <si>
    <t xml:space="preserve">Analisis de datos corregidos por fluidos, para deficinicion de funcion J. </t>
  </si>
  <si>
    <t>Actualización modelo analítico de yacimientos ARPS para los proyectos Frontera, ANE, Etpaa A3</t>
  </si>
  <si>
    <t>Generación perfiles de producción escenarios bajo, medio, alto en ARPS</t>
  </si>
  <si>
    <t>INTERVENCIONES GDA - Documentos - Septiembre 2025 - Todos los documentos</t>
  </si>
  <si>
    <t xml:space="preserve">Análisis de Volumen Recuperable.
Primaria 
De acuerdo con la solicitud del Grupo de excelencia técnica se hizo un análisis Vintage Eur para los Campos de Castilla y de Suria.
Campo Suria.
•	Análisis del comportamiento de producción en primaria del campo Suria.
•	Objetivo exclusivo de la Unidad T2.
•	56 pozos perforados distribuidos en 16 campañas de perforación.                                       Campo Castilla
•	Análisis del comportamiento de producción en primaria del campo  Castilla.
•	Objetivo exclusivo de la Unidad T2.
•	37 pozos perforados distribuidos en 7 campañas de perforación.                                                             Premisas del Desarrollo Conceptual
Las premisas consideradas para la definición de la estrategia de desarrollo fueron las siguientes:
	Análisis de comportamiento en producción primaria y en recuperación secundaria mediante inyección de agua, basado en los campos Suria y Pachaquiaro.
	Enfoque exclusivo en la Formación San Fernando, Unidad T2.
	Condiciones de yacimiento y propiedades petrofísicas similares al campo de referencia.
	Se asume que el pozo Polux-1, programado para mediados de 2026, será exitoso y confirmará la saturación de hidrocarburos en la unidad T2.
	Actividades de perforación en simultáneo con dos taladros, en una ventana de 3 a 4 años.
	Estrategia de producción con un periodo inicial de producción primaria (~6 meses) previo al inicio de inyección de agua.
	Se estima alcanzar un factor de recobro cercano al 10% en el caso bajo (~3.3% primaria + ~7.2% secundaria), del 13,5% en el caso medio (~5.7% primaria + ~7.8% secundaria) y un 17,8% en el escenario alto (~8.1% primaria + ~9.6% secundaria); de acuerdo con los perfiles planteados. 
       </t>
  </si>
  <si>
    <t>Curvas Características
En el caso de la Secundaria el grupo de la GET pidió realizar análisis de curvas características de los campos de Castilla y de Suria , en el caso de este último el análisis de todos los patrones                                                                                                          Campo Suria :                                                                                                                   •	Análisis del comportamiento por secundaria de 9 patrones de Inyección de agua. (3 Piloto y 6 Etapa 1)
•	En Suria la Inyección de agua tiene como principal objetivo la unidad T2.
•	Análisis con respuesta de pozos de primera línea.
•	Volumen Poroso /Patrón :10.5Mbl. / FR Actual @ 3.3%                                             Campo Castilla :                                                                                                                   •	Análisis del comportamiento por secundaria de 9 patrones de Inyección de agua.  	•	Análisis con respuesta de pozos de primera línea.
•	Volumen Poroso /Patrón :14,8Mbl. / FR Actual @ 0,8%</t>
  </si>
  <si>
    <t xml:space="preserve"> A) Actualización de la información oficial en el modelo ChiAk: producciones mensuales, diarias, ILT's, factores de alocación, definición de pozos. </t>
  </si>
  <si>
    <t>A)Evaluación/metodología de impacto instalación filtro Tukano CL39</t>
  </si>
  <si>
    <t>A) Actualización de distribución de inyección y eficiencia por capa para los inyectores a cargo en la zona SW.</t>
  </si>
  <si>
    <t>A) Revisión aumentos de inyección en K zona sur. B) Revisión CHSW29 propuesta de conversión - inyector K.</t>
  </si>
  <si>
    <t>A) Seguimiento de brechas de inyección a corte ago-25 - evolución de cumplimiento por formación - recopilación de causas y plan.</t>
  </si>
  <si>
    <t>A) Informe seguimiento proyecto frontera ANH a agosto/25.  B) Seguimiento pozos frontera GLH.</t>
  </si>
  <si>
    <t>A) Seguimiento de pozos zona sur - diagnóstico B) Revisión integrada PLT's 2024 de los pozos a cargo.</t>
  </si>
  <si>
    <t>A) Seguimiento de pozos con nanotecnología a corte de ago-25 / apoyo en definición de Lb</t>
  </si>
  <si>
    <t xml:space="preserve">  A) Envío de reporte de producción diario en los días asignados                                         B) Revisión de pozos con perdida de potencial post WSV.</t>
  </si>
  <si>
    <t xml:space="preserve">A) El modelo cada semana se cargó en la siguiente ruta : Z:\CHICHIMENE\INFORMACIÓN_CAMPO_CHICHIMENE\23.-Inyeccion de Agua\10. MONITOREO\09. Proyecto Sahara\2025\09. Septiembre                                                    </t>
  </si>
  <si>
    <t>A) Sesiones vía teams y soporte de cálculo: https://ecopetrol.sharepoint.com/:f:/r/sites/SeguimientoIAChichimeneECP/Documentos%20compartidos/03.%20Seguimiento%20Inyectores/Tukano?csf=1&amp;web=1&amp;e=cDVN7v</t>
  </si>
  <si>
    <t>A) Distribución de inyección por capa: https://ecopetrol.sharepoint.com/:x:/r/sites/SeguimientoIAChichimeneECP/Documentos%20compartidos/02.%20Tablero%202.3/2024/Distribuci%C3%B3n%20de%20inyecci%C3%B3n%20por%20capa%20WF.xlsx?d=w4f4885a719ee4ef8a772a9a7e24d7957&amp;csf=1&amp;web=1&amp;e=UtTkQK   Eficiencia de inyección: https://ecopetrol.sharepoint.com/:x:/r/sites/SeguimientoIAChichimeneECP/Documentos%20compartidos/02.%20Tablero%202.3/2024/Eficiencia%20de%20inyecci%C3%B3n%20WF.xlsx?d=w42510acd4f44417a9496d68058da7a7b&amp;csf=1&amp;web=1&amp;e=SECL9c</t>
  </si>
  <si>
    <t>A) Sesiones vía teams y soportes: https://ecopetrol.sharepoint.com/:f:/r/sites/SeguimientoIAChichimeneECP/Documentos%20compartidos/03.%20Seguimiento%20Inyectores/Inyecci%C3%B3n%20K?csf=1&amp;web=1&amp;e=ec3Rr3                                                      B) Soportes CHSW29 Conversión: https://ecopetrol.sharepoint.com/:f:/r/sites/SeguimientoIAChichimeneECP/Documentos%20compartidos/03.%20Seguimiento%20Inyectores/Inyecci%C3%B3n%20K/CHSW-29?csf=1&amp;web=1&amp;e=Yzn0fb</t>
  </si>
  <si>
    <t xml:space="preserve">A) Excel de seguimiento brechas inyección ago-25: https://ecopetrol.sharepoint.com/:x:/r/sites/SeguimientoIAChichimeneECP/Documentos%20compartidos/11.%20Desviaciones%20Prod_Iny%20Real%20vs%20P50%20vs%20Auditoria%20vs%20PDI%20vs%20GOP%20vs%20POP/Seguimiento%20Inyectores%20Ago25%20%20GCH.xlsx?d=wff042557ac5c494eb9efdb132db7237f&amp;csf=1&amp;web=1&amp;e=BcjthV                                         </t>
  </si>
  <si>
    <t>A) Informe frontera ANH ago25:            https://ecopetrol.sharepoint.com/:w:/r/sites/SeguimientoIAChichimeneECP/Documentos%20compartidos/36.%20Pozos%20Frontera/Informes/Informe%20Seguimiento%20Frontera%20%20-%20Agosto%202025.docx?d=wa99692f0edbf4cfbaeaef12e5add4af2&amp;csf=1&amp;web=1&amp;e=PRUHvG                                                                                                               B) Sesiones via teams y acta de Wellmeeting.</t>
  </si>
  <si>
    <t>A) Sesiones vía teams (sistemática seguimiento Chichimene) - acciones en Wellmeeting.                                      B) Soporte PLT's: https://ecopetrol.sharepoint.com/:p:/r/sites/SeguimientoIAChichimeneECP/Documentos%20compartidos/31.%20Plan%20de%20Monitoreo/2024/PLT%202024/Correlaciones%20PLT%202024.pptx?d=w7e944aa8ead84837baa1347a441fd887&amp;csf=1&amp;web=1&amp;e=f9TZBv</t>
  </si>
  <si>
    <t>A) Sesiones vía teams, soportes en el siguiente link: https://ecopetrol.sharepoint.com/:p:/r/sites/SeguimientoIAChichimeneECP/Documentos%20compartidos/07.%20Pozos%20Nanofluidos/Nanoproductores/18092025_Nanoproductores.pptx?d=w4031244d4cdb4e75b79d880d22d2fc3e&amp;csf=1&amp;web=1&amp;e=Lohwgk</t>
  </si>
  <si>
    <t>A) Tablero 2.6:  https://ecopetrol.sharepoint.com/:u:/r/sites/SeguimientoIAChichimeneECP/Documentos%20compartidos/04.%20Pwf%20Chichimene/2.61_SeguimientoProducci%C3%B3nChiak.pbix?csf=1&amp;web=1&amp;e=lEzgkT                                                  B) Soporte de revisión pozos a cargo: https://ecopetrol-my.sharepoint.com/:p:/g/personal/briggite_camacho_ecopetrol_com_co1/EVh1annnQQpMiq0Ouv4YNrIB4DHAebd04X-lQQ64s1zoCg?e=1mQtly</t>
  </si>
  <si>
    <t>Se realizó cargue de pruebas de produccion, tasas de inyección, pruebas de ILT en la BD de Sahara CAN432, CAN56, CAN700 y CAN350 adicionalmente se realiza el seguimiento a las 5 optimizaciones, y 2 WO (ejecutados).</t>
  </si>
  <si>
    <t>Para esta actividad se genera distribución vertical por unidad para los inyectores asociados a la Zona Centro Norte. La distribución se encuentra actualizada a la fecha con los últimos valores de ILT para cada inyector CAN432, CAN56, CAN700 y CAN350 La evidencia se encuentra en la Base de Datos SAHARA.</t>
  </si>
  <si>
    <t xml:space="preserve">De acuerdo con el seguimiento a la producción e inyección, se realizó el seguimiento a los patrones CA182, CAN350, CAN462, CAN60,y CAN22. </t>
  </si>
  <si>
    <t xml:space="preserve">Para este ítem para el mes de septiembre se realizó los perfiles generados para los pozos candidatos a (RDG) rediseño y Workover (WO)  los cuales quedan registrados en la ruta del equipo de taller de producción GDT </t>
  </si>
  <si>
    <t>Para este ítem se realizó carga de datos de ILT en la BD de Sahara. Se realizó la actualización de volumetrías del pozo CAN15 y CAN57.</t>
  </si>
  <si>
    <r>
      <t>Christian Pardo:</t>
    </r>
    <r>
      <rPr>
        <sz val="9"/>
        <color theme="1"/>
        <rFont val="Verdana"/>
        <family val="2"/>
      </rPr>
      <t xml:space="preserve">
Se realizó cada una de las actividades propuestas para el periodo de la prestación del servicio.</t>
    </r>
  </si>
  <si>
    <t>Inventario - Informe</t>
  </si>
  <si>
    <t>Informe</t>
  </si>
  <si>
    <t>Información digital - Informe</t>
  </si>
  <si>
    <t xml:space="preserve">Diego Pinto:
</t>
  </si>
  <si>
    <r>
      <t>Aura Traslaviña:</t>
    </r>
    <r>
      <rPr>
        <sz val="9"/>
        <color theme="1"/>
        <rFont val="Verdana"/>
        <family val="2"/>
      </rPr>
      <t xml:space="preserve">
</t>
    </r>
  </si>
  <si>
    <r>
      <t>Christian Pardo:</t>
    </r>
    <r>
      <rPr>
        <sz val="9"/>
        <color theme="1"/>
        <rFont val="Verdana"/>
        <family val="2"/>
      </rPr>
      <t xml:space="preserve">
</t>
    </r>
  </si>
  <si>
    <r>
      <t xml:space="preserve">Diego Galeano:
</t>
    </r>
    <r>
      <rPr>
        <sz val="9"/>
        <color theme="1"/>
        <rFont val="Verdana"/>
        <family val="2"/>
      </rPr>
      <t>* Trabajo enfocado en inicio de ejecución de Campaña Intervenciones 2025-2027 Castilla.
* Seguimiento de Workover de la Unidad T2 del proyecto Mudulo Integral.
* Actualizacion de candidatos de Workover Proyecto Workover Secundario GDT</t>
    </r>
  </si>
  <si>
    <t>Una de las actividades ejecutadas en el mes de Octubre, correspondió al análisis y evaluación de aquellos pozos del campo Chichimene, los cuales estuvieron en WSV, pero posterior al arranque el comportamiento en términos de producción de aceite disminuyó. Dentro de los pozos analizados se encontraron: CHSW05, CHSW-36, CHSW-39, CHSW-50, CHSW-41ST, CHSW-55, CHSW-61, CH-36, CH-51, CH-30, CH-90H, CH-103, CH-104, CH-128, CH-108, CH-162, CH-164, CH-85. 	Se continuó el control, monitoreo y seguimiento de los siguientes patrones pertenecientes en la zona norte – centro norte: CH-12ª, CH-183ST, CH-182, CH-52, CH-77, CH-187, CH-32, CH-110, CH-132, CH-47, CH-185, CH-214, CH-215 y CH-216. De igual forma, se realizó la evaluación tanto de pozos inyectores como de pozos productores asociados, y para determinar las acciones pertinentes a ejecutar y mantener el buen comportamiento de los mismos.</t>
  </si>
  <si>
    <t>Y:\INFORMACIÓN_CAMPO_CHICHIMENE\23.-Inyeccion de Agua\10. MONITOREO\09. Proyecto Sahara\2025\10. Octubre</t>
  </si>
  <si>
    <t>Se continuó el seguimiento y monitoreo a los pozos productores de los patrones de la zona Centro, los cuales se ven afectados por los procesos de inyección de agua en el campo. Se realizó el envío de los informes de producción del campo Chichimene con la información proveniente de la base de datos de AVM.</t>
  </si>
  <si>
    <t xml:space="preserve">Se procedió a realizar la actualización del archivo de brechas de inyección a corte Septiembre/2025 para los siguientes pozos: CH12A, CH-183ST, CH-182, CH-52, CH-77, CH-187, CH-32, CH-110, CH-132, CH-47, CH-185, CH-214, CH-215 y CH-216, haciendo especial énfasis en las limitaciones existentes en algunos de ellos, asociadas principalmente a temas de bomba y/o superficie. Para este análisis, se utilizaron los valores liquidados en términos de inyección para cada uno de los pozos anteriormente mencionados comparados con los valores establecidos de caudales de inyección. </t>
  </si>
  <si>
    <t>Para el mes de Octubre, se realizó el diligenciamiento de las causas de desempeño para el campo Chichimene, donde se logró apreciar el buen comportamiento de los patrones de Frontera, comparando los valores reales de Septiembre vs los valores planeados, lo cual refuerza las buenas acciones y el buen trabajo multidisciplinario realizado entre Akacías y Chichimene. Buenas prácticas que deben permanecer en el tiempo.</t>
  </si>
  <si>
    <t>33. RWA Septiembre 2025</t>
  </si>
  <si>
    <t>De manera paralela, se procedió a actualizar el tablero 2.1, enfocado principalmente en la actualización de las visuales relacionadas con las optimizaciones de los pozos del campo Chichimene que pertenecen a la fase IV de optimizaciones. Para el mes de Septiembre se reportó un incremental de aceite 1226 BOPD asociado a las optimizaciones con una producción de agua incremental de 8637 BWPD</t>
  </si>
  <si>
    <t>10. Tablero 2.1</t>
  </si>
  <si>
    <t>Durante el mes de Octubre, dentro de las actividades en las cuales me encontré de focal, consistió en la actualización del cargue real de Molinos, el cargue trimestral de Molinos por tecnología, correspondiente al campo Chichimene, así como la actualización del tablero 2.1 la visual correspondiente a las optimizaciones de los pozos pertenecientes a la fase IV, las causas de desempeño del campo y el RWA Visualizador</t>
  </si>
  <si>
    <t>Por otra parte, otra de las actividades desarrolladas durante el mes de Octubre consistió en la actualización del cargador trimestral por tecnología. Para ello, se realizó la actualización de la inyección a corte Sep/2025 teniendo en cuenta el reporte oficial de inyección, la inyección asociada a CEOR, y la inyección asociada a WF. Asimismo, se actualizó la producción de aceite WF T2, discretizando la producción K y la producción WF total. Referente al piloto CEOR, se actualizó la información relacionada con aceite producido, agua producida, gas producido, agua inyectada. Seguidamente, el agua producida se actualizó a corte Sep/2025, teniendo en cuenta el agua producida WF + CEOR, WF K, agua relacionada a primaria, CEOR y WF agua producida total</t>
  </si>
  <si>
    <t>Dentro del plan de monitoreo de K, la cual es una de las actividades en las cuales me encuentro de frontal, se realizó el análisis de los valores de presión medidos en el  campo Chichimene, y se analizó junto con el equipo de simulación la temporalidad bajo la cual se podría implementar la estrategia de aumento de inyección en K en la zona sur. Importante garantizar un adecuado monitoreo de la presión en la zona con el fin de evitar cualquier efecto no deseado.</t>
  </si>
  <si>
    <t>Referente a la actividad del cargue de los reales para Molinos, se realizó la construcción de los siguientes cargadores: Modulo 1 CIS, Piloto CIS, Real Chichimene 40 Acres Etapa 2, Real Chichimene 40 Acres WF, Real Chichimene CH-12ª, Real Chichimene Corocora, Real Chichimene Etapa 1 Upside, Real Chichimene Inyección WF K1K2, Real Chichimene Módulo Integral, Real Chichimene Piloto WF, Real Chichimene Frontera, Real Chichimene WF K1K2. Para cada uno de ellos, se realizó la actualización correspondiente de aceite, agua producida, gas producido, agua inyectada para cada cargador, lo cuales quedaron actualizados a corte Sep/2025.</t>
  </si>
  <si>
    <t>Cargue de perfiles de inyección y producción en Sahara. Actualización mensual del mes de octubre.</t>
  </si>
  <si>
    <t>Z:\INFORMACIÓN_CAMPO_CHICHIMENE\23.-Inyeccion de Agua\10. MONITOREO\09. Proyecto Sahara\2025\10.Octubre</t>
  </si>
  <si>
    <t>Seguimiento de patrones de la zona sur del Campo Chichimene. Visualización de oportunidades de optimización.</t>
  </si>
  <si>
    <t>Ajuste de cargador para VRR mensual CHIAK</t>
  </si>
  <si>
    <t>9. Septiembre</t>
  </si>
  <si>
    <t>Revisión y definición Plan de Acción para el pozo CH-130. Elaboración de presentación y socialización equipo Desarrollo. Actualziación CC CHSW37 y CHSW44 como patrones externos del Piloto de Pulsos Convencional.</t>
  </si>
  <si>
    <t>03b_ECPOPT_CH.xlsm</t>
  </si>
  <si>
    <t>Revisión de pozo de la Campaña OPT 2025-2027, con el fin de definir candidatos aún con limitación y reemplazo. Seguimiento de los aumentos de inyección en T2 ejecutados a la fecha, y fecha y plan de acción para los pendeintes.</t>
  </si>
  <si>
    <t>D:\Ejerciico Limitados Pwf.xlsx   D:\Consolidado Aumentos T2.xlsx</t>
  </si>
  <si>
    <t>Análisis gráficos guía de inyección para la zona centro sur del campo.</t>
  </si>
  <si>
    <t>Material Curso Recobro GLC.pptx</t>
  </si>
  <si>
    <t>Z:\INFORMACIÓN_CAMPO_CHICHIMENE\23.-Inyeccion de Agua\10. MONITOREO\09. Proyecto Sahara\2025\09.Octubre</t>
  </si>
  <si>
    <t xml:space="preserve">Actualización del del tablero 1.1 portafolio VRO. </t>
  </si>
  <si>
    <r>
      <t xml:space="preserve">Christian Mendoza:
</t>
    </r>
    <r>
      <rPr>
        <sz val="9"/>
        <color theme="1"/>
        <rFont val="Verdana"/>
        <family val="2"/>
      </rPr>
      <t>* Actualización y Optimización de tablero 1.1 PDI 2026+ 
* Actualización tablero 2.1_Monitoreo_Proyectos_VRO. 
* Actualización y cargue de datos tablero 2.2_Monitoreo_Prod_P50.   
* Actualización y modificación tablero 2.3_Monitoreo secundaria. 
* Actualización  tablero 2.61_SeguimientoProducción ChiAk                                                                                                                                                  
* Actualización tablero 2.62_SeguimientoProducción Castilla        
* Actualización  tablero 2.63_SeguimientoProducción Apiay-Suria
* Actualización tablero 2.8_Seguimiento Pulsos
* Actualización de tablero 2.9_Calidad_de_agua_VRO</t>
    </r>
  </si>
  <si>
    <t>Archivo excel con: Generación de perfiles escenario cupo con sensibilidades 1, 3 y 5 + impactos comparativos.</t>
  </si>
  <si>
    <t>Perfil escenario Cupo vs Cert 2024+SENSIBILIDADES.xlsx</t>
  </si>
  <si>
    <t>Archivo excel con: Análisis de perfil costo marraneo de troncales norte a Orotoy</t>
  </si>
  <si>
    <t>Perfil_Beneficio_Costo_Marraneo_PDI_ESC_3_VP.xlsx</t>
  </si>
  <si>
    <t>Archivo excel con: Análsis de la básica para la generación de los perfiles de escenario cupo con sensibilidades 1, 3 y 5 + impactos comparativos.</t>
  </si>
  <si>
    <t>Archivo excel y ppt con: Análisis del desempeño del COC de A2.2 frente a su proyección y desempeño real</t>
  </si>
  <si>
    <t>PROTECCIÓN_136_291025.xlsx</t>
  </si>
  <si>
    <t>Archivo excel y ppt con: Analisis de desempeño de básica frente a la protección e incorporación de reservas</t>
  </si>
  <si>
    <t>IMPACTO BLOQUEOS NE &amp; BÁSICA 271025.xlsx</t>
  </si>
  <si>
    <t>Archivo escel con: escenario comparativo del impacto generado al retrasas las intervenciones OPT 1 año</t>
  </si>
  <si>
    <t>Archivo word: Generación de informe de producción diaria</t>
  </si>
  <si>
    <t>\Ecopetrol S.A\I&amp;A AKACIAS - Documentos\08.Reportes Diarios Producción Akacias</t>
  </si>
  <si>
    <t>Cargue en Molinos proyecto COC A2.2. Real: Frontera, A2.2, A2.1 A1.3</t>
  </si>
  <si>
    <r>
      <t xml:space="preserve">Diego Galeano:
</t>
    </r>
    <r>
      <rPr>
        <sz val="9"/>
        <color theme="1"/>
        <rFont val="Verdana"/>
        <family val="2"/>
      </rPr>
      <t>* Trabajo enfocado en inicio de ejecución de Campaña Intervenciones 2025-2027 Castilla.
* Seguimiento de Workover de la Unidad T2 del proyecto Mudulo Integral. 
* Actualizacion de candidatos de Workover Proyecto Workover Secundario GDT.</t>
    </r>
  </si>
  <si>
    <t>Se realiza el cargue de los volúmenes técnicos Forecast de los proyectos del campo como fueron enviados a certificación en la herramienta Molinos. Dichos volúmenes son los generados en el PDI 2026.</t>
  </si>
  <si>
    <t>Se lleva a cabo validación de los volúmenes migrados desde Assembler a OFM extendido y de este a Val Nav. Estos son los volúmenes técnicos que le llegan al certificador. De igual forma se valida TOW y conteo de pozos.</t>
  </si>
  <si>
    <t>Se reune la data solicitada por los certificadores y se carga en ruta técnica para que esté a disposicion de los certificadores. Se hacen ajustes y se carga nueva data solicitada por certificadores.</t>
  </si>
  <si>
    <t xml:space="preserve">Análisis del pozos del norte con respecto a cortes de agua, pozos primaria, pozos afectados o que estarán afectados por secundaria según proyecciones, cruce con análisis de rubustez. Lo anterior, con el fin de definir volúmenes de pozos que la entrada de Cachirria y pozos de inyección en K, habilitarian. </t>
  </si>
  <si>
    <t xml:space="preserve">Se analizan los reales del mes de septiembre luego de generados los archivos cargadores de formas, a fin de realizar comparaciones pozo a pozo y que se identifiquen las brechas en patrones de REAL frente a P50, CERT, GOP 1Q y PDI. </t>
  </si>
  <si>
    <t>Actualización macro balance de agua por categorias</t>
  </si>
  <si>
    <t>Seguimiento ejecuación de actividades pozos ultimo trimestre 2025</t>
  </si>
  <si>
    <t xml:space="preserve">Actualización de los ARPS para balance de agua - escenario  reservas. </t>
  </si>
  <si>
    <t xml:space="preserve">Actualización de los ARPS para los proyecto WO. </t>
  </si>
  <si>
    <t>RMS pozos CH- 222, CH-223 proyecto Etapa 2</t>
  </si>
  <si>
    <t>https://ecopetrol-my.sharepoint.com/personal/monica_martinez_ecopetrol_com_co/_layouts/15/onedrive.aspx?CT=1761966340101&amp;OR=OWA%2DNT%2DMail&amp;CID=acc25e66%2D3879%2Dd89c%2Df4a5%2D8f0b4a62564c&amp;e=5%3Af478a5ce88224f08bca961c18bafc49c&amp;sharingv2=true&amp;fromShare=true&amp;at=9&amp;id=%2Fpersonal%2Fmonica%5Fmartinez%5Fecopetrol%5Fcom%5Fco%2FDocuments%2FChiAk%2FNuevos%5FRMS%5FEtapa2&amp;FolderCTID=0x012000237776039119664CA418EEF91228A70F&amp;view=0</t>
  </si>
  <si>
    <t>Ejercicios de Balance de Agua y Capacidades.</t>
  </si>
  <si>
    <t>Actualización semanal del modelo estático y dinámico del yacimiento y pozos del campo Akacias, mediante el proyecto Sahara a Oct-2025 (Cargadores y modelo final)</t>
  </si>
  <si>
    <t>1. X:\CHICHIMENE\INFORMACIÓN_CAMPO_CHICHIMENE\23.-Inyeccion de Agua\10. MONITOREO\09. Proyecto Sahara\2025\10. Octubre
2. W:\Akacias\2.- Ingeniería de Yacimientos\1.MONITOREO\1.Sahara\2025\10. Octubre</t>
  </si>
  <si>
    <t>Actualización de los cargadores y corrdia del RWA ChiAk con la información de formas 9 del mes de agosto para distribuir la producción básica e incremental por efecto de WF en el campo Akacías</t>
  </si>
  <si>
    <t>W:\Akacias\2.- Ingeniería de Yacimientos\1.MONITOREO\16.RWA\AKACIAS\2025\9. Septiembre</t>
  </si>
  <si>
    <t>Distribución de la inyección en los pozos de los patrones actuales en el campo Akacías para seguimiento del VRR y FR en los patrones que actualemente se encuentran inyectando y genenerar diagnosticos que conlleven a mejor desempeño de estos patrones.</t>
  </si>
  <si>
    <t>W:\Akacias\2.- Ingeniería de Yacimientos\1.MONITOREO\16.RWA\AKACIAS\RWA para VRR\2025\9. Septiembre</t>
  </si>
  <si>
    <t>Corrida del Resnode para el 4Q del año 2025 a fin de determinar la capacidad nominal y disponible del nodo yacimiento para los pozos del campo Akacías.</t>
  </si>
  <si>
    <t>W:\Akacias\2.- Ingeniería de Yacimientos\1.MONITOREO\32. Resnode\2025\4Q</t>
  </si>
  <si>
    <t>Elaboración de escenarios de producción por análisis nodal y corregidos por el potencial del CL-25 para el pozo perforado AK-99</t>
  </si>
  <si>
    <t>C:\Users\c109868u\Ecopetrol S.A\I&amp;A AKACIAS - Documentos\07.Memorandos de Completamiento\AK-99</t>
  </si>
  <si>
    <t>Actualización de los perfiles de producción real, distribuida por tecnología y cargue trimestral en Molinos de Viento a fin de alimentar la base de datos de producción</t>
  </si>
  <si>
    <t>W:\Akacias\2.- Ingeniería de Yacimientos\1.MONITOREO\9.Tablero Power BI 2.1\2025\8. Septiembre</t>
  </si>
  <si>
    <t>RCA para el trabajo ejecutado en el pozo inyector AK-24 luego de la intervención con CT y donde perdió admisión</t>
  </si>
  <si>
    <t>20251029 RCA AK24.pptx</t>
  </si>
  <si>
    <t>W:\Akacias\39.- Reportes diarios\2025\10. Octubre</t>
  </si>
  <si>
    <t>https://ecopetrol.sharepoint.com/:f:/r/sites/IAAKACIAS/Documentos%20compartidos/0.Bases%20de%20Datos?csf=1&amp;web=1&amp;e=IuaDUk</t>
  </si>
  <si>
    <t>1) Actualización con la base de datos con información de nuevos registros adquiridos ILT e información de fisicoquímicos para mapeo de cloruros.</t>
  </si>
  <si>
    <t>1) Revisón de información sismica para los pozos pertencientes a los patrones de inyección para identificar estructuras y establecer conectividades en los patrones de inyección. En busqueda del mejoramiento del factor de conectividad geológico.
2) Revisión información sísmica para identificar fallas o estrucutras en los patrones de inyección en pro de actualziar el factor de conectividad geológica para el campo Akacias.
3) Revisión en conjunto con el área de geofísica de la informaicón sismica para tres pozos de la etapa Frontera (AK-146, AK-151 y CH-237).</t>
  </si>
  <si>
    <t xml:space="preserve"> \\10.100.25.35\pgtrabajodigital\JAH\Proyecto
Z:\akacias\2.- Ingeniería de Yacimientos\1.MONITOREO\19.Sistematica WF Akacias\2025\10.Octubre</t>
  </si>
  <si>
    <t>1) Generación mapas, cortes y correalciones para hacer seguimiento a los patrones de inyección del campo y monitoreo a los pozos productores.
2) Contrucción mapas de soporte para elaboración la actualización de los documentos RMS de los pozos AK-146, AK-151 y CH-237.
3) Generación de mapas y correlación estructural para las formas 13 y 14CR del poz AK-221.</t>
  </si>
  <si>
    <t>1) Revisión del modelo estrucutural para el análisis de los patrones de inyección y así establecer la comunicación entre Inyec-produc durantes las sesiones de WF Akacias.
2) Revisión de los posibles sellos estructurales que condicionen el factor falla involucrado en la determinación del factor de conectividad geológico.
3) Análisis de las fallas dentro del estudio para identificar la influencia del acuífero en el campo a nivel CHIAK.
4) Análisis estructural para actualizar los RMS de los pozos AK-146, AK-151 y CH-237.</t>
  </si>
  <si>
    <t>1) Revisión de la información sismíca con la trayectoria en las trayectorias entre pozos inyectores y porductores para identicar el Factor falla involucrado dentro del factor de conectividad geológica, insumo para actualizar el factor de conectividad geológico y el mapa de conectividad.
2) Revisión información sísmica en los pozos AK-146, AK-151 y CH-237, como insumo para la contrucción del archivo RMS.</t>
  </si>
  <si>
    <t xml:space="preserve">1) Hacer seguimiento áreal de las facies para identificar los cambios laterales de facies que puedan indicar el comportamiento de arenas yto en los pozos productores.
2)Actualización Fc Geológica a corte de Sep/2025.
3) Generación de mapas de PWF y Rendimiento para el Campo Akacias a corte de Sep/2025.
</t>
  </si>
  <si>
    <t>1) Actualización última información aprobada para los pozos de la etapa frontera AK-146, AK-151 y CH-237.</t>
  </si>
  <si>
    <t>1)  Continua: Análisis de la influencia del acuífero a nivel CHIAK, a partir de la integración de información de análisis fisicoquímicos, continuidad estratigráfica, rasgos estructurales, resultados de PLTs e ILTs, BSW y Ql en los pozos de los campos Chichimene y Akacias. Contrucción del mapa a corte 1 semestre de 2025.</t>
  </si>
  <si>
    <t xml:space="preserve">El área correspondiente al descubrimiento Aquila-Pólux se encuentra dentro del convenio de Explotación Apiay-Ariari, en el cual Ecopetrol posee una participación del 100%. Las actividades exploratorias del proyecto PYE Pólux contemplan la perforación y realización de pruebas iniciales en dos pozos exploratorios: Aquila-1, perforado exitosamente en 2023, y Pólux-1, cuya perforación está programada para el año 2026.  
Con base en los resultados del pozo Aquila-1, no se identificó contacto agua-aceite en la unidad T2, lo que permite establecer un nuevo LKO a -8,759 pies TVDss. Este valor representa una profundización de 316 pies respecto al LKO previamente definido en los pozos del campo Pachaquiaro (-8,443 pies TVDss). 
El descubrimiento Aquila-1/ Pólux confirma la continuidad Estructural del  Campo Pachaquiaro hacia el área del hallazgo, extendiendo su límite inferior desde el punto de vista geológico. 
Esta extensión tiene implicaciones significativas para la integración técnica y el desarrollo conjunto de los recursos, fortaleciendo la estrategia de aprovechamiento del potencial del área
 Recursos Recuperables 
El modelo volumétrico del área Pachaquiaro–Pólux se estructura en dos segmentos: los volúmenes contingentes asociados al campo Pachaquiaro y los volúmenes descubiertos por Delimitar del proyecto Pólux. Ambos segmentos se integran mediante un Roll-Up en la herramienta GeoX, lo que permite consolidar la estimación volumétrica de todo el sector y facilitar la toma de decisiones estratégicas para su desarrollo integrado. Para el segmento de los RDD se contempla una Pa del 86% validado posterior al descubrimiento del pozo Aquila-1, mientras que para el área en recursos contingentes (RC) no se considera incertidumbre.  </t>
  </si>
  <si>
    <t>https://ecopetrol.sharepoint.com/:f:/r/sites/INTERVENCIONESGDA/Documentos%20compartidos/Monica%20Martinez/Entregables/Octubre%202025?csf=1&amp;web=1&amp;e=gIftrS</t>
  </si>
  <si>
    <t>Se montaron los parametricos en ARPS , adicional a esto se ajustaron las curvas caracteristicas para generar perfiles</t>
  </si>
  <si>
    <t>Se entrega Perfiles Generados en los Casos bajo, medio y alto para el proyecto Cetus/Polux,</t>
  </si>
  <si>
    <t xml:space="preserve"> A) Actualización de información de pozos a cargo en la zona SW - Estados mecanicos, ILT's, Pwf, MDT,  registros petrofísicos, survey, topes pozo nuevo a la persona encargada del modelo oficial Sahara.</t>
  </si>
  <si>
    <t>A) Sensibilidad de ejercicio impacto en aceite por instalación de filtro Tukano CL39 / Perfiles de producción e inyección del campo.</t>
  </si>
  <si>
    <t>A) Seguimiento de brechas de inyección a corte sep-25 - evolución de cumplimiento por formación - recopilación de causas y plan. B) Seguimiento de pozos zona sur - diagnóstico</t>
  </si>
  <si>
    <t xml:space="preserve">A) Apoyo en sesiones de tableros WFNG Etapa 6. B)  Envío de reporte de producción diario en los días asignados   </t>
  </si>
  <si>
    <t xml:space="preserve">A) Actualización de Spiderweb: potenciales de producción para los pozos del campo. </t>
  </si>
  <si>
    <t>A) Informe seguimiento proyecto frontera ANH a sep/25.  B) Seguimiento pozos frontera GLH. C) Revisión junto al equipo de  pozos post WSV - afectación en potenciales esperados.</t>
  </si>
  <si>
    <t>A) Ajuste de perfiles 1P para los pozos CHSW18/CHSW23 - Lb pozo externos de pozos con inyección por pulsos con sarta convencional.</t>
  </si>
  <si>
    <t>A) Memorando de completamiento CH-239i y seguimiento intervención - registros de cemento.</t>
  </si>
  <si>
    <t>A) Revisión pozos campaña WO 2024-2026 y 2025-2027 de garganta de poro vs resultados calidad de agua.  B) Definición de plan de acción CHSW18 post WO.</t>
  </si>
  <si>
    <t xml:space="preserve">A) Compartido mediante Teams, modelo que contiene las actualizaciones semanalas enviadas: Z:\CHICHIMENE\INFORMACIÓN_CAMPO_CHICHIMENE\23.-Inyeccion de Agua\10. MONITOREO\09. Proyecto Sahara\2025\10. Octubre                                                    </t>
  </si>
  <si>
    <t>A) Excel con ejercicio sensibilidad filtro Tukano:  https://ecopetrol.sharepoint.com/:f:/r/sites/SeguimientoIAChichimeneECP/Documentos%20compartidos/03.%20Seguimiento%20Inyectores/Tukano?csf=1&amp;web=1&amp;e=cDVN7v Perfiles producción e inyección enviada por correo institucional.</t>
  </si>
  <si>
    <t xml:space="preserve">A) Excel de seguimiento brechas inyección sep-25: https://ecopetrol.sharepoint.com/:x:/r/sites/SeguimientoIAChichimeneECP/Documentos%20compartidos/11.%20Desviaciones%20Prod_Iny%20Real%20vs%20P50%20vs%20Auditoria%20vs%20PDI%20vs%20GOP%20vs%20POP/Seguimiento%20Inyectores%20Ago25%20%20GCH.xlsx?d=wff042557ac5c494eb9efdb132db7237f&amp;csf=1&amp;web=1&amp;e=BcjthV              B) Sesiones vía teams (sistemática seguimiento Chichimene) - acciones en Wellmeeting.                                 </t>
  </si>
  <si>
    <t>A) Sesiones vía Teams                                                            B) Tablero 2.61: https://ecopetrol.sharepoint.com/:u:/r/sites/SeguimientoIAChichimeneECP/Documentos%20compartidos/04.%20Pwf%20Chichimene/2.61_SeguimientoProducci%C3%B3nChiak.pbix?csf=1&amp;web=1&amp;e=Xeur0w</t>
  </si>
  <si>
    <t>A) Excel potenciales de producción - spiderweb: https://ecopetrol.sharepoint.com/:x:/r/sites/SeguimientoIAChichimeneECP/Documentos%20compartidos/14.%20Spiderweb/2025/Prueba_Chichimene_.xlsx?d=waffc8736fc8f425b91a15e023546335a&amp;csf=1&amp;web=1&amp;e=SZtoFY                        Visual Spiderweb - Tablero 2.61: https://ecopetrol.sharepoint.com/:u:/r/sites/SeguimientoIAChichimeneECP/Documentos%20compartidos/04.%20Pwf%20Chichimene/2.61_SeguimientoProducci%C3%B3nChiak.pbix?csf=1&amp;web=1&amp;e=Xeur0w</t>
  </si>
  <si>
    <t>A) Informe frontera ANH sep25: https://ecopetrol.sharepoint.com/:w:/r/sites/SeguimientoIAChichimeneECP/Documentos%20compartidos/36.%20Pozos%20Frontera/Informes/Informe%20Seguimiento%20Frontera%20%20-%20Septiembre%202025.docx?d=w78273f79d8d9425cbd6f2df07fa0cfe3&amp;csf=1&amp;web=1&amp;e=eMACQ6                                                                                                          B) Sesiones via teams y acta de Wellmeeting.                         C) Revisión pozos post WSV:                                          https://ecopetrol-my.sharepoint.com/:p:/g/personal/briggite_camacho_ecopetrol_com_co1/EVh1annnQQpMiq0Ouv4YNrIB4DHAebd04X-lQQ64s1zoCg?e=EplguD</t>
  </si>
  <si>
    <t>A) Soporte de ajuste de curvas 1P para los pozos CHSW18/CHSW23:                                                    https://ecopetrol-my.sharepoint.com/:p:/g/personal/olmer_morales_ecopetrol_com_co/Ec2x4-j4Fz1FnZYq_inwAjIBflsJi-GySjkaXdVbOJyK3A?e=TwSifs</t>
  </si>
  <si>
    <t>A) Soporte de memorando de completamiento CH-239i: https://ecopetrol.sharepoint.com/:w:/r/sites/SeguimientoIAChichimeneECP/Documentos%20compartidos/36.%20Pozos%20Frontera/Memorandos/Memorando%20Completamiento%20Chichimene%20239i.docx?d=w7bd8251e870d40ecbabeca890393a309&amp;csf=1&amp;web=1&amp;e=oXlWMJ                                                                    Información de completamiento: Z:\CHICHIMENE\POZOS\Chichimene 239</t>
  </si>
  <si>
    <t>A) Soporte de revisión pozos WO vs calidad de agua: https://ecopetrol.sharepoint.com/:x:/r/sites/SeguimientoIAChichimeneECP/Documentos%20compartidos/30.%20Tablero%20calidad%20de%20agua/RevisionCalidadAguaoct25.xlsx?d=w4abc429b66bb41d593b091203b2d6c7b&amp;csf=1&amp;web=1&amp;e=JMDeDv                                                                       B) Soporte de revisión CHSW18: https://ecopetrol.sharepoint.com/:p:/r/sites/SeguimientoIAChichimeneECP/Documentos%20compartidos/03.%20Seguimiento%20Inyectores/CHSW-18/CHSW18%20-%20Revisi%C3%B3n%20Zona%201%20post%20estimulacion.pptx?d=wb7e799e7c4dd4ed498fe1e4d79293028&amp;csf=1&amp;web=1&amp;e=qnX7ny</t>
  </si>
  <si>
    <t>Actualización macro balance de agua por categorías</t>
  </si>
  <si>
    <t>Seguimiento ejecución de actividades pozos último trimestre 2025</t>
  </si>
  <si>
    <t>Seguimiento ejecución de actividades pozos primer trimestre 2026</t>
  </si>
  <si>
    <t>Actualización alcance actividades pozos CH- 204, CH-159, CH-166 y CH-137</t>
  </si>
  <si>
    <t>Ejercicios de Balance de Agua y Capacidades</t>
  </si>
  <si>
    <t>Planeación trabajos WO 2026</t>
  </si>
  <si>
    <t>Z:\INFORMACIÓN_CAMPO_CHICHIMENE\23.-Inyeccion de Agua\10. MONITOREO\09. Proyecto Sahara\2025\09.Noviembre</t>
  </si>
  <si>
    <t>Se reciben volúmenes de la PDP del certificador para revisión. Se realiza la revisión pozo a pozo vista productor una vez cargada la información al tablero respectivo. Adicionalmente, se corre RWA de esta información, usando las Líneas Base del campo, para la revisión vista patrón.</t>
  </si>
  <si>
    <t>Una vez cargada toda la información de la PDP al tablero construido para este fin de revisión, se agrupan los ajustes planteados con referencia a la declinación de los pozos, los mismos son enviados al Certificador para su revisión. Se define no pedir ajustes al certificador en cuanto a amarre.</t>
  </si>
  <si>
    <t>Se descargan de la aplicación Valnav los perfiles PDP enviados por el certificador. Se organiza la data, se construye un tablero Power BI para el cargue, visualización y análisis de los volúmenes proporcionados por el certificador.</t>
  </si>
  <si>
    <t xml:space="preserve">Se lleva a cabo sesión con ingeniería, Largo Plazo y Corto Plazo, con el fin de definir y alinear cómo se reportarán los incrementales de proyectos que ya tienen otras actividades contempladas en los planes. </t>
  </si>
  <si>
    <t xml:space="preserve">Se analizan los reales del mes de octubre luego de generados los archivos cargadores de formas, a fin de realizar comparaciones pozo a pozo y que se identifiquen las brechas en patrones de REAL frente a P50, CERT, GOP 1Q y PDI. </t>
  </si>
  <si>
    <t>Se proporciona información de perfiles y volúmenes de pronóstico de reservas PDI 2026 para diferentes equipos y profesionales por solicitud. Tanto a Límite técnico como Límite económico.</t>
  </si>
  <si>
    <t>Se asiste a capacitación respecto a la Automatización de Informes ITA e IRR en la Gerencia de Desarrollo de la Orinoquía. Dichos informes seguirán lineamientos a través de un software para ser presentados frente a la ANH.</t>
  </si>
  <si>
    <t>Actualización semanal del modelo estático y dinámico del yacimiento y pozos del campo Akacias, mediante el proyecto Sahara a Nov-2025 (Cargadores y modelo final)</t>
  </si>
  <si>
    <t>1. X:\CHICHIMENE\INFORMACIÓN_CAMPO_CHICHIMENE\23.-Inyeccion de Agua\10. MONITOREO\09. Proyecto Sahara\2025\11. Noviembre
2. W:\Akacias\2.- Ingeniería de Yacimientos\1.MONITOREO\1.Sahara\2025\11. Noviembre</t>
  </si>
  <si>
    <t>Actualización de los cargadores y corrdia del RWA ChiAk con la información de formas 9 del mes de octubre para distribuir la producción básica e incremental por efecto de WF en el campo Akacías</t>
  </si>
  <si>
    <t>W:\Akacias\2.- Ingeniería de Yacimientos\1.MONITOREO\16.RWA\AKACIAS\2025\10. Octubre</t>
  </si>
  <si>
    <t>W:\Akacias\2.- Ingeniería de Yacimientos\1.MONITOREO\16.RWA\AKACIAS\RWA para VRR\2025\10. octubre</t>
  </si>
  <si>
    <t>Líneas base para los pozos AK-17 y AK-17 de los trabajos de WO</t>
  </si>
  <si>
    <t>C:\Users\c109868u\Ecopetrol S.A\I&amp;A AKACIAS - Documentos\23. Intervenciones WO-WS\2025\Campaña OPT 2026-2027\Perfiles Originales</t>
  </si>
  <si>
    <t>RCA para el pozos disposal AK-221</t>
  </si>
  <si>
    <t>https://ecopetrol.sharepoint.com/:p:/r/sites/GLC/PUC/_layouts/15/Doc.aspx?sourcedoc=%7BA37610C3-DC84-4026-B0BD-2E4CF7CEC4BB%7D&amp;file=20251029%20RCA%20Baja%20Inyectividad%20AK221%20V2.pptx&amp;wdOrigin=TEAMS-MAGLEV.p2p_ns.rwc&amp;action=edit&amp;mobileredirect=true</t>
  </si>
  <si>
    <t>W:\Akacias\2.- Ingeniería de Yacimientos\1.MONITOREO\9.Tablero Power BI 2.1\2025\10. Octubre</t>
  </si>
  <si>
    <t>Definición de adquisición de datos para reactivación del pozo AK-153</t>
  </si>
  <si>
    <t>W:\Akacias\2.- Ingeniería de Yacimientos\1.MONITOREO\7.Presiones\2025\1_Semestre\5. AK-153</t>
  </si>
  <si>
    <t>Seguimiento a las actividades ejecutadas en la campaña de WO 2025-206 y rediseños por OPEX ejecutadas a la fecha por medio del seguimiento de reportes diarios y seguimiento en producción</t>
  </si>
  <si>
    <t>C:\Users\c109868u\Ecopetrol S.A\I&amp;A AKACIAS - Documentos\23. Intervenciones WO-WS\2025</t>
  </si>
  <si>
    <t>1) Actualización con la base de datos con información de nuevos pozos completados AK-99, AK-100 y CH239.</t>
  </si>
  <si>
    <t>1) Revisón de información sismica para los pozos pertencientes a los patrones de inyección para identificar estructuras y establecer conectividades en los patrones de inyección. En busqueda del mejoramiento del factor de conectividad geológico.
2) Revisión información sísmica para identificar fallas o estrucutras en los patrones de inyección en pro de actualziar el factor de conectividad geológica para el campo Akacias</t>
  </si>
  <si>
    <t xml:space="preserve"> \\10.100.25.35\pgtrabajodigital\JAH\Proyecto
Z:\akacias\2.- Ingeniería de Yacimientos\1.MONITOREO\19.Sistematica WF Akacias\2025\11.Noviembre</t>
  </si>
  <si>
    <t>1) Generación mapas, cortes y correalciones para hacer seguimiento a los patrones de inyección del campo y monitoreo a los pozos productores.
2) Carga y analisis de la información final para los pozos AK-99, AK-100 y CH239.</t>
  </si>
  <si>
    <t xml:space="preserve">1) Hacer seguimiento áreal de las facies para identificar los cambios laterales de facies que puedan indicar el comportamiento de arenas yto en los pozos productores.
2) Actualización Fc Geológica a corte de Oct/2025.
3) Generación de mapas de PWF y Rendimiento para el Campo Akacias a corte de Oct/2025.
</t>
  </si>
  <si>
    <t>1) Actualización última información final para los pozos AK-99, AK-100 y CH239.</t>
  </si>
  <si>
    <t>Se realizó el seguimiento, monitoreo y control de los 12 patrones de inyección de agua ubicados en la zona central del campo, aplicando de manera rigurosa la metodología de análisis de nivel II. Este enfoque permite una evaluación integral del desempeño de cada patrón mediante la revisión sistemática de variables críticas tales como el cumplimiento de metas de inyección, alineación con los caudales objetivos, comportamiento de presiones, respuesta de los pozos productores asociados y consistencia del VRR (Volumetric Replacement Ratio). En análisis de nivel II incorpora la interpretación conjunta de historiales operacionales, balances de masa, comportamiento de presiones, distribuciones espaciales de inyección y variaciones en el perfil dinámico del yacimiento, permitiendo identificar desviaciones operativas, anomalías en la distribución de caudal, cambios en la eficiencia volumétrica de barrido y posibles interacciones no deseadas entre patrones adyacentes. Además, facilita la detección temprana de restricciones mecánicas o de superficie que afectan la capacidad de inyección, así como la identificación de oportunidades para optimizar la eficiencia del proceso de recobro secundario. Gracias a esta metodología, se logró mantener un control operacional robusto sobre los patrones, asegurando que la energía del yacimiento sostenga de manera adecuada y que la inyección sea distribuida de forma coherente con las propiedades petrofísicas del campo. Este seguimiento continuo constituye un insumo esencial para la toma de decisiones estratégicas orientadas a maximizar la eficiencia de desplazamiento del agua, mejorar la conectividad entre pozos e incrementar la productividad en la zona central del campo Chichimene.</t>
  </si>
  <si>
    <t>Y:\INFORMACIÓN_CAMPO_CHICHIMENE\23.-Inyeccion de Agua\10. MONITOREO\09. Proyecto Sahara\2025\11. Noviembre</t>
  </si>
  <si>
    <t>Se continuó con el seguimiento integral y el monitoreo dinámico de los pozos productores ubicados en los patrones de la zona centro, los cuales presentan variaciones operativas directamente asociadas a las condiciones del proceso de inyección de agua en el campo. Este control permite evaluar con mayor precisión la respuesta del yacimiento frente a las tasas de inyección, identificar posibles efectos de sobre inyección o canalización prematura, y anticipar comportamientos no deseados en la eficiencia de barrido. Asimismo, el análisis continuo de parámetros de producción y presiones transitorias contribuye a la toma de decisiones oportunas para la optimización del balance inyector-productor y la preservación de la estabilidad del sistema de recobro.</t>
  </si>
  <si>
    <t>De manera paralela se realizó la evaluación integral de los pozos inyectores y productores asociados a cada uno de los patrones asignados en la zona central del campo Chichimene (CH-12A, CH-183ST, CH-182, CH-52, CH-77, CH-187, CH-32, CH-110, CH-132, CH-47, CH-185, CH-214, CH-215 y CH-216), con el fin de analizar su respuesta frente a las condiciones de inyección, identificar desviaciones operativas y determinar las acciones correctivas o preventivas necesarias para asegurar la estabilidad del sistema inyector-productor. Este análisis ha permitido mantener el desempeño esperado de los pozos, mejorar la eficiencia de barrido y garantizar la continuidad de las estrategias de manejo de yacimiento implementadas en la zona.</t>
  </si>
  <si>
    <t>Para el mes de Noviembre se realizó el diligenciamiento y análisis de las causas de desempeño del campo Chichimene, donde se evidenció un comportamiento altamente favorable en los patrones de la zona al comparar los resultados reales vs los planeados. Este análisis corroboró la efectividad de las estrategias operativas y de inyección implementadas, así como el impacto positivo del trabajo multidisciplinario desarrollado entre los equipos de Akacías y Chichimene. Los resultados alcanzados reflejan la adecuada ejecución de las acciones definidas y constituyen un referente de buenas prácticas operacionales que deben mantenerse y consolidarse en el tiempo.</t>
  </si>
  <si>
    <t>34. RWA Octubre 2025</t>
  </si>
  <si>
    <t>Se continuó con la actividad correspondiente al análisis y evaluación de los pozos del campo Chichimene que, después de haber estado en condición de WSV, presentaron un comportamiento decreciente en la producción de aceite posterior a su arranque. Esta labor ha tenido como objetivo identificar las causas raíz asociadas a la perdida de desempeño y definir acciones correctivas que permitan restituir o mejorar la productividad de cada uno de los pozos evaluados. El análisis ha incluido la revisión detallada de tendencias de producción, comportamiento de presiones (PIP-PWF), variaciones en el corte de agua, condiciones de fondo y superficie, eficiencia del sistema de levantamiento artificial, historial de fallas, eventos de workover recientes y la interacción del pozo con los procesos de inyección de agua en curso. Asimismo, se incorporó la interpretación de curvas IPR, evaluación de restricciones, comportamiento de drawdown y verificación del alineamiento con las expectativas de desempeño para cada zona productora.</t>
  </si>
  <si>
    <t>Dentro del plan de monitoreo de K —una de las actividades en las que participo de manera directa— se llevó a cabo el análisis de los valores de presión registrados en el campo Chichimene. Asimismo, junto con el equipo de simulación, se evaluó la temporalidad óptima para implementar la estrategia de incremento de inyección en K en la zona sur. Es fundamental mantener un monitoreo constante y adecuado de la presión en esta área para evitar cualquier efecto no deseado</t>
  </si>
  <si>
    <t>Se realizó el envío de los informes oficiales de producción del campo Chichimene, consolidados a partir de la información registrada y validada en la base de datos AVM. Este proceso incluyó la extracción, depuración y verificación de los datos operativos, garantizando la calidad y trazabilidad de la información reportada, así como su disponibilidad para los análisis de seguimiento, control y toma de decisiones a nivel de ingeniería y gestión del activo.</t>
  </si>
  <si>
    <t>Una de las actividades desarrolladas durante el mes de Noviembre correspondió a la actualización integral de las eficiencias por capa y por zona para todos los patrones de inyección del campo Chichimene, proceso que constituye un insumo técnico esencial para la evaluación dinámica del comportamiento del sistema de inyección de agua y para la gestión óptima del recobro secundario en el yacimiento. Esta labor implicó revisar, depurar y recalcular las eficiencias asociadas a cada intervalo, integrando información proveniente de los balances de masa, historiales de inyección, registros y perfiles de inyección disponibles. Con base en ello, se obtuvieron indicadores actualizados que reflejan con mayor precisión la distribución real del fluido inyectado en cada una de las unidades geológicas, considerando heterogeneidades propias del sistema como variaciones en permeabilidad, conectividad hidráulica, movilidad de los fluidos y efectos de estratificación. El resultado de esta actualización permitió incorporar dicha información en el tablero 2.3, una herramienta estratégica que articula múltiples visuales y métricas operacionales relevantes, tales como: distribución espacial y porcentual de la inyección, eficiencia de inyección general, eficiencia de inyección por capa y por zona. Este tablero, alimentado con datos actualizados y consistentes constituye un soporte analítico de alto valor para la toma de decisiones operacionales y para la identificación temprana de desviaciones en la relación inyección-producción.</t>
  </si>
  <si>
    <t>Para el mes de Noviembre desempeñé el rol de frontal en la actividad de actualización de coeficientes de balanceo del campo Chichimene. Esta labor fue fundamental para el adecuado control y optimización de los procesos de inyección de agua, ya que permite evaluar con mayor precisión el comportamiento dinámico de cada patrón y su respuesta frente a las estrategias de recobro implementadas. La actualización incluyó el cálculo y verificación de los coeficientes de inactivos, coeficiente de inyección, coeficiente vertical, coeficiente de reservas, coeficiente de eficiencia y coeficiente de balance de Pwf. Cada uno de estos parámetros fue revisado de forma detallada con el fin de asegurar que representaran de manera fiel las condiciones actuales del yacimiento y el desempeño tanto de pozos inyectores como productores. Con esta actualización se busca mejorar la distribución del agua inyectada, identificar oportunidades de ajuste operativo y asegurar un seguimiento más confiable del equilibrio presión-volumen en los patrones, lo cual es clave para mantener la eficiencia del proceso de inyección y contribuir a la sostenibilidad de la producción del campo.</t>
  </si>
  <si>
    <t>32. Coeficiente Balanceo de Patrones</t>
  </si>
  <si>
    <t>A) Construcción entre el equipo de matriz priorización WSV 2026.</t>
  </si>
  <si>
    <t>A) Archivo construido entre el equipo multidisciplinario y compartido vía Teams.https://ecopetrol-my.sharepoint.com/:x:/g/personal/oscar_clavijoro_ecopetrol_com_co/IQAs1X8gCjuTRIFLac2A8RjWASQmGYklGHR5XNxfXcjzLOU?e=DvMcGU</t>
  </si>
  <si>
    <t xml:space="preserve"> A) Actualización de información de pozos a cargo en la zona SW - Estados mecanicos, ILT's, Pwf, MDT,  registros petrofísicos, survey, topes pozo nuevo, factores de distrución a la persona encargada del modelo oficial Sahara.</t>
  </si>
  <si>
    <t xml:space="preserve">A) Compartido mediante Teams, modelo que contiene las actualizaciones semanalas enviadas: Z:\CHICHIMENE\INFORMACIÓN_CAMPO_CHICHIMENE\23.-Inyeccion de Agua\10. MONITOREO\09. Proyecto Sahara\2025\11. Noviembre                                                    </t>
  </si>
  <si>
    <t>A) Seguimiento de brechas de inyección a corte oct-25 - evolución de cumplimiento por formación - recopilación de causas y plan. B) Seguimiento de pozos zona sur - diagnóstico</t>
  </si>
  <si>
    <t xml:space="preserve">A) Excel de seguimiento brechas inyección oct-25: https://ecopetrol.sharepoint.com/:x:/r/sites/SeguimientoIAChichimeneECP/Documentos%20compartidos/11.%20Desviaciones%20Prod_Iny%20Real%20vs%20P50%20vs%20Auditoria%20vs%20PDI%20vs%20GOP%20vs%20POP/Seguimiento%20Inyectores%20Oct25%20%20GCH.xlsx?d=wbce898e9e1cf4ad080bdfef9d3c61295&amp;csf=1&amp;web=1&amp;e=6eZqOG                                              B) Sesiones vía teams (sistemática seguimiento Chichimene) - acciones en Wellmeeting.                                 </t>
  </si>
  <si>
    <t xml:space="preserve">A)  Envío de reporte de producción diario en los días asignados   </t>
  </si>
  <si>
    <t>A) Tablero 2.61: https://ecopetrol.sharepoint.com/:u:/r/sites/SeguimientoIAChichimeneECP/Documentos%20compartidos/04.%20Pwf%20Chichimene/2.61_SeguimientoProducci%C3%B3nChiak.pbix?csf=1&amp;web=1&amp;e=Xeur0w</t>
  </si>
  <si>
    <t>A) Seguimiento pozos frontera GLH. B) Revisión pozos de K a cargo para correlación con pozos AK.</t>
  </si>
  <si>
    <t>A) Sesiones via teams y acta de Wellmeeting.                   B) Matriz de K: https://ecopetrol-my.sharepoint.com/:x:/g/personal/cesar_garnica_ecopetrol_com_co/IQBkEcqAtAJTQbddWavFOSbfAdyKhlqtFQ5NeJvecRB_Lnk?e=e2Lq0K</t>
  </si>
  <si>
    <t>A) Elaboración de certificado de beneficios asociados a nanotecnología en pozos productores a corte oct-25.     B) Actualización de distribución de inyección y eficiencia por capa para los pozos a cargo en la zona SW.                                                 C) Actualización de estados mecanicos e información de ILT a corte de 31-oct para corrida de Streamlines.</t>
  </si>
  <si>
    <t>A) Reuniones vía Teams. Certificado compartido mediante Teams al equipo multidisciplinario para su cargue: https://ecopetrol.sharepoint.com/:w:/r/sites/SeguimientoIAChichimeneECP/Documentos%20compartidos/07.%20Pozos%20Nanofluidos/Certificados/CTI-F-055%20Certificaci%C3%B3n%20Nano%20movilidad%20y%20control%20de%20agua%20GCH%203Q2025%20Borrador_v4.docx?d=w3b229f3a0c084ca0b16cf4749b42e06a&amp;csf=1&amp;web=1&amp;e=uhT0w7                                 B) Archivos de eficiencia y distribución por capa: https://ecopetrol.sharepoint.com/:f:/r/sites/SeguimientoIAChichimeneECP/Documentos%20compartidos/02.%20Tablero%202.3/2024?csf=1&amp;web=1&amp;e=z5GWmr                                   C) Archivo de ILT's para Streamlines: https://ecopetrol.sharepoint.com/:x:/r/sites/SeguimientoIAChichimeneECP/Documentos%20compartidos/12.%20Streamlines/Actualizacion_SL_2025/Noviembre/ILT_Nov_2025/ILT_202511_V2.xlsx?d=wf72b6f4f8f5c4866b52b491f0374e012&amp;csf=1&amp;web=1&amp;e=58GGAc</t>
  </si>
  <si>
    <t>A) Interpretación de pruebas de presión en dos pozos CHSW70-CHSW-91 (apagado de pozos por afectación en poliandino)</t>
  </si>
  <si>
    <t>A) Soporte de interpretación de pruebas de presión: Z:\CHICHIMENE\INFORMACIÓN_CAMPO_CHICHIMENE\23.-Inyeccion de Agua\10. MONITOREO\29. Presiones\PBU\2025 2S  Diferida Poliandino</t>
  </si>
  <si>
    <t>A) Apoyo y asistencia a taller de recobro GLH operación/desarrollo.</t>
  </si>
  <si>
    <t>A) Sesiones vía teams.</t>
  </si>
  <si>
    <t>A) Corrida RWA a corte oct 25 ChiAk y correo de seguimiento de producción para el campo CH:  histórico prod WF, Pwf, rendimiento, liquidación incrementales.</t>
  </si>
  <si>
    <t>A) Archivos soportes de la corrida RWA Oct 25, histórico prod WF, Pwf, rendimiento, liquidación incrementales: Z:\CHICHIMENE\INFORMACIÓN_CAMPO_CHICHIMENE\23.-Inyeccion de Agua\10. MONITOREO\04. Incrementales\4.3 Nueva Metodología RWA\2025\34. RWA Octubre 2025                                                      Correo Seguimiento de Producción Chichimene a Oct 25 compartido vía correo electrónico institucional.</t>
  </si>
  <si>
    <t>Z:\INFORMACIÓN_CAMPO_CHICHIMENE\23.-Inyeccion de Agua\10. MONITOREO\09. Proyecto Sahara\2025\11.Noviembre</t>
  </si>
  <si>
    <t>Actualización seguimiento aumentos de inyección en T2, planes de acción pendientes por ejecutar.</t>
  </si>
  <si>
    <t>Seguimiento aumentos de inyección T2.xlsx</t>
  </si>
  <si>
    <t>Actualización factores de alocación por unidad y capa. Actualziación EM e ILT con corte de oct-25.</t>
  </si>
  <si>
    <t>Distribución de iny Sep Oct 2025.xlsx</t>
  </si>
  <si>
    <t>Revisión volumenes auditor para PDP, con el fin de evluar puntos de amarre y opciones de mejora.</t>
  </si>
  <si>
    <t xml:space="preserve">El área correspondiente al descubrimiento Aquila-Pólux se encuentra dentro del convenio de Explotación Apiay-Ariari, en el cual Ecopetrol posee una participación del 100%. Las actividades exploratorias del proyecto PYE Pólux contemplan la perforación y realización de pruebas iniciales en dos pozos exploratorios: Aquila-1, perforado exitosamente en 2023, y Pólux-1, cuya perforación está programada para el año 2026.  
Con base en los resultados del pozo Aquila-1, no se identificó contacto agua-aceite en la unidad T2, lo que permite establecer un nuevo LKO a -8,759 pies TVDss. Este valor representa una profundización de 316 pies respecto al LKO previamente definido en los pozos del campo Pachaquiaro (-8,443 pies TVDss). 
El descubrimiento Aquila-1/Pólux confirma la continuidad estructural del campo Pachaquiaro hacia el área del hallazgo, extendiendo su límite inferior desde el punto de vista geológico. Esta extensión tiene implicaciones significativas para la integración técnica y el desarrollo conjunto de los recursos, fortaleciendo la estrategia de aprovechamiento del potencial del área.
Recursos Recuperables 
El modelo volumétrico del área Pachaquiaro–Pólux se estructura en dos segmentos: los volúmenes contingentes asociados al campo Pachaquiaro y los volúmenes descubiertos por Delimitar del proyecto Pólux, como se muestra en la tabla . Ambos segmentos se integran mediante un Roll-Up en la herramienta GeoX, lo que permite consolidar la estimación volumétrica de todo el sector y facilitar la toma de decisiones estratégicas para su desarrollo integrado. Para el segmento de los RDD se contempla una Pa del 86% validado posterior al descubrimiento del pozo Aquila-1, mientras que para el área en recursos contingentes (RC) no se considera incertidumbre.               </t>
  </si>
  <si>
    <t>INTERVENCIONES GDA - Documentos - Noviembre 2025 - Todos los documentos</t>
  </si>
  <si>
    <t xml:space="preserve">Curvas Características
En el caso de la Secundaria el grupo de la GET pidió realizar análisis de curvas características de los campos de Castilla y de Suria , en el caso de este último el análisis de todos los patrones                                                                                                          Campo Suria :                                                                                                                   •	Análisis del comportamiento por secundaria de 9 patrones de Inyección de agua. (3 Piloto y 6 Etapa 1)
•	En Suria la Inyección de agua tiene como principal objetivo la unidad T2.
•	Análisis con respuesta de pozos de primera línea.
•	Volumen Poroso /Patrón :10.5Mbl. / FR Actual @ 3.3%                                             Campo Castilla :                                                                                                                   •	Análisis del comportamiento por secundaria de 9 patrones de Inyección de agua.  	•	Análisis con respuesta de pozos de primera línea.
•	Volumen Poroso /Patrón :14,8Mbl. / FR Actual @ 0,8%                         La Estrategia de Desarrollo que se plantea para esta zona, corresponde a 26 patrones, los cuales contemplan: 
78 pozos perforados (52 pozos son productores en la unidad T2, 25 pozos inyectores y 1 conversión de productor a inyector: Aquila –1), adicionalmente se contempla un 1 disposal y posteriormente de un tiempo conversión a pozo captador. 
Se propone un Patronamiento irregular entre 5 y 7 puntos invertidos.
El tamaño por patrón esta alrededor 300 acres. 
 </t>
  </si>
  <si>
    <t>Archivo excel con: Análisis PDP detallado de los perfiles de certificación y comparativa vista FR</t>
  </si>
  <si>
    <t>Ecopetrol S.A\I&amp;A AKACIAS - Documentos\21. Portafolio\2025\10.- Revisión Vol D&amp;M</t>
  </si>
  <si>
    <t>Archivo excel con generación de perfil POI T2 &amp; K2</t>
  </si>
  <si>
    <t>PERFILES DE INYECCIÓN PDI ESC_3_CASO_BASE</t>
  </si>
  <si>
    <t>Archivo excel con: Actualización pozos escenarios 2026 - 2028 vista proyectos</t>
  </si>
  <si>
    <t>Pozos Portafolio 2026-2028</t>
  </si>
  <si>
    <t>Archivo excel y ppt con: Análisis de los perfiles de producción vista PDP teniendo en cuenta PA &amp; FR</t>
  </si>
  <si>
    <t>AKACIAS (PDP) Reserves-VT Monthly-Well_281125</t>
  </si>
  <si>
    <t>Archivo excel con: Balance preliminar reservas 2026+ vista productor/inyector</t>
  </si>
  <si>
    <t>000003 AKACIAS (PDP) Reserves-VT Monthly-Well</t>
  </si>
  <si>
    <t>Archivo excel con: Perfiles OPEX 2026+ identificando las necesidades de intervención</t>
  </si>
  <si>
    <t>PERFIL_ESC_3_RESERVAS_CASO_BASE</t>
  </si>
  <si>
    <t>https://ecopetrol.sharepoint.com/:f:/r/sites/INTERVENCIONESGDA/Documentos%20compartidos/Monica%20Martinez/Entregables/Diciembre%202025?csf=1&amp;web=1&amp;e=ZBzQYl</t>
  </si>
  <si>
    <t xml:space="preserve">Se han Venido adelantando varios prospectos en paralelo y para esto ha sido necesario integrar información existentes en los campos.
Para el caso del Proyecto Pólux, se toma como referencia la formación T2, ya que es la formación productora de los pozos pachaquiaro y adicionalmente el proyecto pachaquiaro -Pólux contempla esta unidad como la única a producir, teniendo en cuenta que anteriormente se probó la formación K1 dando como pozo seco.
Para el caso del Poder Calorífico se tomó como referencia un crudo de 8.6 que el de pachaquiaro 
PCI(MJ/kg)= 51- 0.07 * °API
y un PCS= PCI * 1.05 (MJ/Kg)
Seria un PCS: 52.9 MJ/Kg y un PCI:50.4 MJ/Kg; Gravedad API tomada fue entre 8-11 °API A 60°F en Seco, Densidad del Crudo entre 0,992-1,001 Calculado a partir de la Gravedad API, Para el Bsw se tomo 20% y para el contenido de azufre de 2,184. Para el Caso del Proyecto Pólux se realizó una clasificación de los 66 pozos relacionados con el Proyecto Desarrollo Pachaquiaro, haciendo la claridad de que el pozo número 67 es el denominado Polux-1.
Allí, se podrá encontrar  que permite establecer la clasificación en los 11 tipos de pozo (de la A a la k) que consideramos que deben darse, en función de los requerimientos de adquisición de información y stepout previamente compartidos.
Asimismo, es importante resaltar que, al no contar con direccionales, los MD puestos en los cálculos son un estimado, y se determinaron tomando el pozo con mayor stepout de cada categoría. Dicha asunción puede sobreestimar los costos de realización de los pozos, por lo que desde Desarrollo alertamos que se haga un ejercicio un poco más riguroso en este aspecto.
Adicionalmente, los pozos con iniciales DOP corresponden a pozos productores (casillas en color verde), mientras que los DOI hacen referencia a inyectores (casillas en color azul). Para el caso del Proyecto Cetus, se toma como referencia la formación K1 y T2, ya que es la formación productora de los pozos del Campo Suria, Libertad y Apiay. Para el caso del Poder Calorífico se tomó como referencia un crudo de 15°API para el caso del K1 y el T2 el mismo tomado anteriormente.
Adicionalmente se tiene un prospecto en el cual se esta empezando a trabajar conocido con el nombre de Lyra que queda muy cerca a los campos ya trabajados anteriormente y por tanto se tienen como referencia.
Aquí fue necesario calcular el API de la mezcla, teniendo en cuenta que el °API para K1 es de 15 API y para el K2 es de 32 API.
Para este análisis se tomo en cuenta el porcentaje producido por cada una de las formaciones.
Para el K1 se le otorga que tiene un porcentaje del 30 % de la producción de crudo y para el K2 el 70%.
(0,30∗15)+(0,70 * 32)=26.9
El Porcentaje de la Mezcla es de 26.9°API.
Para el caso de lo trabajado con Desarrollo se establece que a partir de la fecha se va a trabajar en corto plazo para los campos de Libertad Reforma y campo Pachaquiaro.
</t>
  </si>
  <si>
    <t>https://ecopetrol.sharepoint.com/:f:/s/ReportesMensualesCP0-9/IgDQiUMzFEhRSqEbst7WXBURAd8SmIclYoo7kxHTtmOR9QU?e=OmPonM</t>
  </si>
  <si>
    <t>https://ecopetrol.sharepoint.com/:f:/s/ReportesMensualesCP0-9/IgBpv2lrx7jSSrUZI_ExzXdVASBnkZhiAKik-ZXgMV3VJ9Q?e=Y2WT6Z</t>
  </si>
  <si>
    <t>https://ecopetrol.sharepoint.com/:f:/s/ReportesMensualesCP0-9/IgCwaR6BSuC3TayG4pPuxmRvAS03JVZlzbXChm-tBseYgfs?e=EXyTQn</t>
  </si>
  <si>
    <t>1. X:\CHICHIMENE\INFORMACIÓN_CAMPO_CHICHIMENE\23.-Inyeccion de Agua\10. MONITOREO\09. Proyecto Sahara\2025\12. Diciembre
2. W:\Akacias\2.- Ingeniería de Yacimientos\1.MONITOREO\1.Sahara\2025\12. Diciembre</t>
  </si>
  <si>
    <t>Actualización de los cargadores y corrdia del RWA ChiAk con la información de formas 9 del mes de noviembre para distribuir la producción básica e incremental por efecto de WF en el campo Akacías</t>
  </si>
  <si>
    <t>W:\Akacias\2.- Ingeniería de Yacimientos\1.MONITOREO\16.RWA\AKACIAS\2025\11. Noviembre</t>
  </si>
  <si>
    <t>W:\Akacias\2.- Ingeniería de Yacimientos\1.MONITOREO\16.RWA\AKACIAS\RWA para VRR\2025\11. Noviembre</t>
  </si>
  <si>
    <t>Líneas base para los pozos AK-105 y  AK-106 para reportar secundaria y realizar el respectivo retroactivo</t>
  </si>
  <si>
    <t>1. X:\CHICHIMENE\INFORMACIÓN_CAMPO_CHICHIMENE\23.-Inyeccion de Agua\10. MONITOREO\09. Proyecto Sahara\2025\12. Diciembre</t>
  </si>
  <si>
    <t>Alineación del plan de cierre de brechas para el POP de marzo de 2026</t>
  </si>
  <si>
    <t>https://ecopetrol-my.sharepoint.com/:x:/g/personal/laura_cubides_ecopetrol_com_co/IQBCf2-7atn_QZPm3sThSxlYAQVH2g7FofhEFueEJC9X-Ss?e=ezvsu9&amp;wdLOR=c7451FAB0-54FA-4DC9-9A50-4828B68922F7</t>
  </si>
  <si>
    <t>W:\Akacias\2.- Ingeniería de Yacimientos\1.MONITOREO\9.Tablero Power BI 2.1\2025\11. Noviembre</t>
  </si>
  <si>
    <t>Finalización de los memorandos de completamiento de los pozos: AK-100 y AK-157i</t>
  </si>
  <si>
    <t>1. C:\Users\Meridian\Ecopetrol S.A\I&amp;A AKACIAS - Documentos\07.Memorandos de Completamiento\AK-145
2. C:\Users\Meridian\Ecopetrol S.A\I&amp;A AKACIAS - Documentos\07.Memorandos de Completamiento\AK-100</t>
  </si>
  <si>
    <t>1) Actualización con la base de datos con información de nuevos pozos completados AK-99.</t>
  </si>
  <si>
    <t xml:space="preserve"> \\10.100.25.35\pgtrabajodigital\JAH\Proyecto
Z:\akacias\2.- Ingeniería de Yacimientos\1.MONITOREO\19.Sistematica WF Akacias\2025\12.Diciembre</t>
  </si>
  <si>
    <t>1) Generación mapas, cortes y correalciones para hacer seguimiento a los patrones de inyección del campo y monitoreo a los pozos productores.
2) Carga y analisis de la información final para el pozo AK-99.</t>
  </si>
  <si>
    <t xml:space="preserve">1) Hacer seguimiento áreal de las facies para identificar los cambios laterales de facies que puedan indicar el comportamiento de arenas yto en los pozos productores.
2) Actualización Fc Geológica a corte de Nov/2025.
3) Generación de mapas de PWF y Rendimiento para el Campo Akacias a corte de Nov/2025.
</t>
  </si>
  <si>
    <t>1) Actualización última información final para el pozo AK-99.</t>
  </si>
  <si>
    <t xml:space="preserve">Se reciben volúmenes completos del certificador VT2 con ajustes solicitados. Se realizan las revisiones sobre pozos críticos como de CIS, o donde se evidenciaron declinaciones alejadas a las que se estiman dentro Desarrollo. </t>
  </si>
  <si>
    <t>La información de volúmenes es descargada de valnav y montada en el tablero construido para visualizar y analizar los perfiles pozo a pozo y por arenas. Se analizan también volúmenes por proyectos dentro de las diferentes subcategorías, desde donde salen inquietudes que son enviadas al certificador.</t>
  </si>
  <si>
    <t xml:space="preserve">Se analiza y se confirma el Ttpe Of Work del certificador, igualmente se confiman volúmenes la certificador para que ellos lo den como validados en Valnav. Se encuentran diferencias, hay comunicación con ellos para solventar estas diferencias. </t>
  </si>
  <si>
    <t>Se lleva a cabo sesión para alinear el reporte de incrementales de las actividades desarrolladas y proyectos que implican diferentes líneas base sobre los pozos con tecnología CIS.</t>
  </si>
  <si>
    <t xml:space="preserve">Se analizan los reales del mes de noviembre luego de generados los archivos cargadores de formas, a fin de realizar comparaciones pozo a pozo y que se identifiquen las brechas en patrones de REAL frente a P50, CERT, GOP 1Q y PDI. </t>
  </si>
  <si>
    <t xml:space="preserve">Se realiza seguimiento y prorrateo de la producción de diciembre, para hacer una comparación entre la producción real del mes y la estipulada en el plan P50. Sacando un pareto analizando brechas. Posterios, análisis pozo a pozo sacando comentarios y plan a ejecutar para mitigar las brechas. </t>
  </si>
  <si>
    <r>
      <t xml:space="preserve">Diego Galeano:
</t>
    </r>
    <r>
      <rPr>
        <sz val="9"/>
        <color theme="1"/>
        <rFont val="Verdana"/>
        <family val="2"/>
      </rPr>
      <t>Trabajo enfocado en el control de cambio de Proyecto Workover Secundario, reduccion de actividad de 15 Workover a 5 Workover año 2026, actualizacion candidatos, 10  trabajos se corren al año 2028,. Actualizacion de candidatos de proyecto intervenciones Castilla 2024-2027</t>
    </r>
  </si>
  <si>
    <t>Z:\INFORMACIÓN_CAMPO_CHICHIMENE\23.-Inyeccion de Agua\10. MONITOREO\09. Proyecto Sahara\2025\09.Diciembre</t>
  </si>
  <si>
    <t>Seguimiento de patrones de la zona sur del Campo Chichimene. Cargue de perfiles de inyección y producción en Sahara. Cargue cementaciones, instalaciones y cañoneos 66 pozos de K, para actualización con modelo nuevo.</t>
  </si>
  <si>
    <t>Z:\INFORMACIÓN_CAMPO_CHICHIMENE\23.-Inyeccion de Agua\10. MONITOREO\09. Proyecto Sahara\2025\12.Diciembre</t>
  </si>
  <si>
    <t>Ejerciico Limitados Pwf.xlsx</t>
  </si>
  <si>
    <t>Análisis de alcance justificación WO de CHSW-40. Definición plan de acción CH-219.</t>
  </si>
  <si>
    <t>Revisión PDT de inyección, con el fin de definir punto de amarre para el mes de enero y actualización de portafolio. Revisión documento final, piloto de inyección de nanos en CH-31. Desarrollo informe PBU CH-176.</t>
  </si>
  <si>
    <t>WINJ 2025 GOPNov25.xlsx</t>
  </si>
  <si>
    <t>Durante el mes de Diciembre se asumió de manera directa la gestión y actualización semanal de Sahara, actividad que se ejecuta de forma recurrente todos los lunes y que constituye un insumo clave para el seguimiento técnico y operativo de los campos. Este proceso permitió mantener la información actualizada y alineada con la operación real, asegurando la consistencia de los datos utilizados por los distintos equipos de ingeniería y operación. Las actualizaciones incluyeron el cargue y validación de información asociada a registros de inyección (ILT), registros de producción (PLT), estados mecánicos y de capa, resultados de welltesting, información operativa y de inyección, así como el registro de notas de pozos y eventos relevantes de los pozos. De igual manera, se incorporaron las formas de producción e inyección, la distribución OFM y los incrementales de petróleo y agua, tanto para el campo Chichimene como para el campo Akacías. Esta labor contribuyó a fortalecer la calidad de la información disponible, facilitando el análisis oportuno del desempeño de los pozos y soportando la toma de decisiones a nivel técnico y de gestión del activo. 2)	Durante el mes de Diciembre se avanzó en la actualización y fortalecimiento de los cargadores de indicadores VRR y RWA incrementales, los cuales constituyen una herramienta clave para el análisis del desempeño del sistema inyector-productor a nivel de patrón. Como parte de este proceso, se desarrolló el cargador de VRR de inyección, incorporando la información organizada por patrón, fecha y volúmenes de agua inyectada, lo que permitió contar con una base estructurada y consistente para el seguimiento del cumplimiento de las metas de inyección. Posteriormente, se construyó el cargador de VRR de producción, integrando los datos de aceite incremental y agua incremental por patrón y por período y se elaboró el cargador de incrementales RWA, en el cual se asocian los volúmenes incrementales de petróleo y agua a cada patrón de manera mensual, en función de los resultados obtenidos en las corridas del modelo RWA. Una vez finalizada la construcción y validación de estos cargadores, se realizó su incorporación al modelo oficial de Sahara dentro del escenario RWA, asegurando la correcta actualización de las variables de petróleo, agua, agua inyectada, petróleo incremental asociado y agua incremental asociado. Esta actividad fortaleció la confiabilidad de los análisis y facilitó el seguimiento integral del impacto de la inyección sobre la producción del campo.</t>
  </si>
  <si>
    <t>Y:\INFORMACIÓN_CAMPO_CHICHIMENE\23.-Inyeccion de Agua\10. MONITOREO\09. Proyecto Sahara\2025\12. Diciembre</t>
  </si>
  <si>
    <t>En el marco de la actualización de Sahara correspondiente al mes de Diciembre, se desarrollaron y ajustaron los cargadores asociados a información técnica clave de los pozos de la zona centro del campo Chichimene. Este trabajo permitió estructurar de manera adecuada los registros de inyección (ILT´s), producción (PLT´s), estados mecánicos y demás variables relevantes para el seguimiento operativo. La consolidación y cargue de esta información contribuyó a mantener la base de datos actualizada, confiable y alineada con la operación real del campo, facilitando su uso en los análisis técnicos, el control del desempeño de los pozos y la toma de decisiones a nivel de gestión del activo. Para el mes de Diciembre se llevó a cabo la actualización del tablero 2.6 correspondiente al seguimiento de la producción e inyección diaria del campo Chichimene, incorporando la información proveniente de la base de datos AVM. Esta actividad permitió asegurar la consistencia y oportunidad de los datos utilizados para el reporte diario del desempeño operativo del campo. La actualización del tablero facilita la visualización y el control continuo de las variables clave de producción e inyección, constituyéndose en una herramienta fundamental para el monitoreo operativo y el soporte a la toma de decisiones a nivel de gestión del activo.</t>
  </si>
  <si>
    <t>Se realizó el envío de los informes oficiales de producción del campo Chichimene, consolidados a partir de la información registrada y validada en la base de datos AVM. Este proceso incluyó la extracción, depuración y verificación de los datos operativos, garantizando la calidad y trazabilidad de la información reportada, así como su disponibilidad para los análisis de seguimiento, control y toma de decisiones a nivel de ingeniería y gestión del activo. Como parte del control operativo del sistema de inyección, se realizó la revisión y ajuste del consolidado de brechas de inyección con corte Noviembre/2025 para los pozos de la zona centro. Este ejercicio permitió actualizar el estado real de cumplimiento de las metas de inyección y visibilizar las principales restricciones que afectan el desempeño de algunos pozos, especialmente aquellas relacionadas con limitaciones de equipos y condiciones de superficie. La comparación entre los volúmenes efectivamente inyectados y los caudales objetivo-definidos para cada pozos facilitó la identificación de desviaciones relevantes y la priorización de acciones enfocadas en mejorar la capacidad de inyección. Con ello, se busca fortalecer el desempeño del sistema inyector-productor y asegurar el alineamiento con los objetivos operacionales del campo.</t>
  </si>
  <si>
    <t>Seguimiento Inyectores Nov25 GCH.xlsx</t>
  </si>
  <si>
    <t xml:space="preserve">Durante el período evaluado se fortaleció el control sobre el comportamiento de los pozos productores de la zona centro, considerando su sensibilidad a las condiciones operativas del proceso de inyección de agua. Este seguimiento permitió comprender de forma más clara la respuesta del yacimiento ante los esquemas de inyección implementados y detectar oportunamente desviaciones que pudieran afectar el desempeño del barrido. El análisis sistemático de variables de producción y presión ha servido como soporte para la toma de decisiones oportunas, orientadas a ajustar el balance entre inyección y producción. De esta manera, se contribuye a mantener la estabilidad del sistema del sistema de recobro y a mitigar riesgos asociados a fenómenos como sobre inyección o canalización temprana. </t>
  </si>
  <si>
    <t>De manera complementaria, se desarrolló un análisis global de los pozos inyectores y productores que conforman los patrones de la zona central del campo Chichimene, con el objetivo de verificar su comportamiento bajo las condiciones actuales de inyección. Esta revisión permitió detectar oportunamente desviaciones operativas y evaluar la necesidad de ajustes, con el fin de preservar la estabilidad del sistema de soporte por inyección. Como resultado de este ejercicio, se logró sostener el desempeño operativo esperado de los pozos, fortalecer la eficiencia del barrido y asegurar la continuidad de las estrategias de manejo de yacimiento definidas para la zona, contribuyendo así a la operación estable y al cumplimiento de los objetivos de producción del campo.</t>
  </si>
  <si>
    <t>A) Ajustes de perfiles campaña WO 2024-2026 (aceite, agua, gas) aterrizados a la vista actual.</t>
  </si>
  <si>
    <t>A) Perfiles ajustados WO 2024-2026:                        https://ecopetrol-my.sharepoint.com/:x:/r/personal/laura_cubides_ecopetrol_com_co/Documents/Archivos%20de%20chat%20de%20Microsoft%20Teams/Anexo%202%20Perfiles%20y%20Calendarizacion%20Final%202024-2026CC%20.xlsx?d=w96d29839b2d344519669eb17a92a6d92&amp;csf=1&amp;web=1&amp;e=BJVTbq</t>
  </si>
  <si>
    <t xml:space="preserve">A) Compartido mediante Teams, modelo que contiene las actualizaciones semanalas enviadas: Z:\CHICHIMENE\INFORMACIÓN_CAMPO_CHICHIMENE\23.-Inyeccion de Agua\10. MONITOREO\09. Proyecto Sahara\2025\12. Diciembre                                                    </t>
  </si>
  <si>
    <t>A) Revisión de volumenes del auditor 2026 vs comportamiento actual. B) Actualización de patronamiento pozos a cargo zona sur y proyecto frontera. C) Actualización de seguimiento pozos con nanos y diagnostico de pozos con resultados no positvos de la tecnología nanos en la campaña WO2024-2026.</t>
  </si>
  <si>
    <t>A) Revisión vol auditor 2026: https://ecopetrol-my.sharepoint.com/:x:/g/personal/geisson_zafra_ecopetrol_com_co/IQDZwSTYLjTzSJ2p1VKxMHWfAZs-H9dzo1d5gr08SECw0UI?e=gdYc6Q B) Sesión via teams junto al equipo G&amp;G.                                     C) Presentación pozos con resultados no positivos nanos campaña WO 2024-2026: https://ecopetrol.sharepoint.com/:p:/r/sites/SeguimientoIAChichimeneECP/Documentos%20compartidos/07.%20Pozos%20Nanofluidos/Nanoproductores/Pozos_sin_incrementales_Campa%C3%B1aNanos2025.pptx?d=w7fbf6c071e344675b8ce1815ec6c65c1&amp;csf=1&amp;web=1&amp;e=th4xBS</t>
  </si>
  <si>
    <t>A) Informe del proyecto frontera en ejecución a corte de noviembre-25. B) Soporte en la actualización de información yacimientos para Resnode 4Q.</t>
  </si>
  <si>
    <t>A) Informe frontera a corte nov-25: https://ecopetrol.sharepoint.com/:w:/r/sites/SeguimientoIAChichimeneECP/Documentos%20compartidos/36.%20Pozos%20Frontera/Informes/Informe%20Seguimiento%20Frontera%20%20-%20Octubre-Noviembre%202025.docx?d=w228c128f31bd4fa3bd4d0aadd88214cb&amp;csf=1&amp;web=1&amp;e=riy4A2          B) Archivo actualizado en ruta Resnode https://ecopetrol.sharepoint.com/:x:/r/sites/EstimadorGOP-NodoYacimiento-1.SharePointEstimadorNodYac/Documentos%20compartidos/1.%20SharePoint%20Estimador%20NodYac/1.%20Registros%20Datos/1.%20Registros%20VRO/1.%20Registros%20GCH/1.Datos_SharePoint_GCH.xlsx?d=w8b76dfe52db04cae8ae369f9a21aff71&amp;csf=1&amp;web=1&amp;e=ngpqUF</t>
  </si>
  <si>
    <t>A) Cierre de acciones WM.</t>
  </si>
  <si>
    <t>A) Acciones cerradas en la plataforma Wellmeeting.</t>
  </si>
  <si>
    <t>A) Interpretación de PBU (oportunidad) de los pozos: CHSW-17/CHSW-61/CHSW-56</t>
  </si>
  <si>
    <t>A) Soporte de interpretación PBU: Z:\CHICHIMENE\INFORMACIÓN_CAMPO_CHICHIMENE\23.-Inyeccion de Agua\10. MONITOREO\29. Presiones\PBU\2025 2S  Diferida Poliandino                                               Datos de presión de yacimiento registros en la base de datos: https://ecopetrol.sharepoint.com/:x:/r/sites/SeguimientoIAChichimeneECP/Documentos%20compartidos/04.%20Pwf%20Chichimene/Presiones_CHICHIMENE.xlsx?d=wddb466d254ac4314855c2e83f301d935&amp;csf=1&amp;web=1&amp;e=44gDLj</t>
  </si>
  <si>
    <t>A) Integrar la contrucción de PDT inyección T2 y K para los pozos del campo CH (ajuste GOP) B) Seguimiento de brechas de inyección a corte nov-25 - evolución de cumplimiento por formación - recopilación de causas y plan.</t>
  </si>
  <si>
    <t>A) PDT inyección T2 - K CH: https://ecopetrol.sharepoint.com/:x:/r/sites/SeguimientoIAChichimeneECP/Documentos%20compartidos/20.%20Portafolio/2025/GOP%204Q/WINJ%202025%20GOPNov25.xlsx?d=w9ea050b8803e4d71b96049f177a2cbdf&amp;csf=1&amp;web=1&amp;e=qgQnqs                                               B) Excel de seguimiento brechas inyección Nov-25: https://ecopetrol.sharepoint.com/:x:/r/sites/SeguimientoIAChichimeneECP/Documentos%20compartidos/11.%20Desviaciones%20Prod_Iny%20Real%20vs%20P50%20vs%20Auditoria%20vs%20PDI%20vs%20GOP%20vs%20POP/Seguimiento%20Inyectores%20Nov25%20%20GCH.xlsx?d=w2ca4da09aaa94a81ac6fc9e68548c08d&amp;csf=1&amp;web=1&amp;e=7lFS1d                                        Presentación brechas de inyección/acciones: https://ecopetrol.sharepoint.com/:p:/r/sites/SeguimientoIAChichimeneECP/Documentos%20compartidos/03.%20Seguimiento%20Inyectores/Brechasinyeccion.pptx?d=w79615f0b69984691a40f31c6b9e4cea2&amp;csf=1&amp;web=1&amp;e=YEyEWl</t>
  </si>
  <si>
    <t>A) Seguimiento pozos frontera GLH. B) Seguimiento de pozos zona sur - diagnóstico</t>
  </si>
  <si>
    <t>A) Sistemática vía team y acciones en WM.                              B) Sistemática vía team y acciones en WM.</t>
  </si>
  <si>
    <t>A) Actualización de información de pozos a cargo en la zona SW - Estados mecanicos, ILT's, Pwf, estados mecanicos a la persona encargada del modelo oficial Sahara.</t>
  </si>
  <si>
    <r>
      <t xml:space="preserve">Christian Mendoza:
</t>
    </r>
    <r>
      <rPr>
        <sz val="9"/>
        <color theme="1"/>
        <rFont val="Verdana"/>
        <family val="2"/>
      </rPr>
      <t>* Actualización y publicación de tablero 1.1 PDI 2026+ 
* Actualización y publicación de tablero 2.1_Monitoreo_Proyectos_VRO. 
* Actualización, publicación y cargue de datos tablero 2.2_Monitoreo_Prod_P50.   
* Actualización, publicación y desarollo tablero 2.3_Monitoreo secundaria. 
* Actualización, publicación  y desarrollo tablero 2.61_SeguimientoProducción ChiAk                                                                                                                                                  
* Actualización y publicación tablero 2.62_SeguimientoProducción Castilla        
* Actualización, desarrollo y publicación tablero 2.63_SeguimientoProducción Apiay-Suria
* Actualización y publicación tablero 2.8_Seguimiento Pulsos
* Actualización de tablero 2.9_Calidad_de_agua_VRO</t>
    </r>
  </si>
  <si>
    <t>Archivo excel con: Análisis comparativo de los volúmenes certificación</t>
  </si>
  <si>
    <t>REVISIÓN_211225.xlsx</t>
  </si>
  <si>
    <t>Archivo excel con generación de TOW y conteo de pozos perfil oficial 2026</t>
  </si>
  <si>
    <t>WELL_COUNT_CUM_AKACÍAS_VT_211225.xlsx</t>
  </si>
  <si>
    <t>Archivo excel con: Actualización inyección y balance de campo vista PD+</t>
  </si>
  <si>
    <t>Balance_Inyeccion_Final_4Col (version 1).xlsx</t>
  </si>
  <si>
    <t>Archivo excel y ppt con: Análisis de los perfiles de producción vista 3P teniendo en cuenta PA &amp; FR en agua y petróleo</t>
  </si>
  <si>
    <t>TOW_&amp;_ACT_2025.xlsx</t>
  </si>
  <si>
    <t>Archivo excel con: perfiles de inyección disposal, supply y transfer</t>
  </si>
  <si>
    <t>WATER_INJ_DISPOSAL_VISTA_CAMPO_AKACÍAS_VT_2025.xlsx</t>
  </si>
  <si>
    <t>36. RWA Diciembre 2025</t>
  </si>
  <si>
    <t>ActualizaciónBásica012026</t>
  </si>
  <si>
    <t>Z:\INFORMACIÓN_CAMPO_CHICHIMENE\23.-Inyeccion de Agua\10. MONITOREO\09. Proyecto Sahara\2026\Enero</t>
  </si>
  <si>
    <t>Definicón Puntos de amarre para ejercicio de PortafolioGOP  2026 de pozos productores. Elaboración del PDT de inyección para el año 2026.</t>
  </si>
  <si>
    <t>Análisis de alcance justificación WO de CHSW-39.</t>
  </si>
  <si>
    <t>Seguimiento de patrones de la zona sur del Campo Chichimene. Cargue de perfiles de inyección y producción en Sahara. Cargue cementaciones, instalaciones y cañoneos CHSW40, CH178R</t>
  </si>
  <si>
    <t>A) Contribuir en la definición de plan de cierre de brechas.</t>
  </si>
  <si>
    <t>A) Plan cierre de brechas:                        https://ecopetrol-my.sharepoint.com/:x:/r/personal/geisson_zafra_ecopetrol_com_co/Documents/Archivos%20de%20chat%20de%20Microsoft%20Teams/Pozo%20a%20Pozo_Esc%20Reto2%20Modificado.xlsx?d=w8e370c5c630b45f796ecc9644e5cd30b&amp;csf=1&amp;web=1&amp;e=ceHOLQ</t>
  </si>
  <si>
    <t xml:space="preserve"> A) Actualización de información de pozos a cargo en la zona SW - Estados mecanicos, ILT's, Pwf, estados mecanicos, factores de alocación a la persona encargada del modelo oficial Sahara.</t>
  </si>
  <si>
    <t xml:space="preserve">A) Compartido mediante Teams, modelo que contiene las actualizaciones semanalas enviadas: Z:\CHICHIMENE\INFORMACIÓN_CAMPO_CHICHIMENE\23.-Inyeccion de Agua\10. MONITOREO\09. Proyecto Sahara\2026\01. Enero                                                    </t>
  </si>
  <si>
    <t>A) Construcción de certificado de beneficio por nanotecnología MRT 4Q. B) Definición de lineas base para los pozos ejecutados actualmente en la campaña OPT.</t>
  </si>
  <si>
    <t xml:space="preserve"> A) Certificado 4Q nanos:  https://ecopetrol.sharepoint.com/:w:/r/sites/SeguimientoIAChichimeneECP/Documentos%20compartidos/07.%20Pozos%20Nanofluidos/Certificados/CTI-F-055%20Certificaci%C3%B3n%20Nano%20movilidad%20y%20control%20de%20agua%20GCH%204Q2025%20Borrador_v1.docx?d=w8ed4addada0b4e0d920fc1c3ea106f58&amp;csf=1&amp;web=1&amp;e=gCJNlq                                  B) Lb OPT ejecutados: https://ecopetrol.sharepoint.com/:f:/r/sites/SeguimientoIAChichimeneECP/Documentos%20compartidos/09.%20Gerenciamiento%20Chichimene/2025/06.%20Diciembre?csf=1&amp;web=1&amp;e=2tovSq</t>
  </si>
  <si>
    <t>A) Informe del proyecto frontera en ejecución a corte de diciembre-25. B) Seguimiento de brechas de inyección a corte dic-25 - evolución de cumplimiento por formación - recopilación de causas y plan.</t>
  </si>
  <si>
    <t>A) Informe frontera a corte dic-25: https://ecopetrol.sharepoint.com/:w:/r/sites/SeguimientoIAChichimeneECP/Documentos%20compartidos/36.%20Pozos%20Frontera/Informes/2025/Informe%20Seguimiento%20Frontera%20%20-%20Diciembre.docx?d=w66cd4f2bac914f7fa99a6dcc5e237226&amp;csf=1&amp;web=1&amp;e=5vsfja                                                   B) Excel de seguimiento brechas inyección dic-25: https://ecopetrol.sharepoint.com/:x:/r/sites/SeguimientoIAChichimeneECP/Documentos%20compartidos/11.%20Desviaciones%20Prod_Iny%20Real%20vs%20P50%20vs%20Auditoria%20vs%20PDI%20vs%20GOP%20vs%20POP/Seguimiento%20Inyectores%20Dic25%20%20GCH.xlsx?d=w7fff514d0b644c49a5e01378f96c41c6&amp;csf=1&amp;web=1&amp;e=XMrE09                                                               Presentación brechas de inyección/acciones: https://ecopetrol.sharepoint.com/:p:/r/sites/SeguimientoIAChichimeneECP/Documentos%20compartidos/11.%20Desviaciones%20Prod_Iny%20Real%20vs%20P50%20vs%20Auditoria%20vs%20PDI%20vs%20GOP%20vs%20POP/Soporte/Brechasinyeccion.pptx?d=w79615f0b69984691a40f31c6b9e4cea2&amp;csf=1&amp;web=1&amp;e=90rUCz</t>
  </si>
  <si>
    <t>A) Definición de plan de acción CH-235IST. B) Actualización de EM e ILT para streamlines.</t>
  </si>
  <si>
    <t>A) Reuniones vía teams y acciones en Wellmeeting. B) Excel ILT streamlines: https://ecopetrol.sharepoint.com/:x:/r/sites/SeguimientoIAChichimeneECP/Documentos%20compartidos/12.%20Streamlines/Actualizacion_SL_2025/Diciembre/ILT_2025_12.xlsx?d=w373151291f054e3a8cf081d17bce35f5&amp;csf=1&amp;web=1&amp;e=Ga2oEA</t>
  </si>
  <si>
    <t>A) Creación de cargadores por proyecto para cargar en la herramienta molinos de viento. B) Creación de cargador trimetral de  volumenes por tecnología.</t>
  </si>
  <si>
    <t>A) Cargadores Molinos de viento a corte dic-25: https://ecopetrol.sharepoint.com/:f:/r/sites/SeguimientoIAChichimeneECP/Documentos%20compartidos/28.%20Molinos%20de%20Viento/2025/12.%20Diciembre?csf=1&amp;web=1&amp;e=M0F0zr                                             B) Cargador trimestral por tecnología a corte dic-25: https://ecopetrol.sharepoint.com/:x:/r/sites/SeguimientoIAChichimeneECP/Documentos%20compartidos/28.%20Molinos%20de%20Viento/Cargue%20por%20Tecnologia/CargadorPorRecobroDic2025.xlsx?d=w0e4842e9b6314b78910860ffce4e742c&amp;csf=1&amp;web=1&amp;e=8gsJqz</t>
  </si>
  <si>
    <t>A)  Envío de reporte de producción diario en los días asignados   B) Actualización de RWA visualizador a corte dic-25.</t>
  </si>
  <si>
    <t>A) Tablero 2.61: https://ecopetrol.sharepoint.com/:u:/r/sites/SeguimientoIAChichimeneECP/Documentos%20compartidos/04.%20Pwf%20Chichimene/2.61_SeguimientoProducci%C3%B3nChiak.pbix?csf=1&amp;web=1&amp;e=Xeur0w                                        B) Cargadores RWA visualizador: https://ecopetrol.sharepoint.com/:f:/r/sites/SeguimientoIAChichimeneECP/Documentos%20compartidos/15.%20RWA/Visualizadores/RWA%20cargador%20visualizador%20Dic-2025?csf=1&amp;web=1&amp;e=tTNjEt</t>
  </si>
  <si>
    <t xml:space="preserve">A) Actualización de punto de amarre y declinaciones a corte de dic-25 para corrida GOP de los pozos a cargo. B) Actualización de curvas caracteristicas de los pozos a cargo. C) Determinación de pozos subexplotadospara incluir volumenes por actividad en K. </t>
  </si>
  <si>
    <t xml:space="preserve">A) Punto de amarre  https://ecopetrol.sharepoint.com/:f:/r/sites/SeguimientoIAChichimeneECP/Documentos%20compartidos/20.%20Portafolio/2026/Actualizaci%C3%B3nB%C3%A1sica012026/Puntos%20de%20Amarre?csf=1&amp;web=1&amp;e=0LbRyA                                 Declinaciones:      https://ecopetrol.sharepoint.com/:f:/r/sites/SeguimientoIAChichimeneECP/Documentos%20compartidos/20.%20Portafolio/2026/Actualizaci%C3%B3nB%C3%A1sica012026/Declinaciones?csf=1&amp;web=1&amp;e=fri7Jf                                                             B) Curvas caracteristicas: https://ecopetrol.sharepoint.com/:f:/r/sites/SeguimientoIAChichimeneECP/Documentos%20compartidos/20.%20Portafolio/2026/Actualizaci%C3%B3nB%C3%A1sica012026/CC?csf=1&amp;web=1&amp;e=BcPMRN                                      C) Pozos subexplotados: https://ecopetrol.sharepoint.com/:x:/r/sites/SeguimientoIAChichimeneECP/Documentos%20compartidos/20.%20Portafolio/2026/Actualizaci%C3%B3nB%C3%A1sica012026/Pozossubexplotados.xlsx?d=w676fea00115d42d6aa1963ce6603cb4f&amp;csf=1&amp;web=1&amp;e=J2CMEx                      </t>
  </si>
  <si>
    <t>A) Seguimiento pozos frontera GLH. B) Seguimiento de pozos zona sur - diagnóstico C) Comentarios de desviación incrementales a corte dic-25. D) Memorando de completamiento CHSW-85.</t>
  </si>
  <si>
    <t>A) Sistemática vía team y acciones en WM.                              B) Sistemática vía team y acciones en WM.                                 C) Excel diligenicado vía teams compartido por el equipo encargado.                                         D) Memorando de completamiento: Z:\CHICHIMENE\INFORMACIÓN_CAMPO_CHICHIMENE\23.-Inyeccion de Agua\10. MONITOREO\50. Completamiento\Inyectores\CHSW-85</t>
  </si>
  <si>
    <t>1) Actualización con la base de datos con información de nuevos pozos completados.
2) Carga de nueva información registros ILT a corte de Dic 2025.</t>
  </si>
  <si>
    <t>1) Revisón de información sismica para los pozos pertencientes a los patrones de inyección para identificar estructuras y establecer conectividades en los patrones de inyección. En busqueda del mejoramiento del factor de conectividad geológico.</t>
  </si>
  <si>
    <t xml:space="preserve"> \\10.100.25.35\pgtrabajodigital\JAH\Proyecto
Z:\akacias\2.- Ingeniería de Yacimientos\1.MONITOREO\19.Sistematica WF Akacias\2026\01.Enero</t>
  </si>
  <si>
    <t>1) Generación mapas, cortes y correalciones para hacer seguimiento a los patrones de inyección del campo y monitoreo a los pozos productores.
2) Generación información para las formas 13 y 14CR de los pozos AK-11 y AK-157.</t>
  </si>
  <si>
    <t>1) Contrucción en petrel de secciones que permitan observar la continuidad horizontal de los ciclos estratigráficos en pro de establecer la conectividad geológica en los patrones de inyección, en el monitoreo del WF para el campo Akacias.
2) Generación de secciones estructurales que permitan observar el comportamiento areal del yacimiento, enfocadas en monitorear el comportamiento de pozos productores y las conectividades en patrones de inyección en el campo Akacias.
3) Generación de secciones para completar la información de las formas 13 y 14CR para los pozos AK-11 y AK157.</t>
  </si>
  <si>
    <t>1) Revisión de la información sismíca con la trayectoria en las trayectorias entre pozos inyectores y porductores para identicar el Factor falla involucrado dentro del factor de conectividad geológica, insumo para actualizar el factor de conectividad geológico y el mapa de conectividad. Actualización del tablero de Geología.</t>
  </si>
  <si>
    <t xml:space="preserve">1) Hacer seguimiento áreal de las facies para identificar los cambios laterales de facies que puedan indicar el comportamiento de arenas yto en los pozos productores.
2) Actualización Fc Geológica a corte de Dic/2025.
3) Generación de mapas de PWF y Rendimiento para el Campo Akacias a corte de Dic/2025.
</t>
  </si>
  <si>
    <t>1) Actualización última información obtenida para los pozos inyectores del campo Akacias y los pozos Chihimene pertenecientes al proyecto Frontera.</t>
  </si>
  <si>
    <t xml:space="preserve">1. Pronosticos de NUevos proyectos WOrkover secundaria y REdiseños. 2, DOcumento de soporte de reservas Word y Power point  3. Pronosticos de Proyecto Expansion de recobro Unidades T2 y K1  4. Memorando de modificacion del  proyecto Expansion de recobro mejorado   5. Reuniones sistematicas de los proyetos </t>
  </si>
  <si>
    <t xml:space="preserve">1, \\10.100.25.60\sya\GEC\Castilla\103. Proyecto WORKOVER 2024-2027\Workover 2025-2027 GDT                      2,  \\10.100.25.60\sya\GEC\Castilla\103. Proyecto WORKOVER 2024-2027\Workover Secundario GDT            3, \\10.100.25.60\sya\GEC\Castilla\103. Proyecto WORKOVER 2024-2027\PROYECTO INTERVENCIONES CASTILLA 2025-2027                                                          4, \\10.100.25.60\sya\GEC\Castilla\104.  Etapa 4 DFGB        5. \\10.100.25.60\sya\GEC\Castilla\20.Proyecto IOR K2\Expansión Recobro Mejorado GDT\02. EXP REC MEJORADO FASE 1    6.https://ecopetrol.sharepoint.com/sites/CastillaWOs2022/Documentos%20compartidos/Forms   </t>
  </si>
  <si>
    <t>Actualización semanal del modelo estático y dinámico del yacimiento y pozos del campo Akacias, mediante el proyecto Sahara a Ene-2026 (Cargadores y modelo final)</t>
  </si>
  <si>
    <t>\\10.100.25.60\sya\GEC\CHICHIMENE\INFORMACIÓN_CAMPO_CHICHIMENE\23.-Inyeccion de Agua\10. MONITOREO\09. Proyecto Sahara\2026\Enero
Z:\Akacias\2.- Ingeniería de Yacimientos\1.MONITOREO\1.Sahara\2026\1. Enero</t>
  </si>
  <si>
    <t>Actualización de los cargadores y corrdia del RWA ChiAk con la información de formas 9 del mes de diciembre para distribuir la producción básica e incremental por efecto de WF en el campo Akacías</t>
  </si>
  <si>
    <t>Z:\Akacias\2.- Ingeniería de Yacimientos\1.MONITOREO\16.RWA\AKACIAS\2025\12. Diciembre</t>
  </si>
  <si>
    <t>Distribución de la inyección en los pozos de los patrones actuales en el campo Akacías a fin de determinar los coeficientes de balanceo de patrones para definir estrategías de recuperación u optimización a corte de dic/2025.</t>
  </si>
  <si>
    <t>Z:\Akacias\2.- Ingeniería de Yacimientos\1.MONITOREO\37. Coeficientes de eficiencia vertical\2025\4. Diciembre</t>
  </si>
  <si>
    <t>Corrida del Resnode para determinar el potencial del nodo yacimiento con los pozos activos del campo Akacías y que es imput del GOP para el primer trimeste de 2026.</t>
  </si>
  <si>
    <t>Z:\Akacias\2.- Ingeniería de Yacimientos\1.MONITOREO\32. Resnode\2026\1Q</t>
  </si>
  <si>
    <t>Plan cierre de brechas de producción para lograr el P50 en producción del campo Akacías</t>
  </si>
  <si>
    <t>https://ecopetrol.sharepoint.com/:x:/s/IAAKACIAS/IQCcl968WDSxSqAXYDCz6qheAdo_DUP6T2e2zeSXiOTCIjo?email=karen.carrascal%40ecopetrol.com.co&amp;e=PZEgNh</t>
  </si>
  <si>
    <t>Definición de promesas volumetricas para los pozos incluidos en le MOC del proyecto OPT Akaciás 2026-2027</t>
  </si>
  <si>
    <t>https://ecopetrol.sharepoint.com/:x:/s/IAAKACIAS/IQA7MCsBl3nNQq2BEB-akeEkAX9BylA1SwbXcuKNho89SR8?email=karen.carrascal%40ecopetrol.com.co&amp;e=6OIFtk</t>
  </si>
  <si>
    <t>MOC de productores a inyectores en el proyecto OPT 2026-2027 para intervenciones con UCT</t>
  </si>
  <si>
    <t>https://ecopetrol.sharepoint.com/:x:/s/IAAKACIAS/IQC_f40tjm2vRqXx4msyZ9CxAfuecbJEjDu7sMtKdNtm5JE?email=karen.carrascal%40ecopetrol.com.co&amp;e=JvmiLY</t>
  </si>
  <si>
    <t>https://ecopetrol.sharepoint.com/:f:/s/IAAKACIAS/IgD2FJ6bO9b1Sbke9CPEv9BCAVvUp8HTEdZ4iNhJbZ9cWJ8?email=karen.carrascal%40ecopetrol.com.co&amp;e=Iw7Te5</t>
  </si>
  <si>
    <t>Digitalización, digitación y/o captura de información geológica (Mapas, Raw Data, topes, etc.)</t>
  </si>
  <si>
    <t>Carga de información para poblar el modelo geocelular (direccionales,  coordenadas, surveys, topes, data de presión, estados mecánicos, evento de pozos, etc.)</t>
  </si>
  <si>
    <r>
      <t xml:space="preserve">Diego Galeano:
</t>
    </r>
    <r>
      <rPr>
        <sz val="9"/>
        <color theme="1"/>
        <rFont val="Verdana"/>
        <family val="2"/>
      </rPr>
      <t xml:space="preserve">Trabajo enfocado en el control de cambio de los Proyectos Workover Secundario y intervenciones de pozos Castilla, reduccion de actividad de 15 Workover a 5 Workover año 2026, y ´pasando en intervenciones de 22 trabajos a 12 trabajos. actualizacion candidatos, 10  trabajos se corren al año 2028,. Actualizacion de candidatos de proyecto intervenciones Castilla 2024-2027       </t>
    </r>
  </si>
  <si>
    <t>Se inicia y se concluye el ejercicio de actualización de la básica para el GOP, el cual se desarrolló durante todo el mes. El ejercicio comprende: actualización de cronograma de inactivos, PDT de inyección, delcinaciones y amarres, cargue a DCA para visualizar proyección, cargue de RWA historia y RWA PDP al archivo de CC, ajuste de curvas características, construcción de ARPS, export y validación en tablero de proyecciones.</t>
  </si>
  <si>
    <t>https://ecopetrol.sharepoint.com/sites/SeguimientoIAChichimeneECP/Documentos%20compartidos/Forms/AllItems.aspx?id=%2Fsites%2FSeguimientoIAChichimeneECP%2FDocumentos%20compartidos%2F20%2E%20Portafolio%2F2026%2FActualizaci%C3%B3nB%C3%A1sica012026&amp;viewid=72844968%2Df801%2D450d%2D81d2%2D32c578273e17</t>
  </si>
  <si>
    <t>Se procede a realizar, con base en los volúmenes FID, el conteo de pozos final. El mismo se realiza con apoyo de una Macro y es enviado al certificador para su aprobación y posterior cargue a Valnav.</t>
  </si>
  <si>
    <t xml:space="preserve">Se reciben volúmenes FID del certificador luego de diferentes ajustes realizados. Estos son objeto de entrada para el flujo de caja del campo. Los mismos son cargados a tablero y verificados previamente antes de ser enviados al equipo financiero. </t>
  </si>
  <si>
    <t>Se lleva a cabo la actualización del MoC último de ET2, cargue del Forecast Frontera, y se solicita creación del proyecto campaña de WO ON 2025-2027, todo lo anterior en la herramienta Molinos.</t>
  </si>
  <si>
    <t>https://ecopetrol.sharepoint.com/sites/SeguimientoIAChichimeneECP/Documentos%20compartidos/Forms/AllItems.aspx?id=%2Fsites%2FSeguimientoIAChichimeneECP%2FDocumentos%20compartidos%2F28%2E%20Molinos%20de%20Viento&amp;viewid=72844968%2Df801%2D450d%2D81d2%2D32c578273e17</t>
  </si>
  <si>
    <t xml:space="preserve">Se analizan los reales del mes de diciembre luego de generados los archivos cargadores de formas, a fin de realizar comparaciones pozo a pozo y que se identifiquen las brechas en patrones de REAL frente a P50, CERT, GOP 1Q y PDI. </t>
  </si>
  <si>
    <t>Se construyen cargadores del RWA PDP con la información definida en PDT de inyección, perfiles PDP proyectados, cronoramas de entrada de inactivos y cierre en PDP,  cruce con líneas base; y se corre el mismo para continuar con el proceso de actualización de la básica.</t>
  </si>
  <si>
    <t>Durante el mes de Enero, estuve de frontal en el desarrollo de las actividades relacionadas con la actualización de los coeficientes de balanceo del campo Chichimene, labor que resulta determinante para el adecuado seguimiento y control de los procesos de inyección de agua. Estas actividades permitieron fortalecer el análisis del desempeño de cada patrón de inyección, así como evaluar de manera más detallada la respuesta del yacimiento frente a las estrategias de recobro actualmente en ejecución. El alcance del trabajo incluyó el cálculo, revisión y verificación de los coeficientes de inactivos, coeficientes de inyección, coeficiente vertical, coeficiente de reservas, coeficiente de eficiencia y coeficiente de balance de presión de fondo fluyente (Pwf). Cada uno de estos parámetros fue analizado de forma exhaustiva con el propósito de asegurar su coherencia con las condiciones operativas vigentes del yacimiento y con el comportamiento observado tanto en pozos inyectores como en pozos productores. La actualización de estos coeficientes permitió mejorar la representatividad de los modelos de balance, identificar oportunidades de optimización en la distribución del agua inyectada y detectar posibles desviaciones operativas. Asimismo, este ejercicio contribuye a un seguimiento más confiable del equilibrio presión-volumen a nivel de patrón, aspecto fundamental para sostener la eficiencia del sistema de inyección, minimizar riesgos operativos y apoyar la continuidad y sostenibilidad de la producción del campo</t>
  </si>
  <si>
    <t>En el transcurso del mes de Enero se ejecutó un proceso de revisión y actualización técnica de las eficiencias de inyección asociadas a cada capa y zona de los diferentes patrones del campo Chichimene. Esta actividad constituyó un componente clave dentro del análisis integral del sistema de inyección de agua, al permitir una comprensión robusta del comportamiento dinámico del yacimiento y del desempeño de las estrategias de recobro secundario implementadas. El trabajo desarrollado contempló la validación y procesamiento de la información disponible, así como el cálculo de las eficiencias por intervalo, integrando de manera coherente datos provenientes de balance de masa, historiales operativos, registros de inyección y perfiles de distribución del fluido. A partir de este ejercicio analítico fue posible generar indicadores actualizados que reflejan de forma más representativa la asignación real del volumen de agua inyectado en las distintas unidades geológicas, considerando las condiciones de heterogeneidad propias del yacimiento, tales como contrastes de permeabilidad, grados de conectividad hidráulica entre capas, variaciones en la movilidad de fluidos y efectos asociados a la estratificación. Como resultado, la información consolidada fue incorporada al tablero 2.3, el cual se configura como una herramienta de soporte estratégico al integrar visualizaciones y métricas operacionales relevantes, entre ellas la participación porcentual y espacial de la inyección, la eficiencia global del sistema y las eficiencias discriminadas por capa y zona. Este tablero, alimentado con información actualizada y validada, aporta un respaldo analítico significativo para la toma de decisiones operativas y facilita la detección temprana de comportamientos atípicos en la relación entre la inyección y la producción del campo</t>
  </si>
  <si>
    <t>De forma complementaria a las actividades de seguimiento de los patrones de inyección, se llevó a cabo un análisis detallado del comportamiento de los pozos inyectores y productores asociados a cada uno de los patrones asignados en la zona central del campo Chichimene, específicamente los pozos CH-12A, CH-183ST, CH-182, CH-52, CH-77, CH-187, CH-32, CH-110, CH-132, CH-47, CH-185, CH-214, CH-215 y CH-216. El objetivo principal de esta evaluación fue analizar de manera integral la respuesta de los pozos frente a las condiciones operativas de inyección vigentes, identificar oportunamente desviaciones respecto al desempeño esperado y establecer las acciones correctivas o preventivas requeridas para preservar la estabilidad y eficiencia del sistema inyector – productor. El análisis incluyó la revisión de variables operacionales y productivas clave, tales como caudales de inyección y producción, comportamiento de presiones, tendencias históricas, respuesta dinámica de los pozos productores y su relación con los volúmenes de agua inyectada. Como resultado de este ejercicio, fue posible fortalecer el control sobre el desempeño de los pozos, contribuir a una mejor eficiencia del barrido del agua en el yacimiento y asegurar la continuidad y efectividad de las estrategias de manejo de yacimiento implementadas en la zona central del campo. Asimismo, esta evaluación integral se constituye como un soporte técnico relevante para la toma de decisiones operativas orientadas a la optimización del sistema y a la sostenibilidad de la producción en el tiempo.</t>
  </si>
  <si>
    <t>Durante el período de análisis se desarrollaron actividades continuas de seguimiento y evaluación operativa sobre los 12 patrones de inyección de agua localizados en la zona central del campo, empleando en forma sistemática la metodología de análisis de nivel II. Este esquema de evaluación permitió realizar un diagnóstico integral del desempeño individual de cada patrón, a partir del análisis detallado de un conjunto de variables críticas que influyen directamente en la efectividad del sistema de inyección. Entre estas variables se incluyeron la verificación del cumplimiento de los volúmenes programados de inyección, la correspondencia entre los caudales reales y los caudales objetivos definidos, el comportamiento de las presiones a nivel de patrón, y la respuesta productiva de los pozos productores asociados, así como la evaluación de la consistencia del índice de reemplazamiento volumétrico (VRR). La aplicación del análisis de nivel II se fundamentó en la integración e interpretación conjunta de historias operacionales, balance de masa, tendencias de presión, mapas de distribución espacial de la inyección y variaciones observadas en el comportamiento dinámico del yacimiento. Este enfoque integral permitió identificar de manera oportuna desviaciones operativas, irregularidades en la asignación del caudal inyectado, cambios en la eficiencia del barrido volumétrico y posibles interferencias hidráulicas no deseadas entre patrones contiguos. Adicionalmente, la metodología facilitó la detección temprana de limitaciones mecánicas o de superficie que pudieran estar afectando la capacidad de inyección, así como la identificación de oportunidades de mejora orientadas a optimizar el desempeño del recobro secundario. Como resultado de este seguimiento sistemático, se logró mantener un control operativo sólido sobre los patrones de inyección, garantizando una adecuada gestión de la energía del yacimiento y una distribución del agua inyectada acorde con las características petrofísicas del campo. Este monitoreo permanente se consolida como un insumo técnico clave para la toma de decisiones estratégicas, orientadas a maximizar la eficiencia de desplazamiento, fortalecer la conectividad entre pozos y contribuir al incremento sostenido de la productividad en la zona central del campo Chichimene.</t>
  </si>
  <si>
    <t>Y:\INFORMACIÓN_CAMPO_CHICHIMENE\23.-Inyeccion de Agua\10. MONITOREO\09. Proyecto Sahara\2026\Enero</t>
  </si>
  <si>
    <t>Se dio continuidad a las actividades de seguimiento integral y monitoreo dinámico de los pozos productores localizados en los patrones de la zona centro del campo, los cuales presentan variaciones operativas estrechamente relacionadas con las condiciones y el desempeño del proceso de inyección de agua. Este control permanente permitió realizar una evaluación más detallada de la respuesta del yacimiento frente a los volúmenes y tasas de inyección aplicados, así como analizar la interacción entre la inyección y el comportamiento productivo de los pozos asociados. A través del análisis sistemático de tendencias de producción comportamiento de presiones y datos transitorios, fue posible identificar de manera temprana indicios de sobre inyección, fenómenos de canalización prematura del agua y posibles deterioros en la eficiencia del barrido volumétrico. Adicionalmente, el monitoreo continuo facilitó la anticipación de comportamientos no deseados que pudieran comprometer el equilibrio del sistema inyector-productor. La integración de esta información técnica se constituye como un insumo clave para la toma de decisiones operativas oportunas, orientadas a la optimización del balance entre inyección-producción, la mitigación de riesgos operativos y la preservación de la estabilidad y eficiencia del sistema de recobro secundario del campo.</t>
  </si>
  <si>
    <t>Elaboración de los ARPS para los proyectos E2, WFNG para GOP</t>
  </si>
  <si>
    <t>https://ecopetrol-my.sharepoint.com/:f:/r/personal/fabian_torres_ecopetrol_com_co1/Documents/ECP/tablero/01_ECP?csf=1&amp;web=1&amp;e=rJVNNH</t>
  </si>
  <si>
    <t>Elaboración de los ARPS para los proyectos WO24, WO25, OPT25 para GOP</t>
  </si>
  <si>
    <t>Elaboración de los ARPS para los proyectos WFK, Frontera para GOP</t>
  </si>
  <si>
    <t>Ejecución balance de agua para GOP.</t>
  </si>
  <si>
    <t>Archivo excel con: Análsis balance de agua P50 2025</t>
  </si>
  <si>
    <t>P50_FORMATO_SONIA_CON_BALANCE (version 1).xlsb</t>
  </si>
  <si>
    <t>Archivo excel con análisis net &amp; Gross de las reservas 2026+</t>
  </si>
  <si>
    <t>Cierre-2025.xlsx</t>
  </si>
  <si>
    <t>Archivo excel con: Revsión volúmenes reservas y RC de Lorito</t>
  </si>
  <si>
    <t>Cierre-2025_RC.xlsx</t>
  </si>
  <si>
    <t>Archivo excel y ppt con: Seguimiento PCB 2026 &amp; GOP 1T</t>
  </si>
  <si>
    <t>Plan cierre de brechas 2026- VF 1601.xlsx</t>
  </si>
  <si>
    <t>Archivo excel con: Transferecnia de fluidos Akacías - CH Vista GOP 1T</t>
  </si>
  <si>
    <t>Transferencia_CH_AK_GOP_1T_.xlsx</t>
  </si>
  <si>
    <t>Archivo excel con: perfiles Perifles básica e incremental vista GOP 1T</t>
  </si>
  <si>
    <t>GOP_1T_290126_AKACÍAS.xlsx</t>
  </si>
  <si>
    <r>
      <t xml:space="preserve">Diego Galeano:
</t>
    </r>
    <r>
      <rPr>
        <sz val="9"/>
        <color theme="1"/>
        <rFont val="Verdana"/>
        <family val="2"/>
      </rPr>
      <t xml:space="preserve">Trabajo enfocado en revision detallada  de la actividad pendiente por ejecutar en el proyecto Modulo Integral, unidad T2. Control de cambio de Proyecto Workover Secundario, reduccion de actividad de 15 Workover a 5 Workover año 2026, actualizacion candidatos, 10  trabajos se corren al año 2028,. Actualización de candidatos de proyecto intervenciones Castilla 2025-2027      </t>
    </r>
  </si>
  <si>
    <t>Para el mes de Febrero 2026, una de las actividades principales desarrolladas correspondió a la ejecución de la corrida del RWA, proceso que se inicia a partir de la liquidación oficial de producción del mes de Enero 2026. En este contexto, se llevaron a cabo las corridas asociadas a RWA Paso 1 Corocora y RWA Integrado (CPO9 – CH), garantizando la consistencia de la información base para la posterior redistribución de volúmenes. De manera complementaria, se efectuó la construcción y depuración de los cargadores Hist_Inj, Inj_prod_Fcd, Pet_Wat_Liq_Gas y Qosec_Qlsec, con corte a Enero 2026, los cuales constituyen los archivos de entrada requeridos para la correcta ejecución del RWA. 
Una vez completadas las corridas correspondientes a Corocora e Integrado, los archivos generados como salida fueron utilizados en el proceso de redistribución de Qoinc, permitiendo la asignación consistente del aceite incremental por patrón de inyección.
Posteriormente, tras la finalización de las dos corridas del RWA, se procedió a la construcción del archivo consolidado de RWA redistribuido, mediante el cual se obtuvo el listado actualizado de patrones de inyección del campo Chichimene. Este ejercicio permitió identificar, por un lado, patrones con incremento en aceite incremental y comportamiento consistente con la estrategia de inyección de agua implementada, y por otro, patrones que evidencian pérdidas de aceite incremental, los cuales requieren análisis detallado y la definición de panes de acción orientados a la optimización del desempeño</t>
  </si>
  <si>
    <t>37. RWA Enero 2026</t>
  </si>
  <si>
    <t>En el marco de la preparación y envío del informe de Seguimiento de Producción WF-CIS del campo Chichimene, correspondiente a la liquidación de Enero 2026, se llevó a cabo la actualización integral de los soportes gráficos requeridos para el análisis técnico del desempeño de los proyectos de recobro. Este proceso incluyó la revisión, depuración y generación de visualizaciones orintadas a caracterizar el comportamiento prductivo por tecnología, considerando los esquemas WF T2, CEOR, CIS y WF K1K2, así como la discriminación de la producción real bajo mecanismos primarios, secundarios y terciarios. 
De manera complementaria, se actualizaron las gráficas de interacción inyección-producción para los procesos de Waterflooding (WF) y Combustion In Situ (CIS), incorporando análisis de producción mensual real vs volúmenes de inyección de agua y aire, respectivamente, con el propósito de evaluar la eficiencia de barrido y la respuesta dinámica del yacimiento a las estrategias de inyección implementadas. Asimismo, se generaron mapas de comportamiento de presión de fondo fluyendo (Pwf) y de rendimiento incremental (BWIPD/BOPD), incluyendo los mapas correspondientes a corte Enero/2026, los cuales constituyen herramientas clave para la identificación de zonas con restricciones de flujo, oportunidades de optimización y variaciones en la eficiencia de desplazamiento.
Finalmente, el paquete de análisis incorporó la actualización del comportamiento diario de producción de aceite desde Enero/2023, el cálculo del coeficiente de balanceo por patrón y el detalle técnico por proyecto y patrón de inyección, permitiendo consolidar una visión integral del desempeño operativo y del impacto de las tecnologías de recobro mejorado sobre la generación de aceite incremental del campo.</t>
  </si>
  <si>
    <t>En el marco de la gestión y control de la información operativa del campo Chichimene, se ejecutó el proceso de consolidación y envío de los informes oficiales de producción, a partir de la información registrada y validada en la base de datos de AVM. Este procedimiento involucró la extracción estructurada de los datos, su depuración y la aplicación de rutinas de verificación orientadas a garantizar la integridad, consistencia y trazabilidad de la información reportada.
De manera complementaria, se implementaron controles de calidad enfocados en la identificación y corrección de inconsistencias, incluyendo la revisión de balances volumétricos, coherencia entre variables operacionales y validación cruzada con fuentes de información disponibles, asegurando que los reportes representaran de forma confiable el comportamiento productivo real del campo.
La información consolidada fue posteriormente distribuida a los equipos técnicos y de gestión del activo, constituyéndose como un insumo estratégico para el desarrollo de análisis de seguimiento y control, la evaluación del desempeño operativo y el soporte a la toma de decisiones en los ámbitos de ingeniería, planeación y gestión del yacimiento. En este sentido, el proceso contribuye a fortalecer la transparencia, oportunidad y robustez del manejo de la información permitiendo sustentar análisis técnicos con bases de datos confiables y facilitando la identificación de tendencias, desviaciones y oportunidades de optimización del desempeño del campo.</t>
  </si>
  <si>
    <t>Se han continuado las revisiones, análisis y seguimiento de las conversiones de ET2 en la zona norte del campo. Las conversiones correspondientes al esquema ET2 en la zona norte del campo han sido objeto de seguimiento y revisión técnica detallada, en respuesta a desviaciones observadas frente a los volúmenes de inyección VPI programados en el plan operativo. El análisis realizado evidencia que la materialización de dichos volúmenes se ha visto limitada por la ocurrencia de dificultades operativas recurrentes, entre las que se destacan eventos de apagado asociados a fenómenos de afloramiento, así como contingencias relacionadas con la disponibilidad, manejo y continuidad en el suministro de nafta requerida para la sostenibilidad del proceso. Estas condiciones han generado intermitencias en la inyección, afectando la estabilidad del esquema y reduciendo la eficiencia del mecanismo de desplazamiento esperado.
Desde una perspectiva de ingeniería de yacimientos, la disminución en la inyección efectiva de VPI ha impactado la dinámica presión-volumen del sistema patrón-yacimiento, restringiendo la capacidad de movilización del crudo y la propagación adecuada del frente de desplazamiento, lo que se traduce en una respuesta productiva inferior a loa proyectada. En consecuencia, se observan desviaciones respecto a las promesas volumétricas establecidas, particularmente en términos de generación de aceite incremental y cumplimiento de metas de producción asociadas a las conversiones evaluadas.
En este contexto, los resultados obtenidos resaltan la necesidad de fortalecer la confiabilidad operativa del esquema, priorizando la mitigación de las causas de apagado y la estabilización de las condiciones de inyección, con el fin de recuperar la efectividad del proceso y restablecer la alineación entre el desempeño real y los objetivos de producción definidos para la zona norte del campo.</t>
  </si>
  <si>
    <t>20. Portafolio</t>
  </si>
  <si>
    <t>En relación con la incorporación de nuevos patrones a la gestión técnica del área, se llevó a cabo el análisis integral de los patrones CH12A, CH-110, CH-47, CH-185, CH-214, CH215, CH-216, CH-33, CH63, CH-65, CH-175, considerando la evaluación conjunta de los pozos inyectores y productores asociados. Este ejercicio incluyó la revisión del desempeño histórico de producción e inyección, la caracterización del comportamiento presión-volumen y el análisis de indicadores operacionales orientados a identificar restricciones, desviaciones en eficiencia de barrido y oportunidades de mejora. Como resultado, se establecieron lineamientos preliminares de intervención enfocados en la optimización del desempeño de los pozos, priorizando acciones que permitan maximizar la respuesta productiva y la generación de aceite incremental dentro de cada patrón.
De manera complementaria, se continuó con el seguimiento sistemático y el monitoreo de los pozos productores pertenecientes a los patrones de la zona centro, los cuales presentan influencia directa de los procesos de inyección de agua implementados en el campo. Este monitoreo contempló la evaluación de tendencia de producción, comportamiento de corte de agua y respuesta dinámica frente a variaciones en los esquemas de inyección, permitiendo identificar interacciones patrón-productor y posibles impactos aasociados a canalización, barrido no uniforme o sobre inyección. Dicho análisis constituye un insumo clave para la toma de decisiones operativas, al facilitar la detección temprana de desviaciones y la formulación de estrategias orientadas a mejorar la eficiencia de desplazamiento y el desempeño productivo del sistema patrón-yacimiento.</t>
  </si>
  <si>
    <t>Se ejecutaron actividades orientadas a garantizar la integridad, trazabilidad y consistencia de la información técnica asociada a los pozos asignados de la zona centro del campo Chichimene. En este contexto, se llevó a cabo la construcción y depuración de los cargadores requeridos para la incorporación de registros de Injection Logging Tool (ILT) y Production Logging Tool (PLT), estados mecánicos, entre otros insumos operacionales relevantes.
Estas actividades permitieron consolidar la base de datos técnica del sistema, asegurando la disponibilidad de información actualizada para el análisis de desempeño de los pozos, la evaluación de condiciones mecánicas y la caracterización del comportamiento de inyección y producción. De esta manera, la actualización del Sahara contribuye a fortalecer los procesos de monitoreo, diagnóstico y toma de de decisiones operativas, al proporcionar información confiable para la identificación de desviaciones, oportunidades de optimización y priorización de intervenciones en la zona evaluada.</t>
  </si>
  <si>
    <t>Y:\INFORMACIÓN_CAMPO_CHICHIMENE\23.-Inyeccion de Agua\10. MONITOREO\09. Proyecto Sahara\2026\Febrero</t>
  </si>
  <si>
    <r>
      <t xml:space="preserve">Lizeth Bautista:
</t>
    </r>
    <r>
      <rPr>
        <sz val="9"/>
        <color theme="1"/>
        <rFont val="Verdana"/>
        <family val="2"/>
      </rPr>
      <t>No se presentaron novedades durante la ejecución de las actividades en el mes de Febrero 2026</t>
    </r>
  </si>
  <si>
    <t>A) Seguimiento de brechas de inyección a corte ene-26 - evolución de cumplimiento por formación - recopilación de causas y plan.</t>
  </si>
  <si>
    <t xml:space="preserve"> A) Excel de seguimiento brechas inyección ene-26:    https://ecopetrol.sharepoint.com/:x:/r/sites/SeguimientoIAChichimeneECP/Documentos%20compartidos/11.%20Desviaciones%20Prod_Iny%20Real%20vs%20P50%20vs%20Auditoria%20vs%20PDI%20vs%20GOP%20vs%20POP/Seguimiento%20Inyectores%20Ene26%20%20GCH.xlsx?d=w450e5a716d484cbb9887071aa5e77722&amp;csf=1&amp;web=1&amp;e=zszl9U                                                         Presentación brechas de inyección/acciones: https://ecopetrol.sharepoint.com/:p:/r/sites/SeguimientoIAChichimeneECP/Documentos%20compartidos/11.%20Desviaciones%20Prod_Iny%20Real%20vs%20P50%20vs%20Auditoria%20vs%20PDI%20vs%20GOP%20vs%20POP/Soporte/Brechasinyeccion.pptx?d=w79615f0b69984691a40f31c6b9e4cea2&amp;csf=1&amp;web=1&amp;e=d2lXAz</t>
  </si>
  <si>
    <t xml:space="preserve">A) Tablero 2.61: https://ecopetrol.sharepoint.com/:u:/r/sites/SeguimientoIAChichimeneECP/Documentos%20compartidos/04.%20Pwf%20Chichimene/2.61_SeguimientoProducci%C3%B3nChiak.pbix?csf=1&amp;web=1&amp;e=Xeur0w                                        </t>
  </si>
  <si>
    <t xml:space="preserve">A) Sistemática vía team y acciones en WM.                              B) Sistemática vía team y acciones en WM.                                 </t>
  </si>
  <si>
    <t>A) Integración de seguimiento de nanos en productores para meta MRT 2026.</t>
  </si>
  <si>
    <t>A) Soporte de seguimiento: https://ecopetrol.sharepoint.com/:p:/r/sites/SeguimientoIAChichimeneECP/Documentos%20compartidos/07.%20Pozos%20Nanofluidos/Nanoproductores/19022026_Nanoproductores.pptx?d=w22b3ab9c34644919b7198c8ea283cf5d&amp;csf=1&amp;web=1&amp;e=vIwvvc</t>
  </si>
  <si>
    <t>A) Contribuir en la contrucción del informe ITA.</t>
  </si>
  <si>
    <t>A) Informe ITA: https://ecopetrol-my.sharepoint.com/:w:/g/personal/gledy_ocampo_ecopetrol_com_co/IQBfrPGmEdd8T6BkxsOBQaNcAaaCddmXxI77_Z6erMFv15U?e=X8Yu9T</t>
  </si>
  <si>
    <t>A) Contribuir en la construcción del informe IRR B) Seguimiento de pozos con aumentos de inyección en T2 a cargo.</t>
  </si>
  <si>
    <t>A) Informe IRR: https://ecopetrol-my.sharepoint.com/:w:/r/personal/leidyla_alvarez_ecopetrol_com_co/_layouts/15/Doc.aspx?sourcedoc=%7B512912C2-4EB3-47D9-A106-261CFCEB8B4B%7D&amp;file=Informe_del_Operador_IRR2025.docx&amp;nav=eyJjIjo4MzIxMjQwNzd9&amp;action=default&amp;mobileredirect=true B) Soporte del seguimiento por patrón: https://ecopetrol.sharepoint.com/:f:/r/sites/SeguimientoIAChichimeneECP/Documentos%20compartidos/03.%20Seguimiento%20Inyectores/Aumentos%20T2?csf=1&amp;web=1&amp;e=dsfhmX</t>
  </si>
  <si>
    <t>A) Seguimiento brechas P50 - Plan cierre de brechas</t>
  </si>
  <si>
    <t>A) Construcción de formas 13 CHSW85 B) Apoyo en la construcción de mapas para seguimiento de WF T2.</t>
  </si>
  <si>
    <t>A) Formas 13 CHSW85: Z:\CHICHIMENE\INFORMACIÓN_CAMPO_CHICHIMENE\23.-Inyeccion de Agua\10. MONITOREO\11. Formas\Inyeccion\CHSW85 B) Mapas de recobro ChiAk: https://ecopetrol.sharepoint.com/:f:/r/sites/SeguimientoIAChichimeneECP/Documentos%20compartidos/53.%20Mapas%20Recobro?csf=1&amp;web=1&amp;e=5JcGcB</t>
  </si>
  <si>
    <t>Actualización semanal del modelo estático y dinámico del yacimiento y pozos del campo Akacias, mediante el proyecto Sahara a Feb-2026 (Cargadores y modelo final)</t>
  </si>
  <si>
    <t>Z:\Akacias\2.- Ingeniería de Yacimientos\1.MONITOREO\1.Sahara\2026
\\10.100.25.60\sya\GEC\CHICHIMENE\INFORMACIÓN_CAMPO_CHICHIMENE\23.-Inyeccion de Agua\10. MONITOREO\09. Proyecto Sahara\2026\Febrero</t>
  </si>
  <si>
    <t>Actualización de los cargadores y corrdia del RWA ChiAk con la información de formas 9 del mes de enero para distribuir la producción básica e incremental por efecto de WF en el campo Akacías</t>
  </si>
  <si>
    <t>Z:\Akacias\2.- Ingeniería de Yacimientos\1.MONITOREO\16.RWA\AKACIAS\2026\01. Enero</t>
  </si>
  <si>
    <t>Distribución de la inyección en los pozos de los patrones actuales en el campo Akacías a fin de determinar los coeficientes de balanceo de patrones para definir estrategías de recuperación u optimización a corte de dic/2025 y actualización del tablero 2.3</t>
  </si>
  <si>
    <t>Z:\Akacias\2.- Ingeniería de Yacimientos\1.MONITOREO\17.Tablero Power BI 2.3\AKACIAS\2025\12. Diciembre</t>
  </si>
  <si>
    <t>Ejercicio del plan cierre de brechas y control de cambios para la campaña OPT en la mejor visión para alcanzar P50</t>
  </si>
  <si>
    <t>https://ecopetrol.sharepoint.com/:x:/s/IAAKACIAS/IQB6boyVL69mTLeGt-EF0rt2Ab_hrXF-GT85bbuPBE6sulI?email=karen.carrascal%40ecopetrol.com.co&amp;e=PvOjax
C:\Users\Meridian\Ecopetrol S.A\I&amp;A AKACIAS - Documentos\23. Intervenciones WO-WS\00. Campaña WO 2025-2026 (ON_OPT)\MOC OPT</t>
  </si>
  <si>
    <t>Control de cambios para la campaña ON 2025-2026 para los pozos AK-01 y AK-153</t>
  </si>
  <si>
    <t>https://ecopetrol.sharepoint.com/:p:/s/IAAKACIAS/IQAF-PmHno18TqZcbNY9MLjtAXIsBySIIflQaN2pgNAln5c?email=karen.carrascal%40ecopetrol.com.co&amp;e=NpCw4g
https://ecopetrol.sharepoint.com/:x:/s/IAAKACIAS/IQCs2ImpvCXdQKFBmf8r6vi_AY1CiJAyk0vN8c0GzFZFbL8?email=karen.carrascal%40ecopetrol.com.co&amp;e=NjmWu0</t>
  </si>
  <si>
    <t>Perfiles de producción para los inyectores que entraron en el control de cambios de la OPT basado en el riesgo de la operación y la probabilidad de éxito</t>
  </si>
  <si>
    <t>https://ecopetrol.sharepoint.com/:x:/s/IAAKACIAS/IQB2MOmTV8zFRoz_bL2US-ZGAVSAfHi4Cky9NPBxCkX-l3g?email=karen.carrascal%40ecopetrol.com.co&amp;e=pSbo7J</t>
  </si>
  <si>
    <t>Elaboración de la matriz de priorización para el ejercicio de apagado de pozos a enero/2026</t>
  </si>
  <si>
    <t>https://ecopetrol.sharepoint.com/:x:/s/IAAKACIAS/IQCUXgn7gF26QpPdA9YolK-bAfAPR-mhja4Au5NkjDExKWg?email=karen.carrascal%40ecopetrol.com.co&amp;e=RmXf1Z</t>
  </si>
  <si>
    <t>Generación de presentación del estado de inyección para los campo Ak y CH bajo una visión global de inyección</t>
  </si>
  <si>
    <t>https://ecopetrol.sharepoint.com/:p:/r/sites/SeguimientoIAChichimeneECP/Documentos%20compartidos/53.%20Mapas%20Recobro/MapasRecobroT2CHIAK.pptx?d=w56dbd8f77c034f62b0464defedc89832&amp;csf=1&amp;web=1&amp;e=tN02zY</t>
  </si>
  <si>
    <t>Se actualiza el documento ITA con información de WO, proyectos de inyección de agua, de igual forma se actualizan gráficos y esquemas. Se ajustan referencias y numeración de imágenes, ecuaciones, gráficos, títulos.</t>
  </si>
  <si>
    <t>https://ecopetrol-my.sharepoint.com/personal/leidyla_alvarez_ecopetrol_com_co/_layouts/15/onedrive.aspx?CT=1753301353929&amp;OR=OWA%2DNT%2DMail&amp;CID=f0d9c407%2Deb9f%2Da793%2D9b08%2Df772d7c16d75&amp;e=5%3A542ff97d63c24e8eb4666730f5f20276&amp;sharingv2=true&amp;fromShare=true&amp;at=9&amp;id=%2Fpersonal%2Fleidyla%5Falvarez%5Fecopetrol%5Fcom%5Fco%2FDocuments%2FPORTAFOLIO%202026&amp;FolderCTID=0x0120006D961DA851F5B0408DBE3446422184B8&amp;view=0</t>
  </si>
  <si>
    <t>Se realiza construcción de archivos de cargue de perfiles FID y Forecast del proyecto Workover ON 2025-2027 en la plataforma Molinos y se procede a hacer el respectivo cargue.</t>
  </si>
  <si>
    <t>https://ecopetrol.sharepoint.com/sites/SeguimientoIAChichimeneECP/Documentos%20compartidos/Forms/AllItems.aspx?id=%2Fsites%2FSeguimientoIAChichimeneECP%2FDocumentos%20compartidos%2F28%2E%20Molinos%20de%20Viento%2F2026%2F01%2E%20Enero&amp;viewid=72844968%2Df801%2D450d%2D81d2%2D32c578273e17&amp;newTargetListUrl=%2Fsites%2FSeguimientoIAChichimeneECP%2FDocumentos%20compartidos&amp;viewpath=%2Fsites%2FSeguimientoIAChichimeneECP%2FDocumentos%20compartidos%2FForms%2FAllItems%2Easpx</t>
  </si>
  <si>
    <t xml:space="preserve">Se actualiza el tablero de reservas con la versión final de los perfiles FID descargados de Valnav (3. VT_FID). Se organizan los archivos respectivos en el sharepoint de portafolio. Se ubica toda información de la básica de portafolio en ruta de disco compartido. </t>
  </si>
  <si>
    <t>Se llevan a cabo sesiones con diferentes compañeros de corto plazo y portafolio, con el fin de hacer entrega de procesos asignados en el rol desempeñado en portafolio y corto plazo.</t>
  </si>
  <si>
    <t xml:space="preserve">Se analizan los reales del mes de enero luego de generados los archivos cargadores de formas, a fin de realizar comparaciones pozo a pozo y que se identifiquen las brechas en patrones de REAL frente a P50, CERT, GOP 1Q y PDI. </t>
  </si>
  <si>
    <t>Se proporciona información de perfiles y volúmenes de pronóstico de reservas PDI 2025 y GOP para diferentes equipos y profesionales por solicitud. Tanto a Límite técnico como Límite económico.</t>
  </si>
  <si>
    <t>Se lleva a cabo el seguimiento a los incrementales de las campañas de WO 2024-2026 e intervenciones OPT 2025-2027 para el mes de enero, también se actualiza el archivo de balance de las campañas a diciembre 2025. De igual manera, se sostiene sesión de Seguimiento de Planes Operativos con el equipo de Proyectos con el fin de actualizar el archivo base.</t>
  </si>
  <si>
    <t>https://ecopetrol.sharepoint.com/sites/SeguimientoIAChichimeneECP/Documentos%20compartidos/Forms/AllItems.aspx?id=%2Fsites%2FSeguimientoIAChichimeneECP%2FDocumentos%20compartidos%2F45%2E%20WorkOvers%20GCH%202024%2D2026%2D2027&amp;viewid=72844968%2Df801%2D450d%2D81d2%2D32c578273e17&amp;newTargetListUrl=%2Fsites%2FSeguimientoIAChichimeneECP%2FDocumentos%20compartidos&amp;viewpath=%2Fsites%2FSeguimientoIAChichimeneECP%2FDocumentos%20compartidos%2FForms%2FAllItems%2Easpx</t>
  </si>
  <si>
    <t>Se busca y concentra información de Reales, LB, plan FID de la campaña ejecutada de WO Plan de Choque. Se construye archivo de seguimiento con proyección del mismo.</t>
  </si>
  <si>
    <t>https://ecopetrol.sharepoint.com/sites/SeguimientoIAChichimeneECP/Documentos%20compartidos/Forms/AllItems.aspx?id=%2Fsites%2FSeguimientoIAChichimeneECP%2FDocumentos%20compartidos%2F37%2E%20Seguimiento%20WO%20Plan%20de%20Choque&amp;viewid=72844968%2Df801%2D450d%2D81d2%2D32c578273e17&amp;newTargetListUrl=%2Fsites%2FSeguimientoIAChichimeneECP%2FDocumentos%20compartidos&amp;viewpath=%2Fsites%2FSeguimientoIAChichimeneECP%2FDocumentos%20compartidos%2FForms%2FAllItems%2Easpx</t>
  </si>
  <si>
    <t>Análisis de data Foresite para interpretación de presiones en Pansystem de los pozos CHSW38, CHSW68, CH98 y CH169.</t>
  </si>
  <si>
    <t>D:\CHICHIMENE\PBU</t>
  </si>
  <si>
    <t xml:space="preserve">Seguimiento de patrones de la zona sur del Campo Chichimene. Cargue de perfiles de inyección y producción en Sahara. </t>
  </si>
  <si>
    <t>Z:\INFORMACIÓN_CAMPO_CHICHIMENE\23.-Inyeccion de Agua\10. MONITOREO\09. Proyecto Sahara\2026\Febrero</t>
  </si>
  <si>
    <t>Entrega de patrones según nueva distribuxión de la GDO. Elaboración de mpas para ppt Mapas Recobro T2 CHIAK.</t>
  </si>
  <si>
    <t>MapasRecobroT2CHIAK.pptx</t>
  </si>
  <si>
    <t>Revisión resultados estrategia de aumentos de inyección en T2. Presentación de resultados a Alex Rueda. Actualización Spiderweb con corte a Feb-26.</t>
  </si>
  <si>
    <t>Elaboración de LB Campaña OPT de los pozos CHSW54, CHSW59 y CH66, así como LB de los pozos de Campaña de WO CHSW40 y CH31.</t>
  </si>
  <si>
    <t>20260108_Plan y avance Campañás de WO e Interv. de Pozos.xlsx</t>
  </si>
  <si>
    <r>
      <t xml:space="preserve">Christian Mendoza:
</t>
    </r>
    <r>
      <rPr>
        <sz val="9"/>
        <color theme="1"/>
        <rFont val="Verdana"/>
        <family val="2"/>
      </rPr>
      <t>Actualización y publicación de tablero 1.1 PDI 2026+ 
Actualización y publicación de tablero 2.1_Monitoreo_Proyectos_VRO. 
Actualización, publicación y cargue de datos tablero 2.2_Monitoreo_Prod_P50.   
Actualización, publicación y desarollo tablero 2.3_Monitoreo secundaria. 
Actualización, publicación  y desarrollo tablero 2.61_SeguimientoProducción ChiAk                                                                                                                                                  
Actualización y publicación tablero 2.62_SeguimientoProducción Castilla        
Actualización, desarrollo y publicación tablero 2.63_SeguimientoProducción Apiay-Suria
Actualización y publicación tablero 2.8_Seguimiento Pulsos
Actualización de tablero 2.9_Calidad_de_agua_VRO</t>
    </r>
  </si>
  <si>
    <t>Actualización modelo analítico de yacimientos ARPS para los proyectos de Desarrollo Posterior</t>
  </si>
  <si>
    <t>Revisión, definición caudales objetivos de inyección en K</t>
  </si>
  <si>
    <t>Escenarios Subsuelo CH-196</t>
  </si>
  <si>
    <t>Recepción proyecto frontera</t>
  </si>
  <si>
    <t xml:space="preserve">A) Documentos relacionados con P50/brechas: https://ecopetrol.sharepoint.com/:f:/r/sites/SeguimientoIAChichimeneECP/Documentos%20compartidos/54.%20P50%20ChiAk?csf=1&amp;web=1&amp;e=ta4rgi                                                </t>
  </si>
  <si>
    <t xml:space="preserve"> A) Compartido mediante Teams, modelo que contiene las actualizaciones semanalas enviadas: Z:\CHICHIMENE\INFORMACIÓN_CAMPO_CHICHIMENE\23.-Inyeccion de Agua\10. MONITOREO\09. Proyecto Sahara\2026\02. Febrero                </t>
  </si>
  <si>
    <t>Archivo excel con: Justificación variación reservas &amp; recursos contingentes. Apoyo en la generación de mapas de categorías de reservas y RCs (Akacías y Lorito). Apoyo en la justificación de la variación en volúmenes no probados.</t>
  </si>
  <si>
    <t>\Desarrollo CPO-9 - General\07-Reservas y Recursos\2025\Justificaciones Ecovol\29-01-2026_Akacias.xlsx
\Desarrollo CPO-9 - General\07-Reservas y Recursos\2025\Justificaciones Ecovol\29-01-2026_Guamal.xlsx"</t>
  </si>
  <si>
    <t>Archivo excel con: Declaración de autoconsumo de gas Lorito. Actualización de los perfiles Molinos con cierre a Enero 2025.</t>
  </si>
  <si>
    <t>\Desarrollo CPO-9 - General\07-Reservas y Recursos\2025\GAS\Anexo 1_VRO_Campo Lorito-CPO-9_Declaración_Gas_2026.xlsx"</t>
  </si>
  <si>
    <t xml:space="preserve">Archivo excel con: Generación de sensibilidades al perfil P50 (entrada de tercer taladro). </t>
  </si>
  <si>
    <t>\Desarrollo CPO-9 - General\07-Reservas y Recursos\2026\Movimiento crono\BASICA_INCREMENTAL_190226.xlsx"</t>
  </si>
  <si>
    <t>Archivo excel con: Revisión &amp; Validación de volúmenes para el campo Lorito.</t>
  </si>
  <si>
    <t>\Desarrollo CPO-9 - General\07-Reservas y Recursos\2026\Volumen por pozo\Pozo_CAT_Reservas.xlsx"</t>
  </si>
  <si>
    <t>Archivo excel con: Generación de sensibilidades al perfil P50 de acuerdo a la posible entrada de un tercer taladro. Revisión RCs 2022-2025 con conclusiones de valores cert 2025.</t>
  </si>
  <si>
    <t>Archivo excel con: Análisis y generación perfil a ECH.</t>
  </si>
  <si>
    <t>\Desarrollo CPO-9 - General\07-Reservas y Recursos\2026\PERFILES PRD A ECH\PERFILES PRD A ECH.xlsx"</t>
  </si>
  <si>
    <t xml:space="preserve">Archivo excel: Revisión y validación de las tablas de reservas variaciones y justificación. </t>
  </si>
  <si>
    <t>\Desarrollo CPO-9 - General\07-Reservas y Recursos\2026\ANH\CPO-9\Tablas IRR-ANH"</t>
  </si>
  <si>
    <t>Realización de los resúmenes IRR (AK-LOR) &amp; actualización del capítulo 3 para el informe de reservas 2025 con automatizaciones en plataforma</t>
  </si>
  <si>
    <t>\Desarrollo CPO-9 - General\07-Reservas y Recursos\2026\ANH\CPO-9</t>
  </si>
  <si>
    <t>Z:\INFORMACIÓN_CAMPO_CHICHIMENE\23.-Inyeccion de Agua\10. MONITOREO\09. Proyecto Sahara\2024\08. Febrero\4ta Semana</t>
  </si>
  <si>
    <t>Z:\INFORMACIÓN_CAMPO_CHICHIMENE\23.-Inyeccion de Agua\10. MONITOREO\09. Proyecto Sahara\2024\08.  Febrero\4ta Semana</t>
  </si>
  <si>
    <t>1) Actualización con la base de datos con información de direccionales finales aprobados para los pozos pertenecientes a la etapa A3.0</t>
  </si>
  <si>
    <t xml:space="preserve"> \\10.100.25.35\pgtrabajodigital\JAH\Proyecto
Z:\akacias\2.- Ingeniería de Yacimientos\1.MONITOREO\19.Sistematica WF Akacias\2026\02.Febrero</t>
  </si>
  <si>
    <t>1) Generación mapas, cortes y correalciones para hacer seguimiento a los patrones de inyección del campo y monitoreo a los pozos productores.
2) Carga y analisis de ultimos direccionales aprobados para cuatro pozos de la etapa de desarrollo A3.0.</t>
  </si>
  <si>
    <t>1) Revisión del modelo estrucutural para el análisis de los patrones de inyección y así establecer la comunicación entre Inyec-produc durantes las sesiones de WF Akacias.
2) Revisión de los posibles sellos estructurales que condicionen el factor falla involucrado en la determinación del factor de conectividad geológico.
3) Análisis de las fallas dentro del seguimiento a la inyección de agua en el Campo Akacias.</t>
  </si>
  <si>
    <t>1) Hacer seguimiento áreal de las facies para identificar los cambios laterales de facies que puedan indicar el comportamiento de arenas yto en los pozos productores.
2) Actualización Fc Geológica a corte de 30 Enero 2026.
3) Generación de mapas de PWF y Rendimiento para el Campo Akacias a corte de 30 enero de 2026.</t>
  </si>
  <si>
    <t>1) Actualización última información aprobada para los pozos AK112, AK113, AK117 y AK118.</t>
  </si>
  <si>
    <t xml:space="preserve">El proyecto Cetus – Unidad T2 corresponde a una iniciativa estratégica que viene siendo desarrollada por el grupo de exploración, con el propósito de identificar y evaluar nuevas oportunidades de explotación dentro del intervalo T2. Esta área se ubica en la zona de transición que limita con los campos Apiay, Suria y Libertad–Reforma, lo que la convierte en un objetivo de alto interés por su continuidad geológica y su potencial hidrocarburífero.                                                                                                                                          •	Contexto regional 
El Convenio Apiay se encuentra localizado dentro de las jurisdicciones municipales de Restrepo, Villavicencio, Acacías y San Carlos de Guaroa, en el departamento del Meta. Esta región conforma uno de los corredores petroleros más desarrollados del piedemonte llanero, caracterizado por la presencia de sistemas productivos consolidados y una infraestructura que facilita el desarrollo de nuevos proyectos.
En 2021, se aprobó la unificación de los campos Apiay, Suria, Libertad–Reforma y Pachaquiaro, integrando sus áreas dentro de un único bloque operativo. Este proceso permitió armonizar criterios técnicos, administrativos y de gestión de reservas, generando un marco más eficiente para la toma de decisiones.
Posteriormente, en agosto de 2023 fueron emitidas las RIE (Regulaciones Internas de Explotación) correspondientes a los campos unificados Suria y Apiay, lo que consolidó el marco regulatorio sobre el cual se viene avanzando en este plan conceptual de desarrollo para T2.
•	Base técnica del proyecto
Para la formulación del plan conceptual de Cetus – Unidad T2 se ha trabajado principalmente con la información geológica, estática y dinámica proveniente de los campos vecinos Apiay y Suria, los cuales poseen características similares a las esperadas para la zona objetivo. Esta información ha permitido construir una visión más clara de la continuidad estructural y estratigráfica hacia el sector donde se localiza Cetus.
•	Modelo estructural y delimitación del área de interés
El Mapa Estructural del Tope de la Unidad T2 muestra la geometría regional y las tendencias estructurales que delimitan el área de estudio.                                                De acuerdo con este modelo, el área proyectada para el desarrollo de Cetus (T2) se extiende a lo largo del espacio comprendido entre los bloques Apiay, Suria y Libertad–Reforma, llegando hasta el límite correspondiente al Contrato Apiay.
En el mapa también se identifican las áreas marcadas como RV y LKO.
Aunque estos sectores no cuentan con perforaciones, históricamente han sido consideradas por el equipo de Desarrollo dentro del inventario de reservas de los campos existentes. Por esta razón, estas zonas se excluyen del análisis para el proyecto Cetus, a fin de evitar duplicidad en la contabilización de reservas y mantener la integridad del proceso evaluativo.
•	Estado actual del proyecto y próximos pasos
El equipo técnico se encuentra actualmente en el proceso de unificación y consolidación del plan conceptual del Proyecto Cetus – Unidad T2.
Este esfuerzo busca integrar toda la información geológica, geofísica, de ingeniería y administrativa generada hasta la fecha, con el fin de estructurar un documento sólido y coherente que pueda ser sometido a revisión, análisis y aprobación por parte de la Gerencia.
El objetivo final es disponer de un plan técnicamente robusto que permita:
•	Definir el potencial productivo del área.
•	Establecer la secuencia recomendada de perforación y desarrollo.
•	Estimar recursos y reservas asociados.
•	Alinear el proyecto con los lineamientos corporativos y regulatorios.
</t>
  </si>
  <si>
    <t>Febrero</t>
  </si>
  <si>
    <t xml:space="preserve">El Proyecto Kimera es un descubrimiento entre los Campos productores Castilla y pachaquiaro con objetivo exclusivo en la formación San Fernando Unidad T2.
 Se ha realizado una actualización del caso volumétrico del 2024 al 2025, obedeciendo a las recomendaciones del CX de Descubrimiento Kimera del 30 diciembre de 2024, con el fin de viabilizar la progresión de recursos a reservas y la delimitación del descubrimiento, mejorando el caso de negocio e integrando la estrategia de desarrollo por segmentos. 
•	Se propone división de toda el área del descubrimiento en 3 segmentos para el desarrollo y el cálculo volumétrico:
•	Segmento 1: Incorpora la zona de mayor espesor y presencia del canal al Norte. (Yacaré-1)
•	Segmento 2: Bloque up-dip con continuidad desde tren Pachaquiaro.
•	Segmento 3: LKO -7160ft probado por pozo descubridor (Kimera-1).
Los pozos Kimera-2 y Kimera-4 pertenecen a los segmentos 1 y 2 y se perforarían en enero y marzo 2027 respectivamente
El pozo Kimera-1 pertenece al segmento 3, se pondrá en producción en abril 2028                                    •	Dentro de la actividad del segmento 1, se encuentra la conversión del pozo Leyenda-1 como disposal en la Fm. K2 y se ejecutaría en el primer año de perforación (2031) en todos los 3 escenarios, asegurando el balance cero de agua desde el inicio de la explotación
</t>
  </si>
  <si>
    <t>Se entrega Perfiles Generados en los Casos bajo, medio y alto para el proyecto Kimera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</si>
</sst>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6" x14ac:knownFonts="1">
    <font>
      <sz val="11"/>
      <color theme="1"/>
      <name val="Calibri"/>
      <family val="2"/>
      <scheme val="minor"/>
    </font>
    <font>
      <sz val="11"/>
      <color theme="1"/>
      <name val="Calibri"/>
      <family val="2"/>
      <scheme val="minor"/>
    </font>
    <font>
      <sz val="9"/>
      <color theme="1"/>
      <name val="Verdana"/>
      <family val="2"/>
    </font>
    <font>
      <sz val="9"/>
      <color theme="1"/>
      <name val="Calibri"/>
      <family val="2"/>
      <scheme val="minor"/>
    </font>
    <font>
      <b/>
      <sz val="9"/>
      <color theme="1"/>
      <name val="Verdana"/>
      <family val="2"/>
    </font>
    <font>
      <b/>
      <i/>
      <sz val="9"/>
      <color theme="1"/>
      <name val="Verdana"/>
      <family val="2"/>
    </font>
    <font>
      <sz val="20"/>
      <color theme="1"/>
      <name val="Verdana"/>
      <family val="2"/>
    </font>
    <font>
      <sz val="9"/>
      <color theme="0" tint="-0.499984740745262"/>
      <name val="Verdana"/>
      <family val="2"/>
    </font>
    <font>
      <sz val="9"/>
      <color indexed="81"/>
      <name val="Tahoma"/>
      <family val="2"/>
    </font>
    <font>
      <sz val="9"/>
      <color rgb="FF000000"/>
      <name val="Tahoma"/>
      <family val="2"/>
    </font>
    <font>
      <sz val="9"/>
      <color rgb="FF000000"/>
      <name val="Verdana"/>
      <family val="2"/>
    </font>
    <font>
      <u/>
      <sz val="11"/>
      <color theme="10"/>
      <name val="Calibri"/>
      <family val="2"/>
      <scheme val="minor"/>
    </font>
    <font>
      <sz val="9"/>
      <name val="Verdana"/>
      <family val="2"/>
    </font>
    <font>
      <sz val="10"/>
      <color rgb="FF000000"/>
      <name val="Verdana"/>
      <family val="2"/>
    </font>
    <font>
      <sz val="10"/>
      <color theme="1"/>
      <name val="Verdana"/>
      <family val="2"/>
    </font>
    <font>
      <b/>
      <sz val="9"/>
      <color indexed="81"/>
      <name val="Tahoma"/>
      <family val="2"/>
    </font>
  </fonts>
  <fills count="7">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64"/>
      </patternFill>
    </fill>
  </fills>
  <borders count="3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hair">
        <color indexed="64"/>
      </bottom>
      <diagonal/>
    </border>
    <border>
      <left style="thin">
        <color indexed="64"/>
      </left>
      <right style="hair">
        <color indexed="64"/>
      </right>
      <top/>
      <bottom style="hair">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thin">
        <color indexed="64"/>
      </right>
      <top/>
      <bottom style="hair">
        <color indexed="64"/>
      </bottom>
      <diagonal/>
    </border>
    <border>
      <left/>
      <right style="thin">
        <color indexed="64"/>
      </right>
      <top style="hair">
        <color indexed="64"/>
      </top>
      <bottom/>
      <diagonal/>
    </border>
    <border>
      <left style="thin">
        <color indexed="64"/>
      </left>
      <right/>
      <top style="hair">
        <color indexed="64"/>
      </top>
      <bottom style="hair">
        <color indexed="64"/>
      </bottom>
      <diagonal/>
    </border>
  </borders>
  <cellStyleXfs count="4">
    <xf numFmtId="0" fontId="0" fillId="0" borderId="0"/>
    <xf numFmtId="9" fontId="1" fillId="0" borderId="0" applyFon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cellStyleXfs>
  <cellXfs count="288">
    <xf numFmtId="0" fontId="0" fillId="0" borderId="0" xfId="0"/>
    <xf numFmtId="0" fontId="2" fillId="0" borderId="0" xfId="0" applyFont="1" applyAlignment="1" applyProtection="1">
      <alignment horizontal="left" vertical="center"/>
      <protection locked="0"/>
    </xf>
    <xf numFmtId="0" fontId="2" fillId="3" borderId="32" xfId="0" applyFont="1" applyFill="1" applyBorder="1" applyAlignment="1" applyProtection="1">
      <alignment horizontal="center" vertical="center" wrapText="1"/>
      <protection locked="0"/>
    </xf>
    <xf numFmtId="0" fontId="2" fillId="3" borderId="15" xfId="0" applyFont="1" applyFill="1" applyBorder="1" applyAlignment="1" applyProtection="1">
      <alignment horizontal="center" vertical="center" wrapText="1"/>
      <protection locked="0"/>
    </xf>
    <xf numFmtId="0" fontId="2" fillId="3" borderId="17" xfId="0" applyFont="1" applyFill="1" applyBorder="1" applyAlignment="1" applyProtection="1">
      <alignment horizontal="center" vertical="center" wrapText="1"/>
      <protection locked="0"/>
    </xf>
    <xf numFmtId="0" fontId="2" fillId="0" borderId="0" xfId="0" applyFont="1" applyAlignment="1">
      <alignment horizontal="center" vertical="center"/>
    </xf>
    <xf numFmtId="0" fontId="2" fillId="0" borderId="0" xfId="0" applyFont="1"/>
    <xf numFmtId="0" fontId="2" fillId="0" borderId="0" xfId="0" applyFont="1" applyAlignment="1">
      <alignment horizontal="left"/>
    </xf>
    <xf numFmtId="0" fontId="3" fillId="0" borderId="0" xfId="0" applyFont="1"/>
    <xf numFmtId="0" fontId="2" fillId="0" borderId="5" xfId="0" applyFont="1" applyBorder="1" applyAlignment="1">
      <alignment horizontal="center" vertical="center"/>
    </xf>
    <xf numFmtId="0" fontId="2" fillId="0" borderId="7" xfId="0" applyFont="1" applyBorder="1"/>
    <xf numFmtId="0" fontId="4" fillId="2" borderId="8" xfId="0" applyFont="1" applyFill="1" applyBorder="1" applyAlignment="1">
      <alignment horizontal="center" vertical="center"/>
    </xf>
    <xf numFmtId="0" fontId="4" fillId="0" borderId="0" xfId="0" applyFont="1" applyAlignment="1">
      <alignment horizontal="left" vertical="center"/>
    </xf>
    <xf numFmtId="0" fontId="4" fillId="0" borderId="0" xfId="0" applyFont="1" applyAlignment="1">
      <alignment vertical="center"/>
    </xf>
    <xf numFmtId="0" fontId="2" fillId="0" borderId="0" xfId="0" applyFont="1" applyAlignment="1">
      <alignment vertical="center"/>
    </xf>
    <xf numFmtId="0" fontId="2" fillId="0" borderId="9" xfId="0" applyFont="1" applyBorder="1" applyAlignment="1">
      <alignment vertical="center"/>
    </xf>
    <xf numFmtId="0" fontId="3" fillId="0" borderId="0" xfId="0" applyFont="1" applyAlignment="1">
      <alignment vertical="center"/>
    </xf>
    <xf numFmtId="0" fontId="2" fillId="0" borderId="10" xfId="0" applyFont="1" applyBorder="1" applyAlignment="1">
      <alignment horizontal="center" vertical="center"/>
    </xf>
    <xf numFmtId="0" fontId="2" fillId="0" borderId="0" xfId="0" applyFont="1" applyAlignment="1">
      <alignment horizontal="left" vertical="center"/>
    </xf>
    <xf numFmtId="49" fontId="4" fillId="2" borderId="8" xfId="0" applyNumberFormat="1" applyFont="1" applyFill="1" applyBorder="1" applyAlignment="1">
      <alignment horizontal="center" vertical="center"/>
    </xf>
    <xf numFmtId="49" fontId="4" fillId="0" borderId="0" xfId="0" applyNumberFormat="1" applyFont="1" applyAlignment="1">
      <alignment horizontal="left" vertical="center"/>
    </xf>
    <xf numFmtId="49" fontId="4" fillId="0" borderId="0" xfId="0" applyNumberFormat="1" applyFont="1" applyAlignment="1">
      <alignment vertical="center"/>
    </xf>
    <xf numFmtId="0" fontId="2" fillId="0" borderId="10" xfId="0" applyFont="1" applyBorder="1" applyAlignment="1">
      <alignment horizontal="center" vertical="center" wrapText="1"/>
    </xf>
    <xf numFmtId="0" fontId="2" fillId="0" borderId="0" xfId="0" applyFont="1" applyAlignment="1">
      <alignment horizontal="center" vertical="center" wrapText="1"/>
    </xf>
    <xf numFmtId="49" fontId="4" fillId="0" borderId="0" xfId="0" applyNumberFormat="1" applyFont="1" applyAlignment="1">
      <alignment horizontal="center" vertical="center"/>
    </xf>
    <xf numFmtId="14" fontId="4" fillId="2" borderId="8" xfId="0" applyNumberFormat="1" applyFont="1" applyFill="1" applyBorder="1" applyAlignment="1">
      <alignment horizontal="center" vertical="center"/>
    </xf>
    <xf numFmtId="14" fontId="4" fillId="0" borderId="0" xfId="0" applyNumberFormat="1" applyFont="1" applyAlignment="1">
      <alignment horizontal="left" vertical="center"/>
    </xf>
    <xf numFmtId="14" fontId="4" fillId="0" borderId="0" xfId="0" applyNumberFormat="1" applyFont="1" applyAlignment="1">
      <alignment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xf numFmtId="0" fontId="3" fillId="0" borderId="0" xfId="0" applyFont="1" applyAlignment="1">
      <alignment horizontal="center" vertical="center" wrapText="1"/>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6" xfId="0" applyFont="1" applyBorder="1" applyAlignment="1">
      <alignment horizontal="left" vertical="center"/>
    </xf>
    <xf numFmtId="0" fontId="2" fillId="0" borderId="21" xfId="0" applyFont="1" applyBorder="1" applyAlignment="1">
      <alignment horizontal="center" vertical="center"/>
    </xf>
    <xf numFmtId="0" fontId="2" fillId="0" borderId="18" xfId="0" applyFont="1" applyBorder="1" applyAlignment="1">
      <alignment horizontal="center" vertical="center"/>
    </xf>
    <xf numFmtId="0" fontId="2" fillId="0" borderId="27" xfId="0" applyFont="1" applyBorder="1" applyAlignment="1">
      <alignment horizontal="left" vertical="center"/>
    </xf>
    <xf numFmtId="0" fontId="0" fillId="0" borderId="0" xfId="0" applyAlignment="1">
      <alignment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8" xfId="0" applyFont="1" applyBorder="1" applyAlignment="1">
      <alignment horizontal="left"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29" xfId="0" applyFont="1" applyBorder="1" applyAlignment="1">
      <alignment horizontal="left" vertical="center"/>
    </xf>
    <xf numFmtId="0" fontId="3" fillId="0" borderId="0" xfId="0" applyFont="1" applyAlignment="1">
      <alignment horizontal="left" vertical="center"/>
    </xf>
    <xf numFmtId="0" fontId="4" fillId="0" borderId="8" xfId="0" applyFont="1" applyBorder="1" applyAlignment="1">
      <alignment horizontal="center" vertical="center"/>
    </xf>
    <xf numFmtId="1" fontId="4" fillId="0" borderId="8" xfId="0" applyNumberFormat="1" applyFont="1" applyBorder="1" applyAlignment="1">
      <alignment horizontal="center" vertical="center"/>
    </xf>
    <xf numFmtId="164" fontId="4" fillId="0" borderId="8" xfId="1" applyNumberFormat="1" applyFont="1" applyBorder="1" applyAlignment="1" applyProtection="1">
      <alignment horizontal="center" vertical="center"/>
    </xf>
    <xf numFmtId="0" fontId="2" fillId="0" borderId="8" xfId="0" applyFont="1" applyBorder="1" applyAlignment="1">
      <alignment horizontal="center" vertical="center"/>
    </xf>
    <xf numFmtId="0" fontId="2" fillId="0" borderId="0" xfId="0" applyFont="1" applyAlignment="1">
      <alignment horizontal="center"/>
    </xf>
    <xf numFmtId="0" fontId="3" fillId="0" borderId="0" xfId="0" applyFont="1" applyAlignment="1">
      <alignment horizontal="center" vertical="center"/>
    </xf>
    <xf numFmtId="0" fontId="2" fillId="3" borderId="15" xfId="0" applyFont="1" applyFill="1" applyBorder="1" applyAlignment="1" applyProtection="1">
      <alignment horizontal="center" vertical="center"/>
      <protection locked="0"/>
    </xf>
    <xf numFmtId="0" fontId="2" fillId="3" borderId="16" xfId="0" applyFont="1" applyFill="1" applyBorder="1" applyAlignment="1" applyProtection="1">
      <alignment horizontal="center" vertical="center"/>
      <protection locked="0"/>
    </xf>
    <xf numFmtId="0" fontId="2" fillId="0" borderId="6" xfId="0" applyFont="1" applyBorder="1" applyAlignment="1">
      <alignment horizontal="center" vertical="center"/>
    </xf>
    <xf numFmtId="0" fontId="4" fillId="0" borderId="3" xfId="0" applyFont="1" applyBorder="1" applyAlignment="1">
      <alignment horizontal="center" vertical="center"/>
    </xf>
    <xf numFmtId="0" fontId="10" fillId="0" borderId="14" xfId="0" applyFont="1" applyBorder="1" applyAlignment="1" applyProtection="1">
      <alignment horizontal="left" vertical="center"/>
      <protection locked="0"/>
    </xf>
    <xf numFmtId="0" fontId="2" fillId="0" borderId="14" xfId="0" applyFont="1" applyBorder="1" applyAlignment="1" applyProtection="1">
      <alignment horizontal="left" vertical="center"/>
      <protection locked="0"/>
    </xf>
    <xf numFmtId="0" fontId="10" fillId="0" borderId="15" xfId="0" applyFont="1" applyBorder="1" applyAlignment="1" applyProtection="1">
      <alignment horizontal="left" vertical="center"/>
      <protection locked="0"/>
    </xf>
    <xf numFmtId="0" fontId="2" fillId="0" borderId="15" xfId="0" applyFont="1" applyBorder="1" applyAlignment="1" applyProtection="1">
      <alignment horizontal="left" vertical="center"/>
      <protection locked="0"/>
    </xf>
    <xf numFmtId="0" fontId="2" fillId="0" borderId="17" xfId="0" applyFont="1" applyBorder="1" applyAlignment="1" applyProtection="1">
      <alignment horizontal="left" vertical="center"/>
      <protection locked="0"/>
    </xf>
    <xf numFmtId="0" fontId="10" fillId="0" borderId="16" xfId="0" applyFont="1" applyBorder="1" applyAlignment="1" applyProtection="1">
      <alignment horizontal="left" vertical="center"/>
      <protection locked="0"/>
    </xf>
    <xf numFmtId="0" fontId="2" fillId="0" borderId="16" xfId="0" applyFont="1" applyBorder="1" applyAlignment="1" applyProtection="1">
      <alignment horizontal="left" vertical="center"/>
      <protection locked="0"/>
    </xf>
    <xf numFmtId="0" fontId="2" fillId="3" borderId="1" xfId="0" applyFont="1" applyFill="1" applyBorder="1" applyAlignment="1" applyProtection="1">
      <alignment horizontal="center" vertical="center"/>
      <protection locked="0"/>
    </xf>
    <xf numFmtId="9" fontId="2" fillId="0" borderId="1" xfId="1" applyFont="1" applyBorder="1" applyAlignment="1" applyProtection="1">
      <alignment horizontal="center" vertical="center"/>
    </xf>
    <xf numFmtId="0" fontId="2" fillId="3" borderId="32" xfId="0" applyFont="1" applyFill="1" applyBorder="1" applyAlignment="1" applyProtection="1">
      <alignment horizontal="center" vertical="center"/>
      <protection locked="0"/>
    </xf>
    <xf numFmtId="9" fontId="2" fillId="0" borderId="15" xfId="1" applyFont="1" applyBorder="1" applyAlignment="1" applyProtection="1">
      <alignment horizontal="center" vertical="center"/>
    </xf>
    <xf numFmtId="0" fontId="2" fillId="3" borderId="17" xfId="0" applyFont="1" applyFill="1" applyBorder="1" applyAlignment="1" applyProtection="1">
      <alignment horizontal="center" vertical="center"/>
      <protection locked="0"/>
    </xf>
    <xf numFmtId="9" fontId="2" fillId="0" borderId="17" xfId="1" applyFont="1" applyBorder="1" applyAlignment="1" applyProtection="1">
      <alignment horizontal="center" vertical="center"/>
    </xf>
    <xf numFmtId="9" fontId="2" fillId="0" borderId="16" xfId="1" applyFont="1" applyBorder="1" applyAlignment="1" applyProtection="1">
      <alignment horizontal="center" vertical="center"/>
    </xf>
    <xf numFmtId="0" fontId="12" fillId="0" borderId="15" xfId="0" applyFont="1" applyBorder="1" applyAlignment="1" applyProtection="1">
      <alignment horizontal="left" vertical="center"/>
      <protection locked="0"/>
    </xf>
    <xf numFmtId="0" fontId="2" fillId="0" borderId="30" xfId="0" applyFont="1" applyBorder="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2" fillId="0" borderId="32" xfId="0" applyFont="1" applyBorder="1" applyAlignment="1" applyProtection="1">
      <alignment horizontal="left" vertical="center"/>
      <protection locked="0"/>
    </xf>
    <xf numFmtId="0" fontId="2" fillId="0" borderId="14" xfId="0" applyFont="1" applyBorder="1" applyAlignment="1" applyProtection="1">
      <alignment horizontal="left" vertical="top"/>
      <protection locked="0"/>
    </xf>
    <xf numFmtId="0" fontId="2" fillId="0" borderId="15" xfId="0" applyFont="1" applyBorder="1" applyAlignment="1" applyProtection="1">
      <alignment horizontal="left" vertical="top"/>
      <protection locked="0"/>
    </xf>
    <xf numFmtId="0" fontId="2" fillId="0" borderId="17" xfId="0" applyFont="1" applyBorder="1" applyAlignment="1" applyProtection="1">
      <alignment horizontal="left" vertical="top"/>
      <protection locked="0"/>
    </xf>
    <xf numFmtId="0" fontId="2" fillId="0" borderId="31" xfId="0" applyFont="1" applyBorder="1" applyAlignment="1" applyProtection="1">
      <alignment horizontal="left" vertical="top"/>
      <protection locked="0"/>
    </xf>
    <xf numFmtId="0" fontId="13" fillId="0" borderId="14" xfId="0" applyFont="1" applyBorder="1" applyAlignment="1" applyProtection="1">
      <alignment horizontal="left" vertical="center"/>
      <protection locked="0"/>
    </xf>
    <xf numFmtId="0" fontId="13" fillId="0" borderId="15" xfId="0" applyFont="1" applyBorder="1" applyAlignment="1" applyProtection="1">
      <alignment horizontal="left" vertical="center"/>
      <protection locked="0"/>
    </xf>
    <xf numFmtId="0" fontId="13" fillId="0" borderId="15" xfId="0" applyFont="1" applyBorder="1" applyAlignment="1" applyProtection="1">
      <alignment horizontal="center" vertical="center"/>
      <protection locked="0"/>
    </xf>
    <xf numFmtId="0" fontId="13" fillId="0" borderId="16" xfId="0" applyFont="1" applyBorder="1" applyAlignment="1" applyProtection="1">
      <alignment horizontal="left" vertical="center"/>
      <protection locked="0"/>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3" borderId="1" xfId="0" applyFont="1" applyFill="1" applyBorder="1" applyAlignment="1" applyProtection="1">
      <alignment horizontal="center" vertical="center" wrapText="1"/>
      <protection locked="0"/>
    </xf>
    <xf numFmtId="1" fontId="2" fillId="0" borderId="15" xfId="0" applyNumberFormat="1" applyFont="1" applyBorder="1" applyAlignment="1">
      <alignment horizontal="center" vertical="center" wrapText="1"/>
    </xf>
    <xf numFmtId="1" fontId="2" fillId="0" borderId="16" xfId="0" applyNumberFormat="1" applyFont="1" applyBorder="1" applyAlignment="1">
      <alignment horizontal="center" vertical="center" wrapText="1"/>
    </xf>
    <xf numFmtId="9" fontId="2" fillId="0" borderId="1" xfId="1" applyFont="1" applyBorder="1" applyAlignment="1" applyProtection="1">
      <alignment horizontal="center" vertical="center" wrapText="1"/>
    </xf>
    <xf numFmtId="1" fontId="2" fillId="0" borderId="14" xfId="0" applyNumberFormat="1" applyFont="1" applyBorder="1" applyAlignment="1">
      <alignment horizontal="center" vertical="center" wrapText="1"/>
    </xf>
    <xf numFmtId="9" fontId="2" fillId="0" borderId="15" xfId="1" applyFont="1" applyBorder="1" applyAlignment="1" applyProtection="1">
      <alignment horizontal="center" vertical="center" wrapText="1"/>
    </xf>
    <xf numFmtId="9" fontId="2" fillId="0" borderId="17" xfId="1" applyFont="1" applyBorder="1" applyAlignment="1" applyProtection="1">
      <alignment horizontal="center" vertical="center" wrapText="1"/>
    </xf>
    <xf numFmtId="9" fontId="2" fillId="0" borderId="16" xfId="1" applyFont="1" applyBorder="1" applyAlignment="1" applyProtection="1">
      <alignment horizontal="center" vertical="center" wrapText="1"/>
    </xf>
    <xf numFmtId="0" fontId="2" fillId="3" borderId="16" xfId="0" applyFont="1" applyFill="1" applyBorder="1" applyAlignment="1" applyProtection="1">
      <alignment horizontal="center" vertical="center" wrapText="1"/>
      <protection locked="0"/>
    </xf>
    <xf numFmtId="0" fontId="14" fillId="3" borderId="1" xfId="0" applyFont="1" applyFill="1" applyBorder="1" applyAlignment="1" applyProtection="1">
      <alignment horizontal="center" vertical="center" wrapText="1"/>
      <protection locked="0"/>
    </xf>
    <xf numFmtId="0" fontId="14" fillId="3" borderId="32" xfId="0" applyFont="1" applyFill="1" applyBorder="1" applyAlignment="1" applyProtection="1">
      <alignment horizontal="center" vertical="center" wrapText="1"/>
      <protection locked="0"/>
    </xf>
    <xf numFmtId="0" fontId="14" fillId="3" borderId="15" xfId="0" applyFont="1" applyFill="1" applyBorder="1" applyAlignment="1" applyProtection="1">
      <alignment horizontal="center" vertical="center" wrapText="1"/>
      <protection locked="0"/>
    </xf>
    <xf numFmtId="0" fontId="14" fillId="3" borderId="17" xfId="0" applyFont="1" applyFill="1" applyBorder="1" applyAlignment="1" applyProtection="1">
      <alignment horizontal="center" vertical="center" wrapText="1"/>
      <protection locked="0"/>
    </xf>
    <xf numFmtId="0" fontId="14" fillId="3" borderId="16" xfId="0" applyFont="1" applyFill="1" applyBorder="1" applyAlignment="1" applyProtection="1">
      <alignment horizontal="center" vertical="center" wrapText="1"/>
      <protection locked="0"/>
    </xf>
    <xf numFmtId="1" fontId="2" fillId="0" borderId="17" xfId="0" applyNumberFormat="1" applyFont="1" applyBorder="1" applyAlignment="1">
      <alignment horizontal="center" vertical="center" wrapText="1"/>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33" xfId="0" applyFont="1" applyBorder="1" applyAlignment="1">
      <alignment horizontal="left" vertical="center"/>
    </xf>
    <xf numFmtId="0" fontId="2" fillId="0" borderId="34" xfId="0" applyFont="1" applyBorder="1" applyAlignment="1">
      <alignment horizontal="center" vertical="center"/>
    </xf>
    <xf numFmtId="0" fontId="2" fillId="0" borderId="34" xfId="0" applyFont="1" applyBorder="1" applyAlignment="1">
      <alignment horizontal="left" vertical="center"/>
    </xf>
    <xf numFmtId="0" fontId="2" fillId="0" borderId="35" xfId="0" applyFont="1" applyBorder="1" applyAlignment="1">
      <alignment horizontal="center" vertical="center"/>
    </xf>
    <xf numFmtId="0" fontId="2" fillId="0" borderId="35" xfId="0" applyFont="1" applyBorder="1" applyAlignment="1">
      <alignment horizontal="left" vertical="center"/>
    </xf>
    <xf numFmtId="0" fontId="2" fillId="0" borderId="36" xfId="0" applyFont="1" applyBorder="1" applyAlignment="1">
      <alignment horizontal="center" vertical="center"/>
    </xf>
    <xf numFmtId="0" fontId="2" fillId="0" borderId="36" xfId="0" applyFont="1" applyBorder="1" applyAlignment="1">
      <alignment horizontal="left" vertical="center"/>
    </xf>
    <xf numFmtId="0" fontId="2" fillId="0" borderId="37" xfId="0" applyFont="1" applyBorder="1" applyAlignment="1">
      <alignment horizontal="center" vertical="center"/>
    </xf>
    <xf numFmtId="0" fontId="2" fillId="0" borderId="37" xfId="0" applyFont="1" applyBorder="1" applyAlignment="1">
      <alignment horizontal="left" vertical="center"/>
    </xf>
    <xf numFmtId="0" fontId="2" fillId="0" borderId="15" xfId="0" applyFont="1" applyBorder="1" applyAlignment="1" applyProtection="1">
      <alignment vertical="center"/>
      <protection locked="0"/>
    </xf>
    <xf numFmtId="0" fontId="10" fillId="0" borderId="15" xfId="0" applyFont="1" applyBorder="1" applyAlignment="1" applyProtection="1">
      <alignment vertical="center"/>
      <protection locked="0"/>
    </xf>
    <xf numFmtId="0" fontId="2" fillId="0" borderId="14" xfId="0" applyFont="1" applyBorder="1" applyAlignment="1" applyProtection="1">
      <alignment vertical="center"/>
      <protection locked="0"/>
    </xf>
    <xf numFmtId="0" fontId="4" fillId="0" borderId="0" xfId="0" applyFont="1" applyAlignment="1">
      <alignment horizontal="center" vertical="center"/>
    </xf>
    <xf numFmtId="1" fontId="4" fillId="0" borderId="0" xfId="0" applyNumberFormat="1" applyFont="1" applyAlignment="1">
      <alignment horizontal="center" vertical="center"/>
    </xf>
    <xf numFmtId="164" fontId="4" fillId="0" borderId="0" xfId="1" applyNumberFormat="1" applyFont="1" applyBorder="1" applyAlignment="1" applyProtection="1">
      <alignment horizontal="center" vertical="center"/>
    </xf>
    <xf numFmtId="0" fontId="6" fillId="0" borderId="8" xfId="0" applyFont="1" applyBorder="1" applyAlignment="1">
      <alignment horizontal="center"/>
    </xf>
    <xf numFmtId="1" fontId="2" fillId="0" borderId="0" xfId="0" applyNumberFormat="1" applyFont="1" applyAlignment="1">
      <alignment horizontal="center" vertical="center"/>
    </xf>
    <xf numFmtId="0" fontId="12" fillId="3" borderId="1" xfId="0" applyFont="1" applyFill="1" applyBorder="1" applyAlignment="1" applyProtection="1">
      <alignment horizontal="center" vertical="center"/>
      <protection locked="0"/>
    </xf>
    <xf numFmtId="0" fontId="12" fillId="3" borderId="32" xfId="0" applyFont="1" applyFill="1" applyBorder="1" applyAlignment="1" applyProtection="1">
      <alignment horizontal="center" vertical="center"/>
      <protection locked="0"/>
    </xf>
    <xf numFmtId="0" fontId="12" fillId="3" borderId="15" xfId="0" applyFont="1" applyFill="1" applyBorder="1" applyAlignment="1" applyProtection="1">
      <alignment horizontal="center" vertical="center"/>
      <protection locked="0"/>
    </xf>
    <xf numFmtId="0" fontId="12" fillId="3" borderId="16" xfId="0" applyFont="1" applyFill="1" applyBorder="1" applyAlignment="1" applyProtection="1">
      <alignment horizontal="center" vertical="center"/>
      <protection locked="0"/>
    </xf>
    <xf numFmtId="0" fontId="10" fillId="0" borderId="38" xfId="0" applyFont="1" applyBorder="1" applyAlignment="1" applyProtection="1">
      <alignment horizontal="left" vertical="center"/>
      <protection locked="0"/>
    </xf>
    <xf numFmtId="0" fontId="2" fillId="3" borderId="34" xfId="0" applyFont="1" applyFill="1" applyBorder="1" applyAlignment="1" applyProtection="1">
      <alignment horizontal="center" vertical="center"/>
      <protection locked="0"/>
    </xf>
    <xf numFmtId="0" fontId="10" fillId="0" borderId="32" xfId="0" applyFont="1" applyBorder="1" applyAlignment="1" applyProtection="1">
      <alignment horizontal="left" vertical="center"/>
      <protection locked="0"/>
    </xf>
    <xf numFmtId="0" fontId="10" fillId="0" borderId="17" xfId="0" applyFont="1" applyBorder="1" applyAlignment="1" applyProtection="1">
      <alignment horizontal="left" vertical="center"/>
      <protection locked="0"/>
    </xf>
    <xf numFmtId="0" fontId="2" fillId="0" borderId="0" xfId="0" applyFont="1" applyAlignment="1" applyProtection="1">
      <alignment horizontal="left"/>
      <protection locked="0"/>
    </xf>
    <xf numFmtId="0" fontId="10" fillId="0" borderId="32" xfId="0" applyFont="1" applyBorder="1" applyAlignment="1" applyProtection="1">
      <alignment vertical="center"/>
      <protection locked="0"/>
    </xf>
    <xf numFmtId="0" fontId="2" fillId="0" borderId="17" xfId="0" applyFont="1" applyBorder="1" applyAlignment="1" applyProtection="1">
      <alignment vertical="center"/>
      <protection locked="0"/>
    </xf>
    <xf numFmtId="0" fontId="2" fillId="0" borderId="31" xfId="0" applyFont="1" applyBorder="1" applyAlignment="1" applyProtection="1">
      <alignment vertical="center"/>
      <protection locked="0"/>
    </xf>
    <xf numFmtId="0" fontId="2" fillId="0" borderId="31" xfId="0" applyFont="1" applyBorder="1" applyAlignment="1" applyProtection="1">
      <alignment horizontal="left" vertical="center"/>
      <protection locked="0"/>
    </xf>
    <xf numFmtId="0" fontId="2" fillId="3" borderId="30" xfId="0" applyFont="1" applyFill="1" applyBorder="1" applyAlignment="1" applyProtection="1">
      <alignment horizontal="center" vertical="center"/>
      <protection locked="0"/>
    </xf>
    <xf numFmtId="0" fontId="2" fillId="3" borderId="30" xfId="0" applyFont="1" applyFill="1" applyBorder="1" applyAlignment="1" applyProtection="1">
      <alignment horizontal="center" vertical="center" wrapText="1"/>
      <protection locked="0"/>
    </xf>
    <xf numFmtId="0" fontId="12" fillId="3" borderId="30" xfId="0" applyFont="1" applyFill="1" applyBorder="1" applyAlignment="1" applyProtection="1">
      <alignment horizontal="center" vertical="center"/>
      <protection locked="0"/>
    </xf>
    <xf numFmtId="0" fontId="14" fillId="3" borderId="30" xfId="0" applyFont="1" applyFill="1" applyBorder="1" applyAlignment="1" applyProtection="1">
      <alignment horizontal="center" vertical="center" wrapText="1"/>
      <protection locked="0"/>
    </xf>
    <xf numFmtId="14" fontId="2" fillId="0" borderId="17" xfId="0" applyNumberFormat="1" applyFont="1" applyBorder="1" applyAlignment="1" applyProtection="1">
      <alignment horizontal="left" vertical="center"/>
      <protection locked="0"/>
    </xf>
    <xf numFmtId="17" fontId="2" fillId="0" borderId="17" xfId="0" applyNumberFormat="1" applyFont="1" applyBorder="1" applyAlignment="1" applyProtection="1">
      <alignment horizontal="left" vertical="center"/>
      <protection locked="0"/>
    </xf>
    <xf numFmtId="49" fontId="10" fillId="0" borderId="14" xfId="0" applyNumberFormat="1" applyFont="1" applyBorder="1" applyAlignment="1" applyProtection="1">
      <alignment horizontal="left" vertical="center"/>
      <protection locked="0"/>
    </xf>
    <xf numFmtId="49" fontId="10" fillId="0" borderId="15" xfId="0" applyNumberFormat="1" applyFont="1" applyBorder="1" applyAlignment="1" applyProtection="1">
      <alignment horizontal="left" vertical="center"/>
      <protection locked="0"/>
    </xf>
    <xf numFmtId="49" fontId="2" fillId="0" borderId="15" xfId="0" applyNumberFormat="1" applyFont="1" applyBorder="1" applyAlignment="1" applyProtection="1">
      <alignment horizontal="left" vertical="center"/>
      <protection locked="0"/>
    </xf>
    <xf numFmtId="49" fontId="10" fillId="0" borderId="16" xfId="0" applyNumberFormat="1" applyFont="1" applyBorder="1" applyAlignment="1" applyProtection="1">
      <alignment horizontal="left" vertical="center"/>
      <protection locked="0"/>
    </xf>
    <xf numFmtId="0" fontId="2" fillId="0" borderId="15" xfId="0" quotePrefix="1" applyFont="1" applyBorder="1" applyAlignment="1" applyProtection="1">
      <alignment horizontal="left" vertical="center"/>
      <protection locked="0"/>
    </xf>
    <xf numFmtId="0" fontId="2" fillId="0" borderId="14" xfId="0" applyFont="1" applyBorder="1" applyAlignment="1" applyProtection="1">
      <alignment horizontal="center" vertical="center"/>
      <protection locked="0"/>
    </xf>
    <xf numFmtId="0" fontId="2" fillId="0" borderId="15" xfId="0" applyFont="1" applyBorder="1" applyAlignment="1" applyProtection="1">
      <alignment horizontal="center" vertical="center"/>
      <protection locked="0"/>
    </xf>
    <xf numFmtId="0" fontId="2" fillId="0" borderId="17" xfId="0" applyFont="1" applyBorder="1" applyAlignment="1" applyProtection="1">
      <alignment horizontal="center" vertical="center"/>
      <protection locked="0"/>
    </xf>
    <xf numFmtId="0" fontId="2" fillId="0" borderId="31" xfId="0" applyFont="1" applyBorder="1" applyAlignment="1" applyProtection="1">
      <alignment horizontal="center" vertical="center"/>
      <protection locked="0"/>
    </xf>
    <xf numFmtId="9" fontId="2" fillId="5" borderId="15" xfId="1" applyFont="1" applyFill="1" applyBorder="1" applyAlignment="1" applyProtection="1">
      <alignment horizontal="center" vertical="center" wrapText="1"/>
    </xf>
    <xf numFmtId="9" fontId="2" fillId="5" borderId="16" xfId="1" applyFont="1" applyFill="1" applyBorder="1" applyAlignment="1" applyProtection="1">
      <alignment horizontal="center" vertical="center" wrapText="1"/>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2" fillId="6" borderId="26" xfId="0" applyFont="1" applyFill="1" applyBorder="1" applyAlignment="1">
      <alignment horizontal="left" vertical="center"/>
    </xf>
    <xf numFmtId="0" fontId="2" fillId="6" borderId="21" xfId="0" applyFont="1" applyFill="1" applyBorder="1" applyAlignment="1">
      <alignment horizontal="center" vertical="center"/>
    </xf>
    <xf numFmtId="0" fontId="2" fillId="6" borderId="18" xfId="0" applyFont="1" applyFill="1" applyBorder="1" applyAlignment="1">
      <alignment horizontal="center" vertical="center"/>
    </xf>
    <xf numFmtId="0" fontId="2" fillId="6" borderId="27" xfId="0" applyFont="1" applyFill="1" applyBorder="1" applyAlignment="1">
      <alignment horizontal="left" vertical="center"/>
    </xf>
    <xf numFmtId="0" fontId="2" fillId="6" borderId="22" xfId="0" applyFont="1" applyFill="1" applyBorder="1" applyAlignment="1">
      <alignment horizontal="center" vertical="center"/>
    </xf>
    <xf numFmtId="0" fontId="2" fillId="6" borderId="23" xfId="0" applyFont="1" applyFill="1" applyBorder="1" applyAlignment="1">
      <alignment horizontal="center" vertical="center"/>
    </xf>
    <xf numFmtId="0" fontId="2" fillId="6" borderId="28" xfId="0" applyFont="1" applyFill="1" applyBorder="1" applyAlignment="1">
      <alignment horizontal="left" vertical="center"/>
    </xf>
    <xf numFmtId="0" fontId="2" fillId="6" borderId="14" xfId="0" applyFont="1" applyFill="1" applyBorder="1" applyAlignment="1">
      <alignment horizontal="center" vertical="center"/>
    </xf>
    <xf numFmtId="0" fontId="2" fillId="6" borderId="15" xfId="0" applyFont="1" applyFill="1" applyBorder="1" applyAlignment="1">
      <alignment horizontal="center" vertical="center"/>
    </xf>
    <xf numFmtId="0" fontId="2" fillId="6" borderId="16" xfId="0" applyFont="1" applyFill="1" applyBorder="1" applyAlignment="1">
      <alignment horizontal="center" vertical="center"/>
    </xf>
    <xf numFmtId="0" fontId="2" fillId="6" borderId="25" xfId="0" applyFont="1" applyFill="1" applyBorder="1" applyAlignment="1">
      <alignment horizontal="center" vertical="center"/>
    </xf>
    <xf numFmtId="0" fontId="2" fillId="6" borderId="24" xfId="0" applyFont="1" applyFill="1" applyBorder="1" applyAlignment="1">
      <alignment horizontal="center" vertical="center"/>
    </xf>
    <xf numFmtId="0" fontId="2" fillId="6" borderId="29" xfId="0" applyFont="1" applyFill="1" applyBorder="1" applyAlignment="1">
      <alignment horizontal="left" vertical="center"/>
    </xf>
    <xf numFmtId="0" fontId="2" fillId="6" borderId="17" xfId="0" applyFont="1" applyFill="1" applyBorder="1" applyAlignment="1">
      <alignment horizontal="center" vertical="center"/>
    </xf>
    <xf numFmtId="0" fontId="2" fillId="6" borderId="33" xfId="0" applyFont="1" applyFill="1" applyBorder="1" applyAlignment="1">
      <alignment horizontal="center" vertical="center"/>
    </xf>
    <xf numFmtId="0" fontId="2" fillId="6" borderId="33" xfId="0" applyFont="1" applyFill="1" applyBorder="1" applyAlignment="1">
      <alignment horizontal="left" vertical="center"/>
    </xf>
    <xf numFmtId="0" fontId="2" fillId="6" borderId="34" xfId="0" applyFont="1" applyFill="1" applyBorder="1" applyAlignment="1">
      <alignment horizontal="center" vertical="center"/>
    </xf>
    <xf numFmtId="0" fontId="2" fillId="6" borderId="34" xfId="0" applyFont="1" applyFill="1" applyBorder="1" applyAlignment="1">
      <alignment horizontal="left" vertical="center"/>
    </xf>
    <xf numFmtId="0" fontId="2" fillId="6" borderId="35" xfId="0" applyFont="1" applyFill="1" applyBorder="1" applyAlignment="1">
      <alignment horizontal="center" vertical="center"/>
    </xf>
    <xf numFmtId="0" fontId="2" fillId="6" borderId="35"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1" fontId="2" fillId="3" borderId="15" xfId="0" applyNumberFormat="1" applyFont="1" applyFill="1" applyBorder="1" applyAlignment="1" applyProtection="1">
      <alignment horizontal="center" vertical="center"/>
      <protection locked="0"/>
    </xf>
    <xf numFmtId="0" fontId="11" fillId="0" borderId="15" xfId="3" applyBorder="1" applyAlignment="1" applyProtection="1">
      <alignment horizontal="left" vertical="center"/>
      <protection locked="0"/>
    </xf>
    <xf numFmtId="0" fontId="10" fillId="0" borderId="14" xfId="0" applyFont="1" applyBorder="1" applyAlignment="1">
      <alignment horizontal="left" vertical="center"/>
    </xf>
    <xf numFmtId="0" fontId="2" fillId="0" borderId="14" xfId="0" applyFont="1" applyBorder="1" applyAlignment="1">
      <alignment horizontal="left" vertical="center"/>
    </xf>
    <xf numFmtId="0" fontId="2" fillId="3" borderId="1" xfId="0" applyFont="1" applyFill="1" applyBorder="1" applyAlignment="1">
      <alignment horizontal="center" vertical="center" wrapText="1"/>
    </xf>
    <xf numFmtId="0" fontId="10" fillId="0" borderId="15" xfId="0" applyFont="1" applyBorder="1" applyAlignment="1">
      <alignment horizontal="left" vertical="center"/>
    </xf>
    <xf numFmtId="0" fontId="2" fillId="0" borderId="17" xfId="0" applyFont="1" applyBorder="1" applyAlignment="1">
      <alignment horizontal="left" vertical="center"/>
    </xf>
    <xf numFmtId="0" fontId="2" fillId="3" borderId="32"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0" borderId="15" xfId="0" applyFont="1" applyBorder="1" applyAlignment="1">
      <alignment horizontal="left" vertical="center"/>
    </xf>
    <xf numFmtId="0" fontId="2" fillId="3" borderId="17" xfId="0" applyFont="1" applyFill="1" applyBorder="1" applyAlignment="1">
      <alignment horizontal="center" vertical="center" wrapText="1"/>
    </xf>
    <xf numFmtId="0" fontId="10" fillId="0" borderId="16" xfId="0" applyFont="1" applyBorder="1" applyAlignment="1">
      <alignment horizontal="left" vertical="center"/>
    </xf>
    <xf numFmtId="0" fontId="2" fillId="0" borderId="16" xfId="0" applyFont="1" applyBorder="1" applyAlignment="1">
      <alignment horizontal="left" vertical="center"/>
    </xf>
    <xf numFmtId="0" fontId="2" fillId="3" borderId="16"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0" borderId="32" xfId="0" applyFont="1" applyBorder="1" applyAlignment="1">
      <alignment horizontal="left" vertical="center"/>
    </xf>
    <xf numFmtId="0" fontId="2" fillId="3" borderId="32" xfId="0" applyFont="1" applyFill="1" applyBorder="1" applyAlignment="1">
      <alignment horizontal="center" vertical="center"/>
    </xf>
    <xf numFmtId="0" fontId="2" fillId="3" borderId="17"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32" xfId="0" applyFont="1" applyFill="1" applyBorder="1" applyAlignment="1">
      <alignment horizontal="center" vertical="center"/>
    </xf>
    <xf numFmtId="0" fontId="12" fillId="3" borderId="15" xfId="0" applyFont="1" applyFill="1" applyBorder="1" applyAlignment="1">
      <alignment horizontal="center" vertical="center"/>
    </xf>
    <xf numFmtId="0" fontId="12" fillId="3" borderId="16" xfId="0" applyFont="1" applyFill="1" applyBorder="1" applyAlignment="1">
      <alignment horizontal="center" vertical="center"/>
    </xf>
    <xf numFmtId="0" fontId="12" fillId="0" borderId="15" xfId="0" applyFont="1" applyBorder="1" applyAlignment="1">
      <alignment horizontal="left" vertical="center"/>
    </xf>
    <xf numFmtId="0" fontId="2" fillId="0" borderId="30" xfId="0" applyFont="1" applyBorder="1" applyAlignment="1">
      <alignment horizontal="left" vertical="center"/>
    </xf>
    <xf numFmtId="0" fontId="10" fillId="0" borderId="32" xfId="0" applyFont="1" applyBorder="1" applyAlignment="1">
      <alignment horizontal="left" vertical="center"/>
    </xf>
    <xf numFmtId="0" fontId="2" fillId="3" borderId="34" xfId="0" applyFont="1" applyFill="1" applyBorder="1" applyAlignment="1">
      <alignment horizontal="center" vertical="center"/>
    </xf>
    <xf numFmtId="0" fontId="10" fillId="0" borderId="17" xfId="0" applyFont="1" applyBorder="1" applyAlignment="1">
      <alignment horizontal="left" vertical="center"/>
    </xf>
    <xf numFmtId="0" fontId="2" fillId="0" borderId="1" xfId="0" applyFont="1" applyBorder="1" applyAlignment="1">
      <alignment horizontal="left" vertical="center"/>
    </xf>
    <xf numFmtId="0" fontId="2" fillId="0" borderId="31" xfId="0" applyFont="1" applyBorder="1" applyAlignment="1">
      <alignment horizontal="left" vertical="center"/>
    </xf>
    <xf numFmtId="0" fontId="2" fillId="0" borderId="15" xfId="0" quotePrefix="1" applyFont="1" applyBorder="1" applyAlignment="1">
      <alignment horizontal="left"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2" borderId="8" xfId="0" applyFont="1" applyFill="1" applyBorder="1" applyAlignment="1">
      <alignment horizontal="center" vertical="center" wrapText="1"/>
    </xf>
    <xf numFmtId="0" fontId="12" fillId="0" borderId="14" xfId="0" applyFont="1" applyBorder="1" applyAlignment="1" applyProtection="1">
      <alignment horizontal="left" vertical="center"/>
      <protection locked="0"/>
    </xf>
    <xf numFmtId="0" fontId="12" fillId="0" borderId="16" xfId="0" applyFont="1" applyBorder="1" applyAlignment="1" applyProtection="1">
      <alignment horizontal="left" vertical="center"/>
      <protection locked="0"/>
    </xf>
    <xf numFmtId="0" fontId="2" fillId="3" borderId="1" xfId="0" applyFont="1" applyFill="1" applyBorder="1" applyAlignment="1" applyProtection="1">
      <alignment horizontal="left" vertical="center"/>
      <protection locked="0"/>
    </xf>
    <xf numFmtId="0" fontId="2" fillId="3" borderId="32"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top"/>
      <protection locked="0"/>
    </xf>
    <xf numFmtId="0" fontId="2" fillId="3" borderId="15" xfId="0" applyFont="1" applyFill="1" applyBorder="1" applyAlignment="1" applyProtection="1">
      <alignment horizontal="left" vertical="center"/>
      <protection locked="0"/>
    </xf>
    <xf numFmtId="0" fontId="2" fillId="3" borderId="16" xfId="0" applyFont="1" applyFill="1" applyBorder="1" applyAlignment="1" applyProtection="1">
      <alignment horizontal="left" vertical="top"/>
      <protection locked="0"/>
    </xf>
    <xf numFmtId="0" fontId="2" fillId="3" borderId="16" xfId="0" applyFont="1" applyFill="1" applyBorder="1" applyAlignment="1" applyProtection="1">
      <alignment horizontal="left" vertical="center"/>
      <protection locked="0"/>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2" fillId="2" borderId="8" xfId="0" applyFont="1" applyFill="1" applyBorder="1" applyAlignment="1">
      <alignment horizontal="center" vertical="center" wrapText="1"/>
    </xf>
    <xf numFmtId="0" fontId="10" fillId="0" borderId="8" xfId="0" applyFont="1" applyBorder="1" applyAlignment="1">
      <alignment horizontal="center" vertical="center"/>
    </xf>
    <xf numFmtId="0" fontId="10" fillId="0" borderId="31" xfId="0" applyFont="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0" borderId="17" xfId="0" applyFont="1" applyBorder="1" applyAlignment="1">
      <alignment horizontal="center" vertical="center"/>
    </xf>
    <xf numFmtId="0" fontId="10" fillId="3" borderId="8"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1" xfId="0" applyFont="1" applyFill="1" applyBorder="1" applyAlignment="1">
      <alignment horizontal="center"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10" fillId="0" borderId="1" xfId="0" applyFont="1" applyBorder="1" applyAlignment="1">
      <alignment horizontal="center" vertical="center"/>
    </xf>
    <xf numFmtId="0" fontId="10" fillId="0" borderId="30" xfId="0" applyFont="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4" fillId="2" borderId="4" xfId="0" applyFont="1" applyFill="1" applyBorder="1" applyAlignment="1">
      <alignment horizontal="left" vertical="top"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4" borderId="2" xfId="0" applyFont="1" applyFill="1" applyBorder="1" applyAlignment="1">
      <alignment horizontal="left" vertical="center"/>
    </xf>
    <xf numFmtId="0" fontId="4" fillId="4" borderId="3" xfId="0" applyFont="1" applyFill="1" applyBorder="1" applyAlignment="1">
      <alignment horizontal="left" vertical="center"/>
    </xf>
    <xf numFmtId="0" fontId="4" fillId="4" borderId="4" xfId="0" applyFont="1" applyFill="1" applyBorder="1" applyAlignment="1">
      <alignment horizontal="left" vertical="center"/>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2" fillId="0" borderId="12" xfId="0" applyFont="1" applyBorder="1" applyAlignment="1">
      <alignment horizontal="center"/>
    </xf>
    <xf numFmtId="0" fontId="2" fillId="0" borderId="6" xfId="0" applyFont="1" applyBorder="1" applyAlignment="1">
      <alignment horizontal="center" vertical="center"/>
    </xf>
    <xf numFmtId="0" fontId="4" fillId="2" borderId="5"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8" xfId="0" applyFont="1" applyFill="1" applyBorder="1" applyAlignment="1">
      <alignment vertical="top" wrapText="1"/>
    </xf>
    <xf numFmtId="0" fontId="4" fillId="6" borderId="8" xfId="0" applyFont="1" applyFill="1" applyBorder="1" applyAlignment="1">
      <alignment vertical="top" wrapText="1"/>
    </xf>
    <xf numFmtId="0" fontId="10" fillId="6" borderId="1" xfId="0" applyFont="1" applyFill="1" applyBorder="1" applyAlignment="1">
      <alignment horizontal="center" vertical="center"/>
    </xf>
    <xf numFmtId="0" fontId="10" fillId="6" borderId="30" xfId="0" applyFont="1" applyFill="1" applyBorder="1" applyAlignment="1">
      <alignment horizontal="center" vertical="center"/>
    </xf>
    <xf numFmtId="0" fontId="10" fillId="6" borderId="31" xfId="0" applyFont="1" applyFill="1" applyBorder="1" applyAlignment="1">
      <alignment horizontal="center" vertical="center"/>
    </xf>
    <xf numFmtId="0" fontId="10" fillId="6" borderId="8" xfId="0" applyFont="1" applyFill="1" applyBorder="1" applyAlignment="1">
      <alignment horizontal="center" vertical="center"/>
    </xf>
    <xf numFmtId="0" fontId="2" fillId="6" borderId="14" xfId="0" applyFont="1" applyFill="1" applyBorder="1" applyAlignment="1">
      <alignment horizontal="center" vertical="center"/>
    </xf>
    <xf numFmtId="0" fontId="2" fillId="6" borderId="15" xfId="0" applyFont="1" applyFill="1" applyBorder="1" applyAlignment="1">
      <alignment horizontal="center" vertical="center"/>
    </xf>
    <xf numFmtId="0" fontId="2" fillId="6" borderId="16" xfId="0" applyFont="1" applyFill="1" applyBorder="1" applyAlignment="1">
      <alignment horizontal="center" vertical="center"/>
    </xf>
    <xf numFmtId="0" fontId="2" fillId="6" borderId="17" xfId="0" applyFont="1" applyFill="1" applyBorder="1" applyAlignment="1">
      <alignment horizontal="center" vertical="center"/>
    </xf>
    <xf numFmtId="0" fontId="2" fillId="6" borderId="14" xfId="0" applyFont="1" applyFill="1" applyBorder="1" applyAlignment="1">
      <alignment horizontal="center" vertical="center" wrapText="1"/>
    </xf>
    <xf numFmtId="0" fontId="2" fillId="6" borderId="15" xfId="0" applyFont="1" applyFill="1" applyBorder="1" applyAlignment="1">
      <alignment horizontal="center" vertical="center" wrapText="1"/>
    </xf>
    <xf numFmtId="0" fontId="2" fillId="6" borderId="16" xfId="0" applyFont="1" applyFill="1" applyBorder="1" applyAlignment="1">
      <alignment horizontal="center" vertical="center" wrapText="1"/>
    </xf>
  </cellXfs>
  <cellStyles count="4">
    <cellStyle name="Hipervínculo" xfId="3" builtinId="8"/>
    <cellStyle name="Hyperlink" xfId="2"/>
    <cellStyle name="Normal" xfId="0" builtinId="0"/>
    <cellStyle name="Porcentaje" xfId="1" builtinId="5"/>
  </cellStyles>
  <dxfs count="20">
    <dxf>
      <fill>
        <patternFill>
          <bgColor rgb="FFFF0000"/>
        </patternFill>
      </fill>
    </dxf>
    <dxf>
      <font>
        <b val="0"/>
        <i val="0"/>
        <color auto="1"/>
      </font>
      <fill>
        <patternFill>
          <bgColor theme="9" tint="0.79998168889431442"/>
        </patternFill>
      </fill>
    </dxf>
    <dxf>
      <fill>
        <patternFill>
          <bgColor rgb="FFFF0000"/>
        </patternFill>
      </fill>
    </dxf>
    <dxf>
      <font>
        <b val="0"/>
        <i val="0"/>
        <color auto="1"/>
      </font>
      <fill>
        <patternFill>
          <bgColor theme="9" tint="0.79998168889431442"/>
        </patternFill>
      </fill>
    </dxf>
    <dxf>
      <fill>
        <patternFill>
          <bgColor rgb="FFFF0000"/>
        </patternFill>
      </fill>
    </dxf>
    <dxf>
      <font>
        <b val="0"/>
        <i val="0"/>
        <color auto="1"/>
      </font>
      <fill>
        <patternFill>
          <bgColor theme="9" tint="0.79998168889431442"/>
        </patternFill>
      </fill>
    </dxf>
    <dxf>
      <fill>
        <patternFill>
          <bgColor rgb="FFFF0000"/>
        </patternFill>
      </fill>
    </dxf>
    <dxf>
      <font>
        <b val="0"/>
        <i val="0"/>
        <color auto="1"/>
      </font>
      <fill>
        <patternFill>
          <bgColor theme="9" tint="0.79998168889431442"/>
        </patternFill>
      </fill>
    </dxf>
    <dxf>
      <fill>
        <patternFill>
          <bgColor rgb="FFFF0000"/>
        </patternFill>
      </fill>
    </dxf>
    <dxf>
      <font>
        <b val="0"/>
        <i val="0"/>
        <color auto="1"/>
      </font>
      <fill>
        <patternFill>
          <bgColor theme="9" tint="0.79998168889431442"/>
        </patternFill>
      </fill>
    </dxf>
    <dxf>
      <fill>
        <patternFill>
          <bgColor rgb="FFFF0000"/>
        </patternFill>
      </fill>
    </dxf>
    <dxf>
      <font>
        <b val="0"/>
        <i val="0"/>
        <color auto="1"/>
      </font>
      <fill>
        <patternFill>
          <bgColor theme="9" tint="0.79998168889431442"/>
        </patternFill>
      </fill>
    </dxf>
    <dxf>
      <fill>
        <patternFill>
          <bgColor rgb="FFFF0000"/>
        </patternFill>
      </fill>
    </dxf>
    <dxf>
      <font>
        <b val="0"/>
        <i val="0"/>
        <color auto="1"/>
      </font>
      <fill>
        <patternFill>
          <bgColor theme="9" tint="0.79998168889431442"/>
        </patternFill>
      </fill>
    </dxf>
    <dxf>
      <fill>
        <patternFill>
          <bgColor rgb="FFFF0000"/>
        </patternFill>
      </fill>
    </dxf>
    <dxf>
      <font>
        <b val="0"/>
        <i val="0"/>
        <color auto="1"/>
      </font>
      <fill>
        <patternFill>
          <bgColor theme="9" tint="0.79998168889431442"/>
        </patternFill>
      </fill>
    </dxf>
    <dxf>
      <fill>
        <patternFill>
          <bgColor rgb="FFFF0000"/>
        </patternFill>
      </fill>
    </dxf>
    <dxf>
      <font>
        <b val="0"/>
        <i val="0"/>
        <color auto="1"/>
      </font>
      <fill>
        <patternFill>
          <bgColor theme="9" tint="0.79998168889431442"/>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5306" y="202407"/>
          <a:ext cx="24383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5306" y="202407"/>
          <a:ext cx="24383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451" y="194787"/>
          <a:ext cx="248030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451" y="194787"/>
          <a:ext cx="248030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451" y="194787"/>
          <a:ext cx="248030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451" y="194787"/>
          <a:ext cx="248030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451" y="194787"/>
          <a:ext cx="248030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451" y="194787"/>
          <a:ext cx="248030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451" y="194787"/>
          <a:ext cx="248030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451" y="194787"/>
          <a:ext cx="248030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451" y="194787"/>
          <a:ext cx="248030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451" y="194787"/>
          <a:ext cx="248030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451" y="194787"/>
          <a:ext cx="248030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451" y="194787"/>
          <a:ext cx="248030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 xmlns:a16="http://schemas.microsoft.com/office/drawing/2014/main" id="{A3BC18AD-E36C-4B46-BE33-10745C44D3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451" y="194787"/>
          <a:ext cx="248030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 xmlns:a16="http://schemas.microsoft.com/office/drawing/2014/main" id="{3C2419B5-AB80-420D-8995-8F5F4C07A0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451" y="194787"/>
          <a:ext cx="248030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 xmlns:a16="http://schemas.microsoft.com/office/drawing/2014/main" id="{432044B4-1C8D-4BA0-B5DA-089EB109B6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451" y="194787"/>
          <a:ext cx="248030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 xmlns:a16="http://schemas.microsoft.com/office/drawing/2014/main" id="{C7AC2D45-BBED-42B4-9D1A-1D6D1C97FA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451" y="194787"/>
          <a:ext cx="248030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 xmlns:a16="http://schemas.microsoft.com/office/drawing/2014/main" id="{432044B4-1C8D-4BA0-B5DA-089EB109B6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8606" y="240507"/>
          <a:ext cx="24383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 xmlns:a16="http://schemas.microsoft.com/office/drawing/2014/main" id="{C7AC2D45-BBED-42B4-9D1A-1D6D1C97FA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8606" y="240507"/>
          <a:ext cx="24383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 xmlns:a16="http://schemas.microsoft.com/office/drawing/2014/main" id="{432044B4-1C8D-4BA0-B5DA-089EB109B6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8606" y="240507"/>
          <a:ext cx="24383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 xmlns:a16="http://schemas.microsoft.com/office/drawing/2014/main" id="{C7AC2D45-BBED-42B4-9D1A-1D6D1C97FA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8606" y="240507"/>
          <a:ext cx="24383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file:///\\10.100.25.60\sya\gec\Castilla\39.%20Proyecto_Inyeccion_de_Agua\SAHARA\BD%20Sahara" TargetMode="External"/><Relationship Id="rId21" Type="http://schemas.openxmlformats.org/officeDocument/2006/relationships/hyperlink" Target="file:///\\10.100.25.60\sya\gec\Castilla\39.%20Proyecto_Inyeccion_de_Agua\SAHARA)%20y%20en%20las%20notas%20de%20wellmeeting" TargetMode="External"/><Relationship Id="rId42" Type="http://schemas.openxmlformats.org/officeDocument/2006/relationships/hyperlink" Target="https://ecopetrol.sharepoint.com/:f:/r/sites/INTERVENCIONESGDA/Documentos%20compartidos/Monica%20Martinez/Entregables/Abril%202025?csf=1&amp;web=1&amp;e=v6w200" TargetMode="External"/><Relationship Id="rId47" Type="http://schemas.openxmlformats.org/officeDocument/2006/relationships/hyperlink" Target="https://ecopetrol.sharepoint.com/sites/ACCESS/Documentos%20compartidos/Forms/AllItems.aspx?id=%2Fsites%2FACCESS%2FDocumentos%20compartidos%2FPLP%202024&amp;viewid=84208958%2Dec67%2D431a%2D9db0%2D33a6806f19c8" TargetMode="External"/><Relationship Id="rId63" Type="http://schemas.openxmlformats.org/officeDocument/2006/relationships/hyperlink" Target="https://ecopetrol.sharepoint.com/:f:/r/sites/SeguimientoIAChichimeneECP/Documentos%20compartidos/15.%20RWA/Visualizadores?csf=1&amp;web=1&amp;e=cWNCbZ" TargetMode="External"/><Relationship Id="rId68" Type="http://schemas.openxmlformats.org/officeDocument/2006/relationships/hyperlink" Target="file:///\\10.100.25.60\sya\gec\JOSE%20GABRIEL%20NASSAR%20-%20PORTAFOLIO%20CASTILLA\0.%20ENTREGABLES\15.%20ABRIL_2025" TargetMode="External"/><Relationship Id="rId84" Type="http://schemas.openxmlformats.org/officeDocument/2006/relationships/hyperlink" Target="https://ecopetrol-my.sharepoint.com/:x:/r/personal/jaimejo_martinez_ecopetrol_com_co1/Documents/Archivos%20de%20chat%20de%20Microsoft%20Teams/Vintage%20Produccion%20Suria%20T2.xlsx?d=wf83e0d33cd724068af98820017aff361&amp;csf=1&amp;web=1&amp;e=edJsN2" TargetMode="External"/><Relationship Id="rId89" Type="http://schemas.openxmlformats.org/officeDocument/2006/relationships/comments" Target="../comments1.xml"/><Relationship Id="rId16" Type="http://schemas.openxmlformats.org/officeDocument/2006/relationships/hyperlink" Target="file:///\\10.100.25.60\sya\gec\Castilla\39.%20Proyecto_Inyeccion_de_Agua\SAHARA\BD%20Sahara" TargetMode="External"/><Relationship Id="rId11" Type="http://schemas.openxmlformats.org/officeDocument/2006/relationships/hyperlink" Target="https://ecopetrol.sharepoint.com/sites/SeguimientoIAChichimeneECP/Documentos%20compartidos/Forms/AllItems.aspx?id=%2Fsites%2FSeguimientoIAChichimeneECP%2FDocumentos%20compartidos%2F45%2E%20WorkOvers%20GCH%202024%2D2026%2D2027&amp;viewid=72844968%2Df801%2D450d%2D81d2%2D32c578273e17" TargetMode="External"/><Relationship Id="rId32" Type="http://schemas.openxmlformats.org/officeDocument/2006/relationships/hyperlink" Target="https://ecopetrol-my.sharepoint.com/:p:/r/personal/nayath_rodriguez_ecopetrol_com_co1/_layouts/15/Doc.aspx?sourcedoc=%7B1AE83FD1-423E-4DAF-A0AE-FA15584AE4BD%7D&amp;file=Estado%20Actual%20K1K2.pptx&amp;fromShare=true&amp;action=edit&amp;mobileredirect=true" TargetMode="External"/><Relationship Id="rId37" Type="http://schemas.openxmlformats.org/officeDocument/2006/relationships/hyperlink" Target="https://ecopetrol.sharepoint.com/:f:/r/sites/CHICHIMENE-GDO/Documentos%20compartidos/L-Plazo%20No%20Termico/04-Proyectos/04-Etapa%206%20WF%20Nueva%20Generaci%C3%B3n/DATA%20SHEET%20POZOS/DATA%20SHEET-CAMPA%C3%91A%202?csf=1&amp;web=1&amp;e=aLP3ml" TargetMode="External"/><Relationship Id="rId53" Type="http://schemas.openxmlformats.org/officeDocument/2006/relationships/hyperlink" Target="https://ecopetrol.sharepoint.com/sites/ACCESS/Documentos%20compartidos/Forms/AllItems.aspx?id=%2Fsites%2FACCESS%2FDocumentos%20compartidos%2FTinamu&amp;viewid=84208958%2Dec67%2D431a%2D9db0%2D33a6806f19c8" TargetMode="External"/><Relationship Id="rId58" Type="http://schemas.openxmlformats.org/officeDocument/2006/relationships/hyperlink" Target="file:///\\10.100.25.60\sya\GEC\Ariari\67.%20ENTREGAS%20DE%20CARGO\ING.%20DE%20PORTAFOLIO\CMPC\Christian%20Pardo\ENTREGABLES%202025\04.%20ABRIL" TargetMode="External"/><Relationship Id="rId74" Type="http://schemas.openxmlformats.org/officeDocument/2006/relationships/hyperlink" Target="https://ecopetrol.sharepoint.com/:u:/r/sites/MonitoreoVRO/Documentos%20compartidos/Tableros/Tablero%20Calidad%20de%20agua/2.9_Seguimiento_Calidad_de_agua_VRO.pbix?csf=1&amp;web=1&amp;e=yzre4a" TargetMode="External"/><Relationship Id="rId79" Type="http://schemas.openxmlformats.org/officeDocument/2006/relationships/hyperlink" Target="https://ecopetrol.sharepoint.com/:f:/r/sites/IAAKACIAS/Documentos%20compartidos/04.%20Tableros/01.%20Molinos?csf=1&amp;web=1&amp;e=ytTQ84" TargetMode="External"/><Relationship Id="rId5" Type="http://schemas.openxmlformats.org/officeDocument/2006/relationships/hyperlink" Target="file:///\\10.100.25.60\sya\gec\Castilla\39.%20Proyecto_Inyeccion_de_Agua\SAHARA)%20y%20en%20las%20notas%20de%20wellmeeting" TargetMode="External"/><Relationship Id="rId14" Type="http://schemas.openxmlformats.org/officeDocument/2006/relationships/hyperlink" Target="file:///\\10.100.25.60\sya\gec\Castilla\39.%20Proyecto_Inyeccion_de_Agua\SAHARA%0a" TargetMode="External"/><Relationship Id="rId22" Type="http://schemas.openxmlformats.org/officeDocument/2006/relationships/hyperlink" Target="file:///\\10.100.25.60\sya\GEC\Castilla\Proyecto%20W.O%202024%202027%20GDT" TargetMode="External"/><Relationship Id="rId27" Type="http://schemas.openxmlformats.org/officeDocument/2006/relationships/hyperlink" Target="https://wellmeeting.ecopetrol.com.co/login" TargetMode="External"/><Relationship Id="rId30" Type="http://schemas.openxmlformats.org/officeDocument/2006/relationships/hyperlink" Target="file:///\\10.100.25.60\sya\gec\Castilla\39.%20Proyecto_Inyeccion_de_Agua" TargetMode="External"/><Relationship Id="rId35" Type="http://schemas.openxmlformats.org/officeDocument/2006/relationships/hyperlink" Target="https://ecopetrol-my.sharepoint.com/:x:/r/personal/cesar_garnica_ecopetrol_com_co/_layouts/15/Doc.aspx?sourcedoc=%7BAA7899F4-3C92-43E6-A801-E6AC46835FA0%7D&amp;file=Pronosticos%20WF%20ExpK%20(3).xlsx&amp;action=default&amp;mobileredirect=true&amp;wdOrigin=OUTLOOK-METAOS.FILEBROWSER.FILES-HOME" TargetMode="External"/><Relationship Id="rId43" Type="http://schemas.openxmlformats.org/officeDocument/2006/relationships/hyperlink" Target="https://ecopetrol.sharepoint.com/:f:/r/sites/INTERVENCIONESGDA/Documentos%20compartidos/Monica%20Martinez/Entregables/Abril%202025?csf=1&amp;web=1&amp;e=z1WNUb" TargetMode="External"/><Relationship Id="rId48" Type="http://schemas.openxmlformats.org/officeDocument/2006/relationships/hyperlink" Target="https://ecopetrol.sharepoint.com/sites/ACCESS/Documentos%20compartidos/Forms/AllItems.aspx?id=%2Fsites%2FACCESS%2FDocumentos%20compartidos%2FPLP%202024&amp;viewid=84208958%2Dec67%2D431a%2D9db0%2D33a6806f19c8" TargetMode="External"/><Relationship Id="rId56" Type="http://schemas.openxmlformats.org/officeDocument/2006/relationships/hyperlink" Target="https://ecopetrol.sharepoint.com/:u:/r/sites/DTWFCASTILLA/Documentos%20compartidos/General/Capacidad_de_flujo_Castilla_WF_Ene2025.pbix?csf=1&amp;web=1&amp;e=rdqOBO" TargetMode="External"/><Relationship Id="rId64" Type="http://schemas.openxmlformats.org/officeDocument/2006/relationships/hyperlink" Target="https://ecopetrol.sharepoint.com/:f:/r/sites/SeguimientoIAChichimeneECP/Documentos%20compartidos/04.%20Pwf%20Chichimene?csf=1&amp;web=1&amp;e=bchtw6" TargetMode="External"/><Relationship Id="rId69" Type="http://schemas.openxmlformats.org/officeDocument/2006/relationships/hyperlink" Target="file:///\\10.100.25.60\sya\gec\JOSE%20GABRIEL%20NASSAR%20-%20PORTAFOLIO%20CASTILLA\0.%20ENTREGABLES\15.%20ABRIL_2025" TargetMode="External"/><Relationship Id="rId77" Type="http://schemas.openxmlformats.org/officeDocument/2006/relationships/hyperlink" Target="https://ecopetrol.sharepoint.com/:x:/r/sites/IAAKACIAS/Documentos%20compartidos/34.%20POP%202024-2025/2025/ACT%20-%2011%2004%202025/POP_Vs_P50_RETO_11042025.xlsx?d=w0dc02f860ec24a6087e089a015726a66&amp;csf=1&amp;web=1&amp;e=euKNpw" TargetMode="External"/><Relationship Id="rId8" Type="http://schemas.openxmlformats.org/officeDocument/2006/relationships/hyperlink" Target="https://ecopetrol-my.sharepoint.com/:p:/g/personal/fabian_torres_ecopetrol_com_co1/EVDU7dil0AZKuEEvwl_wYUMBz5-ITb1XKJgfJvcLtCKwyg?email=geisson.zafra%40ecopetrol.com.co&amp;e=wAKzzZ&amp;wdOrigin=TEAMS-MAGLEV.p2p_ns.rwc&amp;wdExp=TEAMS-TREATMENT&amp;wdhostclicktime=1741892843119&amp;web=1&amp;previoussessionid=2053db84-be0f-ec5a-3ed2-fe60df430c3f" TargetMode="External"/><Relationship Id="rId51" Type="http://schemas.openxmlformats.org/officeDocument/2006/relationships/hyperlink" Target="https://ecopetrol.sharepoint.com/sites/InformedereservasCampoAkacias2022" TargetMode="External"/><Relationship Id="rId72" Type="http://schemas.openxmlformats.org/officeDocument/2006/relationships/hyperlink" Target="https://ecopetrol.sharepoint.com/:u:/r/sites/MonitoreoVRO/Documentos%20compartidos/Tableros/Tablero%202.6/2.61_SeguimientoProducci%C3%B3nChiak.pbix?csf=1&amp;web=1&amp;e=tyE96t" TargetMode="External"/><Relationship Id="rId80" Type="http://schemas.openxmlformats.org/officeDocument/2006/relationships/hyperlink" Target="https://teams.microsoft.com/l/message/19:7b4c8586-d99b-4bd1-829f-dd3c0e5f277d_a4a12518-fd98-491f-8a3b-3cf43d597ded@unq.gbl.spaces/1728591074500?context=%7B%22contextType%22%3A%22chat%22%7D" TargetMode="External"/><Relationship Id="rId85" Type="http://schemas.openxmlformats.org/officeDocument/2006/relationships/hyperlink" Target="https://ecopetrol.sharepoint.com/sites/CastillaWOs2022/Documentos%20compartidos/Forms/AllItems.aspx?id=%2Fsites%2FCastillaWOs2022%2FDocumentos%20compartidos%2FJustificaciones&amp;viewid=9ecb22f4%2D2d68%2D4a78%2Db78d%2Df5ff342528b5" TargetMode="External"/><Relationship Id="rId3" Type="http://schemas.openxmlformats.org/officeDocument/2006/relationships/hyperlink" Target="file:///\\10.100.25.60\sya\gec\Castilla\39.%20Proyecto_Inyeccion_de_Agua\SAHARA%0a" TargetMode="External"/><Relationship Id="rId12" Type="http://schemas.openxmlformats.org/officeDocument/2006/relationships/hyperlink" Target="https://ecopetrol.sharepoint.com/sites/SeguimientoIAChichimeneECP/Documentos%20compartidos/Forms/AllItems.aspx?id=%2Fsites%2FSeguimientoIAChichimeneECP%2FDocumentos%20compartidos%2F45%2E%20WorkOvers%20GCH%202024%2D2026%2D2027&amp;viewid=72844968%2Df801%2D450d%2D81d2%2D32c578273e17" TargetMode="External"/><Relationship Id="rId17" Type="http://schemas.openxmlformats.org/officeDocument/2006/relationships/hyperlink" Target="https://wellmeeting.ecopetrol.com.co/login" TargetMode="External"/><Relationship Id="rId25" Type="http://schemas.openxmlformats.org/officeDocument/2006/relationships/hyperlink" Target="file:///\\10.100.25.60\sya\gec\Castilla\39.%20Proyecto_Inyeccion_de_Agua" TargetMode="External"/><Relationship Id="rId33" Type="http://schemas.openxmlformats.org/officeDocument/2006/relationships/hyperlink" Target="https://ecopetrol-my.sharepoint.com/:w:/r/personal/nayath_rodriguez_ecopetrol_com_co1/_layouts/15/Doc.aspx?sourcedoc=%7B16E8FA1B-CAFC-400A-9F16-5A2CECCADCD1%7D&amp;file=20240822_Documento%20soporte%20Reservas_GCH.docx&amp;nav=eyJjIjo4NzkxMjAwMDZ9&amp;action=default&amp;mobileredirect=true" TargetMode="External"/><Relationship Id="rId38" Type="http://schemas.openxmlformats.org/officeDocument/2006/relationships/hyperlink" Target="https://ecopetrol-my.sharepoint.com/:x:/g/personal/juanca_lizcanoni_ecopetrol_com_co/EWqfc085W9lAj4yjgqy9518BDoJy91LaAvYwT4ztKDLgrw?wdOrigin=TEAMS-MAGLEV.p2p_ns.rwc&amp;wdExp=TEAMS-TREATMENT&amp;wdhostclicktime=1745952824168&amp;web=1" TargetMode="External"/><Relationship Id="rId46" Type="http://schemas.openxmlformats.org/officeDocument/2006/relationships/hyperlink" Target="https://ecopetrol.sharepoint.com/sites/EquipoDesarrolloCPO-9/Documentos%20compartidos/Forms/AllItems.aspx?id=%2Fsites%2FEquipoDesarrolloCPO%2D9%2FDocumentos%20compartidos%2FGeneral%2F04%2DExploratorio%2FExploratorios%20CPO%2D9&amp;viewid=0e96c994%2D47e1%2D4e99%2D93c0%2D37826753815c" TargetMode="External"/><Relationship Id="rId59" Type="http://schemas.openxmlformats.org/officeDocument/2006/relationships/hyperlink" Target="file:///\\10.100.25.60\sya\GEC\Ariari\67.%20ENTREGAS%20DE%20CARGO\ING.%20DE%20PORTAFOLIO\CMPC\Christian%20Pardo\ENTREGABLES%202025\04.%20ABRIL" TargetMode="External"/><Relationship Id="rId67" Type="http://schemas.openxmlformats.org/officeDocument/2006/relationships/hyperlink" Target="https://ecopetrol.sharepoint.com/:f:/r/sites/SeguimientoIAChichimeneECP/Documentos%20compartidos/09.%20Gerenciamiento%20Chichimene?csf=1&amp;web=1&amp;e=AleeXi" TargetMode="External"/><Relationship Id="rId20" Type="http://schemas.openxmlformats.org/officeDocument/2006/relationships/hyperlink" Target="file:///\\10.100.25.60\sya\gec\Castilla\39.%20Proyecto_Inyeccion_de_Agua" TargetMode="External"/><Relationship Id="rId41" Type="http://schemas.openxmlformats.org/officeDocument/2006/relationships/hyperlink" Target="https://ecopetrol.sharepoint.com/:f:/r/sites/INTERVENCIONESGDA/Documentos%20compartidos/Monica%20Martinez/Entregables/Abril%202025?csf=1&amp;web=1&amp;e=uzdEiE" TargetMode="External"/><Relationship Id="rId54" Type="http://schemas.openxmlformats.org/officeDocument/2006/relationships/hyperlink" Target="file:///\\10.100.25.60\sya\gec\Castilla\39.%20Proyecto_Inyeccion_de_Agua\SAHARA)%20y%20en%20las%20notas%20de%20wellmeeting" TargetMode="External"/><Relationship Id="rId62" Type="http://schemas.openxmlformats.org/officeDocument/2006/relationships/hyperlink" Target="https://ecopetrol.sharepoint.com/:f:/r/sites/SeguimientoIAChichimeneECP/Documentos%20compartidos/28.%20Molinos%20de%20Viento/Cargue%20por%20Tecnologia?csf=1&amp;web=1&amp;e=Zd14xn" TargetMode="External"/><Relationship Id="rId70" Type="http://schemas.openxmlformats.org/officeDocument/2006/relationships/hyperlink" Target="https://ecopetrol.sharepoint.com/:u:/r/sites/MonitoreoVRO/Documentos%20compartidos/Tableros/Tablero%202.2/2.2_Monitoreo_Prod_P50.pbix?csf=1&amp;web=1&amp;e=solEfC" TargetMode="External"/><Relationship Id="rId75" Type="http://schemas.openxmlformats.org/officeDocument/2006/relationships/hyperlink" Target="https://ecopetrol.sharepoint.com/:u:/r/sites/MonitoreoVRO/Documentos%20compartidos/Tableros/Tablero%202.3/2.3_Monitoreo_Secundaria_VRO.pbix?csf=1&amp;web=1&amp;e=7rDpbG" TargetMode="External"/><Relationship Id="rId83" Type="http://schemas.openxmlformats.org/officeDocument/2006/relationships/hyperlink" Target="https://ecopetrol.sharepoint.com/:x:/s/YACIMIENTOS-APIAY/EbmwQUUu8J5Jp5h1Urc4VHsBWIKkIMiuHgBVlbu1alVQuw?e=fPWH7k" TargetMode="External"/><Relationship Id="rId88" Type="http://schemas.openxmlformats.org/officeDocument/2006/relationships/vmlDrawing" Target="../drawings/vmlDrawing1.vml"/><Relationship Id="rId1" Type="http://schemas.openxmlformats.org/officeDocument/2006/relationships/hyperlink" Target="https://ecopetrol.sharepoint.com/sites/BDSaharaCastilla/Documentos%20compartidos/Forms/AllItems.aspx?id=%2Fsites%2FBDSaharaCastilla%2FDocumentos%20compartidos%2FBD%20Sahara&amp;viewid=a035cf74%2D0100%2D4f66%2Da914%2D651dfeb02341" TargetMode="External"/><Relationship Id="rId6" Type="http://schemas.openxmlformats.org/officeDocument/2006/relationships/hyperlink" Target="file:///\\10.100.25.60\sya\gec\Castilla\39.%20Proyecto_Inyeccion_de_Agua\SAHARA\BD%20Sahara" TargetMode="External"/><Relationship Id="rId15" Type="http://schemas.openxmlformats.org/officeDocument/2006/relationships/hyperlink" Target="file:///\\10.100.25.60\sya\gec\Castilla\39.%20Proyecto_Inyeccion_de_Agua" TargetMode="External"/><Relationship Id="rId23" Type="http://schemas.openxmlformats.org/officeDocument/2006/relationships/hyperlink" Target="https://ecopetrol.sharepoint.com/sites/CastillaWOs2022/Documentos%20compartidos/Forms/AllItems.aspx?id=%2Fsites%2FCastillaWOs2022%2FDocumentos%20compartidos%2FJustificaciones&amp;viewid=9ecb22f4%2D2d68%2D4a78%2Db78d%2Df5ff342528b5" TargetMode="External"/><Relationship Id="rId28" Type="http://schemas.openxmlformats.org/officeDocument/2006/relationships/hyperlink" Target="https://wellmeeting.ecopetrol.com.co/loginGDT%20Plus%20(El%20V.A.R.)%20-%20General%20-%20Todos%20los%20documentos" TargetMode="External"/><Relationship Id="rId36" Type="http://schemas.openxmlformats.org/officeDocument/2006/relationships/hyperlink" Target="https://ecopetrol-my.sharepoint.com/:p:/r/personal/nayath_rodriguez_ecopetrol_com_co1/_layouts/15/Doc.aspx?sourcedoc=%7B1AE83FD1-423E-4DAF-A0AE-FA15584AE4BD%7D&amp;file=Estado%20Actual%20K1K2.pptx&amp;fromShare=true&amp;action=edit&amp;mobileredirect=true" TargetMode="External"/><Relationship Id="rId49" Type="http://schemas.openxmlformats.org/officeDocument/2006/relationships/hyperlink" Target="https://ecopetrol.sharepoint.com/sites/ACCESS/Documentos%20compartidos/Forms/AllItems.aspx?id=%2Fsites%2FACCESS%2FDocumentos%20compartidos%2FPLP%202024&amp;viewid=84208958%2Dec67%2D431a%2D9db0%2D33a6806f19c8" TargetMode="External"/><Relationship Id="rId57" Type="http://schemas.openxmlformats.org/officeDocument/2006/relationships/hyperlink" Target="https://ecopetrol.sharepoint.com/:u:/r/sites/BDSaharaCastilla/Documentos%20compartidos/Tablero%20P50/P50%20CASTILLA_2024_V19.pbix?csf=1&amp;web=1&amp;e=CrebOA" TargetMode="External"/><Relationship Id="rId10" Type="http://schemas.openxmlformats.org/officeDocument/2006/relationships/hyperlink" Target="https://ecopetrol.sharepoint.com/sites/SeguimientoIAChichimeneECP/Documentos%20compartidos/Forms/AllItems.aspx?id=%2Fsites%2FSeguimientoIAChichimeneECP%2FDocumentos%20compartidos%2F11%2E%20Desviaciones%20Prod%5FIny%20Real%20vs%20P50%20vs%20Auditoria%20vs%20PDI%20vs%20GOP%20vs%20POP%2F2025&amp;viewid=72844968%2Df801%2D450d%2D81d2%2D32c578273e17" TargetMode="External"/><Relationship Id="rId31" Type="http://schemas.openxmlformats.org/officeDocument/2006/relationships/hyperlink" Target="file:///\\10.100.25.60\sya\gec\Castilla\39.%20Proyecto_Inyeccion_de_Agua\SAHARA)%20y%20en%20las%20notas%20de%20wellmeeting" TargetMode="External"/><Relationship Id="rId44" Type="http://schemas.openxmlformats.org/officeDocument/2006/relationships/hyperlink" Target="https://ecopetrol.sharepoint.com/:f:/r/sites/INTERVENCIONESGDA/Documentos%20compartidos/Monica%20Martinez/Entregables/Abril%202025?csf=1&amp;web=1&amp;e=z1WNUb%20%20;" TargetMode="External"/><Relationship Id="rId52" Type="http://schemas.openxmlformats.org/officeDocument/2006/relationships/hyperlink" Target="https://ecopetrol.sharepoint.com/sites/ACCESS/Documentos%20compartidos/Forms/AllItems.aspx?id=%2Fsites%2FACCESS%2FDocumentos%20compartidos%2FFrontera&amp;viewid=84208958%2Dec67%2D431a%2D9db0%2D33a6806f19c8" TargetMode="External"/><Relationship Id="rId60" Type="http://schemas.openxmlformats.org/officeDocument/2006/relationships/hyperlink" Target="https://ecopetrol.sharepoint.com/:f:/r/sites/SeguimientoIAChichimeneECP/Documentos%20compartidos/01.%20Revisi%C3%B3n%20Caudales%20Objetivo?csf=1&amp;web=1&amp;e=HMOlD6" TargetMode="External"/><Relationship Id="rId65" Type="http://schemas.openxmlformats.org/officeDocument/2006/relationships/hyperlink" Target="https://ecopetrol.sharepoint.com/:f:/r/sites/SeguimientoIAChichimeneECP/Documentos%20compartidos/22.%20PBU/Formas%208CR?csf=1&amp;web=1&amp;e=3PEoe6" TargetMode="External"/><Relationship Id="rId73" Type="http://schemas.openxmlformats.org/officeDocument/2006/relationships/hyperlink" Target="https://ecopetrol.sharepoint.com/:u:/r/sites/MonitoreoVRO/Documentos%20compartidos/Tableros/Tablero%202.6/2.62_SeguimientoProducci%C3%B3nCastilla.pbix?csf=1&amp;web=1&amp;e=H94eQs" TargetMode="External"/><Relationship Id="rId78" Type="http://schemas.openxmlformats.org/officeDocument/2006/relationships/hyperlink" Target="https://ecopetrol.sharepoint.com/:x:/r/sites/IAAKACIAS/Documentos%20compartidos/34.%20POP%202024-2025/2025/ACT%20-%2011%2004%202025/POP_Vs_P50_RETO_11042025.xlsx?d=w0dc02f860ec24a6087e089a015726a66&amp;csf=1&amp;web=1&amp;e=euKNpw" TargetMode="External"/><Relationship Id="rId81" Type="http://schemas.openxmlformats.org/officeDocument/2006/relationships/hyperlink" Target="https://ecopetrol-my.sharepoint.com/:x:/r/personal/jaimejo_martinez_ecopetrol_com_co1/Documents/Archivos%20de%20chat%20de%20Microsoft%20Teams/EUR%20vs%20hpay%202024%20Suria.xlsx?d=w278e9bed0a28460daa0ecdf703b9195f&amp;csf=1&amp;web=1&amp;e=YXoRy4" TargetMode="External"/><Relationship Id="rId86" Type="http://schemas.openxmlformats.org/officeDocument/2006/relationships/printerSettings" Target="../printerSettings/printerSettings1.bin"/><Relationship Id="rId4" Type="http://schemas.openxmlformats.org/officeDocument/2006/relationships/hyperlink" Target="file:///\\10.100.25.60\sya\gec\Castilla\39.%20Proyecto_Inyeccion_de_Agua\SAHARA" TargetMode="External"/><Relationship Id="rId9" Type="http://schemas.openxmlformats.org/officeDocument/2006/relationships/hyperlink" Target="https://ecopetrol.sharepoint.com/sites/SeguimientoIAChichimeneECP/Documentos%20compartidos/Forms/AllItems.aspx?id=%2Fsites%2FSeguimientoIAChichimeneECP%2FDocumentos%20compartidos%2F17%2E%20IMR%2F2024%2F10%2E%20Octubre&amp;viewid=72844968%2Df801%2D450d%2D81d2%2D32c578273e17" TargetMode="External"/><Relationship Id="rId13" Type="http://schemas.openxmlformats.org/officeDocument/2006/relationships/hyperlink" Target="https://ecopetrol.sharepoint.com/sites/gcres/conso/Forms/AllItems.aspx?id=%2Fsites%2Fgcres%2Fconso%2F02%2E%20Informaci%C3%B3n%20ANH%2F06%2E%20ANH%202024%2FVRO%2FCHICHIMENE%2FINFORME&amp;viewid=d5d52ee2%2D5e05%2D45ee%2D9b29%2D8f34fb00a583" TargetMode="External"/><Relationship Id="rId18" Type="http://schemas.openxmlformats.org/officeDocument/2006/relationships/hyperlink" Target="https://wellmeeting.ecopetrol.com.co/loginGDT%20Plus%20(El%20V.A.R.)%20-%20General%20-%20Todos%20los%20documentos" TargetMode="External"/><Relationship Id="rId39" Type="http://schemas.openxmlformats.org/officeDocument/2006/relationships/hyperlink" Target="https://ecopetrol-my.sharepoint.com/:x:/g/personal/briggite_camacho_ecopetrol_com_co1/EY2Fvm9mclJEk0Akeq_UFRgBvsWpTTrzeRC2T3GFx4EuFA?wdOrigin=TEAMS-MAGLEV.p2p_ns.rwc&amp;wdExp=TEAMS-TREATMENT&amp;wdhostclicktime=1745952910488&amp;web=1" TargetMode="External"/><Relationship Id="rId34" Type="http://schemas.openxmlformats.org/officeDocument/2006/relationships/hyperlink" Target="https://ecopetrol-my.sharepoint.com/:p:/r/personal/nayath_rodriguez_ecopetrol_com_co1/_layouts/15/Doc.aspx?sourcedoc=%7B1AE83FD1-423E-4DAF-A0AE-FA15584AE4BD%7D&amp;file=Estado%20Actual%20K1K2.pptx&amp;fromShare=true&amp;action=edit&amp;mobileredirect=true" TargetMode="External"/><Relationship Id="rId50" Type="http://schemas.openxmlformats.org/officeDocument/2006/relationships/hyperlink" Target="https://ecopetrol.sharepoint.com/sites/ACCESS/Documentos%20compartidos/Forms/AllItems.aspx?id=%2Fsites%2FACCESS%2FDocumentos%20compartidos%2FPLP%202024&amp;viewid=84208958%2Dec67%2D431a%2D9db0%2D33a6806f19c8" TargetMode="External"/><Relationship Id="rId55" Type="http://schemas.openxmlformats.org/officeDocument/2006/relationships/hyperlink" Target="https://ecopetrol-my.sharepoint.com/:x:/r/personal/carlos_olmos_ecopetrol_com_co/Documents/Archivos%20de%20chat%20de%20Microsoft%20Teams/Qwi_Obj_180325.xlsx?d=wb7975fcf436a458bbdfcf901c154ac2f&amp;csf=1&amp;web=1&amp;e=bT3mes" TargetMode="External"/><Relationship Id="rId76" Type="http://schemas.openxmlformats.org/officeDocument/2006/relationships/hyperlink" Target="https://ecopetrol-my.sharepoint.com/:x:/r/personal/leidyla_alvarez_ecopetrol_com_co/Documents/Archivos%20de%20chat%20de%20Microsoft%20Teams/Proyecci%C3%B3n%20agua%202025%20Chiak.xlsx?d=w81d6ff629f4b45c5a01c30412f609e03&amp;csf=1&amp;web=1&amp;e=5my6Hd" TargetMode="External"/><Relationship Id="rId7" Type="http://schemas.openxmlformats.org/officeDocument/2006/relationships/hyperlink" Target="https://wellmeeting.ecopetrol.com.co/home" TargetMode="External"/><Relationship Id="rId71" Type="http://schemas.openxmlformats.org/officeDocument/2006/relationships/hyperlink" Target="https://ecopetrol.sharepoint.com/:u:/r/sites/MonitoreoVRO/Documentos%20compartidos/Tableros/Tablero%202.1/2.1_Monitoreo_Proyectos_VRO.pbix?csf=1&amp;web=1&amp;e=Rbxt9l" TargetMode="External"/><Relationship Id="rId2" Type="http://schemas.openxmlformats.org/officeDocument/2006/relationships/hyperlink" Target="file:///\\10.100.25.60\sya\gec\Castilla\39.%20Proyecto_Inyeccion_de_Agua\SAHARA)%20y%20en%20las%20notas%20de%20wellmeeting" TargetMode="External"/><Relationship Id="rId29" Type="http://schemas.openxmlformats.org/officeDocument/2006/relationships/hyperlink" Target="https://wellmeeting.ecopetrol.com.co/loginSharepoint%20DTWF" TargetMode="External"/><Relationship Id="rId24" Type="http://schemas.openxmlformats.org/officeDocument/2006/relationships/hyperlink" Target="file:///\\10.100.25.60\sya\gec\Castilla\39.%20Proyecto_Inyeccion_de_Agua\SAHARA%0a" TargetMode="External"/><Relationship Id="rId40" Type="http://schemas.openxmlformats.org/officeDocument/2006/relationships/hyperlink" Target="https://ecopetrol.sharepoint.com/:u:/r/sites/MonitoreoVRO/Documentos%20compartidos/Tableros/Tablero%202.1/2.1_Monitoreo_Proyectos_VRO.pbix?csf=1&amp;web=1&amp;e=MbX5sa" TargetMode="External"/><Relationship Id="rId45" Type="http://schemas.openxmlformats.org/officeDocument/2006/relationships/hyperlink" Target="https://ecopetrol.sharepoint.com/:f:/r/sites/INTERVENCIONESGDA/Documentos%20compartidos/Monica%20Martinez/Entregables/Abril%202025?csf=1&amp;web=1&amp;e=z1WNUb" TargetMode="External"/><Relationship Id="rId66" Type="http://schemas.openxmlformats.org/officeDocument/2006/relationships/hyperlink" Target="https://ecopetrol.sharepoint.com/:f:/r/sites/SeguimientoIAChichimeneECP/Documentos%20compartidos/09.%20Gerenciamiento%20Chichimene?csf=1&amp;web=1&amp;e=AleeXi" TargetMode="External"/><Relationship Id="rId87" Type="http://schemas.openxmlformats.org/officeDocument/2006/relationships/drawing" Target="../drawings/drawing1.xml"/><Relationship Id="rId61" Type="http://schemas.openxmlformats.org/officeDocument/2006/relationships/hyperlink" Target="https://ecopetrol.sharepoint.com/:f:/r/sites/SeguimientoIAChichimeneECP/Documentos%20compartidos/28.%20Molinos%20de%20Viento?csf=1&amp;web=1&amp;e=Sfg2nD" TargetMode="External"/><Relationship Id="rId82" Type="http://schemas.openxmlformats.org/officeDocument/2006/relationships/hyperlink" Target="https://ecopetrol-my.sharepoint.com/:x:/g/personal/julio_gonzalez_ecopetrol_com_co1/EcqvhrNqXRlIo3fx0toBjC8Basv1HvSygMZn1OymPdSyyg?e=L16uNV" TargetMode="External"/><Relationship Id="rId19" Type="http://schemas.openxmlformats.org/officeDocument/2006/relationships/hyperlink" Target="https://wellmeeting.ecopetrol.com.co/loginSharepoint%20DTWF"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file:///\\10.100.25.60\sya\gec\Castilla\39.%20Proyecto_Inyeccion_de_Agua\SAHARA\BD%20Sahara" TargetMode="External"/><Relationship Id="rId21" Type="http://schemas.openxmlformats.org/officeDocument/2006/relationships/hyperlink" Target="file:///\\10.100.25.60\sya\gec\Castilla\39.%20Proyecto_Inyeccion_de_Agua\SAHARA)%20y%20en%20las%20notas%20de%20wellmeeting" TargetMode="External"/><Relationship Id="rId42" Type="http://schemas.openxmlformats.org/officeDocument/2006/relationships/hyperlink" Target="https://ecopetrol.sharepoint.com/:f:/r/sites/INTERVENCIONESGDA/Documentos%20compartidos/Monica%20Martinez/Entregables/Abril%202025?csf=1&amp;web=1&amp;e=v6w200" TargetMode="External"/><Relationship Id="rId47" Type="http://schemas.openxmlformats.org/officeDocument/2006/relationships/hyperlink" Target="https://ecopetrol.sharepoint.com/sites/ACCESS/Documentos%20compartidos/Forms/AllItems.aspx?id=%2Fsites%2FACCESS%2FDocumentos%20compartidos%2FPLP%202024&amp;viewid=84208958%2Dec67%2D431a%2D9db0%2D33a6806f19c8" TargetMode="External"/><Relationship Id="rId63" Type="http://schemas.openxmlformats.org/officeDocument/2006/relationships/hyperlink" Target="https://ecopetrol.sharepoint.com/:f:/r/sites/SeguimientoIAChichimeneECP/Documentos%20compartidos/09.%20Gerenciamiento%20Chichimene?csf=1&amp;web=1&amp;e=AleeXi" TargetMode="External"/><Relationship Id="rId68" Type="http://schemas.openxmlformats.org/officeDocument/2006/relationships/hyperlink" Target="https://ecopetrol.sharepoint.com/:u:/r/sites/MonitoreoVRO/Documentos%20compartidos/Tableros/Tablero%202.1/2.1_Monitoreo_Proyectos_VRO.pbix?csf=1&amp;web=1&amp;e=Rbxt9l" TargetMode="External"/><Relationship Id="rId84" Type="http://schemas.openxmlformats.org/officeDocument/2006/relationships/printerSettings" Target="../printerSettings/printerSettings2.bin"/><Relationship Id="rId16" Type="http://schemas.openxmlformats.org/officeDocument/2006/relationships/hyperlink" Target="file:///\\10.100.25.60\sya\gec\Castilla\39.%20Proyecto_Inyeccion_de_Agua\SAHARA\BD%20Sahara" TargetMode="External"/><Relationship Id="rId11" Type="http://schemas.openxmlformats.org/officeDocument/2006/relationships/hyperlink" Target="https://ecopetrol.sharepoint.com/sites/SeguimientoIAChichimeneECP/Documentos%20compartidos/Forms/AllItems.aspx?id=%2Fsites%2FSeguimientoIAChichimeneECP%2FDocumentos%20compartidos%2F45%2E%20WorkOvers%20GCH%202024%2D2026%2D2027&amp;viewid=72844968%2Df801%2D450d%2D81d2%2D32c578273e17" TargetMode="External"/><Relationship Id="rId32" Type="http://schemas.openxmlformats.org/officeDocument/2006/relationships/hyperlink" Target="https://ecopetrol-my.sharepoint.com/:p:/r/personal/nayath_rodriguez_ecopetrol_com_co1/_layouts/15/Doc.aspx?sourcedoc=%7B1AE83FD1-423E-4DAF-A0AE-FA15584AE4BD%7D&amp;file=Estado%20Actual%20K1K2.pptx&amp;fromShare=true&amp;action=edit&amp;mobileredirect=true" TargetMode="External"/><Relationship Id="rId37" Type="http://schemas.openxmlformats.org/officeDocument/2006/relationships/hyperlink" Target="https://ecopetrol.sharepoint.com/:f:/r/sites/CHICHIMENE-GDO/Documentos%20compartidos/L-Plazo%20No%20Termico/04-Proyectos/04-Etapa%206%20WF%20Nueva%20Generaci%C3%B3n/DATA%20SHEET%20POZOS/DATA%20SHEET-CAMPA%C3%91A%202?csf=1&amp;web=1&amp;e=aLP3ml" TargetMode="External"/><Relationship Id="rId53" Type="http://schemas.openxmlformats.org/officeDocument/2006/relationships/hyperlink" Target="https://ecopetrol.sharepoint.com/:u:/r/sites/DTWFCASTILLA/Documentos%20compartidos/General/Capacidad_de_flujo_Castilla_WF_Ene2025.pbix?csf=1&amp;web=1&amp;e=rdqOBO" TargetMode="External"/><Relationship Id="rId58" Type="http://schemas.openxmlformats.org/officeDocument/2006/relationships/hyperlink" Target="https://ecopetrol.sharepoint.com/:f:/r/sites/SeguimientoIAChichimeneECP/Documentos%20compartidos/28.%20Molinos%20de%20Viento?csf=1&amp;web=1&amp;e=Sfg2nD" TargetMode="External"/><Relationship Id="rId74" Type="http://schemas.openxmlformats.org/officeDocument/2006/relationships/hyperlink" Target="https://ecopetrol.sharepoint.com/:x:/r/sites/IAAKACIAS/Documentos%20compartidos/34.%20POP%202024-2025/2025/ACT%20-%2011%2004%202025/POP_Vs_P50_RETO_11042025.xlsx?d=w0dc02f860ec24a6087e089a015726a66&amp;csf=1&amp;web=1&amp;e=euKNpw" TargetMode="External"/><Relationship Id="rId79" Type="http://schemas.openxmlformats.org/officeDocument/2006/relationships/hyperlink" Target="https://ecopetrol-my.sharepoint.com/:x:/g/personal/julio_gonzalez_ecopetrol_com_co1/EcqvhrNqXRlIo3fx0toBjC8Basv1HvSygMZn1OymPdSyyg?e=L16uNV" TargetMode="External"/><Relationship Id="rId5" Type="http://schemas.openxmlformats.org/officeDocument/2006/relationships/hyperlink" Target="file:///\\10.100.25.60\sya\gec\Castilla\39.%20Proyecto_Inyeccion_de_Agua\SAHARA)%20y%20en%20las%20notas%20de%20wellmeeting" TargetMode="External"/><Relationship Id="rId19" Type="http://schemas.openxmlformats.org/officeDocument/2006/relationships/hyperlink" Target="https://wellmeeting.ecopetrol.com.co/loginSharepoint%20DTWF" TargetMode="External"/><Relationship Id="rId14" Type="http://schemas.openxmlformats.org/officeDocument/2006/relationships/hyperlink" Target="file:///\\10.100.25.60\sya\gec\Castilla\39.%20Proyecto_Inyeccion_de_Agua\SAHARA%0a" TargetMode="External"/><Relationship Id="rId22" Type="http://schemas.openxmlformats.org/officeDocument/2006/relationships/hyperlink" Target="file:///\\10.100.25.60\sya\GEC\Castilla\Proyecto%20W.O%202024%202027%20GDT" TargetMode="External"/><Relationship Id="rId27" Type="http://schemas.openxmlformats.org/officeDocument/2006/relationships/hyperlink" Target="https://wellmeeting.ecopetrol.com.co/login" TargetMode="External"/><Relationship Id="rId30" Type="http://schemas.openxmlformats.org/officeDocument/2006/relationships/hyperlink" Target="file:///\\10.100.25.60\sya\gec\Castilla\39.%20Proyecto_Inyeccion_de_Agua" TargetMode="External"/><Relationship Id="rId35" Type="http://schemas.openxmlformats.org/officeDocument/2006/relationships/hyperlink" Target="https://ecopetrol-my.sharepoint.com/:x:/r/personal/cesar_garnica_ecopetrol_com_co/_layouts/15/Doc.aspx?sourcedoc=%7BAA7899F4-3C92-43E6-A801-E6AC46835FA0%7D&amp;file=Pronosticos%20WF%20ExpK%20(3).xlsx&amp;action=default&amp;mobileredirect=true&amp;wdOrigin=OUTLOOK-METAOS.FILEBROWSER.FILES-HOME" TargetMode="External"/><Relationship Id="rId43" Type="http://schemas.openxmlformats.org/officeDocument/2006/relationships/hyperlink" Target="https://ecopetrol.sharepoint.com/sites/EquipoDesarrolloCPO-9/Documentos%20compartidos/Forms/AllItems.aspx?id=%2Fsites%2FEquipoDesarrolloCPO%2D9%2FDocumentos%20compartidos%2FGeneral%2F04%2DExploratorio%2FExploratorios%20CPO%2D9&amp;viewid=0e96c994%2D47e1%2D4e99%2D93c0%2D37826753815c" TargetMode="External"/><Relationship Id="rId48" Type="http://schemas.openxmlformats.org/officeDocument/2006/relationships/hyperlink" Target="https://ecopetrol.sharepoint.com/sites/InformedereservasCampoAkacias2022" TargetMode="External"/><Relationship Id="rId56" Type="http://schemas.openxmlformats.org/officeDocument/2006/relationships/hyperlink" Target="file:///\\10.100.25.60\sya\GEC\Ariari\67.%20ENTREGAS%20DE%20CARGO\ING.%20DE%20PORTAFOLIO\CMPC\Christian%20Pardo\ENTREGABLES%202025\04.%20ABRIL" TargetMode="External"/><Relationship Id="rId64" Type="http://schemas.openxmlformats.org/officeDocument/2006/relationships/hyperlink" Target="https://ecopetrol.sharepoint.com/:f:/r/sites/SeguimientoIAChichimeneECP/Documentos%20compartidos/09.%20Gerenciamiento%20Chichimene?csf=1&amp;web=1&amp;e=AleeXi" TargetMode="External"/><Relationship Id="rId69" Type="http://schemas.openxmlformats.org/officeDocument/2006/relationships/hyperlink" Target="https://ecopetrol.sharepoint.com/:u:/r/sites/MonitoreoVRO/Documentos%20compartidos/Tableros/Tablero%202.6/2.61_SeguimientoProducci%C3%B3nChiak.pbix?csf=1&amp;web=1&amp;e=tyE96t" TargetMode="External"/><Relationship Id="rId77" Type="http://schemas.openxmlformats.org/officeDocument/2006/relationships/hyperlink" Target="https://teams.microsoft.com/l/message/19:7b4c8586-d99b-4bd1-829f-dd3c0e5f277d_a4a12518-fd98-491f-8a3b-3cf43d597ded@unq.gbl.spaces/1728591074500?context=%7B%22contextType%22%3A%22chat%22%7D" TargetMode="External"/><Relationship Id="rId8" Type="http://schemas.openxmlformats.org/officeDocument/2006/relationships/hyperlink" Target="https://ecopetrol-my.sharepoint.com/:p:/g/personal/fabian_torres_ecopetrol_com_co1/EVDU7dil0AZKuEEvwl_wYUMBz5-ITb1XKJgfJvcLtCKwyg?email=geisson.zafra%40ecopetrol.com.co&amp;e=wAKzzZ&amp;wdOrigin=TEAMS-MAGLEV.p2p_ns.rwc&amp;wdExp=TEAMS-TREATMENT&amp;wdhostclicktime=1741892843119&amp;web=1&amp;previoussessionid=2053db84-be0f-ec5a-3ed2-fe60df430c3f" TargetMode="External"/><Relationship Id="rId51" Type="http://schemas.openxmlformats.org/officeDocument/2006/relationships/hyperlink" Target="file:///\\10.100.25.60\sya\gec\Castilla\39.%20Proyecto_Inyeccion_de_Agua\SAHARA)%20y%20en%20las%20notas%20de%20wellmeeting" TargetMode="External"/><Relationship Id="rId72" Type="http://schemas.openxmlformats.org/officeDocument/2006/relationships/hyperlink" Target="https://ecopetrol.sharepoint.com/:u:/r/sites/MonitoreoVRO/Documentos%20compartidos/Tableros/Tablero%202.3/2.3_Monitoreo_Secundaria_VRO.pbix?csf=1&amp;web=1&amp;e=7rDpbG" TargetMode="External"/><Relationship Id="rId80" Type="http://schemas.openxmlformats.org/officeDocument/2006/relationships/hyperlink" Target="https://ecopetrol.sharepoint.com/:x:/s/YACIMIENTOS-APIAY/EbmwQUUu8J5Jp5h1Urc4VHsBWIKkIMiuHgBVlbu1alVQuw?e=fPWH7k" TargetMode="External"/><Relationship Id="rId85" Type="http://schemas.openxmlformats.org/officeDocument/2006/relationships/drawing" Target="../drawings/drawing2.xml"/><Relationship Id="rId3" Type="http://schemas.openxmlformats.org/officeDocument/2006/relationships/hyperlink" Target="file:///\\10.100.25.60\sya\gec\Castilla\39.%20Proyecto_Inyeccion_de_Agua\SAHARA%0a" TargetMode="External"/><Relationship Id="rId12" Type="http://schemas.openxmlformats.org/officeDocument/2006/relationships/hyperlink" Target="https://ecopetrol.sharepoint.com/sites/SeguimientoIAChichimeneECP/Documentos%20compartidos/Forms/AllItems.aspx?id=%2Fsites%2FSeguimientoIAChichimeneECP%2FDocumentos%20compartidos%2F45%2E%20WorkOvers%20GCH%202024%2D2026%2D2027&amp;viewid=72844968%2Df801%2D450d%2D81d2%2D32c578273e17" TargetMode="External"/><Relationship Id="rId17" Type="http://schemas.openxmlformats.org/officeDocument/2006/relationships/hyperlink" Target="https://wellmeeting.ecopetrol.com.co/login" TargetMode="External"/><Relationship Id="rId25" Type="http://schemas.openxmlformats.org/officeDocument/2006/relationships/hyperlink" Target="file:///\\10.100.25.60\sya\gec\Castilla\39.%20Proyecto_Inyeccion_de_Agua" TargetMode="External"/><Relationship Id="rId33" Type="http://schemas.openxmlformats.org/officeDocument/2006/relationships/hyperlink" Target="https://ecopetrol-my.sharepoint.com/:w:/r/personal/nayath_rodriguez_ecopetrol_com_co1/_layouts/15/Doc.aspx?sourcedoc=%7B16E8FA1B-CAFC-400A-9F16-5A2CECCADCD1%7D&amp;file=20240822_Documento%20soporte%20Reservas_GCH.docx&amp;nav=eyJjIjo4NzkxMjAwMDZ9&amp;action=default&amp;mobileredirect=true" TargetMode="External"/><Relationship Id="rId38" Type="http://schemas.openxmlformats.org/officeDocument/2006/relationships/hyperlink" Target="https://ecopetrol-my.sharepoint.com/:x:/g/personal/juanca_lizcanoni_ecopetrol_com_co/EWqfc085W9lAj4yjgqy9518BDoJy91LaAvYwT4ztKDLgrw?wdOrigin=TEAMS-MAGLEV.p2p_ns.rwc&amp;wdExp=TEAMS-TREATMENT&amp;wdhostclicktime=1745952824168&amp;web=1" TargetMode="External"/><Relationship Id="rId46" Type="http://schemas.openxmlformats.org/officeDocument/2006/relationships/hyperlink" Target="https://ecopetrol.sharepoint.com/sites/ACCESS/Documentos%20compartidos/Forms/AllItems.aspx?id=%2Fsites%2FACCESS%2FDocumentos%20compartidos%2FPLP%202024&amp;viewid=84208958%2Dec67%2D431a%2D9db0%2D33a6806f19c8" TargetMode="External"/><Relationship Id="rId59" Type="http://schemas.openxmlformats.org/officeDocument/2006/relationships/hyperlink" Target="https://ecopetrol.sharepoint.com/:f:/r/sites/SeguimientoIAChichimeneECP/Documentos%20compartidos/28.%20Molinos%20de%20Viento/Cargue%20por%20Tecnologia?csf=1&amp;web=1&amp;e=Zd14xn" TargetMode="External"/><Relationship Id="rId67" Type="http://schemas.openxmlformats.org/officeDocument/2006/relationships/hyperlink" Target="https://ecopetrol.sharepoint.com/:u:/r/sites/MonitoreoVRO/Documentos%20compartidos/Tableros/Tablero%202.2/2.2_Monitoreo_Prod_P50.pbix?csf=1&amp;web=1&amp;e=solEfC" TargetMode="External"/><Relationship Id="rId20" Type="http://schemas.openxmlformats.org/officeDocument/2006/relationships/hyperlink" Target="file:///\\10.100.25.60\sya\gec\Castilla\39.%20Proyecto_Inyeccion_de_Agua" TargetMode="External"/><Relationship Id="rId41" Type="http://schemas.openxmlformats.org/officeDocument/2006/relationships/hyperlink" Target="https://ecopetrol.sharepoint.com/:f:/r/sites/INTERVENCIONESGDA/Documentos%20compartidos/Monica%20Martinez/Entregables/Abril%202025?csf=1&amp;web=1&amp;e=uzdEiE" TargetMode="External"/><Relationship Id="rId54" Type="http://schemas.openxmlformats.org/officeDocument/2006/relationships/hyperlink" Target="https://ecopetrol.sharepoint.com/:u:/r/sites/BDSaharaCastilla/Documentos%20compartidos/Tablero%20P50/P50%20CASTILLA_2024_V19.pbix?csf=1&amp;web=1&amp;e=CrebOA" TargetMode="External"/><Relationship Id="rId62" Type="http://schemas.openxmlformats.org/officeDocument/2006/relationships/hyperlink" Target="https://ecopetrol.sharepoint.com/:f:/r/sites/SeguimientoIAChichimeneECP/Documentos%20compartidos/22.%20PBU/Formas%208CR?csf=1&amp;web=1&amp;e=3PEoe6" TargetMode="External"/><Relationship Id="rId70" Type="http://schemas.openxmlformats.org/officeDocument/2006/relationships/hyperlink" Target="https://ecopetrol.sharepoint.com/:u:/r/sites/MonitoreoVRO/Documentos%20compartidos/Tableros/Tablero%202.6/2.62_SeguimientoProducci%C3%B3nCastilla.pbix?csf=1&amp;web=1&amp;e=H94eQs" TargetMode="External"/><Relationship Id="rId75" Type="http://schemas.openxmlformats.org/officeDocument/2006/relationships/hyperlink" Target="https://ecopetrol.sharepoint.com/:x:/r/sites/IAAKACIAS/Documentos%20compartidos/34.%20POP%202024-2025/2025/ACT%20-%2011%2004%202025/POP_Vs_P50_RETO_11042025.xlsx?d=w0dc02f860ec24a6087e089a015726a66&amp;csf=1&amp;web=1&amp;e=euKNpw" TargetMode="External"/><Relationship Id="rId83" Type="http://schemas.openxmlformats.org/officeDocument/2006/relationships/hyperlink" Target="https://ecopetrol.sharepoint.com/:f:/r/sites/INTERVENCIONESGDA/Documentos%20compartidos/Monica%20Martinez/Entregables/Abril%202025?csf=1&amp;web=1&amp;e=v6w200" TargetMode="External"/><Relationship Id="rId1" Type="http://schemas.openxmlformats.org/officeDocument/2006/relationships/hyperlink" Target="https://ecopetrol.sharepoint.com/sites/BDSaharaCastilla/Documentos%20compartidos/Forms/AllItems.aspx?id=%2Fsites%2FBDSaharaCastilla%2FDocumentos%20compartidos%2FBD%20Sahara&amp;viewid=a035cf74%2D0100%2D4f66%2Da914%2D651dfeb02341" TargetMode="External"/><Relationship Id="rId6" Type="http://schemas.openxmlformats.org/officeDocument/2006/relationships/hyperlink" Target="file:///\\10.100.25.60\sya\gec\Castilla\39.%20Proyecto_Inyeccion_de_Agua\SAHARA\BD%20Sahara" TargetMode="External"/><Relationship Id="rId15" Type="http://schemas.openxmlformats.org/officeDocument/2006/relationships/hyperlink" Target="file:///\\10.100.25.60\sya\gec\Castilla\39.%20Proyecto_Inyeccion_de_Agua" TargetMode="External"/><Relationship Id="rId23" Type="http://schemas.openxmlformats.org/officeDocument/2006/relationships/hyperlink" Target="https://ecopetrol.sharepoint.com/sites/CastillaWOs2022/Documentos%20compartidos/Forms/AllItems.aspx?id=%2Fsites%2FCastillaWOs2022%2FDocumentos%20compartidos%2FJustificaciones&amp;viewid=9ecb22f4%2D2d68%2D4a78%2Db78d%2Df5ff342528b5" TargetMode="External"/><Relationship Id="rId28" Type="http://schemas.openxmlformats.org/officeDocument/2006/relationships/hyperlink" Target="https://wellmeeting.ecopetrol.com.co/loginGDT%20Plus%20(El%20V.A.R.)%20-%20General%20-%20Todos%20los%20documentos" TargetMode="External"/><Relationship Id="rId36" Type="http://schemas.openxmlformats.org/officeDocument/2006/relationships/hyperlink" Target="https://ecopetrol-my.sharepoint.com/:p:/r/personal/nayath_rodriguez_ecopetrol_com_co1/_layouts/15/Doc.aspx?sourcedoc=%7B1AE83FD1-423E-4DAF-A0AE-FA15584AE4BD%7D&amp;file=Estado%20Actual%20K1K2.pptx&amp;fromShare=true&amp;action=edit&amp;mobileredirect=true" TargetMode="External"/><Relationship Id="rId49" Type="http://schemas.openxmlformats.org/officeDocument/2006/relationships/hyperlink" Target="https://ecopetrol.sharepoint.com/sites/ACCESS/Documentos%20compartidos/Forms/AllItems.aspx?id=%2Fsites%2FACCESS%2FDocumentos%20compartidos%2FFrontera&amp;viewid=84208958%2Dec67%2D431a%2D9db0%2D33a6806f19c8" TargetMode="External"/><Relationship Id="rId57" Type="http://schemas.openxmlformats.org/officeDocument/2006/relationships/hyperlink" Target="https://ecopetrol.sharepoint.com/:f:/r/sites/SeguimientoIAChichimeneECP/Documentos%20compartidos/01.%20Revisi%C3%B3n%20Caudales%20Objetivo?csf=1&amp;web=1&amp;e=HMOlD6" TargetMode="External"/><Relationship Id="rId10" Type="http://schemas.openxmlformats.org/officeDocument/2006/relationships/hyperlink" Target="https://ecopetrol.sharepoint.com/sites/SeguimientoIAChichimeneECP/Documentos%20compartidos/Forms/AllItems.aspx?id=%2Fsites%2FSeguimientoIAChichimeneECP%2FDocumentos%20compartidos%2F11%2E%20Desviaciones%20Prod%5FIny%20Real%20vs%20P50%20vs%20Auditoria%20vs%20PDI%20vs%20GOP%20vs%20POP%2F2025&amp;viewid=72844968%2Df801%2D450d%2D81d2%2D32c578273e17" TargetMode="External"/><Relationship Id="rId31" Type="http://schemas.openxmlformats.org/officeDocument/2006/relationships/hyperlink" Target="file:///\\10.100.25.60\sya\gec\Castilla\39.%20Proyecto_Inyeccion_de_Agua\SAHARA)%20y%20en%20las%20notas%20de%20wellmeeting" TargetMode="External"/><Relationship Id="rId44" Type="http://schemas.openxmlformats.org/officeDocument/2006/relationships/hyperlink" Target="https://ecopetrol.sharepoint.com/sites/ACCESS/Documentos%20compartidos/Forms/AllItems.aspx?id=%2Fsites%2FACCESS%2FDocumentos%20compartidos%2FPLP%202024&amp;viewid=84208958%2Dec67%2D431a%2D9db0%2D33a6806f19c8" TargetMode="External"/><Relationship Id="rId52" Type="http://schemas.openxmlformats.org/officeDocument/2006/relationships/hyperlink" Target="https://ecopetrol-my.sharepoint.com/:x:/r/personal/carlos_olmos_ecopetrol_com_co/Documents/Archivos%20de%20chat%20de%20Microsoft%20Teams/Qwi_Obj_180325.xlsx?d=wb7975fcf436a458bbdfcf901c154ac2f&amp;csf=1&amp;web=1&amp;e=bT3mes" TargetMode="External"/><Relationship Id="rId60" Type="http://schemas.openxmlformats.org/officeDocument/2006/relationships/hyperlink" Target="https://ecopetrol.sharepoint.com/:f:/r/sites/SeguimientoIAChichimeneECP/Documentos%20compartidos/15.%20RWA/Visualizadores?csf=1&amp;web=1&amp;e=cWNCbZ" TargetMode="External"/><Relationship Id="rId65" Type="http://schemas.openxmlformats.org/officeDocument/2006/relationships/hyperlink" Target="file:///\\10.100.25.60\sya\gec\JOSE%20GABRIEL%20NASSAR%20-%20PORTAFOLIO%20CASTILLA\0.%20ENTREGABLES\15.%20ABRIL_2025" TargetMode="External"/><Relationship Id="rId73" Type="http://schemas.openxmlformats.org/officeDocument/2006/relationships/hyperlink" Target="https://ecopetrol-my.sharepoint.com/:x:/r/personal/leidyla_alvarez_ecopetrol_com_co/Documents/Archivos%20de%20chat%20de%20Microsoft%20Teams/Proyecci%C3%B3n%20agua%202025%20Chiak.xlsx?d=w81d6ff629f4b45c5a01c30412f609e03&amp;csf=1&amp;web=1&amp;e=5my6Hd" TargetMode="External"/><Relationship Id="rId78" Type="http://schemas.openxmlformats.org/officeDocument/2006/relationships/hyperlink" Target="https://ecopetrol-my.sharepoint.com/:x:/r/personal/jaimejo_martinez_ecopetrol_com_co1/Documents/Archivos%20de%20chat%20de%20Microsoft%20Teams/EUR%20vs%20hpay%202024%20Suria.xlsx?d=w278e9bed0a28460daa0ecdf703b9195f&amp;csf=1&amp;web=1&amp;e=YXoRy4" TargetMode="External"/><Relationship Id="rId81" Type="http://schemas.openxmlformats.org/officeDocument/2006/relationships/hyperlink" Target="https://ecopetrol-my.sharepoint.com/:x:/r/personal/jaimejo_martinez_ecopetrol_com_co1/Documents/Archivos%20de%20chat%20de%20Microsoft%20Teams/Vintage%20Produccion%20Suria%20T2.xlsx?d=wf83e0d33cd724068af98820017aff361&amp;csf=1&amp;web=1&amp;e=edJsN2" TargetMode="External"/><Relationship Id="rId86" Type="http://schemas.openxmlformats.org/officeDocument/2006/relationships/vmlDrawing" Target="../drawings/vmlDrawing2.vml"/><Relationship Id="rId4" Type="http://schemas.openxmlformats.org/officeDocument/2006/relationships/hyperlink" Target="file:///\\10.100.25.60\sya\gec\Castilla\39.%20Proyecto_Inyeccion_de_Agua\SAHARA" TargetMode="External"/><Relationship Id="rId9" Type="http://schemas.openxmlformats.org/officeDocument/2006/relationships/hyperlink" Target="https://ecopetrol.sharepoint.com/sites/SeguimientoIAChichimeneECP/Documentos%20compartidos/Forms/AllItems.aspx?id=%2Fsites%2FSeguimientoIAChichimeneECP%2FDocumentos%20compartidos%2F17%2E%20IMR%2F2024%2F10%2E%20Octubre&amp;viewid=72844968%2Df801%2D450d%2D81d2%2D32c578273e17" TargetMode="External"/><Relationship Id="rId13" Type="http://schemas.openxmlformats.org/officeDocument/2006/relationships/hyperlink" Target="https://ecopetrol.sharepoint.com/sites/gcres/conso/Forms/AllItems.aspx?id=%2Fsites%2Fgcres%2Fconso%2F02%2E%20Informaci%C3%B3n%20ANH%2F06%2E%20ANH%202024%2FVRO%2FCHICHIMENE%2FINFORME&amp;viewid=d5d52ee2%2D5e05%2D45ee%2D9b29%2D8f34fb00a583" TargetMode="External"/><Relationship Id="rId18" Type="http://schemas.openxmlformats.org/officeDocument/2006/relationships/hyperlink" Target="https://wellmeeting.ecopetrol.com.co/loginGDT%20Plus%20(El%20V.A.R.)%20-%20General%20-%20Todos%20los%20documentos" TargetMode="External"/><Relationship Id="rId39" Type="http://schemas.openxmlformats.org/officeDocument/2006/relationships/hyperlink" Target="https://ecopetrol-my.sharepoint.com/:x:/g/personal/briggite_camacho_ecopetrol_com_co1/EY2Fvm9mclJEk0Akeq_UFRgBvsWpTTrzeRC2T3GFx4EuFA?wdOrigin=TEAMS-MAGLEV.p2p_ns.rwc&amp;wdExp=TEAMS-TREATMENT&amp;wdhostclicktime=1745952910488&amp;web=1" TargetMode="External"/><Relationship Id="rId34" Type="http://schemas.openxmlformats.org/officeDocument/2006/relationships/hyperlink" Target="https://ecopetrol-my.sharepoint.com/:p:/r/personal/nayath_rodriguez_ecopetrol_com_co1/_layouts/15/Doc.aspx?sourcedoc=%7B1AE83FD1-423E-4DAF-A0AE-FA15584AE4BD%7D&amp;file=Estado%20Actual%20K1K2.pptx&amp;fromShare=true&amp;action=edit&amp;mobileredirect=true" TargetMode="External"/><Relationship Id="rId50" Type="http://schemas.openxmlformats.org/officeDocument/2006/relationships/hyperlink" Target="https://ecopetrol.sharepoint.com/sites/ACCESS/Documentos%20compartidos/Forms/AllItems.aspx?id=%2Fsites%2FACCESS%2FDocumentos%20compartidos%2FTinamu&amp;viewid=84208958%2Dec67%2D431a%2D9db0%2D33a6806f19c8" TargetMode="External"/><Relationship Id="rId55" Type="http://schemas.openxmlformats.org/officeDocument/2006/relationships/hyperlink" Target="file:///\\10.100.25.60\sya\GEC\Ariari\67.%20ENTREGAS%20DE%20CARGO\ING.%20DE%20PORTAFOLIO\CMPC\Christian%20Pardo\ENTREGABLES%202025\04.%20ABRIL" TargetMode="External"/><Relationship Id="rId76" Type="http://schemas.openxmlformats.org/officeDocument/2006/relationships/hyperlink" Target="https://ecopetrol.sharepoint.com/:f:/r/sites/IAAKACIAS/Documentos%20compartidos/04.%20Tableros/01.%20Molinos?csf=1&amp;web=1&amp;e=ytTQ84" TargetMode="External"/><Relationship Id="rId7" Type="http://schemas.openxmlformats.org/officeDocument/2006/relationships/hyperlink" Target="https://wellmeeting.ecopetrol.com.co/home" TargetMode="External"/><Relationship Id="rId71" Type="http://schemas.openxmlformats.org/officeDocument/2006/relationships/hyperlink" Target="https://ecopetrol.sharepoint.com/:u:/r/sites/MonitoreoVRO/Documentos%20compartidos/Tableros/Tablero%20Calidad%20de%20agua/2.9_Seguimiento_Calidad_de_agua_VRO.pbix?csf=1&amp;web=1&amp;e=yzre4a" TargetMode="External"/><Relationship Id="rId2" Type="http://schemas.openxmlformats.org/officeDocument/2006/relationships/hyperlink" Target="file:///\\10.100.25.60\sya\gec\Castilla\39.%20Proyecto_Inyeccion_de_Agua\SAHARA)%20y%20en%20las%20notas%20de%20wellmeeting" TargetMode="External"/><Relationship Id="rId29" Type="http://schemas.openxmlformats.org/officeDocument/2006/relationships/hyperlink" Target="https://wellmeeting.ecopetrol.com.co/loginSharepoint%20DTWF" TargetMode="External"/><Relationship Id="rId24" Type="http://schemas.openxmlformats.org/officeDocument/2006/relationships/hyperlink" Target="file:///\\10.100.25.60\sya\gec\Castilla\39.%20Proyecto_Inyeccion_de_Agua\SAHARA%0a" TargetMode="External"/><Relationship Id="rId40" Type="http://schemas.openxmlformats.org/officeDocument/2006/relationships/hyperlink" Target="https://ecopetrol.sharepoint.com/:u:/r/sites/MonitoreoVRO/Documentos%20compartidos/Tableros/Tablero%202.1/2.1_Monitoreo_Proyectos_VRO.pbix?csf=1&amp;web=1&amp;e=MbX5sa" TargetMode="External"/><Relationship Id="rId45" Type="http://schemas.openxmlformats.org/officeDocument/2006/relationships/hyperlink" Target="https://ecopetrol.sharepoint.com/sites/ACCESS/Documentos%20compartidos/Forms/AllItems.aspx?id=%2Fsites%2FACCESS%2FDocumentos%20compartidos%2FPLP%202024&amp;viewid=84208958%2Dec67%2D431a%2D9db0%2D33a6806f19c8" TargetMode="External"/><Relationship Id="rId66" Type="http://schemas.openxmlformats.org/officeDocument/2006/relationships/hyperlink" Target="file:///\\10.100.25.60\sya\gec\JOSE%20GABRIEL%20NASSAR%20-%20PORTAFOLIO%20CASTILLA\0.%20ENTREGABLES\15.%20ABRIL_2025" TargetMode="External"/><Relationship Id="rId87" Type="http://schemas.openxmlformats.org/officeDocument/2006/relationships/comments" Target="../comments2.xml"/><Relationship Id="rId61" Type="http://schemas.openxmlformats.org/officeDocument/2006/relationships/hyperlink" Target="https://ecopetrol.sharepoint.com/:f:/r/sites/SeguimientoIAChichimeneECP/Documentos%20compartidos/04.%20Pwf%20Chichimene?csf=1&amp;web=1&amp;e=bchtw6" TargetMode="External"/><Relationship Id="rId82" Type="http://schemas.openxmlformats.org/officeDocument/2006/relationships/hyperlink" Target="https://ecopetrol.sharepoint.com/sites/CastillaWOs2022/Documentos%20compartidos/Forms/AllItems.aspx?id=%2Fsites%2FCastillaWOs2022%2FDocumentos%20compartidos%2FJustificaciones&amp;viewid=9ecb22f4%2D2d68%2D4a78%2Db78d%2Df5ff342528b5"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ecopetrol.sharepoint.com/sites/EquipoDesarrolloCPO-9/Documentos%20compartidos/Forms/AllItems.aspx?id=%2Fsites%2FEquipoDesarrolloCPO%2D9%2FDocumentos%20compartidos%2FGeneral%2F04%2DExploratorio%2FExploratorios%20CPO%2D9&amp;viewid=0e96c994%2D47e1%2D4e99%2D93c0%2D37826753815c" TargetMode="External"/><Relationship Id="rId3" Type="http://schemas.openxmlformats.org/officeDocument/2006/relationships/hyperlink" Target="https://ecopetrol.sharepoint.com/sites/InformedereservasCampoAkacias2022" TargetMode="External"/><Relationship Id="rId7" Type="http://schemas.openxmlformats.org/officeDocument/2006/relationships/hyperlink" Target="https://ecopetrol.sharepoint.com/sites/ACCESS/Documentos%20compartidos/Forms/AllItems.aspx?id=%2Fsites%2FACCESS%2FDocumentos%20compartidos%2FPLP%202024&amp;viewid=84208958%2Dec67%2D431a%2D9db0%2D33a6806f19c8" TargetMode="External"/><Relationship Id="rId12" Type="http://schemas.openxmlformats.org/officeDocument/2006/relationships/comments" Target="../comments3.xml"/><Relationship Id="rId2" Type="http://schemas.openxmlformats.org/officeDocument/2006/relationships/hyperlink" Target="https://ecopetrol.sharepoint.com/sites/ACCESS/Documentos%20compartidos/Forms/AllItems.aspx?id=%2Fsites%2FACCESS%2FDocumentos%20compartidos%2FFrontera&amp;viewid=84208958%2Dec67%2D431a%2D9db0%2D33a6806f19c8" TargetMode="External"/><Relationship Id="rId1" Type="http://schemas.openxmlformats.org/officeDocument/2006/relationships/hyperlink" Target="https://ecopetrol.sharepoint.com/sites/ACCESS/Documentos%20compartidos/Forms/AllItems.aspx?id=%2Fsites%2FACCESS%2FDocumentos%20compartidos%2FTinamu&amp;viewid=84208958%2Dec67%2D431a%2D9db0%2D33a6806f19c8" TargetMode="External"/><Relationship Id="rId6" Type="http://schemas.openxmlformats.org/officeDocument/2006/relationships/hyperlink" Target="https://ecopetrol.sharepoint.com/sites/ACCESS/Documentos%20compartidos/Forms/AllItems.aspx?id=%2Fsites%2FACCESS%2FDocumentos%20compartidos%2FPLP%202024&amp;viewid=84208958%2Dec67%2D431a%2D9db0%2D33a6806f19c8" TargetMode="External"/><Relationship Id="rId11" Type="http://schemas.openxmlformats.org/officeDocument/2006/relationships/vmlDrawing" Target="../drawings/vmlDrawing3.vml"/><Relationship Id="rId5" Type="http://schemas.openxmlformats.org/officeDocument/2006/relationships/hyperlink" Target="https://ecopetrol.sharepoint.com/sites/ACCESS/Documentos%20compartidos/Forms/AllItems.aspx?id=%2Fsites%2FACCESS%2FDocumentos%20compartidos%2FPLP%202024&amp;viewid=84208958%2Dec67%2D431a%2D9db0%2D33a6806f19c8" TargetMode="External"/><Relationship Id="rId10" Type="http://schemas.openxmlformats.org/officeDocument/2006/relationships/drawing" Target="../drawings/drawing3.xml"/><Relationship Id="rId4" Type="http://schemas.openxmlformats.org/officeDocument/2006/relationships/hyperlink" Target="https://ecopetrol.sharepoint.com/sites/ACCESS/Documentos%20compartidos/Forms/AllItems.aspx?id=%2Fsites%2FACCESS%2FDocumentos%20compartidos%2FPLP%202024&amp;viewid=84208958%2Dec67%2D431a%2D9db0%2D33a6806f19c8" TargetMode="Externa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ecopetrol.sharepoint.com/:f:/s/ReportesMensualesCP0-9/IgDQiUMzFEhRSqEbst7WXBURAd8SmIclYoo7kxHTtmOR9QU?e=OmPonM"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3" Type="http://schemas.openxmlformats.org/officeDocument/2006/relationships/hyperlink" Target="https://ecopetrol.sharepoint.com/:u:/r/sites/MonitoreoVRO/Documentos%20compartidos/Tableros/Tablero%202.3/2.3_Monitoreo_Secundaria_VRO.pbix?csf=1&amp;web=1&amp;e=7rDpbG" TargetMode="External"/><Relationship Id="rId18" Type="http://schemas.openxmlformats.org/officeDocument/2006/relationships/hyperlink" Target="https://ecopetrol.sharepoint.com/sites/SeguimientoIAChichimeneECP/Documentos%20compartidos/Forms/AllItems.aspx?id=%2Fsites%2FSeguimientoIAChichimeneECP%2FDocumentos%20compartidos%2F45%2E%20WorkOvers%20GCH%202024%2D2026%2D2027&amp;viewid=72844968%2Df801%2D450d%2D81d2%2D32c578273e17&amp;newTargetListUrl=%2Fsites%2FSeguimientoIAChichimeneECP%2FDocumentos%20compartidos&amp;viewpath=%2Fsites%2FSeguimientoIAChichimeneECP%2FDocumentos%20compartidos%2FForms%2FAllItems%2Easpx" TargetMode="External"/><Relationship Id="rId26" Type="http://schemas.openxmlformats.org/officeDocument/2006/relationships/hyperlink" Target="https://ecopetrol.sharepoint.com/:f:/r/sites/SeguimientoIAChichimeneECP/Documentos%20compartidos/15.%20RWA/37.%20RWA%20Enero%202026?csf=1&amp;web=1&amp;e=WrKVaP" TargetMode="External"/><Relationship Id="rId21" Type="http://schemas.openxmlformats.org/officeDocument/2006/relationships/hyperlink" Target="https://ecopetrol.sharepoint.com/:x:/s/IAAKACIAS/IQB6boyVL69mTLeGt-EF0rt2Ab_hrXF-GT85bbuPBE6sulI?email=karen.carrascal%40ecopetrol.com.co&amp;e=PvOjaxC:\Users\Meridian\Ecopetrol%20S.A\I&amp;A%20AKACIAS%20-%20Documentos\23.%20Intervenciones%20WO-WS\00.%20Campa&#241;a%20WO%202025-2026%20(ON_OPT)\MOC%20OPT" TargetMode="External"/><Relationship Id="rId34" Type="http://schemas.openxmlformats.org/officeDocument/2006/relationships/hyperlink" Target="https://ecopetrol.sharepoint.com/:x:/s/GLC/IQDqVbWdvdyfS71wfdksnOLxATH0MFi4KlJ7nBlpzPXkk2Y?email=Luz.Valera%40ecopetrol.com.co&amp;e=E7j7r7" TargetMode="External"/><Relationship Id="rId7" Type="http://schemas.openxmlformats.org/officeDocument/2006/relationships/hyperlink" Target="https://ecopetrol.sharepoint.com/sites/ACCESS/Documentos%20compartidos/Forms/AllItems.aspx?id=%2Fsites%2FACCESS%2FDocumentos%20compartidos%2FPLP%202024&amp;viewid=84208958%2Dec67%2D431a%2D9db0%2D33a6806f19c8" TargetMode="External"/><Relationship Id="rId12" Type="http://schemas.openxmlformats.org/officeDocument/2006/relationships/hyperlink" Target="https://ecopetrol.sharepoint.com/:u:/r/sites/MonitoreoVRO/Documentos%20compartidos/Tableros/Tablero%20Calidad%20de%20agua/2.9_Seguimiento_Calidad_de_agua_VRO.pbix?csf=1&amp;web=1&amp;e=yzre4a" TargetMode="External"/><Relationship Id="rId17" Type="http://schemas.openxmlformats.org/officeDocument/2006/relationships/hyperlink" Target="https://ecopetrol-my.sharepoint.com/personal/leidyla_alvarez_ecopetrol_com_co/_layouts/15/onedrive.aspx?CT=1753301353929&amp;OR=OWA%2DNT%2DMail&amp;CID=f0d9c407%2Deb9f%2Da793%2D9b08%2Df772d7c16d75&amp;e=5%3A542ff97d63c24e8eb4666730f5f20276&amp;sharingv2=true&amp;fromShare=true&amp;at=9&amp;id=%2Fpersonal%2Fleidyla%5Falvarez%5Fecopetrol%5Fcom%5Fco%2FDocuments%2FPORTAFOLIO%202026&amp;FolderCTID=0x0120006D961DA851F5B0408DBE3446422184B8&amp;view=0" TargetMode="External"/><Relationship Id="rId25" Type="http://schemas.openxmlformats.org/officeDocument/2006/relationships/hyperlink" Target="https://ecopetrol.sharepoint.com/:f:/r/sites/SeguimientoIAChichimeneECP/Documentos%20compartidos/15.%20RWA/37.%20RWA%20Enero%202026?csf=1&amp;web=1&amp;e=WrKVaP" TargetMode="External"/><Relationship Id="rId33" Type="http://schemas.openxmlformats.org/officeDocument/2006/relationships/hyperlink" Target="https://ecopetrol.sharepoint.com/:x:/s/GLC/IQAz6HSiH1QIRpsf2yhHzFW7AVLzG4PqslEQIYDmSqSMglI?email=Luz.Valera%40ecopetrol.com.co&amp;e=BUaIBe" TargetMode="External"/><Relationship Id="rId38" Type="http://schemas.openxmlformats.org/officeDocument/2006/relationships/comments" Target="../comments11.xml"/><Relationship Id="rId2" Type="http://schemas.openxmlformats.org/officeDocument/2006/relationships/hyperlink" Target="https://ecopetrol.sharepoint.com/:f:/s/ReportesMensualesCP0-9/IgDQiUMzFEhRSqEbst7WXBURAd8SmIclYoo7kxHTtmOR9QU?e=OmPonM" TargetMode="External"/><Relationship Id="rId16" Type="http://schemas.openxmlformats.org/officeDocument/2006/relationships/hyperlink" Target="https://ecopetrol.sharepoint.com/sites/SeguimientoIAChichimeneECP/Documentos%20compartidos/Forms/AllItems.aspx?id=%2Fsites%2FSeguimientoIAChichimeneECP%2FDocumentos%20compartidos%2F28%2E%20Molinos%20de%20Viento%2F2026%2F01%2E%20Enero&amp;viewid=72844968%2Df801%2D450d%2D81d2%2D32c578273e17&amp;newTargetListUrl=%2Fsites%2FSeguimientoIAChichimeneECP%2FDocumentos%20compartidos&amp;viewpath=%2Fsites%2FSeguimientoIAChichimeneECP%2FDocumentos%20compartidos%2FForms%2FAllItems%2Easpx" TargetMode="External"/><Relationship Id="rId20" Type="http://schemas.openxmlformats.org/officeDocument/2006/relationships/hyperlink" Target="https://ecopetrol.sharepoint.com/:f:/r/sites/IAAKACIAS/Documentos%20compartidos/0.Bases%20de%20Datos?csf=1&amp;web=1&amp;e=IuaDUk" TargetMode="External"/><Relationship Id="rId29" Type="http://schemas.openxmlformats.org/officeDocument/2006/relationships/hyperlink" Target="https://ecopetrol.sharepoint.com/:f:/r/sites/SeguimientoIAChichimeneECP/Documentos%20compartidos/02.%20Tablero%202.3?csf=1&amp;web=1&amp;e=IZdh1m" TargetMode="External"/><Relationship Id="rId1" Type="http://schemas.openxmlformats.org/officeDocument/2006/relationships/hyperlink" Target="https://ecopetrol.sharepoint.com/:f:/s/ReportesMensualesCP0-9/IgCV9zI7BwC9R4_D4yEqs45JAYowSS2zJPfbfU9PSorLSmM?e=QH9A63" TargetMode="External"/><Relationship Id="rId6" Type="http://schemas.openxmlformats.org/officeDocument/2006/relationships/hyperlink" Target="https://ecopetrol.sharepoint.com/sites/ACCESS/Documentos%20compartidos/Forms/AllItems.aspx?id=%2Fsites%2FACCESS%2FDocumentos%20compartidos%2FFrontera&amp;viewid=84208958%2Dec67%2D431a%2D9db0%2D33a6806f19c8" TargetMode="External"/><Relationship Id="rId11" Type="http://schemas.openxmlformats.org/officeDocument/2006/relationships/hyperlink" Target="https://ecopetrol.sharepoint.com/:u:/r/sites/MonitoreoVRO/Documentos%20compartidos/Tableros/Tablero%202.6/2.61_SeguimientoProducci%C3%B3nChiak.pbix?csf=1&amp;web=1&amp;e=tyE96t" TargetMode="External"/><Relationship Id="rId24" Type="http://schemas.openxmlformats.org/officeDocument/2006/relationships/hyperlink" Target="https://ecopetrol.sharepoint.com/:x:/s/IAAKACIAS/IQCUXgn7gF26QpPdA9YolK-bAfAPR-mhja4Au5NkjDExKWg?email=karen.carrascal%40ecopetrol.com.co&amp;e=RmXf1Z" TargetMode="External"/><Relationship Id="rId32" Type="http://schemas.openxmlformats.org/officeDocument/2006/relationships/hyperlink" Target="https://ecopetrol.sharepoint.com/:x:/s/GLC/IQD7YHS_LUvIRKaTF6ksiihJAfedlezVgX0yImHQ2y6jQW4?email=Luz.Valera%40ecopetrol.com.co&amp;e=K0WSS7" TargetMode="External"/><Relationship Id="rId37" Type="http://schemas.openxmlformats.org/officeDocument/2006/relationships/vmlDrawing" Target="../drawings/vmlDrawing11.vml"/><Relationship Id="rId5" Type="http://schemas.openxmlformats.org/officeDocument/2006/relationships/hyperlink" Target="https://ecopetrol.sharepoint.com/sites/ACCESS/Documentos%20compartidos/Forms/AllItems.aspx?id=%2Fsites%2FACCESS%2FDocumentos%20compartidos%2FPLP%202024&amp;viewid=84208958%2Dec67%2D431a%2D9db0%2D33a6806f19c8" TargetMode="External"/><Relationship Id="rId15" Type="http://schemas.openxmlformats.org/officeDocument/2006/relationships/hyperlink" Target="https://ecopetrol-my.sharepoint.com/personal/leidyla_alvarez_ecopetrol_com_co/_layouts/15/onedrive.aspx?CT=1753301353929&amp;OR=OWA%2DNT%2DMail&amp;CID=f0d9c407%2Deb9f%2Da793%2D9b08%2Df772d7c16d75&amp;e=5%3A542ff97d63c24e8eb4666730f5f20276&amp;sharingv2=true&amp;fromShare=true&amp;at=9&amp;id=%2Fpersonal%2Fleidyla%5Falvarez%5Fecopetrol%5Fcom%5Fco%2FDocuments%2FPORTAFOLIO%202026&amp;FolderCTID=0x0120006D961DA851F5B0408DBE3446422184B8&amp;view=0" TargetMode="External"/><Relationship Id="rId23" Type="http://schemas.openxmlformats.org/officeDocument/2006/relationships/hyperlink" Target="https://ecopetrol.sharepoint.com/:p:/r/sites/SeguimientoIAChichimeneECP/Documentos%20compartidos/53.%20Mapas%20Recobro/MapasRecobroT2CHIAK.pptx?d=w56dbd8f77c034f62b0464defedc89832&amp;csf=1&amp;web=1&amp;e=tN02zY" TargetMode="External"/><Relationship Id="rId28" Type="http://schemas.openxmlformats.org/officeDocument/2006/relationships/hyperlink" Target="https://ecopetrol.sharepoint.com/:f:/r/sites/SeguimientoIAChichimeneECP/Documentos%20compartidos/20.%20Portafolio?csf=1&amp;web=1&amp;e=dCREkd" TargetMode="External"/><Relationship Id="rId36" Type="http://schemas.openxmlformats.org/officeDocument/2006/relationships/drawing" Target="../drawings/drawing11.xml"/><Relationship Id="rId10" Type="http://schemas.openxmlformats.org/officeDocument/2006/relationships/hyperlink" Target="https://ecopetrol.sharepoint.com/:u:/r/sites/MonitoreoVRO/Documentos%20compartidos/Tableros/Tablero%202.1/2.1_Monitoreo_Proyectos_VRO.pbix?csf=1&amp;web=1&amp;e=Rbxt9l" TargetMode="External"/><Relationship Id="rId19" Type="http://schemas.openxmlformats.org/officeDocument/2006/relationships/hyperlink" Target="https://ecopetrol.sharepoint.com/sites/SeguimientoIAChichimeneECP/Documentos%20compartidos/Forms/AllItems.aspx?id=%2Fsites%2FSeguimientoIAChichimeneECP%2FDocumentos%20compartidos%2F37%2E%20Seguimiento%20WO%20Plan%20de%20Choque&amp;viewid=72844968%2Df801%2D450d%2D81d2%2D32c578273e17&amp;newTargetListUrl=%2Fsites%2FSeguimientoIAChichimeneECP%2FDocumentos%20compartidos&amp;viewpath=%2Fsites%2FSeguimientoIAChichimeneECP%2FDocumentos%20compartidos%2FForms%2FAllItems%2Easpx" TargetMode="External"/><Relationship Id="rId31" Type="http://schemas.openxmlformats.org/officeDocument/2006/relationships/hyperlink" Target="https://ecopetrol.sharepoint.com/:x:/s/GLC/IQDHblWJ9hjhQKutWBEzzRjuAfqvgI4xa_c48WrMEs_0qhg?email=Luz.Valera%40ecopetrol.com.co&amp;e=cCzkdN" TargetMode="External"/><Relationship Id="rId4" Type="http://schemas.openxmlformats.org/officeDocument/2006/relationships/hyperlink" Target="https://ecopetrol.sharepoint.com/:f:/s/ReportesMensualesCP0-9/IgBpv2lrx7jSSrUZI_ExzXdVASBnkZhiAKik-ZXgMV3VJ9Q?e=Y2WT6Z" TargetMode="External"/><Relationship Id="rId9" Type="http://schemas.openxmlformats.org/officeDocument/2006/relationships/hyperlink" Target="https://ecopetrol.sharepoint.com/:u:/r/sites/MonitoreoVRO/Documentos%20compartidos/Tableros/Tablero%202.2/2.2_Monitoreo_Prod_P50.pbix?csf=1&amp;web=1&amp;e=solEfC" TargetMode="External"/><Relationship Id="rId14" Type="http://schemas.openxmlformats.org/officeDocument/2006/relationships/hyperlink" Target="https://ecopetrol.sharepoint.com/:u:/r/sites/MonitoreoVRO/Documentos%20compartidos/Tableros/Tablero%201.1/PDI%202026+/1.1_Portafolio_VRO_PDI_2026+.pbix?csf=1&amp;web=1&amp;e=giUOvF" TargetMode="External"/><Relationship Id="rId22" Type="http://schemas.openxmlformats.org/officeDocument/2006/relationships/hyperlink" Target="https://ecopetrol.sharepoint.com/:x:/s/IAAKACIAS/IQB2MOmTV8zFRoz_bL2US-ZGAVSAfHi4Cky9NPBxCkX-l3g?email=karen.carrascal%40ecopetrol.com.co&amp;e=pSbo7J" TargetMode="External"/><Relationship Id="rId27" Type="http://schemas.openxmlformats.org/officeDocument/2006/relationships/hyperlink" Target="https://ecopetrol.sharepoint.com/:f:/r/sites/SeguimientoIAChichimeneECP/Documentos%20compartidos/04.%20Pwf%20Chichimene?csf=1&amp;web=1&amp;e=5hmVGP" TargetMode="External"/><Relationship Id="rId30" Type="http://schemas.openxmlformats.org/officeDocument/2006/relationships/hyperlink" Target="https://ecopetrol.sharepoint.com/:x:/s/GLC/IQDqVbWdvdyfS71wfdksnOLxATH0MFi4KlJ7nBlpzPXkk2Y?email=Luz.Valera%40ecopetrol.com.co&amp;e=E7j7r7" TargetMode="External"/><Relationship Id="rId35" Type="http://schemas.openxmlformats.org/officeDocument/2006/relationships/printerSettings" Target="../printerSettings/printerSettings11.bin"/><Relationship Id="rId8" Type="http://schemas.openxmlformats.org/officeDocument/2006/relationships/hyperlink" Target="https://ecopetrol.sharepoint.com/sites/ACCESS/Documentos%20compartidos/Forms/AllItems.aspx?id=%2Fsites%2FACCESS%2FDocumentos%20compartidos%2FPLP%202024&amp;viewid=84208958%2Dec67%2D431a%2D9db0%2D33a6806f19c8" TargetMode="External"/><Relationship Id="rId3" Type="http://schemas.openxmlformats.org/officeDocument/2006/relationships/hyperlink" Target="https://ecopetrol.sharepoint.com/:f:/s/ReportesMensualesCP0-9/IgCwaR6BSuC3TayG4pPuxmRvAS03JVZlzbXChm-tBseYgfs?e=EXyTQ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298"/>
  <sheetViews>
    <sheetView showGridLines="0" view="pageBreakPreview" topLeftCell="A76" zoomScaleNormal="100" zoomScaleSheetLayoutView="100" workbookViewId="0">
      <selection activeCell="F83" sqref="F83:I91"/>
    </sheetView>
  </sheetViews>
  <sheetFormatPr baseColWidth="10" defaultColWidth="8.5703125" defaultRowHeight="15" x14ac:dyDescent="0.25"/>
  <cols>
    <col min="1" max="1" width="7.42578125" style="8" customWidth="1"/>
    <col min="2" max="2" width="15.5703125" style="5" customWidth="1"/>
    <col min="3" max="3" width="8.5703125" style="5" customWidth="1"/>
    <col min="4" max="4" width="43.42578125" style="6" customWidth="1"/>
    <col min="5" max="5" width="16.85546875" style="6" bestFit="1" customWidth="1"/>
    <col min="6" max="6" width="31" style="7" customWidth="1"/>
    <col min="7" max="7" width="30.140625" style="6" customWidth="1"/>
    <col min="8" max="8" width="13.5703125" style="6" customWidth="1"/>
    <col min="9" max="9" width="13.42578125" style="6" customWidth="1"/>
    <col min="10" max="10" width="10.42578125" style="6" customWidth="1"/>
    <col min="11" max="12" width="12.42578125" style="6" customWidth="1"/>
    <col min="13" max="13" width="6.5703125" style="8" customWidth="1"/>
    <col min="14" max="14" width="16.42578125" style="8" customWidth="1"/>
    <col min="16" max="16" width="16.42578125" style="8" customWidth="1"/>
    <col min="17" max="17" width="0" hidden="1" customWidth="1"/>
    <col min="18" max="18" width="16.42578125" style="8" customWidth="1"/>
    <col min="19" max="16384" width="8.5703125" style="8"/>
  </cols>
  <sheetData>
    <row r="1" spans="2:17" x14ac:dyDescent="0.25">
      <c r="Q1" t="s">
        <v>0</v>
      </c>
    </row>
    <row r="2" spans="2:17" ht="49.5" customHeight="1" x14ac:dyDescent="0.25">
      <c r="B2" s="221" t="s">
        <v>1</v>
      </c>
      <c r="C2" s="221"/>
      <c r="D2" s="221"/>
      <c r="E2" s="221"/>
      <c r="F2" s="221"/>
      <c r="G2" s="221"/>
      <c r="H2" s="221"/>
      <c r="I2" s="221"/>
      <c r="J2" s="221"/>
      <c r="K2" s="221"/>
      <c r="L2" s="221"/>
      <c r="Q2" t="s">
        <v>2</v>
      </c>
    </row>
    <row r="3" spans="2:17" ht="18.75" customHeight="1" x14ac:dyDescent="0.25">
      <c r="B3" s="222" t="s">
        <v>3</v>
      </c>
      <c r="C3" s="223"/>
      <c r="D3" s="223"/>
      <c r="E3" s="58"/>
      <c r="F3" s="223" t="s">
        <v>4</v>
      </c>
      <c r="G3" s="223"/>
      <c r="H3" s="223"/>
      <c r="I3" s="223"/>
      <c r="J3" s="223" t="s">
        <v>5</v>
      </c>
      <c r="K3" s="223"/>
      <c r="L3" s="224"/>
    </row>
    <row r="4" spans="2:17" x14ac:dyDescent="0.25">
      <c r="B4" s="9"/>
      <c r="C4" s="57"/>
      <c r="L4" s="10"/>
      <c r="Q4" t="s">
        <v>6</v>
      </c>
    </row>
    <row r="5" spans="2:17" s="16" customFormat="1" ht="27.6" customHeight="1" x14ac:dyDescent="0.25">
      <c r="B5" s="225" t="s">
        <v>7</v>
      </c>
      <c r="C5" s="225"/>
      <c r="D5" s="11">
        <v>90141005</v>
      </c>
      <c r="E5"/>
      <c r="F5" s="12"/>
      <c r="G5" s="13"/>
      <c r="H5" s="14"/>
      <c r="I5" s="14"/>
      <c r="J5" s="14"/>
      <c r="K5" s="14"/>
      <c r="L5" s="15"/>
      <c r="O5"/>
      <c r="Q5" t="s">
        <v>8</v>
      </c>
    </row>
    <row r="6" spans="2:17" s="16" customFormat="1" x14ac:dyDescent="0.25">
      <c r="B6" s="17"/>
      <c r="C6" s="5"/>
      <c r="D6" s="14"/>
      <c r="E6"/>
      <c r="F6" s="18"/>
      <c r="G6" s="14"/>
      <c r="H6" s="14"/>
      <c r="I6" s="14"/>
      <c r="J6" s="14"/>
      <c r="K6" s="14"/>
      <c r="L6" s="15"/>
      <c r="O6"/>
      <c r="Q6" t="s">
        <v>11</v>
      </c>
    </row>
    <row r="7" spans="2:17" s="16" customFormat="1" x14ac:dyDescent="0.25">
      <c r="B7" s="225" t="s">
        <v>12</v>
      </c>
      <c r="C7" s="225"/>
      <c r="D7" s="19" t="s">
        <v>9</v>
      </c>
      <c r="E7"/>
      <c r="F7" s="20"/>
      <c r="G7" s="21"/>
      <c r="H7" s="14"/>
      <c r="I7" s="14"/>
      <c r="J7" s="14"/>
      <c r="K7" s="14"/>
      <c r="L7" s="15"/>
      <c r="O7"/>
      <c r="Q7" t="s">
        <v>13</v>
      </c>
    </row>
    <row r="8" spans="2:17" s="16" customFormat="1" x14ac:dyDescent="0.25">
      <c r="B8" s="22"/>
      <c r="C8" s="23"/>
      <c r="D8" s="24"/>
      <c r="E8"/>
      <c r="F8" s="20"/>
      <c r="G8" s="21"/>
      <c r="H8" s="14"/>
      <c r="I8" s="14"/>
      <c r="J8" s="14"/>
      <c r="K8" s="14"/>
      <c r="L8" s="15"/>
      <c r="O8"/>
      <c r="Q8" t="s">
        <v>14</v>
      </c>
    </row>
    <row r="9" spans="2:17" s="16" customFormat="1" x14ac:dyDescent="0.25">
      <c r="B9" s="225" t="s">
        <v>15</v>
      </c>
      <c r="C9" s="225"/>
      <c r="D9" s="25">
        <v>45777</v>
      </c>
      <c r="E9"/>
      <c r="F9" s="26"/>
      <c r="G9" s="27"/>
      <c r="H9" s="14"/>
      <c r="I9" s="14"/>
      <c r="J9" s="14"/>
      <c r="K9" s="14"/>
      <c r="L9" s="15"/>
      <c r="O9"/>
      <c r="Q9" t="s">
        <v>16</v>
      </c>
    </row>
    <row r="10" spans="2:17" x14ac:dyDescent="0.25">
      <c r="B10" s="28"/>
      <c r="C10" s="29"/>
      <c r="L10" s="30"/>
      <c r="Q10" t="s">
        <v>17</v>
      </c>
    </row>
    <row r="11" spans="2:17" s="31" customFormat="1" ht="26.85" customHeight="1" x14ac:dyDescent="0.25">
      <c r="B11" s="225" t="s">
        <v>18</v>
      </c>
      <c r="C11" s="225"/>
      <c r="D11" s="225"/>
      <c r="E11" s="225"/>
      <c r="F11" s="225"/>
      <c r="G11" s="225"/>
      <c r="H11" s="225"/>
      <c r="I11" s="225" t="s">
        <v>19</v>
      </c>
      <c r="J11" s="225"/>
      <c r="K11" s="225" t="s">
        <v>20</v>
      </c>
      <c r="L11" s="225"/>
      <c r="O11" s="32"/>
      <c r="Q11" s="32" t="s">
        <v>21</v>
      </c>
    </row>
    <row r="12" spans="2:17" s="31" customFormat="1" ht="57.6" customHeight="1" x14ac:dyDescent="0.25">
      <c r="B12" s="33" t="s">
        <v>22</v>
      </c>
      <c r="C12" s="33" t="s">
        <v>23</v>
      </c>
      <c r="D12" s="33" t="s">
        <v>24</v>
      </c>
      <c r="E12" s="33" t="s">
        <v>72</v>
      </c>
      <c r="F12" s="34" t="s">
        <v>25</v>
      </c>
      <c r="G12" s="33" t="s">
        <v>26</v>
      </c>
      <c r="H12" s="33" t="s">
        <v>27</v>
      </c>
      <c r="I12" s="33" t="s">
        <v>28</v>
      </c>
      <c r="J12" s="33" t="s">
        <v>29</v>
      </c>
      <c r="K12" s="33" t="s">
        <v>30</v>
      </c>
      <c r="L12" s="33" t="s">
        <v>29</v>
      </c>
      <c r="O12" s="32"/>
      <c r="Q12" s="32" t="s">
        <v>31</v>
      </c>
    </row>
    <row r="13" spans="2:17" x14ac:dyDescent="0.25">
      <c r="B13" s="35">
        <v>3</v>
      </c>
      <c r="C13" s="36" t="s">
        <v>43</v>
      </c>
      <c r="D13" s="37" t="s">
        <v>44</v>
      </c>
      <c r="E13" s="218" t="s">
        <v>73</v>
      </c>
      <c r="F13" s="59" t="s">
        <v>64</v>
      </c>
      <c r="G13" s="60" t="s">
        <v>65</v>
      </c>
      <c r="H13" s="89">
        <v>20</v>
      </c>
      <c r="I13" s="89">
        <v>7</v>
      </c>
      <c r="J13" s="67">
        <f>IFERROR(I13/H13,0)</f>
        <v>0.35</v>
      </c>
      <c r="K13" s="93">
        <f>+I13</f>
        <v>7</v>
      </c>
      <c r="L13" s="92">
        <f>IFERROR(K13/H13,0)</f>
        <v>0.35</v>
      </c>
    </row>
    <row r="14" spans="2:17" x14ac:dyDescent="0.25">
      <c r="B14" s="38">
        <v>3</v>
      </c>
      <c r="C14" s="39" t="s">
        <v>46</v>
      </c>
      <c r="D14" s="40" t="s">
        <v>47</v>
      </c>
      <c r="E14" s="219"/>
      <c r="F14" s="61" t="s">
        <v>66</v>
      </c>
      <c r="G14" s="63" t="s">
        <v>67</v>
      </c>
      <c r="H14" s="2">
        <v>10</v>
      </c>
      <c r="I14" s="3">
        <v>8</v>
      </c>
      <c r="J14" s="69">
        <f>IFERROR(I14/H14,0)</f>
        <v>0.8</v>
      </c>
      <c r="K14" s="90">
        <f>+I14</f>
        <v>8</v>
      </c>
      <c r="L14" s="94">
        <f>IFERROR(K14/H14,0)</f>
        <v>0.8</v>
      </c>
    </row>
    <row r="15" spans="2:17" x14ac:dyDescent="0.25">
      <c r="B15" s="38">
        <v>3</v>
      </c>
      <c r="C15" s="39" t="s">
        <v>49</v>
      </c>
      <c r="D15" s="40" t="s">
        <v>50</v>
      </c>
      <c r="E15" s="219"/>
      <c r="F15" s="61" t="s">
        <v>68</v>
      </c>
      <c r="G15" s="62" t="s">
        <v>65</v>
      </c>
      <c r="H15" s="3">
        <v>10</v>
      </c>
      <c r="I15" s="4">
        <v>2</v>
      </c>
      <c r="J15" s="69">
        <f t="shared" ref="J15:J78" si="0">IFERROR(I15/H15,0)</f>
        <v>0.2</v>
      </c>
      <c r="K15" s="90">
        <f t="shared" ref="K15:K78" si="1">+I15</f>
        <v>2</v>
      </c>
      <c r="L15" s="94">
        <f t="shared" ref="L15:L78" si="2">IFERROR(K15/H15,0)</f>
        <v>0.2</v>
      </c>
    </row>
    <row r="16" spans="2:17" x14ac:dyDescent="0.25">
      <c r="B16" s="38">
        <v>3</v>
      </c>
      <c r="C16" s="39" t="s">
        <v>52</v>
      </c>
      <c r="D16" s="40" t="s">
        <v>53</v>
      </c>
      <c r="E16" s="219"/>
      <c r="F16" s="61" t="s">
        <v>54</v>
      </c>
      <c r="G16" s="62" t="s">
        <v>65</v>
      </c>
      <c r="H16" s="3">
        <v>10</v>
      </c>
      <c r="I16" s="3">
        <v>4</v>
      </c>
      <c r="J16" s="69">
        <f t="shared" si="0"/>
        <v>0.4</v>
      </c>
      <c r="K16" s="90">
        <f t="shared" si="1"/>
        <v>4</v>
      </c>
      <c r="L16" s="94">
        <f t="shared" si="2"/>
        <v>0.4</v>
      </c>
    </row>
    <row r="17" spans="2:17" s="16" customFormat="1" x14ac:dyDescent="0.25">
      <c r="B17" s="38">
        <v>3</v>
      </c>
      <c r="C17" s="39" t="s">
        <v>55</v>
      </c>
      <c r="D17" s="40" t="s">
        <v>56</v>
      </c>
      <c r="E17" s="219"/>
      <c r="F17" s="61" t="s">
        <v>69</v>
      </c>
      <c r="G17" s="62" t="s">
        <v>65</v>
      </c>
      <c r="H17" s="3">
        <v>10</v>
      </c>
      <c r="I17" s="3">
        <v>2</v>
      </c>
      <c r="J17" s="69">
        <f t="shared" si="0"/>
        <v>0.2</v>
      </c>
      <c r="K17" s="90">
        <f t="shared" si="1"/>
        <v>2</v>
      </c>
      <c r="L17" s="94">
        <f t="shared" si="2"/>
        <v>0.2</v>
      </c>
      <c r="O17" s="41"/>
      <c r="Q17" s="41"/>
    </row>
    <row r="18" spans="2:17" x14ac:dyDescent="0.25">
      <c r="B18" s="38">
        <v>5</v>
      </c>
      <c r="C18" s="39" t="s">
        <v>57</v>
      </c>
      <c r="D18" s="40" t="s">
        <v>58</v>
      </c>
      <c r="E18" s="219"/>
      <c r="F18" s="61" t="s">
        <v>54</v>
      </c>
      <c r="G18" s="62" t="s">
        <v>203</v>
      </c>
      <c r="H18" s="3">
        <v>10</v>
      </c>
      <c r="I18" s="3">
        <v>3</v>
      </c>
      <c r="J18" s="69">
        <f t="shared" si="0"/>
        <v>0.3</v>
      </c>
      <c r="K18" s="90">
        <f t="shared" si="1"/>
        <v>3</v>
      </c>
      <c r="L18" s="94">
        <f t="shared" si="2"/>
        <v>0.3</v>
      </c>
    </row>
    <row r="19" spans="2:17" x14ac:dyDescent="0.25">
      <c r="B19" s="38">
        <v>5</v>
      </c>
      <c r="C19" s="39" t="s">
        <v>59</v>
      </c>
      <c r="D19" s="40" t="s">
        <v>60</v>
      </c>
      <c r="E19" s="219"/>
      <c r="F19" s="61" t="s">
        <v>70</v>
      </c>
      <c r="G19" s="62" t="s">
        <v>204</v>
      </c>
      <c r="H19" s="3">
        <v>10</v>
      </c>
      <c r="I19" s="3">
        <v>1</v>
      </c>
      <c r="J19" s="69">
        <f t="shared" si="0"/>
        <v>0.1</v>
      </c>
      <c r="K19" s="90">
        <f t="shared" si="1"/>
        <v>1</v>
      </c>
      <c r="L19" s="94">
        <f t="shared" si="2"/>
        <v>0.1</v>
      </c>
    </row>
    <row r="20" spans="2:17" x14ac:dyDescent="0.25">
      <c r="B20" s="42">
        <v>8</v>
      </c>
      <c r="C20" s="43" t="s">
        <v>61</v>
      </c>
      <c r="D20" s="44" t="s">
        <v>62</v>
      </c>
      <c r="E20" s="220"/>
      <c r="F20" s="64" t="s">
        <v>63</v>
      </c>
      <c r="G20" s="65" t="s">
        <v>71</v>
      </c>
      <c r="H20" s="97">
        <v>10</v>
      </c>
      <c r="I20" s="97">
        <v>3</v>
      </c>
      <c r="J20" s="72">
        <f t="shared" si="0"/>
        <v>0.3</v>
      </c>
      <c r="K20" s="91">
        <f t="shared" si="1"/>
        <v>3</v>
      </c>
      <c r="L20" s="96">
        <f t="shared" si="2"/>
        <v>0.3</v>
      </c>
    </row>
    <row r="21" spans="2:17" x14ac:dyDescent="0.25">
      <c r="B21" s="35">
        <v>3</v>
      </c>
      <c r="C21" s="36" t="s">
        <v>43</v>
      </c>
      <c r="D21" s="37" t="s">
        <v>44</v>
      </c>
      <c r="E21" s="218" t="s">
        <v>100</v>
      </c>
      <c r="F21" s="59" t="s">
        <v>304</v>
      </c>
      <c r="G21" s="60" t="s">
        <v>305</v>
      </c>
      <c r="H21" s="137">
        <v>10</v>
      </c>
      <c r="I21" s="137">
        <v>3</v>
      </c>
      <c r="J21" s="71">
        <f t="shared" si="0"/>
        <v>0.3</v>
      </c>
      <c r="K21" s="103">
        <f t="shared" si="1"/>
        <v>3</v>
      </c>
      <c r="L21" s="95">
        <f t="shared" si="2"/>
        <v>0.3</v>
      </c>
      <c r="N21"/>
      <c r="O21" s="8"/>
      <c r="P21"/>
      <c r="Q21" s="8"/>
    </row>
    <row r="22" spans="2:17" x14ac:dyDescent="0.25">
      <c r="B22" s="38">
        <v>3</v>
      </c>
      <c r="C22" s="39" t="s">
        <v>46</v>
      </c>
      <c r="D22" s="40" t="s">
        <v>47</v>
      </c>
      <c r="E22" s="219"/>
      <c r="F22" s="61" t="s">
        <v>306</v>
      </c>
      <c r="G22" s="62" t="s">
        <v>307</v>
      </c>
      <c r="H22" s="2">
        <v>10</v>
      </c>
      <c r="I22" s="3">
        <v>3</v>
      </c>
      <c r="J22" s="69">
        <f t="shared" si="0"/>
        <v>0.3</v>
      </c>
      <c r="K22" s="90">
        <f t="shared" si="1"/>
        <v>3</v>
      </c>
      <c r="L22" s="94">
        <f t="shared" si="2"/>
        <v>0.3</v>
      </c>
      <c r="N22"/>
      <c r="O22" s="8"/>
      <c r="P22"/>
      <c r="Q22" s="8"/>
    </row>
    <row r="23" spans="2:17" x14ac:dyDescent="0.25">
      <c r="B23" s="38">
        <v>3</v>
      </c>
      <c r="C23" s="39" t="s">
        <v>98</v>
      </c>
      <c r="D23" s="40" t="s">
        <v>99</v>
      </c>
      <c r="E23" s="219"/>
      <c r="F23" s="61" t="s">
        <v>308</v>
      </c>
      <c r="G23" s="63" t="s">
        <v>309</v>
      </c>
      <c r="H23" s="3">
        <v>10</v>
      </c>
      <c r="I23" s="4">
        <v>3</v>
      </c>
      <c r="J23" s="69">
        <f t="shared" si="0"/>
        <v>0.3</v>
      </c>
      <c r="K23" s="90">
        <f t="shared" si="1"/>
        <v>3</v>
      </c>
      <c r="L23" s="94">
        <f t="shared" si="2"/>
        <v>0.3</v>
      </c>
      <c r="N23"/>
      <c r="O23" s="8"/>
      <c r="P23"/>
      <c r="Q23" s="8"/>
    </row>
    <row r="24" spans="2:17" x14ac:dyDescent="0.25">
      <c r="B24" s="38">
        <v>3</v>
      </c>
      <c r="C24" s="39" t="s">
        <v>49</v>
      </c>
      <c r="D24" s="40" t="s">
        <v>50</v>
      </c>
      <c r="E24" s="219"/>
      <c r="F24" s="61" t="s">
        <v>310</v>
      </c>
      <c r="G24" s="62" t="s">
        <v>311</v>
      </c>
      <c r="H24" s="3">
        <v>10</v>
      </c>
      <c r="I24" s="3">
        <v>4</v>
      </c>
      <c r="J24" s="69">
        <f t="shared" si="0"/>
        <v>0.4</v>
      </c>
      <c r="K24" s="90">
        <f t="shared" si="1"/>
        <v>4</v>
      </c>
      <c r="L24" s="94">
        <f t="shared" si="2"/>
        <v>0.4</v>
      </c>
      <c r="N24"/>
      <c r="O24" s="8"/>
      <c r="P24"/>
      <c r="Q24" s="8"/>
    </row>
    <row r="25" spans="2:17" x14ac:dyDescent="0.25">
      <c r="B25" s="38">
        <v>3</v>
      </c>
      <c r="C25" s="39" t="s">
        <v>52</v>
      </c>
      <c r="D25" s="40" t="s">
        <v>53</v>
      </c>
      <c r="E25" s="219"/>
      <c r="F25" s="61" t="s">
        <v>312</v>
      </c>
      <c r="G25" s="62" t="s">
        <v>313</v>
      </c>
      <c r="H25" s="3">
        <v>10</v>
      </c>
      <c r="I25" s="3">
        <v>3</v>
      </c>
      <c r="J25" s="69">
        <f t="shared" si="0"/>
        <v>0.3</v>
      </c>
      <c r="K25" s="90">
        <f t="shared" si="1"/>
        <v>3</v>
      </c>
      <c r="L25" s="94">
        <f t="shared" si="2"/>
        <v>0.3</v>
      </c>
      <c r="N25"/>
      <c r="O25" s="8"/>
      <c r="P25"/>
      <c r="Q25" s="8"/>
    </row>
    <row r="26" spans="2:17" s="16" customFormat="1" x14ac:dyDescent="0.25">
      <c r="B26" s="38">
        <v>3</v>
      </c>
      <c r="C26" s="39" t="s">
        <v>55</v>
      </c>
      <c r="D26" s="40" t="s">
        <v>56</v>
      </c>
      <c r="E26" s="219"/>
      <c r="F26" s="61" t="s">
        <v>314</v>
      </c>
      <c r="G26" s="62" t="s">
        <v>315</v>
      </c>
      <c r="H26" s="3">
        <v>10</v>
      </c>
      <c r="I26" s="3">
        <v>3</v>
      </c>
      <c r="J26" s="69">
        <f t="shared" si="0"/>
        <v>0.3</v>
      </c>
      <c r="K26" s="90">
        <f t="shared" si="1"/>
        <v>3</v>
      </c>
      <c r="L26" s="94">
        <f t="shared" si="2"/>
        <v>0.3</v>
      </c>
      <c r="N26" s="41"/>
      <c r="P26" s="41"/>
    </row>
    <row r="27" spans="2:17" x14ac:dyDescent="0.25">
      <c r="B27" s="38">
        <v>5</v>
      </c>
      <c r="C27" s="39" t="s">
        <v>57</v>
      </c>
      <c r="D27" s="40" t="s">
        <v>58</v>
      </c>
      <c r="E27" s="219"/>
      <c r="F27" s="61" t="s">
        <v>316</v>
      </c>
      <c r="G27" s="62" t="s">
        <v>317</v>
      </c>
      <c r="H27" s="3">
        <v>10</v>
      </c>
      <c r="I27" s="3">
        <v>5</v>
      </c>
      <c r="J27" s="69">
        <f t="shared" si="0"/>
        <v>0.5</v>
      </c>
      <c r="K27" s="90">
        <f t="shared" si="1"/>
        <v>5</v>
      </c>
      <c r="L27" s="94">
        <f t="shared" si="2"/>
        <v>0.5</v>
      </c>
      <c r="N27"/>
      <c r="O27" s="8"/>
      <c r="P27"/>
      <c r="Q27" s="8"/>
    </row>
    <row r="28" spans="2:17" x14ac:dyDescent="0.25">
      <c r="B28" s="38">
        <v>5</v>
      </c>
      <c r="C28" s="39" t="s">
        <v>59</v>
      </c>
      <c r="D28" s="40" t="s">
        <v>60</v>
      </c>
      <c r="E28" s="219"/>
      <c r="F28" s="61" t="s">
        <v>318</v>
      </c>
      <c r="G28" s="62" t="s">
        <v>319</v>
      </c>
      <c r="H28" s="3">
        <v>10</v>
      </c>
      <c r="I28" s="3">
        <v>3</v>
      </c>
      <c r="J28" s="69">
        <f t="shared" si="0"/>
        <v>0.3</v>
      </c>
      <c r="K28" s="90">
        <f t="shared" si="1"/>
        <v>3</v>
      </c>
      <c r="L28" s="94">
        <f t="shared" si="2"/>
        <v>0.3</v>
      </c>
      <c r="N28"/>
      <c r="O28" s="8"/>
      <c r="P28"/>
      <c r="Q28" s="8"/>
    </row>
    <row r="29" spans="2:17" x14ac:dyDescent="0.25">
      <c r="B29" s="42">
        <v>8</v>
      </c>
      <c r="C29" s="43" t="s">
        <v>61</v>
      </c>
      <c r="D29" s="44" t="s">
        <v>62</v>
      </c>
      <c r="E29" s="220"/>
      <c r="F29" s="64" t="s">
        <v>236</v>
      </c>
      <c r="G29" s="65" t="s">
        <v>320</v>
      </c>
      <c r="H29" s="97">
        <v>10</v>
      </c>
      <c r="I29" s="97">
        <v>3</v>
      </c>
      <c r="J29" s="72">
        <f t="shared" si="0"/>
        <v>0.3</v>
      </c>
      <c r="K29" s="91">
        <f t="shared" si="1"/>
        <v>3</v>
      </c>
      <c r="L29" s="96">
        <f t="shared" si="2"/>
        <v>0.3</v>
      </c>
      <c r="N29"/>
      <c r="O29" s="8"/>
      <c r="P29"/>
      <c r="Q29" s="8"/>
    </row>
    <row r="30" spans="2:17" x14ac:dyDescent="0.25">
      <c r="B30" s="35">
        <v>1</v>
      </c>
      <c r="C30" s="36" t="s">
        <v>74</v>
      </c>
      <c r="D30" s="37" t="s">
        <v>75</v>
      </c>
      <c r="E30" s="218" t="s">
        <v>97</v>
      </c>
      <c r="F30" s="59" t="s">
        <v>321</v>
      </c>
      <c r="G30" s="60" t="s">
        <v>76</v>
      </c>
      <c r="H30" s="139">
        <v>15</v>
      </c>
      <c r="I30" s="139">
        <v>4</v>
      </c>
      <c r="J30" s="71">
        <f t="shared" si="0"/>
        <v>0.26666666666666666</v>
      </c>
      <c r="K30" s="103">
        <f t="shared" si="1"/>
        <v>4</v>
      </c>
      <c r="L30" s="95">
        <f t="shared" si="2"/>
        <v>0.26666666666666666</v>
      </c>
      <c r="N30"/>
      <c r="O30" s="8"/>
      <c r="P30"/>
      <c r="Q30" s="8"/>
    </row>
    <row r="31" spans="2:17" x14ac:dyDescent="0.25">
      <c r="B31" s="38">
        <v>1</v>
      </c>
      <c r="C31" s="39" t="s">
        <v>77</v>
      </c>
      <c r="D31" s="40" t="s">
        <v>78</v>
      </c>
      <c r="E31" s="219"/>
      <c r="F31" s="61" t="s">
        <v>322</v>
      </c>
      <c r="G31" s="76" t="s">
        <v>323</v>
      </c>
      <c r="H31" s="99">
        <v>8</v>
      </c>
      <c r="I31" s="100">
        <v>2</v>
      </c>
      <c r="J31" s="69">
        <f t="shared" si="0"/>
        <v>0.25</v>
      </c>
      <c r="K31" s="90">
        <f t="shared" si="1"/>
        <v>2</v>
      </c>
      <c r="L31" s="94">
        <f t="shared" si="2"/>
        <v>0.25</v>
      </c>
      <c r="N31"/>
      <c r="O31" s="8"/>
      <c r="P31"/>
      <c r="Q31" s="8"/>
    </row>
    <row r="32" spans="2:17" x14ac:dyDescent="0.25">
      <c r="B32" s="38">
        <v>1</v>
      </c>
      <c r="C32" s="39" t="s">
        <v>79</v>
      </c>
      <c r="D32" s="40" t="s">
        <v>80</v>
      </c>
      <c r="E32" s="219"/>
      <c r="F32" s="61" t="s">
        <v>324</v>
      </c>
      <c r="G32" s="62" t="s">
        <v>81</v>
      </c>
      <c r="H32" s="100">
        <v>10</v>
      </c>
      <c r="I32" s="101">
        <v>2</v>
      </c>
      <c r="J32" s="69">
        <f t="shared" si="0"/>
        <v>0.2</v>
      </c>
      <c r="K32" s="90">
        <f t="shared" si="1"/>
        <v>2</v>
      </c>
      <c r="L32" s="94">
        <f t="shared" si="2"/>
        <v>0.2</v>
      </c>
      <c r="N32"/>
      <c r="O32" s="8"/>
      <c r="P32"/>
      <c r="Q32" s="8"/>
    </row>
    <row r="33" spans="2:17" x14ac:dyDescent="0.25">
      <c r="B33" s="38">
        <v>1</v>
      </c>
      <c r="C33" s="39" t="s">
        <v>82</v>
      </c>
      <c r="D33" s="40" t="s">
        <v>83</v>
      </c>
      <c r="E33" s="219"/>
      <c r="F33" s="61" t="s">
        <v>325</v>
      </c>
      <c r="G33" s="62" t="s">
        <v>81</v>
      </c>
      <c r="H33" s="100">
        <v>8</v>
      </c>
      <c r="I33" s="100">
        <v>3</v>
      </c>
      <c r="J33" s="69">
        <f t="shared" si="0"/>
        <v>0.375</v>
      </c>
      <c r="K33" s="90">
        <f t="shared" si="1"/>
        <v>3</v>
      </c>
      <c r="L33" s="94">
        <f t="shared" si="2"/>
        <v>0.375</v>
      </c>
      <c r="N33"/>
      <c r="O33" s="8"/>
      <c r="P33"/>
      <c r="Q33" s="8"/>
    </row>
    <row r="34" spans="2:17" x14ac:dyDescent="0.25">
      <c r="B34" s="38">
        <v>1</v>
      </c>
      <c r="C34" s="39" t="s">
        <v>84</v>
      </c>
      <c r="D34" s="40" t="s">
        <v>85</v>
      </c>
      <c r="E34" s="219"/>
      <c r="F34" s="61" t="s">
        <v>326</v>
      </c>
      <c r="G34" s="76" t="s">
        <v>323</v>
      </c>
      <c r="H34" s="100">
        <v>10</v>
      </c>
      <c r="I34" s="100">
        <v>5</v>
      </c>
      <c r="J34" s="69">
        <f t="shared" si="0"/>
        <v>0.5</v>
      </c>
      <c r="K34" s="90">
        <f t="shared" si="1"/>
        <v>5</v>
      </c>
      <c r="L34" s="94">
        <f t="shared" si="2"/>
        <v>0.5</v>
      </c>
      <c r="N34"/>
      <c r="O34" s="8"/>
      <c r="P34"/>
      <c r="Q34" s="8"/>
    </row>
    <row r="35" spans="2:17" s="16" customFormat="1" x14ac:dyDescent="0.25">
      <c r="B35" s="38">
        <v>1</v>
      </c>
      <c r="C35" s="39" t="s">
        <v>86</v>
      </c>
      <c r="D35" s="40" t="s">
        <v>87</v>
      </c>
      <c r="E35" s="219"/>
      <c r="F35" s="61" t="s">
        <v>327</v>
      </c>
      <c r="G35" s="62" t="s">
        <v>88</v>
      </c>
      <c r="H35" s="100">
        <v>8</v>
      </c>
      <c r="I35" s="100">
        <v>3</v>
      </c>
      <c r="J35" s="69">
        <f t="shared" si="0"/>
        <v>0.375</v>
      </c>
      <c r="K35" s="90">
        <f t="shared" si="1"/>
        <v>3</v>
      </c>
      <c r="L35" s="94">
        <f t="shared" si="2"/>
        <v>0.375</v>
      </c>
      <c r="N35" s="41"/>
      <c r="P35" s="41"/>
    </row>
    <row r="36" spans="2:17" x14ac:dyDescent="0.25">
      <c r="B36" s="38">
        <v>1</v>
      </c>
      <c r="C36" s="39" t="s">
        <v>89</v>
      </c>
      <c r="D36" s="40" t="s">
        <v>90</v>
      </c>
      <c r="E36" s="219"/>
      <c r="F36" s="61" t="s">
        <v>328</v>
      </c>
      <c r="G36" s="62" t="s">
        <v>91</v>
      </c>
      <c r="H36" s="100">
        <v>8</v>
      </c>
      <c r="I36" s="100">
        <v>2</v>
      </c>
      <c r="J36" s="69">
        <f t="shared" si="0"/>
        <v>0.25</v>
      </c>
      <c r="K36" s="90">
        <f t="shared" si="1"/>
        <v>2</v>
      </c>
      <c r="L36" s="94">
        <f t="shared" si="2"/>
        <v>0.25</v>
      </c>
      <c r="N36"/>
      <c r="O36" s="8"/>
      <c r="P36"/>
      <c r="Q36" s="8"/>
    </row>
    <row r="37" spans="2:17" x14ac:dyDescent="0.25">
      <c r="B37" s="38">
        <v>1</v>
      </c>
      <c r="C37" s="39" t="s">
        <v>92</v>
      </c>
      <c r="D37" s="40" t="s">
        <v>93</v>
      </c>
      <c r="E37" s="219"/>
      <c r="F37" s="61" t="s">
        <v>329</v>
      </c>
      <c r="G37" s="62" t="s">
        <v>94</v>
      </c>
      <c r="H37" s="100">
        <v>15</v>
      </c>
      <c r="I37" s="100">
        <v>4</v>
      </c>
      <c r="J37" s="69">
        <f t="shared" si="0"/>
        <v>0.26666666666666666</v>
      </c>
      <c r="K37" s="90">
        <f t="shared" si="1"/>
        <v>4</v>
      </c>
      <c r="L37" s="94">
        <f t="shared" si="2"/>
        <v>0.26666666666666666</v>
      </c>
      <c r="N37"/>
      <c r="O37" s="8"/>
      <c r="P37"/>
      <c r="Q37" s="8"/>
    </row>
    <row r="38" spans="2:17" x14ac:dyDescent="0.25">
      <c r="B38" s="42">
        <v>1</v>
      </c>
      <c r="C38" s="43" t="s">
        <v>95</v>
      </c>
      <c r="D38" s="44" t="s">
        <v>96</v>
      </c>
      <c r="E38" s="220"/>
      <c r="F38" s="64" t="s">
        <v>237</v>
      </c>
      <c r="G38" s="65" t="s">
        <v>94</v>
      </c>
      <c r="H38" s="102">
        <v>8</v>
      </c>
      <c r="I38" s="102">
        <v>5</v>
      </c>
      <c r="J38" s="72">
        <f t="shared" si="0"/>
        <v>0.625</v>
      </c>
      <c r="K38" s="91">
        <f t="shared" si="1"/>
        <v>5</v>
      </c>
      <c r="L38" s="96">
        <f t="shared" si="2"/>
        <v>0.625</v>
      </c>
      <c r="N38"/>
      <c r="O38" s="8"/>
      <c r="P38"/>
      <c r="Q38" s="8"/>
    </row>
    <row r="39" spans="2:17" x14ac:dyDescent="0.25">
      <c r="B39" s="35">
        <v>3</v>
      </c>
      <c r="C39" s="36" t="s">
        <v>43</v>
      </c>
      <c r="D39" s="37" t="s">
        <v>44</v>
      </c>
      <c r="E39" s="218" t="s">
        <v>103</v>
      </c>
      <c r="F39" s="59" t="s">
        <v>330</v>
      </c>
      <c r="G39" s="60" t="s">
        <v>101</v>
      </c>
      <c r="H39" s="137">
        <v>12</v>
      </c>
      <c r="I39" s="137">
        <v>3</v>
      </c>
      <c r="J39" s="71">
        <f t="shared" si="0"/>
        <v>0.25</v>
      </c>
      <c r="K39" s="103">
        <f t="shared" si="1"/>
        <v>3</v>
      </c>
      <c r="L39" s="95">
        <f t="shared" si="2"/>
        <v>0.25</v>
      </c>
      <c r="N39"/>
      <c r="O39" s="8"/>
      <c r="P39"/>
      <c r="Q39" s="8"/>
    </row>
    <row r="40" spans="2:17" x14ac:dyDescent="0.25">
      <c r="B40" s="38">
        <v>3</v>
      </c>
      <c r="C40" s="39" t="s">
        <v>46</v>
      </c>
      <c r="D40" s="40" t="s">
        <v>47</v>
      </c>
      <c r="E40" s="219"/>
      <c r="F40" s="61" t="s">
        <v>331</v>
      </c>
      <c r="G40" s="76" t="s">
        <v>101</v>
      </c>
      <c r="H40" s="2">
        <v>11</v>
      </c>
      <c r="I40" s="3">
        <v>3</v>
      </c>
      <c r="J40" s="69">
        <f t="shared" si="0"/>
        <v>0.27272727272727271</v>
      </c>
      <c r="K40" s="90">
        <f t="shared" si="1"/>
        <v>3</v>
      </c>
      <c r="L40" s="94">
        <f t="shared" si="2"/>
        <v>0.27272727272727271</v>
      </c>
      <c r="N40"/>
      <c r="O40" s="8"/>
      <c r="P40"/>
      <c r="Q40" s="8"/>
    </row>
    <row r="41" spans="2:17" x14ac:dyDescent="0.25">
      <c r="B41" s="38">
        <v>3</v>
      </c>
      <c r="C41" s="39" t="s">
        <v>49</v>
      </c>
      <c r="D41" s="40" t="s">
        <v>50</v>
      </c>
      <c r="E41" s="219"/>
      <c r="F41" s="61" t="s">
        <v>240</v>
      </c>
      <c r="G41" s="62" t="s">
        <v>101</v>
      </c>
      <c r="H41" s="3">
        <v>11</v>
      </c>
      <c r="I41" s="4">
        <v>4</v>
      </c>
      <c r="J41" s="69">
        <f t="shared" si="0"/>
        <v>0.36363636363636365</v>
      </c>
      <c r="K41" s="90">
        <f t="shared" si="1"/>
        <v>4</v>
      </c>
      <c r="L41" s="94">
        <f t="shared" si="2"/>
        <v>0.36363636363636365</v>
      </c>
      <c r="N41"/>
      <c r="O41" s="8"/>
      <c r="P41"/>
      <c r="Q41" s="8"/>
    </row>
    <row r="42" spans="2:17" x14ac:dyDescent="0.25">
      <c r="B42" s="38">
        <v>3</v>
      </c>
      <c r="C42" s="39" t="s">
        <v>52</v>
      </c>
      <c r="D42" s="40" t="s">
        <v>53</v>
      </c>
      <c r="E42" s="219"/>
      <c r="F42" s="61" t="s">
        <v>170</v>
      </c>
      <c r="G42" s="62" t="s">
        <v>101</v>
      </c>
      <c r="H42" s="3">
        <v>11</v>
      </c>
      <c r="I42" s="3">
        <v>4</v>
      </c>
      <c r="J42" s="69">
        <f t="shared" si="0"/>
        <v>0.36363636363636365</v>
      </c>
      <c r="K42" s="90">
        <f t="shared" si="1"/>
        <v>4</v>
      </c>
      <c r="L42" s="94">
        <f t="shared" si="2"/>
        <v>0.36363636363636365</v>
      </c>
      <c r="N42"/>
      <c r="O42" s="8"/>
      <c r="P42"/>
      <c r="Q42" s="8"/>
    </row>
    <row r="43" spans="2:17" s="16" customFormat="1" x14ac:dyDescent="0.25">
      <c r="B43" s="38">
        <v>3</v>
      </c>
      <c r="C43" s="39" t="s">
        <v>55</v>
      </c>
      <c r="D43" s="40" t="s">
        <v>56</v>
      </c>
      <c r="E43" s="219"/>
      <c r="F43" s="61" t="s">
        <v>211</v>
      </c>
      <c r="G43" s="76" t="s">
        <v>101</v>
      </c>
      <c r="H43" s="3">
        <v>11</v>
      </c>
      <c r="I43" s="3">
        <v>4</v>
      </c>
      <c r="J43" s="69">
        <f t="shared" si="0"/>
        <v>0.36363636363636365</v>
      </c>
      <c r="K43" s="90">
        <f t="shared" si="1"/>
        <v>4</v>
      </c>
      <c r="L43" s="94">
        <f t="shared" si="2"/>
        <v>0.36363636363636365</v>
      </c>
      <c r="N43" s="41"/>
      <c r="P43" s="41"/>
    </row>
    <row r="44" spans="2:17" x14ac:dyDescent="0.25">
      <c r="B44" s="38">
        <v>5</v>
      </c>
      <c r="C44" s="39" t="s">
        <v>57</v>
      </c>
      <c r="D44" s="40" t="s">
        <v>58</v>
      </c>
      <c r="E44" s="219"/>
      <c r="F44" s="61" t="s">
        <v>241</v>
      </c>
      <c r="G44" s="62" t="s">
        <v>101</v>
      </c>
      <c r="H44" s="3">
        <v>11</v>
      </c>
      <c r="I44" s="3">
        <v>4</v>
      </c>
      <c r="J44" s="69">
        <f t="shared" si="0"/>
        <v>0.36363636363636365</v>
      </c>
      <c r="K44" s="90">
        <f t="shared" si="1"/>
        <v>4</v>
      </c>
      <c r="L44" s="94">
        <f t="shared" si="2"/>
        <v>0.36363636363636365</v>
      </c>
      <c r="N44"/>
      <c r="O44" s="8"/>
      <c r="P44"/>
      <c r="Q44" s="8"/>
    </row>
    <row r="45" spans="2:17" x14ac:dyDescent="0.25">
      <c r="B45" s="38">
        <v>5</v>
      </c>
      <c r="C45" s="39" t="s">
        <v>59</v>
      </c>
      <c r="D45" s="40" t="s">
        <v>60</v>
      </c>
      <c r="E45" s="219"/>
      <c r="F45" s="61" t="s">
        <v>102</v>
      </c>
      <c r="G45" s="62" t="s">
        <v>101</v>
      </c>
      <c r="H45" s="3">
        <v>12</v>
      </c>
      <c r="I45" s="3">
        <v>4</v>
      </c>
      <c r="J45" s="69">
        <f t="shared" si="0"/>
        <v>0.33333333333333331</v>
      </c>
      <c r="K45" s="90">
        <f t="shared" si="1"/>
        <v>4</v>
      </c>
      <c r="L45" s="94">
        <f t="shared" si="2"/>
        <v>0.33333333333333331</v>
      </c>
      <c r="N45"/>
      <c r="O45" s="8"/>
      <c r="P45"/>
      <c r="Q45" s="8"/>
    </row>
    <row r="46" spans="2:17" x14ac:dyDescent="0.25">
      <c r="B46" s="42">
        <v>8</v>
      </c>
      <c r="C46" s="43" t="s">
        <v>61</v>
      </c>
      <c r="D46" s="44" t="s">
        <v>62</v>
      </c>
      <c r="E46" s="220"/>
      <c r="F46" s="64" t="s">
        <v>212</v>
      </c>
      <c r="G46" s="62" t="s">
        <v>101</v>
      </c>
      <c r="H46" s="97">
        <v>11</v>
      </c>
      <c r="I46" s="97">
        <v>4</v>
      </c>
      <c r="J46" s="72">
        <f t="shared" si="0"/>
        <v>0.36363636363636365</v>
      </c>
      <c r="K46" s="91">
        <f t="shared" si="1"/>
        <v>4</v>
      </c>
      <c r="L46" s="96">
        <f t="shared" si="2"/>
        <v>0.36363636363636365</v>
      </c>
      <c r="N46"/>
      <c r="O46" s="8"/>
      <c r="P46"/>
      <c r="Q46" s="8"/>
    </row>
    <row r="47" spans="2:17" x14ac:dyDescent="0.25">
      <c r="B47" s="35">
        <v>3</v>
      </c>
      <c r="C47" s="36" t="s">
        <v>43</v>
      </c>
      <c r="D47" s="37" t="s">
        <v>44</v>
      </c>
      <c r="E47" s="218" t="s">
        <v>108</v>
      </c>
      <c r="F47" s="59" t="s">
        <v>45</v>
      </c>
      <c r="G47" s="60" t="s">
        <v>104</v>
      </c>
      <c r="H47" s="137">
        <v>20</v>
      </c>
      <c r="I47" s="137">
        <v>3</v>
      </c>
      <c r="J47" s="71">
        <f t="shared" si="0"/>
        <v>0.15</v>
      </c>
      <c r="K47" s="103">
        <f t="shared" si="1"/>
        <v>3</v>
      </c>
      <c r="L47" s="95">
        <f t="shared" si="2"/>
        <v>0.15</v>
      </c>
      <c r="N47"/>
      <c r="O47" s="8"/>
      <c r="P47"/>
      <c r="Q47" s="8"/>
    </row>
    <row r="48" spans="2:17" x14ac:dyDescent="0.25">
      <c r="B48" s="38">
        <v>3</v>
      </c>
      <c r="C48" s="39" t="s">
        <v>46</v>
      </c>
      <c r="D48" s="40" t="s">
        <v>47</v>
      </c>
      <c r="E48" s="219"/>
      <c r="F48" s="61" t="s">
        <v>48</v>
      </c>
      <c r="G48" s="62" t="s">
        <v>104</v>
      </c>
      <c r="H48" s="2">
        <v>20</v>
      </c>
      <c r="I48" s="3">
        <v>3</v>
      </c>
      <c r="J48" s="69">
        <f t="shared" si="0"/>
        <v>0.15</v>
      </c>
      <c r="K48" s="90">
        <f t="shared" si="1"/>
        <v>3</v>
      </c>
      <c r="L48" s="94">
        <f t="shared" si="2"/>
        <v>0.15</v>
      </c>
      <c r="N48"/>
      <c r="O48" s="8"/>
      <c r="P48"/>
      <c r="Q48" s="8"/>
    </row>
    <row r="49" spans="2:17" x14ac:dyDescent="0.25">
      <c r="B49" s="38">
        <v>3</v>
      </c>
      <c r="C49" s="39" t="s">
        <v>98</v>
      </c>
      <c r="D49" s="40" t="s">
        <v>99</v>
      </c>
      <c r="E49" s="219"/>
      <c r="F49" s="61" t="s">
        <v>48</v>
      </c>
      <c r="G49" s="63" t="s">
        <v>104</v>
      </c>
      <c r="H49" s="3">
        <v>20</v>
      </c>
      <c r="I49" s="4">
        <v>4</v>
      </c>
      <c r="J49" s="69">
        <f t="shared" si="0"/>
        <v>0.2</v>
      </c>
      <c r="K49" s="90">
        <f t="shared" si="1"/>
        <v>4</v>
      </c>
      <c r="L49" s="94">
        <f t="shared" si="2"/>
        <v>0.2</v>
      </c>
      <c r="N49"/>
      <c r="O49" s="8"/>
      <c r="P49"/>
      <c r="Q49" s="8"/>
    </row>
    <row r="50" spans="2:17" x14ac:dyDescent="0.25">
      <c r="B50" s="38">
        <v>3</v>
      </c>
      <c r="C50" s="39" t="s">
        <v>49</v>
      </c>
      <c r="D50" s="40" t="s">
        <v>50</v>
      </c>
      <c r="E50" s="219"/>
      <c r="F50" s="61" t="s">
        <v>51</v>
      </c>
      <c r="G50" s="63" t="s">
        <v>252</v>
      </c>
      <c r="H50" s="3">
        <v>20</v>
      </c>
      <c r="I50" s="3">
        <v>3</v>
      </c>
      <c r="J50" s="69">
        <f t="shared" si="0"/>
        <v>0.15</v>
      </c>
      <c r="K50" s="90">
        <f t="shared" si="1"/>
        <v>3</v>
      </c>
      <c r="L50" s="94">
        <f t="shared" si="2"/>
        <v>0.15</v>
      </c>
      <c r="N50"/>
      <c r="O50" s="8"/>
      <c r="P50"/>
      <c r="Q50" s="8"/>
    </row>
    <row r="51" spans="2:17" x14ac:dyDescent="0.25">
      <c r="B51" s="38">
        <v>3</v>
      </c>
      <c r="C51" s="39" t="s">
        <v>52</v>
      </c>
      <c r="D51" s="40" t="s">
        <v>53</v>
      </c>
      <c r="E51" s="219"/>
      <c r="F51" s="61" t="s">
        <v>54</v>
      </c>
      <c r="G51" s="62" t="s">
        <v>104</v>
      </c>
      <c r="H51" s="3">
        <v>20</v>
      </c>
      <c r="I51" s="3">
        <v>4</v>
      </c>
      <c r="J51" s="69">
        <f t="shared" si="0"/>
        <v>0.2</v>
      </c>
      <c r="K51" s="90">
        <f t="shared" si="1"/>
        <v>4</v>
      </c>
      <c r="L51" s="94">
        <f t="shared" si="2"/>
        <v>0.2</v>
      </c>
      <c r="N51"/>
      <c r="O51" s="8"/>
      <c r="P51"/>
      <c r="Q51" s="8"/>
    </row>
    <row r="52" spans="2:17" s="16" customFormat="1" x14ac:dyDescent="0.25">
      <c r="B52" s="38">
        <v>3</v>
      </c>
      <c r="C52" s="39" t="s">
        <v>55</v>
      </c>
      <c r="D52" s="40" t="s">
        <v>56</v>
      </c>
      <c r="E52" s="219"/>
      <c r="F52" s="61" t="s">
        <v>54</v>
      </c>
      <c r="G52" s="62" t="s">
        <v>105</v>
      </c>
      <c r="H52" s="3">
        <v>20</v>
      </c>
      <c r="I52" s="3">
        <v>3</v>
      </c>
      <c r="J52" s="69">
        <f t="shared" si="0"/>
        <v>0.15</v>
      </c>
      <c r="K52" s="90">
        <f t="shared" si="1"/>
        <v>3</v>
      </c>
      <c r="L52" s="94">
        <f t="shared" si="2"/>
        <v>0.15</v>
      </c>
      <c r="N52" s="41"/>
      <c r="P52" s="41"/>
    </row>
    <row r="53" spans="2:17" x14ac:dyDescent="0.25">
      <c r="B53" s="38">
        <v>5</v>
      </c>
      <c r="C53" s="39" t="s">
        <v>57</v>
      </c>
      <c r="D53" s="40" t="s">
        <v>58</v>
      </c>
      <c r="E53" s="219"/>
      <c r="F53" s="61" t="s">
        <v>54</v>
      </c>
      <c r="G53" s="62" t="s">
        <v>106</v>
      </c>
      <c r="H53" s="3">
        <v>20</v>
      </c>
      <c r="I53" s="3">
        <v>3</v>
      </c>
      <c r="J53" s="69">
        <f t="shared" si="0"/>
        <v>0.15</v>
      </c>
      <c r="K53" s="90">
        <f t="shared" si="1"/>
        <v>3</v>
      </c>
      <c r="L53" s="94">
        <f t="shared" si="2"/>
        <v>0.15</v>
      </c>
      <c r="N53"/>
      <c r="O53" s="8"/>
      <c r="P53"/>
      <c r="Q53" s="8"/>
    </row>
    <row r="54" spans="2:17" x14ac:dyDescent="0.25">
      <c r="B54" s="38">
        <v>5</v>
      </c>
      <c r="C54" s="39" t="s">
        <v>59</v>
      </c>
      <c r="D54" s="40" t="s">
        <v>60</v>
      </c>
      <c r="E54" s="219"/>
      <c r="F54" s="61" t="s">
        <v>54</v>
      </c>
      <c r="G54" s="62" t="s">
        <v>253</v>
      </c>
      <c r="H54" s="3">
        <v>20</v>
      </c>
      <c r="I54" s="3">
        <v>4</v>
      </c>
      <c r="J54" s="69">
        <f t="shared" si="0"/>
        <v>0.2</v>
      </c>
      <c r="K54" s="90">
        <f t="shared" si="1"/>
        <v>4</v>
      </c>
      <c r="L54" s="94">
        <f t="shared" si="2"/>
        <v>0.2</v>
      </c>
      <c r="N54"/>
      <c r="O54" s="8"/>
      <c r="P54"/>
      <c r="Q54" s="8"/>
    </row>
    <row r="55" spans="2:17" x14ac:dyDescent="0.25">
      <c r="B55" s="42">
        <v>8</v>
      </c>
      <c r="C55" s="43" t="s">
        <v>61</v>
      </c>
      <c r="D55" s="44" t="s">
        <v>62</v>
      </c>
      <c r="E55" s="220"/>
      <c r="F55" s="64" t="s">
        <v>63</v>
      </c>
      <c r="G55" s="65" t="s">
        <v>107</v>
      </c>
      <c r="H55" s="97">
        <v>20</v>
      </c>
      <c r="I55" s="97">
        <v>3</v>
      </c>
      <c r="J55" s="72">
        <f t="shared" si="0"/>
        <v>0.15</v>
      </c>
      <c r="K55" s="91">
        <f t="shared" si="1"/>
        <v>3</v>
      </c>
      <c r="L55" s="96">
        <f t="shared" si="2"/>
        <v>0.15</v>
      </c>
      <c r="N55"/>
      <c r="O55" s="8"/>
      <c r="P55"/>
      <c r="Q55" s="8"/>
    </row>
    <row r="56" spans="2:17" x14ac:dyDescent="0.25">
      <c r="B56" s="35">
        <v>3</v>
      </c>
      <c r="C56" s="36" t="s">
        <v>43</v>
      </c>
      <c r="D56" s="37" t="s">
        <v>44</v>
      </c>
      <c r="E56" s="218" t="s">
        <v>171</v>
      </c>
      <c r="F56" s="59" t="s">
        <v>247</v>
      </c>
      <c r="G56" s="60" t="s">
        <v>109</v>
      </c>
      <c r="H56" s="138">
        <v>18</v>
      </c>
      <c r="I56" s="136">
        <v>3</v>
      </c>
      <c r="J56" s="71">
        <f t="shared" si="0"/>
        <v>0.16666666666666666</v>
      </c>
      <c r="K56" s="103">
        <f t="shared" si="1"/>
        <v>3</v>
      </c>
      <c r="L56" s="95">
        <f t="shared" si="2"/>
        <v>0.16666666666666666</v>
      </c>
      <c r="N56"/>
      <c r="O56" s="8"/>
      <c r="P56"/>
      <c r="Q56" s="8"/>
    </row>
    <row r="57" spans="2:17" x14ac:dyDescent="0.25">
      <c r="B57" s="38">
        <v>3</v>
      </c>
      <c r="C57" s="39" t="s">
        <v>46</v>
      </c>
      <c r="D57" s="40" t="s">
        <v>47</v>
      </c>
      <c r="E57" s="219"/>
      <c r="F57" s="61" t="s">
        <v>248</v>
      </c>
      <c r="G57" s="62" t="s">
        <v>184</v>
      </c>
      <c r="H57" s="124">
        <v>36</v>
      </c>
      <c r="I57" s="55">
        <v>6</v>
      </c>
      <c r="J57" s="69">
        <f t="shared" si="0"/>
        <v>0.16666666666666666</v>
      </c>
      <c r="K57" s="90">
        <f t="shared" si="1"/>
        <v>6</v>
      </c>
      <c r="L57" s="94">
        <f t="shared" si="2"/>
        <v>0.16666666666666666</v>
      </c>
      <c r="N57"/>
      <c r="O57" s="8"/>
      <c r="P57"/>
      <c r="Q57" s="8"/>
    </row>
    <row r="58" spans="2:17" x14ac:dyDescent="0.25">
      <c r="B58" s="38">
        <v>3</v>
      </c>
      <c r="C58" s="39" t="s">
        <v>98</v>
      </c>
      <c r="D58" s="40" t="s">
        <v>99</v>
      </c>
      <c r="E58" s="219"/>
      <c r="F58" s="61" t="s">
        <v>249</v>
      </c>
      <c r="G58" s="63" t="s">
        <v>173</v>
      </c>
      <c r="H58" s="125">
        <v>12</v>
      </c>
      <c r="I58" s="70">
        <v>2</v>
      </c>
      <c r="J58" s="69">
        <f t="shared" si="0"/>
        <v>0.16666666666666666</v>
      </c>
      <c r="K58" s="90">
        <f t="shared" si="1"/>
        <v>2</v>
      </c>
      <c r="L58" s="94">
        <f t="shared" si="2"/>
        <v>0.16666666666666666</v>
      </c>
      <c r="N58"/>
      <c r="O58" s="8"/>
      <c r="P58"/>
      <c r="Q58" s="8"/>
    </row>
    <row r="59" spans="2:17" x14ac:dyDescent="0.25">
      <c r="B59" s="38">
        <v>3</v>
      </c>
      <c r="C59" s="39" t="s">
        <v>49</v>
      </c>
      <c r="D59" s="40" t="s">
        <v>50</v>
      </c>
      <c r="E59" s="219"/>
      <c r="F59" s="61" t="s">
        <v>254</v>
      </c>
      <c r="G59" s="63" t="s">
        <v>174</v>
      </c>
      <c r="H59" s="125">
        <v>36</v>
      </c>
      <c r="I59" s="55">
        <v>6</v>
      </c>
      <c r="J59" s="69">
        <f t="shared" si="0"/>
        <v>0.16666666666666666</v>
      </c>
      <c r="K59" s="90">
        <f t="shared" si="1"/>
        <v>6</v>
      </c>
      <c r="L59" s="94">
        <f t="shared" si="2"/>
        <v>0.16666666666666666</v>
      </c>
      <c r="N59"/>
      <c r="O59" s="8"/>
      <c r="P59"/>
      <c r="Q59" s="8"/>
    </row>
    <row r="60" spans="2:17" x14ac:dyDescent="0.25">
      <c r="B60" s="38">
        <v>3</v>
      </c>
      <c r="C60" s="39" t="s">
        <v>52</v>
      </c>
      <c r="D60" s="40" t="s">
        <v>53</v>
      </c>
      <c r="E60" s="219"/>
      <c r="F60" s="61" t="s">
        <v>250</v>
      </c>
      <c r="G60" s="62" t="s">
        <v>185</v>
      </c>
      <c r="H60" s="125">
        <v>18</v>
      </c>
      <c r="I60" s="55">
        <v>3</v>
      </c>
      <c r="J60" s="69">
        <f t="shared" si="0"/>
        <v>0.16666666666666666</v>
      </c>
      <c r="K60" s="90">
        <f t="shared" si="1"/>
        <v>3</v>
      </c>
      <c r="L60" s="94">
        <f t="shared" si="2"/>
        <v>0.16666666666666666</v>
      </c>
      <c r="N60"/>
      <c r="O60" s="8"/>
      <c r="P60"/>
      <c r="Q60" s="8"/>
    </row>
    <row r="61" spans="2:17" s="16" customFormat="1" x14ac:dyDescent="0.25">
      <c r="B61" s="38">
        <v>3</v>
      </c>
      <c r="C61" s="39" t="s">
        <v>55</v>
      </c>
      <c r="D61" s="40" t="s">
        <v>56</v>
      </c>
      <c r="E61" s="219"/>
      <c r="F61" s="61" t="s">
        <v>255</v>
      </c>
      <c r="G61" s="62" t="s">
        <v>186</v>
      </c>
      <c r="H61" s="125">
        <v>18</v>
      </c>
      <c r="I61" s="55">
        <v>3</v>
      </c>
      <c r="J61" s="69">
        <f t="shared" si="0"/>
        <v>0.16666666666666666</v>
      </c>
      <c r="K61" s="90">
        <f t="shared" si="1"/>
        <v>3</v>
      </c>
      <c r="L61" s="94">
        <f t="shared" si="2"/>
        <v>0.16666666666666666</v>
      </c>
      <c r="N61" s="41"/>
      <c r="P61" s="41"/>
    </row>
    <row r="62" spans="2:17" x14ac:dyDescent="0.25">
      <c r="B62" s="38">
        <v>5</v>
      </c>
      <c r="C62" s="39" t="s">
        <v>57</v>
      </c>
      <c r="D62" s="40" t="s">
        <v>58</v>
      </c>
      <c r="E62" s="219"/>
      <c r="F62" s="61" t="s">
        <v>256</v>
      </c>
      <c r="G62" s="62" t="s">
        <v>175</v>
      </c>
      <c r="H62" s="125">
        <v>12</v>
      </c>
      <c r="I62" s="55">
        <v>2</v>
      </c>
      <c r="J62" s="69">
        <f t="shared" si="0"/>
        <v>0.16666666666666666</v>
      </c>
      <c r="K62" s="90">
        <f t="shared" si="1"/>
        <v>2</v>
      </c>
      <c r="L62" s="94">
        <f t="shared" si="2"/>
        <v>0.16666666666666666</v>
      </c>
      <c r="N62"/>
      <c r="O62" s="8"/>
      <c r="P62"/>
      <c r="Q62" s="8"/>
    </row>
    <row r="63" spans="2:17" x14ac:dyDescent="0.25">
      <c r="B63" s="38">
        <v>5</v>
      </c>
      <c r="C63" s="39" t="s">
        <v>59</v>
      </c>
      <c r="D63" s="40" t="s">
        <v>60</v>
      </c>
      <c r="E63" s="219"/>
      <c r="F63" s="61" t="s">
        <v>251</v>
      </c>
      <c r="G63" s="62" t="s">
        <v>176</v>
      </c>
      <c r="H63" s="125">
        <v>18</v>
      </c>
      <c r="I63" s="55">
        <v>3</v>
      </c>
      <c r="J63" s="69">
        <f t="shared" si="0"/>
        <v>0.16666666666666666</v>
      </c>
      <c r="K63" s="90">
        <f t="shared" si="1"/>
        <v>3</v>
      </c>
      <c r="L63" s="94">
        <f t="shared" si="2"/>
        <v>0.16666666666666666</v>
      </c>
      <c r="N63"/>
      <c r="O63" s="8"/>
      <c r="P63"/>
      <c r="Q63" s="8"/>
    </row>
    <row r="64" spans="2:17" x14ac:dyDescent="0.25">
      <c r="B64" s="42">
        <v>8</v>
      </c>
      <c r="C64" s="43" t="s">
        <v>61</v>
      </c>
      <c r="D64" s="44" t="s">
        <v>62</v>
      </c>
      <c r="E64" s="220"/>
      <c r="F64" s="64" t="s">
        <v>257</v>
      </c>
      <c r="G64" s="65" t="s">
        <v>109</v>
      </c>
      <c r="H64" s="126">
        <v>12</v>
      </c>
      <c r="I64" s="56">
        <v>2</v>
      </c>
      <c r="J64" s="72">
        <f t="shared" si="0"/>
        <v>0.16666666666666666</v>
      </c>
      <c r="K64" s="91">
        <f t="shared" si="1"/>
        <v>2</v>
      </c>
      <c r="L64" s="96">
        <f t="shared" si="2"/>
        <v>0.16666666666666666</v>
      </c>
      <c r="N64"/>
      <c r="O64" s="8"/>
      <c r="P64"/>
      <c r="Q64" s="8"/>
    </row>
    <row r="65" spans="2:17" x14ac:dyDescent="0.25">
      <c r="B65" s="35">
        <v>3</v>
      </c>
      <c r="C65" s="36" t="s">
        <v>43</v>
      </c>
      <c r="D65" s="37" t="s">
        <v>44</v>
      </c>
      <c r="E65" s="218" t="s">
        <v>115</v>
      </c>
      <c r="F65" s="59" t="s">
        <v>258</v>
      </c>
      <c r="G65" s="60" t="s">
        <v>243</v>
      </c>
      <c r="H65" s="136">
        <v>30</v>
      </c>
      <c r="I65" s="136">
        <v>4</v>
      </c>
      <c r="J65" s="71">
        <f t="shared" si="0"/>
        <v>0.13333333333333333</v>
      </c>
      <c r="K65" s="103">
        <f t="shared" si="1"/>
        <v>4</v>
      </c>
      <c r="L65" s="95">
        <f t="shared" si="2"/>
        <v>0.13333333333333333</v>
      </c>
      <c r="N65"/>
      <c r="O65" s="8"/>
      <c r="P65"/>
      <c r="Q65" s="8"/>
    </row>
    <row r="66" spans="2:17" x14ac:dyDescent="0.25">
      <c r="B66" s="38">
        <v>3</v>
      </c>
      <c r="C66" s="39" t="s">
        <v>46</v>
      </c>
      <c r="D66" s="40" t="s">
        <v>47</v>
      </c>
      <c r="E66" s="219"/>
      <c r="F66" s="61" t="s">
        <v>178</v>
      </c>
      <c r="G66" s="61" t="s">
        <v>177</v>
      </c>
      <c r="H66" s="68">
        <v>30</v>
      </c>
      <c r="I66" s="55">
        <v>4</v>
      </c>
      <c r="J66" s="69">
        <f t="shared" si="0"/>
        <v>0.13333333333333333</v>
      </c>
      <c r="K66" s="90">
        <f t="shared" si="1"/>
        <v>4</v>
      </c>
      <c r="L66" s="94">
        <f t="shared" si="2"/>
        <v>0.13333333333333333</v>
      </c>
      <c r="N66"/>
      <c r="O66" s="8"/>
      <c r="P66"/>
      <c r="Q66" s="8"/>
    </row>
    <row r="67" spans="2:17" x14ac:dyDescent="0.25">
      <c r="B67" s="38">
        <v>3</v>
      </c>
      <c r="C67" s="39" t="s">
        <v>98</v>
      </c>
      <c r="D67" s="40" t="s">
        <v>99</v>
      </c>
      <c r="E67" s="219"/>
      <c r="F67" s="61" t="s">
        <v>259</v>
      </c>
      <c r="G67" s="63" t="s">
        <v>207</v>
      </c>
      <c r="H67" s="55">
        <v>30</v>
      </c>
      <c r="I67" s="70">
        <v>3</v>
      </c>
      <c r="J67" s="69">
        <f t="shared" si="0"/>
        <v>0.1</v>
      </c>
      <c r="K67" s="90">
        <f t="shared" si="1"/>
        <v>3</v>
      </c>
      <c r="L67" s="94">
        <f t="shared" si="2"/>
        <v>0.1</v>
      </c>
      <c r="N67"/>
      <c r="O67" s="8"/>
      <c r="P67"/>
      <c r="Q67" s="8"/>
    </row>
    <row r="68" spans="2:17" x14ac:dyDescent="0.25">
      <c r="B68" s="38">
        <v>3</v>
      </c>
      <c r="C68" s="39" t="s">
        <v>49</v>
      </c>
      <c r="D68" s="40" t="s">
        <v>50</v>
      </c>
      <c r="E68" s="219"/>
      <c r="F68" s="61" t="s">
        <v>260</v>
      </c>
      <c r="G68" s="63" t="s">
        <v>114</v>
      </c>
      <c r="H68" s="55">
        <v>30</v>
      </c>
      <c r="I68" s="55">
        <v>4</v>
      </c>
      <c r="J68" s="69">
        <f t="shared" si="0"/>
        <v>0.13333333333333333</v>
      </c>
      <c r="K68" s="90">
        <f t="shared" si="1"/>
        <v>4</v>
      </c>
      <c r="L68" s="94">
        <f t="shared" si="2"/>
        <v>0.13333333333333333</v>
      </c>
      <c r="N68"/>
      <c r="O68" s="8"/>
      <c r="P68"/>
      <c r="Q68" s="8"/>
    </row>
    <row r="69" spans="2:17" x14ac:dyDescent="0.25">
      <c r="B69" s="38">
        <v>3</v>
      </c>
      <c r="C69" s="39" t="s">
        <v>52</v>
      </c>
      <c r="D69" s="40" t="s">
        <v>53</v>
      </c>
      <c r="E69" s="219"/>
      <c r="F69" s="61" t="s">
        <v>261</v>
      </c>
      <c r="G69" s="62" t="s">
        <v>235</v>
      </c>
      <c r="H69" s="55">
        <v>30</v>
      </c>
      <c r="I69" s="55">
        <v>3</v>
      </c>
      <c r="J69" s="69">
        <f t="shared" si="0"/>
        <v>0.1</v>
      </c>
      <c r="K69" s="90">
        <f t="shared" si="1"/>
        <v>3</v>
      </c>
      <c r="L69" s="94">
        <f t="shared" si="2"/>
        <v>0.1</v>
      </c>
      <c r="N69"/>
      <c r="O69" s="8"/>
      <c r="P69"/>
      <c r="Q69" s="8"/>
    </row>
    <row r="70" spans="2:17" s="16" customFormat="1" x14ac:dyDescent="0.25">
      <c r="B70" s="38">
        <v>3</v>
      </c>
      <c r="C70" s="39" t="s">
        <v>55</v>
      </c>
      <c r="D70" s="40" t="s">
        <v>56</v>
      </c>
      <c r="E70" s="219"/>
      <c r="F70" s="61" t="s">
        <v>220</v>
      </c>
      <c r="G70" s="62" t="s">
        <v>114</v>
      </c>
      <c r="H70" s="55">
        <v>30</v>
      </c>
      <c r="I70" s="55">
        <v>3</v>
      </c>
      <c r="J70" s="69">
        <f t="shared" si="0"/>
        <v>0.1</v>
      </c>
      <c r="K70" s="90">
        <f t="shared" si="1"/>
        <v>3</v>
      </c>
      <c r="L70" s="94">
        <f t="shared" si="2"/>
        <v>0.1</v>
      </c>
      <c r="N70" s="41"/>
      <c r="P70" s="41"/>
    </row>
    <row r="71" spans="2:17" x14ac:dyDescent="0.25">
      <c r="B71" s="38">
        <v>5</v>
      </c>
      <c r="C71" s="39" t="s">
        <v>57</v>
      </c>
      <c r="D71" s="40" t="s">
        <v>58</v>
      </c>
      <c r="E71" s="219"/>
      <c r="F71" s="61" t="s">
        <v>262</v>
      </c>
      <c r="G71" s="62" t="s">
        <v>208</v>
      </c>
      <c r="H71" s="55">
        <v>30</v>
      </c>
      <c r="I71" s="55">
        <v>3</v>
      </c>
      <c r="J71" s="69">
        <f t="shared" si="0"/>
        <v>0.1</v>
      </c>
      <c r="K71" s="90">
        <f t="shared" si="1"/>
        <v>3</v>
      </c>
      <c r="L71" s="94">
        <f t="shared" si="2"/>
        <v>0.1</v>
      </c>
      <c r="N71"/>
      <c r="O71" s="8"/>
      <c r="P71"/>
      <c r="Q71" s="8"/>
    </row>
    <row r="72" spans="2:17" x14ac:dyDescent="0.25">
      <c r="B72" s="38">
        <v>5</v>
      </c>
      <c r="C72" s="39" t="s">
        <v>59</v>
      </c>
      <c r="D72" s="40" t="s">
        <v>60</v>
      </c>
      <c r="E72" s="219"/>
      <c r="F72" s="61" t="s">
        <v>263</v>
      </c>
      <c r="G72" s="62" t="s">
        <v>234</v>
      </c>
      <c r="H72" s="55">
        <v>30</v>
      </c>
      <c r="I72" s="55">
        <v>3</v>
      </c>
      <c r="J72" s="69">
        <f t="shared" si="0"/>
        <v>0.1</v>
      </c>
      <c r="K72" s="90">
        <f t="shared" si="1"/>
        <v>3</v>
      </c>
      <c r="L72" s="94">
        <f t="shared" si="2"/>
        <v>0.1</v>
      </c>
      <c r="N72"/>
      <c r="O72" s="8"/>
      <c r="P72"/>
      <c r="Q72" s="8"/>
    </row>
    <row r="73" spans="2:17" x14ac:dyDescent="0.25">
      <c r="B73" s="42">
        <v>8</v>
      </c>
      <c r="C73" s="43" t="s">
        <v>61</v>
      </c>
      <c r="D73" s="44" t="s">
        <v>62</v>
      </c>
      <c r="E73" s="220"/>
      <c r="F73" s="64" t="s">
        <v>264</v>
      </c>
      <c r="G73" s="65" t="s">
        <v>114</v>
      </c>
      <c r="H73" s="56">
        <v>30</v>
      </c>
      <c r="I73" s="56">
        <v>3</v>
      </c>
      <c r="J73" s="72">
        <f t="shared" si="0"/>
        <v>0.1</v>
      </c>
      <c r="K73" s="91">
        <f t="shared" si="1"/>
        <v>3</v>
      </c>
      <c r="L73" s="96">
        <f t="shared" si="2"/>
        <v>0.1</v>
      </c>
      <c r="N73"/>
      <c r="O73" s="8"/>
      <c r="P73"/>
      <c r="Q73" s="8"/>
    </row>
    <row r="74" spans="2:17" x14ac:dyDescent="0.25">
      <c r="B74" s="35">
        <v>3</v>
      </c>
      <c r="C74" s="36" t="s">
        <v>43</v>
      </c>
      <c r="D74" s="37" t="s">
        <v>44</v>
      </c>
      <c r="E74" s="218" t="s">
        <v>116</v>
      </c>
      <c r="F74" s="59" t="s">
        <v>232</v>
      </c>
      <c r="G74" s="60" t="s">
        <v>109</v>
      </c>
      <c r="H74" s="136">
        <v>20</v>
      </c>
      <c r="I74" s="136">
        <v>3</v>
      </c>
      <c r="J74" s="71">
        <f t="shared" si="0"/>
        <v>0.15</v>
      </c>
      <c r="K74" s="103">
        <f t="shared" si="1"/>
        <v>3</v>
      </c>
      <c r="L74" s="95">
        <f t="shared" si="2"/>
        <v>0.15</v>
      </c>
      <c r="N74"/>
      <c r="O74" s="8"/>
      <c r="P74"/>
      <c r="Q74" s="8"/>
    </row>
    <row r="75" spans="2:17" x14ac:dyDescent="0.25">
      <c r="B75" s="38">
        <v>3</v>
      </c>
      <c r="C75" s="39" t="s">
        <v>46</v>
      </c>
      <c r="D75" s="40" t="s">
        <v>47</v>
      </c>
      <c r="E75" s="219"/>
      <c r="F75" s="61" t="s">
        <v>265</v>
      </c>
      <c r="G75" s="61" t="s">
        <v>110</v>
      </c>
      <c r="H75" s="68">
        <v>14</v>
      </c>
      <c r="I75" s="55">
        <v>2</v>
      </c>
      <c r="J75" s="69">
        <f t="shared" si="0"/>
        <v>0.14285714285714285</v>
      </c>
      <c r="K75" s="90">
        <f t="shared" si="1"/>
        <v>2</v>
      </c>
      <c r="L75" s="94">
        <f t="shared" si="2"/>
        <v>0.14285714285714285</v>
      </c>
      <c r="N75"/>
      <c r="O75" s="8"/>
      <c r="P75"/>
      <c r="Q75" s="8"/>
    </row>
    <row r="76" spans="2:17" x14ac:dyDescent="0.25">
      <c r="B76" s="38">
        <v>3</v>
      </c>
      <c r="C76" s="39" t="s">
        <v>98</v>
      </c>
      <c r="D76" s="40" t="s">
        <v>99</v>
      </c>
      <c r="E76" s="219"/>
      <c r="F76" s="61" t="s">
        <v>233</v>
      </c>
      <c r="G76" s="63" t="s">
        <v>187</v>
      </c>
      <c r="H76" s="55">
        <v>28</v>
      </c>
      <c r="I76" s="70">
        <v>5</v>
      </c>
      <c r="J76" s="69">
        <f t="shared" si="0"/>
        <v>0.17857142857142858</v>
      </c>
      <c r="K76" s="90">
        <f t="shared" si="1"/>
        <v>5</v>
      </c>
      <c r="L76" s="94">
        <f t="shared" si="2"/>
        <v>0.17857142857142858</v>
      </c>
      <c r="N76"/>
      <c r="O76" s="8"/>
      <c r="P76"/>
      <c r="Q76" s="8"/>
    </row>
    <row r="77" spans="2:17" x14ac:dyDescent="0.25">
      <c r="B77" s="38">
        <v>3</v>
      </c>
      <c r="C77" s="39" t="s">
        <v>49</v>
      </c>
      <c r="D77" s="40" t="s">
        <v>50</v>
      </c>
      <c r="E77" s="219"/>
      <c r="F77" s="61" t="s">
        <v>266</v>
      </c>
      <c r="G77" s="63" t="s">
        <v>185</v>
      </c>
      <c r="H77" s="55">
        <v>16</v>
      </c>
      <c r="I77" s="55">
        <v>3</v>
      </c>
      <c r="J77" s="69">
        <f t="shared" si="0"/>
        <v>0.1875</v>
      </c>
      <c r="K77" s="90">
        <f t="shared" si="1"/>
        <v>3</v>
      </c>
      <c r="L77" s="94">
        <f t="shared" si="2"/>
        <v>0.1875</v>
      </c>
      <c r="N77"/>
      <c r="O77" s="8"/>
      <c r="P77"/>
      <c r="Q77" s="8"/>
    </row>
    <row r="78" spans="2:17" x14ac:dyDescent="0.25">
      <c r="B78" s="38">
        <v>3</v>
      </c>
      <c r="C78" s="39" t="s">
        <v>52</v>
      </c>
      <c r="D78" s="40" t="s">
        <v>53</v>
      </c>
      <c r="E78" s="219"/>
      <c r="F78" s="61" t="s">
        <v>267</v>
      </c>
      <c r="G78" s="62" t="s">
        <v>111</v>
      </c>
      <c r="H78" s="55">
        <v>16</v>
      </c>
      <c r="I78" s="55">
        <v>3</v>
      </c>
      <c r="J78" s="69">
        <f t="shared" si="0"/>
        <v>0.1875</v>
      </c>
      <c r="K78" s="90">
        <f t="shared" si="1"/>
        <v>3</v>
      </c>
      <c r="L78" s="94">
        <f t="shared" si="2"/>
        <v>0.1875</v>
      </c>
      <c r="N78"/>
      <c r="O78" s="8"/>
      <c r="P78"/>
      <c r="Q78" s="8"/>
    </row>
    <row r="79" spans="2:17" s="16" customFormat="1" x14ac:dyDescent="0.25">
      <c r="B79" s="38">
        <v>3</v>
      </c>
      <c r="C79" s="39" t="s">
        <v>55</v>
      </c>
      <c r="D79" s="40" t="s">
        <v>56</v>
      </c>
      <c r="E79" s="219"/>
      <c r="F79" s="61" t="s">
        <v>112</v>
      </c>
      <c r="G79" s="62" t="s">
        <v>188</v>
      </c>
      <c r="H79" s="55">
        <v>12</v>
      </c>
      <c r="I79" s="55">
        <v>2</v>
      </c>
      <c r="J79" s="69">
        <f t="shared" ref="J79:J142" si="3">IFERROR(I79/H79,0)</f>
        <v>0.16666666666666666</v>
      </c>
      <c r="K79" s="90">
        <f t="shared" ref="K79:K142" si="4">+I79</f>
        <v>2</v>
      </c>
      <c r="L79" s="94">
        <f t="shared" ref="L79:L142" si="5">IFERROR(K79/H79,0)</f>
        <v>0.16666666666666666</v>
      </c>
      <c r="N79" s="41"/>
      <c r="P79" s="41"/>
    </row>
    <row r="80" spans="2:17" x14ac:dyDescent="0.25">
      <c r="B80" s="38">
        <v>5</v>
      </c>
      <c r="C80" s="39" t="s">
        <v>57</v>
      </c>
      <c r="D80" s="40" t="s">
        <v>58</v>
      </c>
      <c r="E80" s="219"/>
      <c r="F80" s="73" t="s">
        <v>268</v>
      </c>
      <c r="G80" s="62" t="s">
        <v>113</v>
      </c>
      <c r="H80" s="55">
        <v>24</v>
      </c>
      <c r="I80" s="55">
        <v>4</v>
      </c>
      <c r="J80" s="69">
        <f t="shared" si="3"/>
        <v>0.16666666666666666</v>
      </c>
      <c r="K80" s="90">
        <f t="shared" si="4"/>
        <v>4</v>
      </c>
      <c r="L80" s="94">
        <f t="shared" si="5"/>
        <v>0.16666666666666666</v>
      </c>
      <c r="N80"/>
      <c r="O80" s="8"/>
      <c r="P80"/>
      <c r="Q80" s="8"/>
    </row>
    <row r="81" spans="2:17" x14ac:dyDescent="0.25">
      <c r="B81" s="38">
        <v>5</v>
      </c>
      <c r="C81" s="39" t="s">
        <v>59</v>
      </c>
      <c r="D81" s="40" t="s">
        <v>60</v>
      </c>
      <c r="E81" s="219"/>
      <c r="F81" s="61" t="s">
        <v>269</v>
      </c>
      <c r="G81" s="62" t="s">
        <v>189</v>
      </c>
      <c r="H81" s="55">
        <v>26</v>
      </c>
      <c r="I81" s="55">
        <v>4</v>
      </c>
      <c r="J81" s="69">
        <f t="shared" si="3"/>
        <v>0.15384615384615385</v>
      </c>
      <c r="K81" s="90">
        <f t="shared" si="4"/>
        <v>4</v>
      </c>
      <c r="L81" s="94">
        <f t="shared" si="5"/>
        <v>0.15384615384615385</v>
      </c>
      <c r="N81"/>
      <c r="O81" s="8"/>
      <c r="P81"/>
      <c r="Q81" s="8"/>
    </row>
    <row r="82" spans="2:17" x14ac:dyDescent="0.25">
      <c r="B82" s="42">
        <v>8</v>
      </c>
      <c r="C82" s="43" t="s">
        <v>61</v>
      </c>
      <c r="D82" s="44" t="s">
        <v>62</v>
      </c>
      <c r="E82" s="220"/>
      <c r="F82" s="64" t="s">
        <v>270</v>
      </c>
      <c r="G82" s="65" t="s">
        <v>190</v>
      </c>
      <c r="H82" s="56">
        <v>24</v>
      </c>
      <c r="I82" s="56">
        <v>4</v>
      </c>
      <c r="J82" s="72">
        <f t="shared" si="3"/>
        <v>0.16666666666666666</v>
      </c>
      <c r="K82" s="91">
        <f t="shared" si="4"/>
        <v>4</v>
      </c>
      <c r="L82" s="96">
        <f t="shared" si="5"/>
        <v>0.16666666666666666</v>
      </c>
      <c r="N82"/>
      <c r="O82" s="8"/>
      <c r="P82"/>
      <c r="Q82" s="8"/>
    </row>
    <row r="83" spans="2:17" x14ac:dyDescent="0.25">
      <c r="B83" s="35">
        <v>3</v>
      </c>
      <c r="C83" s="36" t="s">
        <v>43</v>
      </c>
      <c r="D83" s="37" t="s">
        <v>44</v>
      </c>
      <c r="E83" s="218" t="s">
        <v>117</v>
      </c>
      <c r="F83" s="60" t="s">
        <v>213</v>
      </c>
      <c r="G83" s="60" t="s">
        <v>169</v>
      </c>
      <c r="H83" s="136">
        <v>30</v>
      </c>
      <c r="I83" s="136">
        <v>3</v>
      </c>
      <c r="J83" s="71">
        <f t="shared" si="3"/>
        <v>0.1</v>
      </c>
      <c r="K83" s="103">
        <f t="shared" si="4"/>
        <v>3</v>
      </c>
      <c r="L83" s="95">
        <f t="shared" si="5"/>
        <v>0.1</v>
      </c>
      <c r="N83"/>
      <c r="O83" s="8"/>
      <c r="P83"/>
      <c r="Q83" s="8"/>
    </row>
    <row r="84" spans="2:17" x14ac:dyDescent="0.25">
      <c r="B84" s="38">
        <v>3</v>
      </c>
      <c r="C84" s="39" t="s">
        <v>46</v>
      </c>
      <c r="D84" s="40" t="s">
        <v>47</v>
      </c>
      <c r="E84" s="219"/>
      <c r="F84" s="74" t="s">
        <v>860</v>
      </c>
      <c r="G84" s="74" t="s">
        <v>861</v>
      </c>
      <c r="H84" s="68">
        <v>30</v>
      </c>
      <c r="I84" s="55">
        <v>3</v>
      </c>
      <c r="J84" s="69">
        <f t="shared" si="3"/>
        <v>0.1</v>
      </c>
      <c r="K84" s="90">
        <f t="shared" si="4"/>
        <v>3</v>
      </c>
      <c r="L84" s="94">
        <f t="shared" si="5"/>
        <v>0.1</v>
      </c>
      <c r="N84"/>
      <c r="O84" s="8"/>
      <c r="P84"/>
      <c r="Q84" s="8"/>
    </row>
    <row r="85" spans="2:17" x14ac:dyDescent="0.25">
      <c r="B85" s="38">
        <v>3</v>
      </c>
      <c r="C85" s="39" t="s">
        <v>98</v>
      </c>
      <c r="D85" s="40" t="s">
        <v>99</v>
      </c>
      <c r="E85" s="219"/>
      <c r="F85" s="62" t="s">
        <v>862</v>
      </c>
      <c r="G85" s="62" t="s">
        <v>169</v>
      </c>
      <c r="H85" s="55">
        <v>30</v>
      </c>
      <c r="I85" s="70">
        <v>3</v>
      </c>
      <c r="J85" s="69">
        <f t="shared" si="3"/>
        <v>0.1</v>
      </c>
      <c r="K85" s="90">
        <f t="shared" si="4"/>
        <v>3</v>
      </c>
      <c r="L85" s="94">
        <f t="shared" si="5"/>
        <v>0.1</v>
      </c>
      <c r="N85"/>
      <c r="O85" s="8"/>
      <c r="P85"/>
      <c r="Q85" s="8"/>
    </row>
    <row r="86" spans="2:17" x14ac:dyDescent="0.25">
      <c r="B86" s="38">
        <v>3</v>
      </c>
      <c r="C86" s="39" t="s">
        <v>49</v>
      </c>
      <c r="D86" s="40" t="s">
        <v>50</v>
      </c>
      <c r="E86" s="219"/>
      <c r="F86" s="62" t="s">
        <v>213</v>
      </c>
      <c r="G86" s="62" t="s">
        <v>169</v>
      </c>
      <c r="H86" s="55">
        <v>30</v>
      </c>
      <c r="I86" s="55">
        <v>3</v>
      </c>
      <c r="J86" s="69">
        <f t="shared" si="3"/>
        <v>0.1</v>
      </c>
      <c r="K86" s="90">
        <f t="shared" si="4"/>
        <v>3</v>
      </c>
      <c r="L86" s="94">
        <f t="shared" si="5"/>
        <v>0.1</v>
      </c>
      <c r="N86"/>
      <c r="O86" s="8"/>
      <c r="P86"/>
      <c r="Q86" s="8"/>
    </row>
    <row r="87" spans="2:17" x14ac:dyDescent="0.25">
      <c r="B87" s="38">
        <v>3</v>
      </c>
      <c r="C87" s="39" t="s">
        <v>52</v>
      </c>
      <c r="D87" s="40" t="s">
        <v>53</v>
      </c>
      <c r="E87" s="219"/>
      <c r="F87" s="62" t="s">
        <v>214</v>
      </c>
      <c r="G87" s="62" t="s">
        <v>191</v>
      </c>
      <c r="H87" s="55">
        <v>30</v>
      </c>
      <c r="I87" s="55">
        <v>3</v>
      </c>
      <c r="J87" s="69">
        <f t="shared" si="3"/>
        <v>0.1</v>
      </c>
      <c r="K87" s="90">
        <f t="shared" si="4"/>
        <v>3</v>
      </c>
      <c r="L87" s="94">
        <f t="shared" si="5"/>
        <v>0.1</v>
      </c>
      <c r="N87"/>
      <c r="O87" s="8"/>
      <c r="P87"/>
      <c r="Q87" s="8"/>
    </row>
    <row r="88" spans="2:17" s="16" customFormat="1" x14ac:dyDescent="0.25">
      <c r="B88" s="38">
        <v>3</v>
      </c>
      <c r="C88" s="39" t="s">
        <v>55</v>
      </c>
      <c r="D88" s="40" t="s">
        <v>56</v>
      </c>
      <c r="E88" s="219"/>
      <c r="F88" s="62" t="s">
        <v>215</v>
      </c>
      <c r="G88" s="62" t="s">
        <v>192</v>
      </c>
      <c r="H88" s="55">
        <v>30</v>
      </c>
      <c r="I88" s="55">
        <v>3</v>
      </c>
      <c r="J88" s="69">
        <f t="shared" si="3"/>
        <v>0.1</v>
      </c>
      <c r="K88" s="90">
        <f t="shared" si="4"/>
        <v>3</v>
      </c>
      <c r="L88" s="94">
        <f t="shared" si="5"/>
        <v>0.1</v>
      </c>
      <c r="N88" s="41"/>
      <c r="P88" s="41"/>
    </row>
    <row r="89" spans="2:17" x14ac:dyDescent="0.25">
      <c r="B89" s="38">
        <v>5</v>
      </c>
      <c r="C89" s="39" t="s">
        <v>57</v>
      </c>
      <c r="D89" s="40" t="s">
        <v>58</v>
      </c>
      <c r="E89" s="219"/>
      <c r="F89" s="62" t="s">
        <v>216</v>
      </c>
      <c r="G89" s="62" t="s">
        <v>193</v>
      </c>
      <c r="H89" s="55">
        <v>30</v>
      </c>
      <c r="I89" s="55">
        <v>4</v>
      </c>
      <c r="J89" s="69">
        <f t="shared" si="3"/>
        <v>0.13333333333333333</v>
      </c>
      <c r="K89" s="90">
        <f t="shared" si="4"/>
        <v>4</v>
      </c>
      <c r="L89" s="94">
        <f t="shared" si="5"/>
        <v>0.13333333333333333</v>
      </c>
      <c r="N89"/>
      <c r="O89" s="8"/>
      <c r="P89"/>
      <c r="Q89" s="8"/>
    </row>
    <row r="90" spans="2:17" x14ac:dyDescent="0.25">
      <c r="B90" s="38">
        <v>5</v>
      </c>
      <c r="C90" s="39" t="s">
        <v>59</v>
      </c>
      <c r="D90" s="40" t="s">
        <v>60</v>
      </c>
      <c r="E90" s="219"/>
      <c r="F90" s="62" t="s">
        <v>194</v>
      </c>
      <c r="G90" s="62" t="s">
        <v>195</v>
      </c>
      <c r="H90" s="55">
        <v>30</v>
      </c>
      <c r="I90" s="55">
        <v>4</v>
      </c>
      <c r="J90" s="69">
        <f t="shared" si="3"/>
        <v>0.13333333333333333</v>
      </c>
      <c r="K90" s="90">
        <f t="shared" si="4"/>
        <v>4</v>
      </c>
      <c r="L90" s="94">
        <f t="shared" si="5"/>
        <v>0.13333333333333333</v>
      </c>
      <c r="N90"/>
      <c r="O90" s="8"/>
      <c r="P90"/>
      <c r="Q90" s="8"/>
    </row>
    <row r="91" spans="2:17" x14ac:dyDescent="0.25">
      <c r="B91" s="42">
        <v>8</v>
      </c>
      <c r="C91" s="43" t="s">
        <v>61</v>
      </c>
      <c r="D91" s="44" t="s">
        <v>62</v>
      </c>
      <c r="E91" s="220"/>
      <c r="F91" s="65" t="s">
        <v>196</v>
      </c>
      <c r="G91" s="65" t="s">
        <v>206</v>
      </c>
      <c r="H91" s="56">
        <v>30</v>
      </c>
      <c r="I91" s="56">
        <v>4</v>
      </c>
      <c r="J91" s="72">
        <f t="shared" si="3"/>
        <v>0.13333333333333333</v>
      </c>
      <c r="K91" s="91">
        <f t="shared" si="4"/>
        <v>4</v>
      </c>
      <c r="L91" s="96">
        <f t="shared" si="5"/>
        <v>0.13333333333333333</v>
      </c>
      <c r="N91"/>
      <c r="O91" s="8"/>
      <c r="P91"/>
      <c r="Q91" s="8"/>
    </row>
    <row r="92" spans="2:17" x14ac:dyDescent="0.25">
      <c r="B92" s="35">
        <v>3</v>
      </c>
      <c r="C92" s="36" t="s">
        <v>43</v>
      </c>
      <c r="D92" s="37" t="s">
        <v>44</v>
      </c>
      <c r="E92" s="228" t="s">
        <v>179</v>
      </c>
      <c r="F92" s="59" t="s">
        <v>45</v>
      </c>
      <c r="G92" s="59" t="s">
        <v>180</v>
      </c>
      <c r="H92" s="136">
        <v>18</v>
      </c>
      <c r="I92" s="136">
        <v>3</v>
      </c>
      <c r="J92" s="71">
        <f t="shared" si="3"/>
        <v>0.16666666666666666</v>
      </c>
      <c r="K92" s="103">
        <f t="shared" si="4"/>
        <v>3</v>
      </c>
      <c r="L92" s="95">
        <f t="shared" si="5"/>
        <v>0.16666666666666666</v>
      </c>
      <c r="N92"/>
      <c r="O92" s="8"/>
      <c r="P92"/>
      <c r="Q92" s="8"/>
    </row>
    <row r="93" spans="2:17" x14ac:dyDescent="0.25">
      <c r="B93" s="38">
        <v>3</v>
      </c>
      <c r="C93" s="39" t="s">
        <v>46</v>
      </c>
      <c r="D93" s="40" t="s">
        <v>47</v>
      </c>
      <c r="E93" s="229"/>
      <c r="F93" s="61" t="s">
        <v>48</v>
      </c>
      <c r="G93" s="61" t="s">
        <v>181</v>
      </c>
      <c r="H93" s="68">
        <v>16</v>
      </c>
      <c r="I93" s="55">
        <v>3</v>
      </c>
      <c r="J93" s="69">
        <f t="shared" si="3"/>
        <v>0.1875</v>
      </c>
      <c r="K93" s="90">
        <f t="shared" si="4"/>
        <v>3</v>
      </c>
      <c r="L93" s="94">
        <f t="shared" si="5"/>
        <v>0.1875</v>
      </c>
      <c r="N93"/>
      <c r="O93" s="8"/>
      <c r="P93"/>
      <c r="Q93" s="8"/>
    </row>
    <row r="94" spans="2:17" x14ac:dyDescent="0.25">
      <c r="B94" s="38">
        <v>3</v>
      </c>
      <c r="C94" s="39" t="s">
        <v>98</v>
      </c>
      <c r="D94" s="40" t="s">
        <v>99</v>
      </c>
      <c r="E94" s="229"/>
      <c r="F94" s="61" t="s">
        <v>48</v>
      </c>
      <c r="G94" s="61" t="s">
        <v>197</v>
      </c>
      <c r="H94" s="55">
        <v>16</v>
      </c>
      <c r="I94" s="70">
        <v>2</v>
      </c>
      <c r="J94" s="69">
        <f t="shared" si="3"/>
        <v>0.125</v>
      </c>
      <c r="K94" s="90">
        <f t="shared" si="4"/>
        <v>2</v>
      </c>
      <c r="L94" s="94">
        <f t="shared" si="5"/>
        <v>0.125</v>
      </c>
      <c r="N94"/>
      <c r="O94" s="8"/>
      <c r="P94"/>
      <c r="Q94" s="8"/>
    </row>
    <row r="95" spans="2:17" x14ac:dyDescent="0.25">
      <c r="B95" s="38">
        <v>3</v>
      </c>
      <c r="C95" s="39" t="s">
        <v>49</v>
      </c>
      <c r="D95" s="40" t="s">
        <v>50</v>
      </c>
      <c r="E95" s="229"/>
      <c r="F95" s="61" t="s">
        <v>51</v>
      </c>
      <c r="G95" s="61" t="s">
        <v>197</v>
      </c>
      <c r="H95" s="55">
        <v>16</v>
      </c>
      <c r="I95" s="55">
        <v>2</v>
      </c>
      <c r="J95" s="69">
        <f t="shared" si="3"/>
        <v>0.125</v>
      </c>
      <c r="K95" s="90">
        <f t="shared" si="4"/>
        <v>2</v>
      </c>
      <c r="L95" s="94">
        <f t="shared" si="5"/>
        <v>0.125</v>
      </c>
      <c r="N95"/>
      <c r="O95" s="8"/>
      <c r="P95"/>
      <c r="Q95" s="8"/>
    </row>
    <row r="96" spans="2:17" x14ac:dyDescent="0.25">
      <c r="B96" s="38">
        <v>3</v>
      </c>
      <c r="C96" s="39" t="s">
        <v>52</v>
      </c>
      <c r="D96" s="40" t="s">
        <v>53</v>
      </c>
      <c r="E96" s="229"/>
      <c r="F96" s="61" t="s">
        <v>54</v>
      </c>
      <c r="G96" s="61" t="s">
        <v>198</v>
      </c>
      <c r="H96" s="55">
        <v>16</v>
      </c>
      <c r="I96" s="55">
        <v>2</v>
      </c>
      <c r="J96" s="69">
        <f t="shared" si="3"/>
        <v>0.125</v>
      </c>
      <c r="K96" s="90">
        <f t="shared" si="4"/>
        <v>2</v>
      </c>
      <c r="L96" s="94">
        <f t="shared" si="5"/>
        <v>0.125</v>
      </c>
      <c r="N96"/>
      <c r="O96" s="8"/>
      <c r="P96"/>
      <c r="Q96" s="8"/>
    </row>
    <row r="97" spans="2:17" x14ac:dyDescent="0.25">
      <c r="B97" s="38">
        <v>3</v>
      </c>
      <c r="C97" s="39" t="s">
        <v>55</v>
      </c>
      <c r="D97" s="40" t="s">
        <v>56</v>
      </c>
      <c r="E97" s="229"/>
      <c r="F97" s="61" t="s">
        <v>54</v>
      </c>
      <c r="G97" s="129" t="s">
        <v>244</v>
      </c>
      <c r="H97" s="55">
        <v>16</v>
      </c>
      <c r="I97" s="55">
        <v>3</v>
      </c>
      <c r="J97" s="69">
        <f t="shared" si="3"/>
        <v>0.1875</v>
      </c>
      <c r="K97" s="90">
        <f t="shared" si="4"/>
        <v>3</v>
      </c>
      <c r="L97" s="94">
        <f t="shared" si="5"/>
        <v>0.1875</v>
      </c>
      <c r="N97"/>
      <c r="O97" s="8"/>
      <c r="P97"/>
      <c r="Q97" s="8"/>
    </row>
    <row r="98" spans="2:17" x14ac:dyDescent="0.25">
      <c r="B98" s="38">
        <v>5</v>
      </c>
      <c r="C98" s="39" t="s">
        <v>57</v>
      </c>
      <c r="D98" s="40" t="s">
        <v>58</v>
      </c>
      <c r="E98" s="229"/>
      <c r="F98" s="127" t="s">
        <v>54</v>
      </c>
      <c r="G98" s="61" t="s">
        <v>244</v>
      </c>
      <c r="H98" s="128">
        <v>16</v>
      </c>
      <c r="I98" s="55">
        <v>3</v>
      </c>
      <c r="J98" s="69">
        <f t="shared" si="3"/>
        <v>0.1875</v>
      </c>
      <c r="K98" s="90">
        <f t="shared" si="4"/>
        <v>3</v>
      </c>
      <c r="L98" s="94">
        <f t="shared" si="5"/>
        <v>0.1875</v>
      </c>
      <c r="N98"/>
      <c r="O98" s="8"/>
      <c r="P98"/>
      <c r="Q98" s="8"/>
    </row>
    <row r="99" spans="2:17" s="16" customFormat="1" x14ac:dyDescent="0.25">
      <c r="B99" s="38">
        <v>5</v>
      </c>
      <c r="C99" s="39" t="s">
        <v>118</v>
      </c>
      <c r="D99" s="40" t="s">
        <v>119</v>
      </c>
      <c r="E99" s="229"/>
      <c r="F99" s="61" t="s">
        <v>54</v>
      </c>
      <c r="G99" s="130" t="s">
        <v>180</v>
      </c>
      <c r="H99" s="55">
        <v>16</v>
      </c>
      <c r="I99" s="55">
        <v>3</v>
      </c>
      <c r="J99" s="69">
        <f t="shared" si="3"/>
        <v>0.1875</v>
      </c>
      <c r="K99" s="90">
        <f t="shared" si="4"/>
        <v>3</v>
      </c>
      <c r="L99" s="94">
        <f t="shared" si="5"/>
        <v>0.1875</v>
      </c>
      <c r="N99" s="41"/>
      <c r="P99" s="41"/>
    </row>
    <row r="100" spans="2:17" x14ac:dyDescent="0.25">
      <c r="B100" s="38">
        <v>5</v>
      </c>
      <c r="C100" s="39" t="s">
        <v>120</v>
      </c>
      <c r="D100" s="40" t="s">
        <v>121</v>
      </c>
      <c r="E100" s="229"/>
      <c r="F100" s="61" t="s">
        <v>54</v>
      </c>
      <c r="G100" s="61" t="s">
        <v>245</v>
      </c>
      <c r="H100" s="68">
        <v>18</v>
      </c>
      <c r="I100" s="55">
        <v>3</v>
      </c>
      <c r="J100" s="69">
        <f t="shared" si="3"/>
        <v>0.16666666666666666</v>
      </c>
      <c r="K100" s="90">
        <f t="shared" si="4"/>
        <v>3</v>
      </c>
      <c r="L100" s="94">
        <f t="shared" si="5"/>
        <v>0.16666666666666666</v>
      </c>
      <c r="N100"/>
      <c r="O100" s="8"/>
      <c r="P100"/>
      <c r="Q100" s="8"/>
    </row>
    <row r="101" spans="2:17" x14ac:dyDescent="0.25">
      <c r="B101" s="38">
        <v>5</v>
      </c>
      <c r="C101" s="39" t="s">
        <v>122</v>
      </c>
      <c r="D101" s="40" t="s">
        <v>123</v>
      </c>
      <c r="E101" s="229"/>
      <c r="F101" s="61" t="s">
        <v>54</v>
      </c>
      <c r="G101" s="61" t="s">
        <v>246</v>
      </c>
      <c r="H101" s="55">
        <v>16</v>
      </c>
      <c r="I101" s="55">
        <v>3</v>
      </c>
      <c r="J101" s="69">
        <f t="shared" si="3"/>
        <v>0.1875</v>
      </c>
      <c r="K101" s="90">
        <f t="shared" si="4"/>
        <v>3</v>
      </c>
      <c r="L101" s="94">
        <f t="shared" si="5"/>
        <v>0.1875</v>
      </c>
      <c r="N101"/>
      <c r="O101" s="8"/>
      <c r="P101"/>
      <c r="Q101" s="8"/>
    </row>
    <row r="102" spans="2:17" x14ac:dyDescent="0.25">
      <c r="B102" s="42">
        <v>5</v>
      </c>
      <c r="C102" s="43" t="s">
        <v>59</v>
      </c>
      <c r="D102" s="44" t="s">
        <v>60</v>
      </c>
      <c r="E102" s="230"/>
      <c r="F102" s="64" t="s">
        <v>54</v>
      </c>
      <c r="G102" s="61" t="s">
        <v>246</v>
      </c>
      <c r="H102" s="56">
        <v>16</v>
      </c>
      <c r="I102" s="56">
        <v>3</v>
      </c>
      <c r="J102" s="72">
        <f t="shared" si="3"/>
        <v>0.1875</v>
      </c>
      <c r="K102" s="91">
        <f t="shared" si="4"/>
        <v>3</v>
      </c>
      <c r="L102" s="96">
        <f t="shared" si="5"/>
        <v>0.1875</v>
      </c>
      <c r="N102"/>
      <c r="O102" s="8"/>
      <c r="P102"/>
      <c r="Q102" s="8"/>
    </row>
    <row r="103" spans="2:17" x14ac:dyDescent="0.25">
      <c r="B103" s="35">
        <v>3</v>
      </c>
      <c r="C103" s="36" t="s">
        <v>43</v>
      </c>
      <c r="D103" s="37" t="s">
        <v>44</v>
      </c>
      <c r="E103" s="218" t="s">
        <v>124</v>
      </c>
      <c r="F103" s="59" t="s">
        <v>162</v>
      </c>
      <c r="G103" s="75" t="s">
        <v>160</v>
      </c>
      <c r="H103" s="136">
        <v>13</v>
      </c>
      <c r="I103" s="136">
        <v>2</v>
      </c>
      <c r="J103" s="71">
        <f t="shared" si="3"/>
        <v>0.15384615384615385</v>
      </c>
      <c r="K103" s="103">
        <f t="shared" si="4"/>
        <v>2</v>
      </c>
      <c r="L103" s="95">
        <f t="shared" si="5"/>
        <v>0.15384615384615385</v>
      </c>
      <c r="N103"/>
      <c r="O103" s="8"/>
      <c r="P103"/>
      <c r="Q103" s="8"/>
    </row>
    <row r="104" spans="2:17" x14ac:dyDescent="0.25">
      <c r="B104" s="38">
        <v>3</v>
      </c>
      <c r="C104" s="39" t="s">
        <v>46</v>
      </c>
      <c r="D104" s="40" t="s">
        <v>47</v>
      </c>
      <c r="E104" s="219"/>
      <c r="F104" s="61" t="s">
        <v>199</v>
      </c>
      <c r="G104" s="76" t="s">
        <v>161</v>
      </c>
      <c r="H104" s="68">
        <v>14</v>
      </c>
      <c r="I104" s="55">
        <v>2</v>
      </c>
      <c r="J104" s="69">
        <f t="shared" si="3"/>
        <v>0.14285714285714285</v>
      </c>
      <c r="K104" s="90">
        <f t="shared" si="4"/>
        <v>2</v>
      </c>
      <c r="L104" s="94">
        <f t="shared" si="5"/>
        <v>0.14285714285714285</v>
      </c>
      <c r="N104"/>
      <c r="O104" s="8"/>
      <c r="P104"/>
      <c r="Q104" s="8"/>
    </row>
    <row r="105" spans="2:17" x14ac:dyDescent="0.25">
      <c r="B105" s="38">
        <v>3</v>
      </c>
      <c r="C105" s="39" t="s">
        <v>98</v>
      </c>
      <c r="D105" s="40" t="s">
        <v>99</v>
      </c>
      <c r="E105" s="219"/>
      <c r="F105" s="61" t="s">
        <v>217</v>
      </c>
      <c r="G105" s="62" t="s">
        <v>160</v>
      </c>
      <c r="H105" s="55">
        <v>14</v>
      </c>
      <c r="I105" s="70">
        <v>2</v>
      </c>
      <c r="J105" s="69">
        <f t="shared" si="3"/>
        <v>0.14285714285714285</v>
      </c>
      <c r="K105" s="90">
        <f t="shared" si="4"/>
        <v>2</v>
      </c>
      <c r="L105" s="94">
        <f t="shared" si="5"/>
        <v>0.14285714285714285</v>
      </c>
      <c r="N105"/>
      <c r="O105" s="8"/>
      <c r="P105"/>
      <c r="Q105" s="8"/>
    </row>
    <row r="106" spans="2:17" x14ac:dyDescent="0.25">
      <c r="B106" s="38">
        <v>3</v>
      </c>
      <c r="C106" s="39" t="s">
        <v>49</v>
      </c>
      <c r="D106" s="40" t="s">
        <v>50</v>
      </c>
      <c r="E106" s="219"/>
      <c r="F106" s="61" t="s">
        <v>271</v>
      </c>
      <c r="G106" s="62" t="s">
        <v>160</v>
      </c>
      <c r="H106" s="55">
        <v>16</v>
      </c>
      <c r="I106" s="55">
        <v>2</v>
      </c>
      <c r="J106" s="69">
        <f t="shared" si="3"/>
        <v>0.125</v>
      </c>
      <c r="K106" s="90">
        <f t="shared" si="4"/>
        <v>2</v>
      </c>
      <c r="L106" s="94">
        <f t="shared" si="5"/>
        <v>0.125</v>
      </c>
      <c r="N106"/>
      <c r="O106" s="8"/>
      <c r="P106"/>
      <c r="Q106" s="8"/>
    </row>
    <row r="107" spans="2:17" x14ac:dyDescent="0.25">
      <c r="B107" s="38">
        <v>3</v>
      </c>
      <c r="C107" s="39" t="s">
        <v>52</v>
      </c>
      <c r="D107" s="40" t="s">
        <v>53</v>
      </c>
      <c r="E107" s="219"/>
      <c r="F107" s="61" t="s">
        <v>163</v>
      </c>
      <c r="G107" s="62" t="s">
        <v>160</v>
      </c>
      <c r="H107" s="55">
        <v>16</v>
      </c>
      <c r="I107" s="55">
        <v>2</v>
      </c>
      <c r="J107" s="69">
        <f t="shared" si="3"/>
        <v>0.125</v>
      </c>
      <c r="K107" s="90">
        <f t="shared" si="4"/>
        <v>2</v>
      </c>
      <c r="L107" s="94">
        <f t="shared" si="5"/>
        <v>0.125</v>
      </c>
      <c r="N107"/>
      <c r="O107" s="8"/>
      <c r="P107"/>
      <c r="Q107" s="8"/>
    </row>
    <row r="108" spans="2:17" x14ac:dyDescent="0.25">
      <c r="B108" s="38">
        <v>3</v>
      </c>
      <c r="C108" s="39" t="s">
        <v>55</v>
      </c>
      <c r="D108" s="40" t="s">
        <v>56</v>
      </c>
      <c r="E108" s="219"/>
      <c r="F108" s="61" t="s">
        <v>164</v>
      </c>
      <c r="G108" s="62" t="s">
        <v>160</v>
      </c>
      <c r="H108" s="55">
        <v>15</v>
      </c>
      <c r="I108" s="55">
        <v>3</v>
      </c>
      <c r="J108" s="69">
        <f t="shared" si="3"/>
        <v>0.2</v>
      </c>
      <c r="K108" s="90">
        <f t="shared" si="4"/>
        <v>3</v>
      </c>
      <c r="L108" s="94">
        <f t="shared" si="5"/>
        <v>0.2</v>
      </c>
      <c r="N108"/>
      <c r="O108" s="8"/>
      <c r="P108"/>
      <c r="Q108" s="8"/>
    </row>
    <row r="109" spans="2:17" x14ac:dyDescent="0.25">
      <c r="B109" s="38">
        <v>5</v>
      </c>
      <c r="C109" s="39" t="s">
        <v>57</v>
      </c>
      <c r="D109" s="40" t="s">
        <v>58</v>
      </c>
      <c r="E109" s="219"/>
      <c r="F109" s="61" t="s">
        <v>272</v>
      </c>
      <c r="G109" s="62" t="s">
        <v>160</v>
      </c>
      <c r="H109" s="55">
        <v>16</v>
      </c>
      <c r="I109" s="55">
        <v>3</v>
      </c>
      <c r="J109" s="69">
        <f t="shared" si="3"/>
        <v>0.1875</v>
      </c>
      <c r="K109" s="90">
        <f t="shared" si="4"/>
        <v>3</v>
      </c>
      <c r="L109" s="94">
        <f t="shared" si="5"/>
        <v>0.1875</v>
      </c>
      <c r="N109"/>
      <c r="O109" s="8"/>
      <c r="P109"/>
      <c r="Q109" s="8"/>
    </row>
    <row r="110" spans="2:17" s="16" customFormat="1" x14ac:dyDescent="0.25">
      <c r="B110" s="38">
        <v>5</v>
      </c>
      <c r="C110" s="39" t="s">
        <v>118</v>
      </c>
      <c r="D110" s="40" t="s">
        <v>119</v>
      </c>
      <c r="E110" s="219"/>
      <c r="F110" s="61" t="s">
        <v>165</v>
      </c>
      <c r="G110" s="62" t="s">
        <v>160</v>
      </c>
      <c r="H110" s="55">
        <v>16</v>
      </c>
      <c r="I110" s="55">
        <v>3</v>
      </c>
      <c r="J110" s="69">
        <f t="shared" si="3"/>
        <v>0.1875</v>
      </c>
      <c r="K110" s="90">
        <f t="shared" si="4"/>
        <v>3</v>
      </c>
      <c r="L110" s="94">
        <f t="shared" si="5"/>
        <v>0.1875</v>
      </c>
      <c r="N110" s="41"/>
      <c r="P110" s="41"/>
    </row>
    <row r="111" spans="2:17" x14ac:dyDescent="0.25">
      <c r="B111" s="38">
        <v>5</v>
      </c>
      <c r="C111" s="39" t="s">
        <v>120</v>
      </c>
      <c r="D111" s="40" t="s">
        <v>121</v>
      </c>
      <c r="E111" s="219"/>
      <c r="F111" s="61" t="s">
        <v>166</v>
      </c>
      <c r="G111" s="62" t="s">
        <v>160</v>
      </c>
      <c r="H111" s="68">
        <v>16</v>
      </c>
      <c r="I111" s="68">
        <v>3</v>
      </c>
      <c r="J111" s="69">
        <f t="shared" si="3"/>
        <v>0.1875</v>
      </c>
      <c r="K111" s="90">
        <f t="shared" si="4"/>
        <v>3</v>
      </c>
      <c r="L111" s="94">
        <f t="shared" si="5"/>
        <v>0.1875</v>
      </c>
      <c r="N111"/>
      <c r="O111" s="8"/>
      <c r="P111"/>
      <c r="Q111" s="8"/>
    </row>
    <row r="112" spans="2:17" x14ac:dyDescent="0.25">
      <c r="B112" s="38">
        <v>5</v>
      </c>
      <c r="C112" s="39" t="s">
        <v>122</v>
      </c>
      <c r="D112" s="40" t="s">
        <v>123</v>
      </c>
      <c r="E112" s="219"/>
      <c r="F112" s="61" t="s">
        <v>273</v>
      </c>
      <c r="G112" s="62" t="s">
        <v>160</v>
      </c>
      <c r="H112" s="68">
        <v>20</v>
      </c>
      <c r="I112" s="68">
        <v>4</v>
      </c>
      <c r="J112" s="69">
        <f t="shared" si="3"/>
        <v>0.2</v>
      </c>
      <c r="K112" s="90">
        <f t="shared" si="4"/>
        <v>4</v>
      </c>
      <c r="L112" s="94">
        <f t="shared" si="5"/>
        <v>0.2</v>
      </c>
      <c r="N112"/>
      <c r="O112" s="8"/>
      <c r="P112"/>
      <c r="Q112" s="8"/>
    </row>
    <row r="113" spans="2:17" x14ac:dyDescent="0.25">
      <c r="B113" s="42">
        <v>5</v>
      </c>
      <c r="C113" s="43" t="s">
        <v>59</v>
      </c>
      <c r="D113" s="44" t="s">
        <v>60</v>
      </c>
      <c r="E113" s="220"/>
      <c r="F113" s="64" t="s">
        <v>221</v>
      </c>
      <c r="G113" s="65" t="s">
        <v>160</v>
      </c>
      <c r="H113" s="56">
        <v>24</v>
      </c>
      <c r="I113" s="56">
        <v>4</v>
      </c>
      <c r="J113" s="72">
        <f t="shared" si="3"/>
        <v>0.16666666666666666</v>
      </c>
      <c r="K113" s="91">
        <f t="shared" si="4"/>
        <v>4</v>
      </c>
      <c r="L113" s="96">
        <f t="shared" si="5"/>
        <v>0.16666666666666666</v>
      </c>
      <c r="N113"/>
      <c r="O113" s="8"/>
      <c r="P113"/>
      <c r="Q113" s="8"/>
    </row>
    <row r="114" spans="2:17" x14ac:dyDescent="0.25">
      <c r="B114" s="46">
        <v>3</v>
      </c>
      <c r="C114" s="45" t="s">
        <v>43</v>
      </c>
      <c r="D114" s="47" t="s">
        <v>44</v>
      </c>
      <c r="E114" s="231" t="s">
        <v>128</v>
      </c>
      <c r="F114" s="59" t="s">
        <v>232</v>
      </c>
      <c r="G114" s="60" t="s">
        <v>125</v>
      </c>
      <c r="H114" s="136">
        <v>20</v>
      </c>
      <c r="I114" s="136">
        <v>2</v>
      </c>
      <c r="J114" s="71">
        <f t="shared" si="3"/>
        <v>0.1</v>
      </c>
      <c r="K114" s="103">
        <f t="shared" si="4"/>
        <v>2</v>
      </c>
      <c r="L114" s="95">
        <f t="shared" si="5"/>
        <v>0.1</v>
      </c>
      <c r="N114"/>
      <c r="O114" s="8"/>
      <c r="P114"/>
      <c r="Q114" s="8"/>
    </row>
    <row r="115" spans="2:17" x14ac:dyDescent="0.25">
      <c r="B115" s="38">
        <v>3</v>
      </c>
      <c r="C115" s="39" t="s">
        <v>46</v>
      </c>
      <c r="D115" s="40" t="s">
        <v>47</v>
      </c>
      <c r="E115" s="219"/>
      <c r="F115" s="61" t="s">
        <v>265</v>
      </c>
      <c r="G115" s="74" t="s">
        <v>200</v>
      </c>
      <c r="H115" s="68">
        <v>14</v>
      </c>
      <c r="I115" s="55">
        <v>3</v>
      </c>
      <c r="J115" s="69">
        <f t="shared" si="3"/>
        <v>0.21428571428571427</v>
      </c>
      <c r="K115" s="90">
        <f t="shared" si="4"/>
        <v>3</v>
      </c>
      <c r="L115" s="94">
        <f t="shared" si="5"/>
        <v>0.21428571428571427</v>
      </c>
      <c r="N115"/>
      <c r="O115" s="8"/>
      <c r="P115"/>
      <c r="Q115" s="8"/>
    </row>
    <row r="116" spans="2:17" x14ac:dyDescent="0.25">
      <c r="B116" s="38">
        <v>3</v>
      </c>
      <c r="C116" s="39" t="s">
        <v>98</v>
      </c>
      <c r="D116" s="40" t="s">
        <v>99</v>
      </c>
      <c r="E116" s="219"/>
      <c r="F116" s="61" t="s">
        <v>233</v>
      </c>
      <c r="G116" s="62" t="s">
        <v>125</v>
      </c>
      <c r="H116" s="55">
        <v>28</v>
      </c>
      <c r="I116" s="70">
        <v>4</v>
      </c>
      <c r="J116" s="69">
        <f t="shared" si="3"/>
        <v>0.14285714285714285</v>
      </c>
      <c r="K116" s="90">
        <f t="shared" si="4"/>
        <v>4</v>
      </c>
      <c r="L116" s="94">
        <f t="shared" si="5"/>
        <v>0.14285714285714285</v>
      </c>
      <c r="N116"/>
      <c r="O116" s="8"/>
      <c r="P116"/>
      <c r="Q116" s="8"/>
    </row>
    <row r="117" spans="2:17" x14ac:dyDescent="0.25">
      <c r="B117" s="38">
        <v>3</v>
      </c>
      <c r="C117" s="39" t="s">
        <v>49</v>
      </c>
      <c r="D117" s="40" t="s">
        <v>50</v>
      </c>
      <c r="E117" s="219"/>
      <c r="F117" s="61" t="s">
        <v>266</v>
      </c>
      <c r="G117" s="62" t="s">
        <v>125</v>
      </c>
      <c r="H117" s="55">
        <v>16</v>
      </c>
      <c r="I117" s="55">
        <v>3</v>
      </c>
      <c r="J117" s="69">
        <f t="shared" si="3"/>
        <v>0.1875</v>
      </c>
      <c r="K117" s="90">
        <f t="shared" si="4"/>
        <v>3</v>
      </c>
      <c r="L117" s="94">
        <f t="shared" si="5"/>
        <v>0.1875</v>
      </c>
      <c r="N117"/>
      <c r="O117" s="8"/>
      <c r="P117"/>
      <c r="Q117" s="8"/>
    </row>
    <row r="118" spans="2:17" x14ac:dyDescent="0.25">
      <c r="B118" s="38">
        <v>3</v>
      </c>
      <c r="C118" s="39" t="s">
        <v>52</v>
      </c>
      <c r="D118" s="40" t="s">
        <v>53</v>
      </c>
      <c r="E118" s="219"/>
      <c r="F118" s="61" t="s">
        <v>267</v>
      </c>
      <c r="G118" s="62" t="s">
        <v>209</v>
      </c>
      <c r="H118" s="55">
        <v>16</v>
      </c>
      <c r="I118" s="55">
        <v>3</v>
      </c>
      <c r="J118" s="69">
        <f t="shared" si="3"/>
        <v>0.1875</v>
      </c>
      <c r="K118" s="90">
        <f t="shared" si="4"/>
        <v>3</v>
      </c>
      <c r="L118" s="94">
        <f t="shared" si="5"/>
        <v>0.1875</v>
      </c>
      <c r="N118"/>
      <c r="O118" s="8"/>
      <c r="P118"/>
      <c r="Q118" s="8"/>
    </row>
    <row r="119" spans="2:17" s="16" customFormat="1" x14ac:dyDescent="0.25">
      <c r="B119" s="38">
        <v>3</v>
      </c>
      <c r="C119" s="39" t="s">
        <v>55</v>
      </c>
      <c r="D119" s="40" t="s">
        <v>56</v>
      </c>
      <c r="E119" s="219"/>
      <c r="F119" s="61" t="s">
        <v>112</v>
      </c>
      <c r="G119" s="62" t="s">
        <v>126</v>
      </c>
      <c r="H119" s="55">
        <v>12</v>
      </c>
      <c r="I119" s="55">
        <v>3</v>
      </c>
      <c r="J119" s="69">
        <f t="shared" si="3"/>
        <v>0.25</v>
      </c>
      <c r="K119" s="90">
        <f t="shared" si="4"/>
        <v>3</v>
      </c>
      <c r="L119" s="94">
        <f t="shared" si="5"/>
        <v>0.25</v>
      </c>
      <c r="N119" s="41"/>
      <c r="P119" s="41"/>
    </row>
    <row r="120" spans="2:17" x14ac:dyDescent="0.25">
      <c r="B120" s="38">
        <v>5</v>
      </c>
      <c r="C120" s="39" t="s">
        <v>57</v>
      </c>
      <c r="D120" s="40" t="s">
        <v>58</v>
      </c>
      <c r="E120" s="219"/>
      <c r="F120" s="73" t="s">
        <v>268</v>
      </c>
      <c r="G120" s="62" t="s">
        <v>126</v>
      </c>
      <c r="H120" s="55">
        <v>24</v>
      </c>
      <c r="I120" s="55">
        <v>4</v>
      </c>
      <c r="J120" s="69">
        <f t="shared" si="3"/>
        <v>0.16666666666666666</v>
      </c>
      <c r="K120" s="90">
        <f t="shared" si="4"/>
        <v>4</v>
      </c>
      <c r="L120" s="94">
        <f t="shared" si="5"/>
        <v>0.16666666666666666</v>
      </c>
      <c r="N120"/>
      <c r="O120" s="8"/>
      <c r="P120"/>
      <c r="Q120" s="8"/>
    </row>
    <row r="121" spans="2:17" x14ac:dyDescent="0.25">
      <c r="B121" s="38">
        <v>5</v>
      </c>
      <c r="C121" s="39" t="s">
        <v>59</v>
      </c>
      <c r="D121" s="40" t="s">
        <v>60</v>
      </c>
      <c r="E121" s="219"/>
      <c r="F121" s="61" t="s">
        <v>269</v>
      </c>
      <c r="G121" s="62" t="s">
        <v>210</v>
      </c>
      <c r="H121" s="55">
        <v>26</v>
      </c>
      <c r="I121" s="55">
        <v>4</v>
      </c>
      <c r="J121" s="69">
        <f t="shared" si="3"/>
        <v>0.15384615384615385</v>
      </c>
      <c r="K121" s="90">
        <f t="shared" si="4"/>
        <v>4</v>
      </c>
      <c r="L121" s="94">
        <f t="shared" si="5"/>
        <v>0.15384615384615385</v>
      </c>
      <c r="N121"/>
      <c r="O121" s="8"/>
      <c r="P121"/>
      <c r="Q121" s="8"/>
    </row>
    <row r="122" spans="2:17" x14ac:dyDescent="0.25">
      <c r="B122" s="42">
        <v>8</v>
      </c>
      <c r="C122" s="43" t="s">
        <v>61</v>
      </c>
      <c r="D122" s="44" t="s">
        <v>62</v>
      </c>
      <c r="E122" s="220"/>
      <c r="F122" s="64" t="s">
        <v>270</v>
      </c>
      <c r="G122" s="65" t="s">
        <v>127</v>
      </c>
      <c r="H122" s="56">
        <v>24</v>
      </c>
      <c r="I122" s="56">
        <v>4</v>
      </c>
      <c r="J122" s="72">
        <f t="shared" si="3"/>
        <v>0.16666666666666666</v>
      </c>
      <c r="K122" s="91">
        <f t="shared" si="4"/>
        <v>4</v>
      </c>
      <c r="L122" s="96">
        <f t="shared" si="5"/>
        <v>0.16666666666666666</v>
      </c>
      <c r="N122"/>
      <c r="O122" s="8"/>
      <c r="P122"/>
      <c r="Q122" s="8"/>
    </row>
    <row r="123" spans="2:17" x14ac:dyDescent="0.25">
      <c r="B123" s="35">
        <v>1</v>
      </c>
      <c r="C123" s="36" t="s">
        <v>74</v>
      </c>
      <c r="D123" s="37" t="s">
        <v>75</v>
      </c>
      <c r="E123" s="218" t="s">
        <v>143</v>
      </c>
      <c r="F123" s="59" t="s">
        <v>48</v>
      </c>
      <c r="G123" s="60" t="s">
        <v>129</v>
      </c>
      <c r="H123" s="66">
        <v>14</v>
      </c>
      <c r="I123" s="136">
        <v>2</v>
      </c>
      <c r="J123" s="71">
        <f t="shared" si="3"/>
        <v>0.14285714285714285</v>
      </c>
      <c r="K123" s="103">
        <f t="shared" si="4"/>
        <v>2</v>
      </c>
      <c r="L123" s="95">
        <f t="shared" si="5"/>
        <v>0.14285714285714285</v>
      </c>
      <c r="N123"/>
      <c r="O123" s="8"/>
      <c r="P123"/>
      <c r="Q123" s="8"/>
    </row>
    <row r="124" spans="2:17" x14ac:dyDescent="0.25">
      <c r="B124" s="38">
        <v>1</v>
      </c>
      <c r="C124" s="39" t="s">
        <v>77</v>
      </c>
      <c r="D124" s="40" t="s">
        <v>78</v>
      </c>
      <c r="E124" s="219"/>
      <c r="F124" s="61" t="s">
        <v>227</v>
      </c>
      <c r="G124" s="62" t="s">
        <v>130</v>
      </c>
      <c r="H124" s="68">
        <v>14</v>
      </c>
      <c r="I124" s="55">
        <v>2</v>
      </c>
      <c r="J124" s="69">
        <f t="shared" si="3"/>
        <v>0.14285714285714285</v>
      </c>
      <c r="K124" s="90">
        <f t="shared" si="4"/>
        <v>2</v>
      </c>
      <c r="L124" s="94">
        <f t="shared" si="5"/>
        <v>0.14285714285714285</v>
      </c>
      <c r="N124"/>
      <c r="O124" s="8"/>
      <c r="P124"/>
      <c r="Q124" s="8"/>
    </row>
    <row r="125" spans="2:17" x14ac:dyDescent="0.25">
      <c r="B125" s="38">
        <v>1</v>
      </c>
      <c r="C125" s="39" t="s">
        <v>79</v>
      </c>
      <c r="D125" s="40" t="s">
        <v>80</v>
      </c>
      <c r="E125" s="219"/>
      <c r="F125" s="61" t="s">
        <v>228</v>
      </c>
      <c r="G125" s="62" t="s">
        <v>131</v>
      </c>
      <c r="H125" s="55">
        <v>16</v>
      </c>
      <c r="I125" s="70">
        <v>3</v>
      </c>
      <c r="J125" s="69">
        <f t="shared" si="3"/>
        <v>0.1875</v>
      </c>
      <c r="K125" s="90">
        <f t="shared" si="4"/>
        <v>3</v>
      </c>
      <c r="L125" s="94">
        <f t="shared" si="5"/>
        <v>0.1875</v>
      </c>
      <c r="N125"/>
      <c r="O125" s="8"/>
      <c r="P125"/>
      <c r="Q125" s="8"/>
    </row>
    <row r="126" spans="2:17" x14ac:dyDescent="0.25">
      <c r="B126" s="38">
        <v>1</v>
      </c>
      <c r="C126" s="39" t="s">
        <v>82</v>
      </c>
      <c r="D126" s="40" t="s">
        <v>83</v>
      </c>
      <c r="E126" s="219"/>
      <c r="F126" s="61" t="s">
        <v>132</v>
      </c>
      <c r="G126" s="62" t="s">
        <v>32</v>
      </c>
      <c r="H126" s="55">
        <v>18</v>
      </c>
      <c r="I126" s="55">
        <v>3</v>
      </c>
      <c r="J126" s="69">
        <f t="shared" si="3"/>
        <v>0.16666666666666666</v>
      </c>
      <c r="K126" s="90">
        <f t="shared" si="4"/>
        <v>3</v>
      </c>
      <c r="L126" s="94">
        <f t="shared" si="5"/>
        <v>0.16666666666666666</v>
      </c>
      <c r="N126"/>
      <c r="O126" s="8"/>
      <c r="P126"/>
      <c r="Q126" s="8"/>
    </row>
    <row r="127" spans="2:17" x14ac:dyDescent="0.25">
      <c r="B127" s="38">
        <v>1</v>
      </c>
      <c r="C127" s="39" t="s">
        <v>84</v>
      </c>
      <c r="D127" s="40" t="s">
        <v>85</v>
      </c>
      <c r="E127" s="219"/>
      <c r="F127" s="61" t="s">
        <v>133</v>
      </c>
      <c r="G127" s="62" t="s">
        <v>134</v>
      </c>
      <c r="H127" s="55">
        <v>24</v>
      </c>
      <c r="I127" s="55">
        <v>4</v>
      </c>
      <c r="J127" s="69">
        <f t="shared" si="3"/>
        <v>0.16666666666666666</v>
      </c>
      <c r="K127" s="90">
        <f t="shared" si="4"/>
        <v>4</v>
      </c>
      <c r="L127" s="94">
        <f t="shared" si="5"/>
        <v>0.16666666666666666</v>
      </c>
      <c r="N127"/>
      <c r="O127" s="8"/>
      <c r="P127"/>
      <c r="Q127" s="8"/>
    </row>
    <row r="128" spans="2:17" x14ac:dyDescent="0.25">
      <c r="B128" s="38">
        <v>1</v>
      </c>
      <c r="C128" s="39" t="s">
        <v>86</v>
      </c>
      <c r="D128" s="40" t="s">
        <v>87</v>
      </c>
      <c r="E128" s="219"/>
      <c r="F128" s="61" t="s">
        <v>135</v>
      </c>
      <c r="G128" s="62" t="s">
        <v>136</v>
      </c>
      <c r="H128" s="55">
        <v>16</v>
      </c>
      <c r="I128" s="55">
        <v>3</v>
      </c>
      <c r="J128" s="69">
        <f t="shared" si="3"/>
        <v>0.1875</v>
      </c>
      <c r="K128" s="90">
        <f t="shared" si="4"/>
        <v>3</v>
      </c>
      <c r="L128" s="94">
        <f t="shared" si="5"/>
        <v>0.1875</v>
      </c>
      <c r="N128"/>
      <c r="O128" s="8"/>
      <c r="P128"/>
      <c r="Q128" s="8"/>
    </row>
    <row r="129" spans="2:17" x14ac:dyDescent="0.25">
      <c r="B129" s="38">
        <v>1</v>
      </c>
      <c r="C129" s="39" t="s">
        <v>89</v>
      </c>
      <c r="D129" s="40" t="s">
        <v>90</v>
      </c>
      <c r="E129" s="219"/>
      <c r="F129" s="61" t="s">
        <v>137</v>
      </c>
      <c r="G129" s="62" t="s">
        <v>130</v>
      </c>
      <c r="H129" s="55">
        <v>18</v>
      </c>
      <c r="I129" s="55">
        <v>3</v>
      </c>
      <c r="J129" s="69">
        <f t="shared" si="3"/>
        <v>0.16666666666666666</v>
      </c>
      <c r="K129" s="90">
        <f t="shared" si="4"/>
        <v>3</v>
      </c>
      <c r="L129" s="94">
        <f t="shared" si="5"/>
        <v>0.16666666666666666</v>
      </c>
      <c r="N129"/>
      <c r="O129" s="8"/>
      <c r="P129"/>
      <c r="Q129" s="8"/>
    </row>
    <row r="130" spans="2:17" s="16" customFormat="1" x14ac:dyDescent="0.25">
      <c r="B130" s="38">
        <v>1</v>
      </c>
      <c r="C130" s="39" t="s">
        <v>92</v>
      </c>
      <c r="D130" s="40" t="s">
        <v>93</v>
      </c>
      <c r="E130" s="219"/>
      <c r="F130" s="61" t="s">
        <v>138</v>
      </c>
      <c r="G130" s="62" t="s">
        <v>136</v>
      </c>
      <c r="H130" s="55">
        <v>16</v>
      </c>
      <c r="I130" s="55">
        <v>3</v>
      </c>
      <c r="J130" s="69">
        <f t="shared" si="3"/>
        <v>0.1875</v>
      </c>
      <c r="K130" s="90">
        <f t="shared" si="4"/>
        <v>3</v>
      </c>
      <c r="L130" s="94">
        <f t="shared" si="5"/>
        <v>0.1875</v>
      </c>
      <c r="N130" s="41"/>
      <c r="P130" s="41"/>
    </row>
    <row r="131" spans="2:17" x14ac:dyDescent="0.25">
      <c r="B131" s="38">
        <v>1</v>
      </c>
      <c r="C131" s="39" t="s">
        <v>95</v>
      </c>
      <c r="D131" s="40" t="s">
        <v>96</v>
      </c>
      <c r="E131" s="219"/>
      <c r="F131" s="61" t="s">
        <v>139</v>
      </c>
      <c r="G131" s="62" t="s">
        <v>129</v>
      </c>
      <c r="H131" s="68">
        <v>10</v>
      </c>
      <c r="I131" s="55">
        <v>2</v>
      </c>
      <c r="J131" s="69">
        <f t="shared" si="3"/>
        <v>0.2</v>
      </c>
      <c r="K131" s="90">
        <f t="shared" si="4"/>
        <v>2</v>
      </c>
      <c r="L131" s="94">
        <f t="shared" si="5"/>
        <v>0.2</v>
      </c>
      <c r="N131"/>
      <c r="O131" s="8"/>
      <c r="P131"/>
      <c r="Q131" s="8"/>
    </row>
    <row r="132" spans="2:17" x14ac:dyDescent="0.25">
      <c r="B132" s="38">
        <v>2</v>
      </c>
      <c r="C132" s="39" t="s">
        <v>140</v>
      </c>
      <c r="D132" s="40" t="s">
        <v>141</v>
      </c>
      <c r="E132" s="219"/>
      <c r="F132" s="61" t="s">
        <v>135</v>
      </c>
      <c r="G132" s="62" t="s">
        <v>130</v>
      </c>
      <c r="H132" s="55">
        <v>14</v>
      </c>
      <c r="I132" s="55">
        <v>2</v>
      </c>
      <c r="J132" s="69">
        <f t="shared" si="3"/>
        <v>0.14285714285714285</v>
      </c>
      <c r="K132" s="90">
        <f t="shared" si="4"/>
        <v>2</v>
      </c>
      <c r="L132" s="94">
        <f t="shared" si="5"/>
        <v>0.14285714285714285</v>
      </c>
      <c r="N132"/>
      <c r="O132" s="8"/>
      <c r="P132"/>
      <c r="Q132" s="8"/>
    </row>
    <row r="133" spans="2:17" x14ac:dyDescent="0.25">
      <c r="B133" s="42">
        <v>2</v>
      </c>
      <c r="C133" s="43" t="s">
        <v>57</v>
      </c>
      <c r="D133" s="44" t="s">
        <v>58</v>
      </c>
      <c r="E133" s="220"/>
      <c r="F133" s="64" t="s">
        <v>54</v>
      </c>
      <c r="G133" s="65" t="s">
        <v>142</v>
      </c>
      <c r="H133" s="56">
        <v>20</v>
      </c>
      <c r="I133" s="56">
        <v>3</v>
      </c>
      <c r="J133" s="72">
        <f t="shared" si="3"/>
        <v>0.15</v>
      </c>
      <c r="K133" s="91">
        <f t="shared" si="4"/>
        <v>3</v>
      </c>
      <c r="L133" s="96">
        <f t="shared" si="5"/>
        <v>0.15</v>
      </c>
      <c r="N133"/>
      <c r="O133" s="8"/>
      <c r="P133"/>
      <c r="Q133" s="8"/>
    </row>
    <row r="134" spans="2:17" x14ac:dyDescent="0.25">
      <c r="B134" s="35">
        <v>1</v>
      </c>
      <c r="C134" s="36" t="s">
        <v>144</v>
      </c>
      <c r="D134" s="37" t="s">
        <v>145</v>
      </c>
      <c r="E134" s="228" t="s">
        <v>205</v>
      </c>
      <c r="F134" s="61" t="s">
        <v>274</v>
      </c>
      <c r="G134" s="60" t="s">
        <v>32</v>
      </c>
      <c r="H134" s="136">
        <v>20</v>
      </c>
      <c r="I134" s="136">
        <v>3</v>
      </c>
      <c r="J134" s="71">
        <f t="shared" si="3"/>
        <v>0.15</v>
      </c>
      <c r="K134" s="103">
        <f t="shared" si="4"/>
        <v>3</v>
      </c>
      <c r="L134" s="95">
        <f t="shared" si="5"/>
        <v>0.15</v>
      </c>
      <c r="N134"/>
      <c r="O134" s="8"/>
      <c r="P134"/>
      <c r="Q134" s="8"/>
    </row>
    <row r="135" spans="2:17" x14ac:dyDescent="0.25">
      <c r="B135" s="38">
        <v>1</v>
      </c>
      <c r="C135" s="39" t="s">
        <v>74</v>
      </c>
      <c r="D135" s="40" t="s">
        <v>75</v>
      </c>
      <c r="E135" s="229"/>
      <c r="F135" s="61" t="s">
        <v>223</v>
      </c>
      <c r="G135" s="62" t="s">
        <v>32</v>
      </c>
      <c r="H135" s="68">
        <v>20</v>
      </c>
      <c r="I135" s="55">
        <v>2</v>
      </c>
      <c r="J135" s="69">
        <f t="shared" si="3"/>
        <v>0.1</v>
      </c>
      <c r="K135" s="90">
        <f t="shared" si="4"/>
        <v>2</v>
      </c>
      <c r="L135" s="94">
        <f t="shared" si="5"/>
        <v>0.1</v>
      </c>
      <c r="N135"/>
      <c r="O135" s="8"/>
      <c r="P135"/>
      <c r="Q135" s="8"/>
    </row>
    <row r="136" spans="2:17" x14ac:dyDescent="0.25">
      <c r="B136" s="38">
        <v>1</v>
      </c>
      <c r="C136" s="39" t="s">
        <v>77</v>
      </c>
      <c r="D136" s="40" t="s">
        <v>78</v>
      </c>
      <c r="E136" s="229"/>
      <c r="F136" s="61" t="s">
        <v>275</v>
      </c>
      <c r="G136" s="63" t="s">
        <v>32</v>
      </c>
      <c r="H136" s="55">
        <v>20</v>
      </c>
      <c r="I136" s="70">
        <v>2</v>
      </c>
      <c r="J136" s="69">
        <f t="shared" si="3"/>
        <v>0.1</v>
      </c>
      <c r="K136" s="90">
        <f t="shared" si="4"/>
        <v>2</v>
      </c>
      <c r="L136" s="94">
        <f t="shared" si="5"/>
        <v>0.1</v>
      </c>
      <c r="N136"/>
      <c r="O136" s="8"/>
      <c r="P136"/>
      <c r="Q136" s="8"/>
    </row>
    <row r="137" spans="2:17" x14ac:dyDescent="0.25">
      <c r="B137" s="38">
        <v>1</v>
      </c>
      <c r="C137" s="39" t="s">
        <v>79</v>
      </c>
      <c r="D137" s="40" t="s">
        <v>80</v>
      </c>
      <c r="E137" s="229"/>
      <c r="F137" s="61" t="s">
        <v>242</v>
      </c>
      <c r="G137" s="62" t="s">
        <v>32</v>
      </c>
      <c r="H137" s="55">
        <v>20</v>
      </c>
      <c r="I137" s="55">
        <v>5</v>
      </c>
      <c r="J137" s="69">
        <f t="shared" si="3"/>
        <v>0.25</v>
      </c>
      <c r="K137" s="90">
        <f t="shared" si="4"/>
        <v>5</v>
      </c>
      <c r="L137" s="94">
        <f t="shared" si="5"/>
        <v>0.25</v>
      </c>
      <c r="N137"/>
      <c r="O137" s="8"/>
      <c r="P137"/>
      <c r="Q137" s="8"/>
    </row>
    <row r="138" spans="2:17" x14ac:dyDescent="0.25">
      <c r="B138" s="38">
        <v>1</v>
      </c>
      <c r="C138" s="39" t="s">
        <v>82</v>
      </c>
      <c r="D138" s="40" t="s">
        <v>83</v>
      </c>
      <c r="E138" s="229"/>
      <c r="F138" s="61" t="s">
        <v>229</v>
      </c>
      <c r="G138" s="62" t="s">
        <v>32</v>
      </c>
      <c r="H138" s="55">
        <v>2</v>
      </c>
      <c r="I138" s="55">
        <v>2</v>
      </c>
      <c r="J138" s="69">
        <f t="shared" si="3"/>
        <v>1</v>
      </c>
      <c r="K138" s="90">
        <f t="shared" si="4"/>
        <v>2</v>
      </c>
      <c r="L138" s="94">
        <f t="shared" si="5"/>
        <v>1</v>
      </c>
      <c r="N138"/>
      <c r="O138" s="8"/>
      <c r="P138"/>
      <c r="Q138" s="8"/>
    </row>
    <row r="139" spans="2:17" x14ac:dyDescent="0.25">
      <c r="B139" s="38">
        <v>1</v>
      </c>
      <c r="C139" s="39" t="s">
        <v>84</v>
      </c>
      <c r="D139" s="40" t="s">
        <v>85</v>
      </c>
      <c r="E139" s="229"/>
      <c r="F139" s="61" t="s">
        <v>201</v>
      </c>
      <c r="G139" s="62" t="s">
        <v>32</v>
      </c>
      <c r="H139" s="55">
        <v>40</v>
      </c>
      <c r="I139" s="55">
        <v>5</v>
      </c>
      <c r="J139" s="69">
        <f t="shared" si="3"/>
        <v>0.125</v>
      </c>
      <c r="K139" s="90">
        <f t="shared" si="4"/>
        <v>5</v>
      </c>
      <c r="L139" s="94">
        <f t="shared" si="5"/>
        <v>0.125</v>
      </c>
      <c r="N139"/>
      <c r="O139" s="8"/>
      <c r="P139"/>
      <c r="Q139" s="8"/>
    </row>
    <row r="140" spans="2:17" x14ac:dyDescent="0.25">
      <c r="B140" s="38">
        <v>1</v>
      </c>
      <c r="C140" s="39" t="s">
        <v>86</v>
      </c>
      <c r="D140" s="40" t="s">
        <v>87</v>
      </c>
      <c r="E140" s="229"/>
      <c r="F140" s="40" t="s">
        <v>135</v>
      </c>
      <c r="G140" s="62" t="s">
        <v>32</v>
      </c>
      <c r="H140" s="55">
        <v>2</v>
      </c>
      <c r="I140" s="55">
        <v>2</v>
      </c>
      <c r="J140" s="69">
        <f t="shared" si="3"/>
        <v>1</v>
      </c>
      <c r="K140" s="90">
        <f t="shared" si="4"/>
        <v>2</v>
      </c>
      <c r="L140" s="94">
        <f t="shared" si="5"/>
        <v>1</v>
      </c>
      <c r="N140"/>
      <c r="O140" s="8"/>
      <c r="P140"/>
      <c r="Q140" s="8"/>
    </row>
    <row r="141" spans="2:17" x14ac:dyDescent="0.25">
      <c r="B141" s="38">
        <v>1</v>
      </c>
      <c r="C141" s="39" t="s">
        <v>89</v>
      </c>
      <c r="D141" s="40" t="s">
        <v>90</v>
      </c>
      <c r="E141" s="229"/>
      <c r="F141" s="61" t="s">
        <v>276</v>
      </c>
      <c r="G141" s="62" t="s">
        <v>32</v>
      </c>
      <c r="H141" s="55">
        <v>8</v>
      </c>
      <c r="I141" s="55">
        <v>2</v>
      </c>
      <c r="J141" s="69">
        <f t="shared" si="3"/>
        <v>0.25</v>
      </c>
      <c r="K141" s="90">
        <f t="shared" si="4"/>
        <v>2</v>
      </c>
      <c r="L141" s="94">
        <f t="shared" si="5"/>
        <v>0.25</v>
      </c>
      <c r="N141"/>
      <c r="O141" s="8"/>
      <c r="P141"/>
      <c r="Q141" s="8"/>
    </row>
    <row r="142" spans="2:17" s="16" customFormat="1" x14ac:dyDescent="0.25">
      <c r="B142" s="38">
        <v>1</v>
      </c>
      <c r="C142" s="39" t="s">
        <v>92</v>
      </c>
      <c r="D142" s="40" t="s">
        <v>93</v>
      </c>
      <c r="E142" s="229"/>
      <c r="F142" s="1" t="s">
        <v>475</v>
      </c>
      <c r="G142" s="62" t="s">
        <v>32</v>
      </c>
      <c r="H142" s="68">
        <v>15</v>
      </c>
      <c r="I142" s="55">
        <v>2</v>
      </c>
      <c r="J142" s="69">
        <f t="shared" si="3"/>
        <v>0.13333333333333333</v>
      </c>
      <c r="K142" s="90">
        <f t="shared" si="4"/>
        <v>2</v>
      </c>
      <c r="L142" s="94">
        <f t="shared" si="5"/>
        <v>0.13333333333333333</v>
      </c>
      <c r="N142" s="41"/>
      <c r="P142" s="41"/>
    </row>
    <row r="143" spans="2:17" x14ac:dyDescent="0.25">
      <c r="B143" s="38">
        <v>1</v>
      </c>
      <c r="C143" s="39" t="s">
        <v>146</v>
      </c>
      <c r="D143" s="40" t="s">
        <v>147</v>
      </c>
      <c r="E143" s="229"/>
      <c r="F143" s="61" t="s">
        <v>182</v>
      </c>
      <c r="G143" s="62" t="s">
        <v>32</v>
      </c>
      <c r="H143" s="55">
        <v>5</v>
      </c>
      <c r="I143" s="55">
        <v>2</v>
      </c>
      <c r="J143" s="69">
        <f t="shared" ref="J143:J206" si="6">IFERROR(I143/H143,0)</f>
        <v>0.4</v>
      </c>
      <c r="K143" s="90">
        <f t="shared" ref="K143:K180" si="7">+I143</f>
        <v>2</v>
      </c>
      <c r="L143" s="94">
        <f t="shared" ref="L143:L206" si="8">IFERROR(K143/H143,0)</f>
        <v>0.4</v>
      </c>
      <c r="N143"/>
      <c r="O143" s="8"/>
      <c r="P143"/>
      <c r="Q143" s="8"/>
    </row>
    <row r="144" spans="2:17" x14ac:dyDescent="0.25">
      <c r="B144" s="38">
        <v>1</v>
      </c>
      <c r="C144" s="39" t="s">
        <v>95</v>
      </c>
      <c r="D144" s="40" t="s">
        <v>96</v>
      </c>
      <c r="E144" s="229"/>
      <c r="F144" s="61" t="s">
        <v>218</v>
      </c>
      <c r="G144" s="63" t="s">
        <v>32</v>
      </c>
      <c r="H144" s="55">
        <v>13</v>
      </c>
      <c r="I144" s="70">
        <v>1</v>
      </c>
      <c r="J144" s="69">
        <f t="shared" si="6"/>
        <v>7.6923076923076927E-2</v>
      </c>
      <c r="K144" s="90">
        <f t="shared" si="7"/>
        <v>1</v>
      </c>
      <c r="L144" s="94">
        <f t="shared" si="8"/>
        <v>7.6923076923076927E-2</v>
      </c>
      <c r="N144"/>
      <c r="O144" s="8"/>
      <c r="P144"/>
      <c r="Q144" s="8"/>
    </row>
    <row r="145" spans="2:17" x14ac:dyDescent="0.25">
      <c r="B145" s="42">
        <v>8</v>
      </c>
      <c r="C145" s="43" t="s">
        <v>148</v>
      </c>
      <c r="D145" s="44" t="s">
        <v>141</v>
      </c>
      <c r="E145" s="230"/>
      <c r="F145" s="64" t="s">
        <v>202</v>
      </c>
      <c r="G145" s="65" t="s">
        <v>32</v>
      </c>
      <c r="H145" s="56">
        <v>15</v>
      </c>
      <c r="I145" s="56">
        <v>2</v>
      </c>
      <c r="J145" s="72">
        <f t="shared" si="6"/>
        <v>0.13333333333333333</v>
      </c>
      <c r="K145" s="91">
        <f t="shared" si="7"/>
        <v>2</v>
      </c>
      <c r="L145" s="96">
        <f t="shared" si="8"/>
        <v>0.13333333333333333</v>
      </c>
      <c r="N145"/>
      <c r="O145" s="8"/>
      <c r="P145"/>
      <c r="Q145" s="8"/>
    </row>
    <row r="146" spans="2:17" x14ac:dyDescent="0.25">
      <c r="B146" s="35">
        <v>3</v>
      </c>
      <c r="C146" s="36" t="s">
        <v>43</v>
      </c>
      <c r="D146" s="37" t="s">
        <v>44</v>
      </c>
      <c r="E146" s="235" t="s">
        <v>239</v>
      </c>
      <c r="F146" s="59" t="s">
        <v>45</v>
      </c>
      <c r="G146" s="79" t="s">
        <v>277</v>
      </c>
      <c r="H146" s="136">
        <v>16</v>
      </c>
      <c r="I146" s="136">
        <v>4</v>
      </c>
      <c r="J146" s="71">
        <f t="shared" si="6"/>
        <v>0.25</v>
      </c>
      <c r="K146" s="103">
        <f t="shared" si="7"/>
        <v>4</v>
      </c>
      <c r="L146" s="95">
        <f t="shared" si="8"/>
        <v>0.25</v>
      </c>
      <c r="N146"/>
      <c r="O146" s="8"/>
      <c r="P146"/>
      <c r="Q146" s="8"/>
    </row>
    <row r="147" spans="2:17" x14ac:dyDescent="0.25">
      <c r="B147" s="38">
        <v>3</v>
      </c>
      <c r="C147" s="39" t="s">
        <v>149</v>
      </c>
      <c r="D147" s="40" t="s">
        <v>150</v>
      </c>
      <c r="E147" s="236"/>
      <c r="F147" s="61" t="s">
        <v>48</v>
      </c>
      <c r="G147" s="78" t="s">
        <v>278</v>
      </c>
      <c r="H147" s="68">
        <v>17</v>
      </c>
      <c r="I147" s="55">
        <v>2</v>
      </c>
      <c r="J147" s="69">
        <f t="shared" si="6"/>
        <v>0.11764705882352941</v>
      </c>
      <c r="K147" s="90">
        <f t="shared" si="7"/>
        <v>2</v>
      </c>
      <c r="L147" s="94">
        <f t="shared" si="8"/>
        <v>0.11764705882352941</v>
      </c>
      <c r="N147"/>
      <c r="O147" s="8"/>
      <c r="P147"/>
      <c r="Q147" s="8"/>
    </row>
    <row r="148" spans="2:17" x14ac:dyDescent="0.25">
      <c r="B148" s="38">
        <v>3</v>
      </c>
      <c r="C148" s="39" t="s">
        <v>46</v>
      </c>
      <c r="D148" s="40" t="s">
        <v>47</v>
      </c>
      <c r="E148" s="236"/>
      <c r="F148" s="61" t="s">
        <v>48</v>
      </c>
      <c r="G148" s="79" t="s">
        <v>279</v>
      </c>
      <c r="H148" s="55">
        <v>16</v>
      </c>
      <c r="I148" s="70">
        <v>2</v>
      </c>
      <c r="J148" s="69">
        <f t="shared" si="6"/>
        <v>0.125</v>
      </c>
      <c r="K148" s="90">
        <f t="shared" si="7"/>
        <v>2</v>
      </c>
      <c r="L148" s="94">
        <f t="shared" si="8"/>
        <v>0.125</v>
      </c>
      <c r="N148"/>
      <c r="O148" s="8"/>
      <c r="P148"/>
      <c r="Q148" s="8"/>
    </row>
    <row r="149" spans="2:17" x14ac:dyDescent="0.25">
      <c r="B149" s="38">
        <v>3</v>
      </c>
      <c r="C149" s="39" t="s">
        <v>98</v>
      </c>
      <c r="D149" s="40" t="s">
        <v>99</v>
      </c>
      <c r="E149" s="236"/>
      <c r="F149" s="61" t="s">
        <v>48</v>
      </c>
      <c r="G149" s="78" t="s">
        <v>280</v>
      </c>
      <c r="H149" s="55">
        <v>17</v>
      </c>
      <c r="I149" s="55">
        <v>4</v>
      </c>
      <c r="J149" s="69">
        <f t="shared" si="6"/>
        <v>0.23529411764705882</v>
      </c>
      <c r="K149" s="90">
        <f t="shared" si="7"/>
        <v>4</v>
      </c>
      <c r="L149" s="94">
        <f t="shared" si="8"/>
        <v>0.23529411764705882</v>
      </c>
      <c r="N149"/>
      <c r="O149" s="8"/>
      <c r="P149"/>
      <c r="Q149" s="8"/>
    </row>
    <row r="150" spans="2:17" x14ac:dyDescent="0.25">
      <c r="B150" s="38">
        <v>3</v>
      </c>
      <c r="C150" s="39" t="s">
        <v>49</v>
      </c>
      <c r="D150" s="40" t="s">
        <v>50</v>
      </c>
      <c r="E150" s="236"/>
      <c r="F150" s="61" t="s">
        <v>51</v>
      </c>
      <c r="G150" s="78" t="s">
        <v>277</v>
      </c>
      <c r="H150" s="55">
        <v>16</v>
      </c>
      <c r="I150" s="55">
        <v>2</v>
      </c>
      <c r="J150" s="69">
        <f t="shared" si="6"/>
        <v>0.125</v>
      </c>
      <c r="K150" s="90">
        <f t="shared" si="7"/>
        <v>2</v>
      </c>
      <c r="L150" s="94">
        <f t="shared" si="8"/>
        <v>0.125</v>
      </c>
      <c r="N150"/>
      <c r="O150" s="8"/>
      <c r="P150"/>
      <c r="Q150" s="8"/>
    </row>
    <row r="151" spans="2:17" x14ac:dyDescent="0.25">
      <c r="B151" s="38">
        <v>3</v>
      </c>
      <c r="C151" s="39" t="s">
        <v>52</v>
      </c>
      <c r="D151" s="40" t="s">
        <v>53</v>
      </c>
      <c r="E151" s="236"/>
      <c r="F151" s="61" t="s">
        <v>54</v>
      </c>
      <c r="G151" s="78" t="s">
        <v>281</v>
      </c>
      <c r="H151" s="55">
        <v>17</v>
      </c>
      <c r="I151" s="55">
        <v>4</v>
      </c>
      <c r="J151" s="69">
        <f t="shared" si="6"/>
        <v>0.23529411764705882</v>
      </c>
      <c r="K151" s="90">
        <f t="shared" si="7"/>
        <v>4</v>
      </c>
      <c r="L151" s="94">
        <f t="shared" si="8"/>
        <v>0.23529411764705882</v>
      </c>
      <c r="N151"/>
      <c r="O151" s="8"/>
      <c r="P151"/>
      <c r="Q151" s="8"/>
    </row>
    <row r="152" spans="2:17" x14ac:dyDescent="0.25">
      <c r="B152" s="38">
        <v>3</v>
      </c>
      <c r="C152" s="39" t="s">
        <v>55</v>
      </c>
      <c r="D152" s="40" t="s">
        <v>56</v>
      </c>
      <c r="E152" s="236"/>
      <c r="F152" s="61" t="s">
        <v>54</v>
      </c>
      <c r="G152" s="78" t="s">
        <v>282</v>
      </c>
      <c r="H152" s="55">
        <v>16</v>
      </c>
      <c r="I152" s="55">
        <v>3</v>
      </c>
      <c r="J152" s="69">
        <f t="shared" si="6"/>
        <v>0.1875</v>
      </c>
      <c r="K152" s="90">
        <f t="shared" si="7"/>
        <v>3</v>
      </c>
      <c r="L152" s="94">
        <f t="shared" si="8"/>
        <v>0.1875</v>
      </c>
      <c r="N152"/>
      <c r="O152" s="8"/>
      <c r="P152"/>
      <c r="Q152" s="8"/>
    </row>
    <row r="153" spans="2:17" s="16" customFormat="1" x14ac:dyDescent="0.25">
      <c r="B153" s="38">
        <v>5</v>
      </c>
      <c r="C153" s="39" t="s">
        <v>151</v>
      </c>
      <c r="D153" s="40" t="s">
        <v>152</v>
      </c>
      <c r="E153" s="236"/>
      <c r="F153" s="61" t="s">
        <v>48</v>
      </c>
      <c r="G153" s="78" t="s">
        <v>283</v>
      </c>
      <c r="H153" s="55">
        <v>16</v>
      </c>
      <c r="I153" s="55">
        <v>2</v>
      </c>
      <c r="J153" s="69">
        <f t="shared" si="6"/>
        <v>0.125</v>
      </c>
      <c r="K153" s="90">
        <f t="shared" si="7"/>
        <v>2</v>
      </c>
      <c r="L153" s="94">
        <f t="shared" si="8"/>
        <v>0.125</v>
      </c>
      <c r="N153" s="41"/>
      <c r="P153" s="41"/>
    </row>
    <row r="154" spans="2:17" x14ac:dyDescent="0.25">
      <c r="B154" s="38">
        <v>5</v>
      </c>
      <c r="C154" s="39" t="s">
        <v>57</v>
      </c>
      <c r="D154" s="40" t="s">
        <v>58</v>
      </c>
      <c r="E154" s="236"/>
      <c r="F154" s="61" t="s">
        <v>54</v>
      </c>
      <c r="G154" s="78" t="s">
        <v>284</v>
      </c>
      <c r="H154" s="68">
        <v>16</v>
      </c>
      <c r="I154" s="55">
        <v>2</v>
      </c>
      <c r="J154" s="69">
        <f t="shared" si="6"/>
        <v>0.125</v>
      </c>
      <c r="K154" s="90">
        <f t="shared" si="7"/>
        <v>2</v>
      </c>
      <c r="L154" s="94">
        <f t="shared" si="8"/>
        <v>0.125</v>
      </c>
      <c r="N154"/>
      <c r="O154" s="8"/>
      <c r="P154"/>
      <c r="Q154" s="8"/>
    </row>
    <row r="155" spans="2:17" x14ac:dyDescent="0.25">
      <c r="B155" s="38">
        <v>5</v>
      </c>
      <c r="C155" s="39" t="s">
        <v>59</v>
      </c>
      <c r="D155" s="40" t="s">
        <v>60</v>
      </c>
      <c r="E155" s="236"/>
      <c r="F155" s="61" t="s">
        <v>54</v>
      </c>
      <c r="G155" s="78" t="s">
        <v>285</v>
      </c>
      <c r="H155" s="55">
        <v>16</v>
      </c>
      <c r="I155" s="55">
        <v>2</v>
      </c>
      <c r="J155" s="69">
        <f t="shared" si="6"/>
        <v>0.125</v>
      </c>
      <c r="K155" s="90">
        <f t="shared" si="7"/>
        <v>2</v>
      </c>
      <c r="L155" s="94">
        <f t="shared" si="8"/>
        <v>0.125</v>
      </c>
      <c r="N155"/>
      <c r="O155" s="8"/>
      <c r="P155"/>
      <c r="Q155" s="8"/>
    </row>
    <row r="156" spans="2:17" x14ac:dyDescent="0.25">
      <c r="B156" s="42">
        <v>8</v>
      </c>
      <c r="C156" s="43" t="s">
        <v>61</v>
      </c>
      <c r="D156" s="44" t="s">
        <v>62</v>
      </c>
      <c r="E156" s="237"/>
      <c r="F156" s="64" t="s">
        <v>63</v>
      </c>
      <c r="G156" s="80" t="s">
        <v>286</v>
      </c>
      <c r="H156" s="56">
        <v>17</v>
      </c>
      <c r="I156" s="56">
        <v>3</v>
      </c>
      <c r="J156" s="72">
        <f t="shared" si="6"/>
        <v>0.17647058823529413</v>
      </c>
      <c r="K156" s="91">
        <f t="shared" si="7"/>
        <v>3</v>
      </c>
      <c r="L156" s="96">
        <f t="shared" si="8"/>
        <v>0.17647058823529413</v>
      </c>
      <c r="N156"/>
      <c r="O156" s="8"/>
      <c r="P156"/>
      <c r="Q156" s="8"/>
    </row>
    <row r="157" spans="2:17" x14ac:dyDescent="0.25">
      <c r="B157" s="35">
        <v>3</v>
      </c>
      <c r="C157" s="36" t="s">
        <v>43</v>
      </c>
      <c r="D157" s="37" t="s">
        <v>44</v>
      </c>
      <c r="E157" s="218" t="s">
        <v>157</v>
      </c>
      <c r="F157" s="59" t="s">
        <v>45</v>
      </c>
      <c r="G157" s="77" t="s">
        <v>287</v>
      </c>
      <c r="H157" s="66">
        <v>9</v>
      </c>
      <c r="I157" s="136">
        <v>3</v>
      </c>
      <c r="J157" s="71">
        <f t="shared" si="6"/>
        <v>0.33333333333333331</v>
      </c>
      <c r="K157" s="103">
        <f t="shared" si="7"/>
        <v>3</v>
      </c>
      <c r="L157" s="95">
        <f t="shared" si="8"/>
        <v>0.33333333333333331</v>
      </c>
      <c r="N157"/>
      <c r="O157" s="8"/>
      <c r="P157"/>
      <c r="Q157" s="8"/>
    </row>
    <row r="158" spans="2:17" x14ac:dyDescent="0.25">
      <c r="B158" s="38">
        <v>3</v>
      </c>
      <c r="C158" s="39" t="s">
        <v>153</v>
      </c>
      <c r="D158" s="40" t="s">
        <v>154</v>
      </c>
      <c r="E158" s="219"/>
      <c r="F158" s="61" t="s">
        <v>159</v>
      </c>
      <c r="G158" s="79" t="s">
        <v>288</v>
      </c>
      <c r="H158" s="55">
        <v>9</v>
      </c>
      <c r="I158" s="70">
        <v>3</v>
      </c>
      <c r="J158" s="69">
        <f t="shared" si="6"/>
        <v>0.33333333333333331</v>
      </c>
      <c r="K158" s="90">
        <f t="shared" si="7"/>
        <v>3</v>
      </c>
      <c r="L158" s="94">
        <f t="shared" si="8"/>
        <v>0.33333333333333331</v>
      </c>
      <c r="N158"/>
      <c r="O158" s="8"/>
      <c r="P158"/>
      <c r="Q158" s="8"/>
    </row>
    <row r="159" spans="2:17" x14ac:dyDescent="0.25">
      <c r="B159" s="38">
        <v>3</v>
      </c>
      <c r="C159" s="39" t="s">
        <v>46</v>
      </c>
      <c r="D159" s="40" t="s">
        <v>47</v>
      </c>
      <c r="E159" s="219"/>
      <c r="F159" s="61" t="s">
        <v>48</v>
      </c>
      <c r="G159" s="78" t="s">
        <v>289</v>
      </c>
      <c r="H159" s="55">
        <v>9</v>
      </c>
      <c r="I159" s="55">
        <v>3</v>
      </c>
      <c r="J159" s="69">
        <f t="shared" si="6"/>
        <v>0.33333333333333331</v>
      </c>
      <c r="K159" s="90">
        <f t="shared" si="7"/>
        <v>3</v>
      </c>
      <c r="L159" s="94">
        <f t="shared" si="8"/>
        <v>0.33333333333333331</v>
      </c>
      <c r="N159"/>
      <c r="O159" s="8"/>
      <c r="P159"/>
      <c r="Q159" s="8"/>
    </row>
    <row r="160" spans="2:17" x14ac:dyDescent="0.25">
      <c r="B160" s="38">
        <v>3</v>
      </c>
      <c r="C160" s="39" t="s">
        <v>98</v>
      </c>
      <c r="D160" s="40" t="s">
        <v>99</v>
      </c>
      <c r="E160" s="219"/>
      <c r="F160" s="61" t="s">
        <v>48</v>
      </c>
      <c r="G160" s="78" t="s">
        <v>287</v>
      </c>
      <c r="H160" s="55">
        <v>9</v>
      </c>
      <c r="I160" s="55">
        <v>3</v>
      </c>
      <c r="J160" s="69">
        <f t="shared" si="6"/>
        <v>0.33333333333333331</v>
      </c>
      <c r="K160" s="90">
        <f t="shared" si="7"/>
        <v>3</v>
      </c>
      <c r="L160" s="94">
        <f t="shared" si="8"/>
        <v>0.33333333333333331</v>
      </c>
      <c r="N160"/>
      <c r="O160" s="8"/>
      <c r="P160"/>
      <c r="Q160" s="8"/>
    </row>
    <row r="161" spans="2:17" s="16" customFormat="1" x14ac:dyDescent="0.25">
      <c r="B161" s="38">
        <v>3</v>
      </c>
      <c r="C161" s="39" t="s">
        <v>49</v>
      </c>
      <c r="D161" s="40" t="s">
        <v>50</v>
      </c>
      <c r="E161" s="219"/>
      <c r="F161" s="61" t="s">
        <v>51</v>
      </c>
      <c r="G161" s="78" t="s">
        <v>155</v>
      </c>
      <c r="H161" s="55">
        <v>9</v>
      </c>
      <c r="I161" s="55">
        <v>3</v>
      </c>
      <c r="J161" s="69">
        <f t="shared" si="6"/>
        <v>0.33333333333333331</v>
      </c>
      <c r="K161" s="90">
        <f t="shared" si="7"/>
        <v>3</v>
      </c>
      <c r="L161" s="94">
        <f t="shared" si="8"/>
        <v>0.33333333333333331</v>
      </c>
      <c r="N161" s="41"/>
      <c r="P161" s="41"/>
    </row>
    <row r="162" spans="2:17" x14ac:dyDescent="0.25">
      <c r="B162" s="38">
        <v>3</v>
      </c>
      <c r="C162" s="39" t="s">
        <v>52</v>
      </c>
      <c r="D162" s="40" t="s">
        <v>53</v>
      </c>
      <c r="E162" s="219"/>
      <c r="F162" s="61" t="s">
        <v>54</v>
      </c>
      <c r="G162" s="78" t="s">
        <v>167</v>
      </c>
      <c r="H162" s="55">
        <v>9</v>
      </c>
      <c r="I162" s="55">
        <v>3</v>
      </c>
      <c r="J162" s="69">
        <f t="shared" si="6"/>
        <v>0.33333333333333331</v>
      </c>
      <c r="K162" s="90">
        <f t="shared" si="7"/>
        <v>3</v>
      </c>
      <c r="L162" s="94">
        <f t="shared" si="8"/>
        <v>0.33333333333333331</v>
      </c>
      <c r="N162"/>
      <c r="O162" s="8"/>
      <c r="P162"/>
      <c r="Q162" s="8"/>
    </row>
    <row r="163" spans="2:17" x14ac:dyDescent="0.25">
      <c r="B163" s="38">
        <v>3</v>
      </c>
      <c r="C163" s="39" t="s">
        <v>55</v>
      </c>
      <c r="D163" s="40" t="s">
        <v>56</v>
      </c>
      <c r="E163" s="219"/>
      <c r="F163" s="61" t="s">
        <v>54</v>
      </c>
      <c r="G163" s="78" t="s">
        <v>168</v>
      </c>
      <c r="H163" s="55">
        <v>9</v>
      </c>
      <c r="I163" s="55">
        <v>3</v>
      </c>
      <c r="J163" s="69">
        <f t="shared" si="6"/>
        <v>0.33333333333333331</v>
      </c>
      <c r="K163" s="90">
        <f t="shared" si="7"/>
        <v>3</v>
      </c>
      <c r="L163" s="94">
        <f t="shared" si="8"/>
        <v>0.33333333333333331</v>
      </c>
      <c r="N163"/>
      <c r="O163" s="8"/>
      <c r="P163"/>
      <c r="Q163" s="8"/>
    </row>
    <row r="164" spans="2:17" x14ac:dyDescent="0.25">
      <c r="B164" s="38">
        <v>5</v>
      </c>
      <c r="C164" s="39" t="s">
        <v>57</v>
      </c>
      <c r="D164" s="40" t="s">
        <v>58</v>
      </c>
      <c r="E164" s="219"/>
      <c r="F164" s="61" t="s">
        <v>54</v>
      </c>
      <c r="G164" s="78" t="s">
        <v>155</v>
      </c>
      <c r="H164" s="68">
        <v>9</v>
      </c>
      <c r="I164" s="55">
        <v>3</v>
      </c>
      <c r="J164" s="69">
        <f t="shared" si="6"/>
        <v>0.33333333333333331</v>
      </c>
      <c r="K164" s="90">
        <f t="shared" si="7"/>
        <v>3</v>
      </c>
      <c r="L164" s="94">
        <f t="shared" si="8"/>
        <v>0.33333333333333331</v>
      </c>
      <c r="N164"/>
      <c r="O164" s="8"/>
      <c r="P164"/>
      <c r="Q164" s="8"/>
    </row>
    <row r="165" spans="2:17" x14ac:dyDescent="0.25">
      <c r="B165" s="38">
        <v>5</v>
      </c>
      <c r="C165" s="39" t="s">
        <v>59</v>
      </c>
      <c r="D165" s="40" t="s">
        <v>60</v>
      </c>
      <c r="E165" s="219"/>
      <c r="F165" s="61" t="s">
        <v>54</v>
      </c>
      <c r="G165" s="78" t="s">
        <v>287</v>
      </c>
      <c r="H165" s="55">
        <v>9</v>
      </c>
      <c r="I165" s="55">
        <v>3</v>
      </c>
      <c r="J165" s="69">
        <f t="shared" si="6"/>
        <v>0.33333333333333331</v>
      </c>
      <c r="K165" s="90">
        <f t="shared" si="7"/>
        <v>3</v>
      </c>
      <c r="L165" s="94">
        <f t="shared" si="8"/>
        <v>0.33333333333333331</v>
      </c>
      <c r="N165"/>
      <c r="O165" s="8"/>
      <c r="P165"/>
      <c r="Q165" s="8"/>
    </row>
    <row r="166" spans="2:17" x14ac:dyDescent="0.25">
      <c r="B166" s="42">
        <v>8</v>
      </c>
      <c r="C166" s="43" t="s">
        <v>61</v>
      </c>
      <c r="D166" s="44" t="s">
        <v>62</v>
      </c>
      <c r="E166" s="220"/>
      <c r="F166" s="64" t="s">
        <v>63</v>
      </c>
      <c r="G166" s="80" t="s">
        <v>156</v>
      </c>
      <c r="H166" s="56">
        <v>9</v>
      </c>
      <c r="I166" s="56">
        <v>3</v>
      </c>
      <c r="J166" s="72">
        <f t="shared" si="6"/>
        <v>0.33333333333333331</v>
      </c>
      <c r="K166" s="91">
        <f t="shared" si="7"/>
        <v>3</v>
      </c>
      <c r="L166" s="96">
        <f t="shared" si="8"/>
        <v>0.33333333333333331</v>
      </c>
      <c r="N166"/>
      <c r="O166" s="8"/>
      <c r="P166"/>
      <c r="Q166" s="8"/>
    </row>
    <row r="167" spans="2:17" x14ac:dyDescent="0.25">
      <c r="B167" s="35">
        <v>3</v>
      </c>
      <c r="C167" s="36" t="s">
        <v>43</v>
      </c>
      <c r="D167" s="37" t="s">
        <v>44</v>
      </c>
      <c r="E167" s="218" t="s">
        <v>158</v>
      </c>
      <c r="F167" s="59" t="s">
        <v>224</v>
      </c>
      <c r="G167" s="60" t="s">
        <v>287</v>
      </c>
      <c r="H167" s="66">
        <v>9</v>
      </c>
      <c r="I167" s="136">
        <v>4</v>
      </c>
      <c r="J167" s="71">
        <f t="shared" si="6"/>
        <v>0.44444444444444442</v>
      </c>
      <c r="K167" s="103">
        <f t="shared" si="7"/>
        <v>4</v>
      </c>
      <c r="L167" s="95">
        <f t="shared" si="8"/>
        <v>0.44444444444444442</v>
      </c>
      <c r="N167"/>
      <c r="O167" s="8"/>
      <c r="P167"/>
      <c r="Q167" s="8"/>
    </row>
    <row r="168" spans="2:17" x14ac:dyDescent="0.25">
      <c r="B168" s="38">
        <v>3</v>
      </c>
      <c r="C168" s="39" t="s">
        <v>153</v>
      </c>
      <c r="D168" s="40" t="s">
        <v>154</v>
      </c>
      <c r="E168" s="219"/>
      <c r="F168" s="131" t="s">
        <v>172</v>
      </c>
      <c r="G168" s="62" t="s">
        <v>172</v>
      </c>
      <c r="H168" s="68">
        <v>9</v>
      </c>
      <c r="I168" s="55">
        <v>0</v>
      </c>
      <c r="J168" s="69">
        <f t="shared" si="6"/>
        <v>0</v>
      </c>
      <c r="K168" s="90">
        <f t="shared" si="7"/>
        <v>0</v>
      </c>
      <c r="L168" s="94">
        <f t="shared" si="8"/>
        <v>0</v>
      </c>
      <c r="N168"/>
      <c r="O168" s="8"/>
      <c r="P168"/>
      <c r="Q168" s="8"/>
    </row>
    <row r="169" spans="2:17" x14ac:dyDescent="0.25">
      <c r="B169" s="38">
        <v>3</v>
      </c>
      <c r="C169" s="39" t="s">
        <v>46</v>
      </c>
      <c r="D169" s="40" t="s">
        <v>47</v>
      </c>
      <c r="E169" s="219"/>
      <c r="F169" s="61" t="s">
        <v>290</v>
      </c>
      <c r="G169" s="63" t="s">
        <v>287</v>
      </c>
      <c r="H169" s="55">
        <v>9</v>
      </c>
      <c r="I169" s="70">
        <v>2</v>
      </c>
      <c r="J169" s="69">
        <f t="shared" si="6"/>
        <v>0.22222222222222221</v>
      </c>
      <c r="K169" s="90">
        <f t="shared" si="7"/>
        <v>2</v>
      </c>
      <c r="L169" s="94">
        <f t="shared" si="8"/>
        <v>0.22222222222222221</v>
      </c>
      <c r="N169"/>
      <c r="O169" s="8"/>
      <c r="P169"/>
      <c r="Q169" s="8"/>
    </row>
    <row r="170" spans="2:17" x14ac:dyDescent="0.25">
      <c r="B170" s="38">
        <v>3</v>
      </c>
      <c r="C170" s="39" t="s">
        <v>98</v>
      </c>
      <c r="D170" s="40" t="s">
        <v>99</v>
      </c>
      <c r="E170" s="219"/>
      <c r="F170" s="61" t="s">
        <v>172</v>
      </c>
      <c r="G170" s="63" t="s">
        <v>172</v>
      </c>
      <c r="H170" s="55">
        <v>9</v>
      </c>
      <c r="I170" s="55">
        <v>0</v>
      </c>
      <c r="J170" s="69">
        <f t="shared" si="6"/>
        <v>0</v>
      </c>
      <c r="K170" s="90">
        <f t="shared" si="7"/>
        <v>0</v>
      </c>
      <c r="L170" s="94">
        <f t="shared" si="8"/>
        <v>0</v>
      </c>
      <c r="N170"/>
      <c r="O170" s="8"/>
      <c r="P170"/>
      <c r="Q170" s="8"/>
    </row>
    <row r="171" spans="2:17" s="16" customFormat="1" x14ac:dyDescent="0.25">
      <c r="B171" s="38">
        <v>3</v>
      </c>
      <c r="C171" s="39" t="s">
        <v>49</v>
      </c>
      <c r="D171" s="40" t="s">
        <v>50</v>
      </c>
      <c r="E171" s="219"/>
      <c r="F171" s="61" t="s">
        <v>291</v>
      </c>
      <c r="G171" s="63" t="s">
        <v>292</v>
      </c>
      <c r="H171" s="55">
        <v>9</v>
      </c>
      <c r="I171" s="55">
        <v>4</v>
      </c>
      <c r="J171" s="69">
        <f t="shared" si="6"/>
        <v>0.44444444444444442</v>
      </c>
      <c r="K171" s="90">
        <f t="shared" si="7"/>
        <v>4</v>
      </c>
      <c r="L171" s="94">
        <f t="shared" si="8"/>
        <v>0.44444444444444442</v>
      </c>
      <c r="N171" s="41"/>
      <c r="P171" s="41"/>
    </row>
    <row r="172" spans="2:17" x14ac:dyDescent="0.25">
      <c r="B172" s="38">
        <v>3</v>
      </c>
      <c r="C172" s="39" t="s">
        <v>52</v>
      </c>
      <c r="D172" s="40" t="s">
        <v>53</v>
      </c>
      <c r="E172" s="219"/>
      <c r="F172" s="61" t="s">
        <v>293</v>
      </c>
      <c r="G172" s="63" t="s">
        <v>294</v>
      </c>
      <c r="H172" s="55">
        <v>9</v>
      </c>
      <c r="I172" s="55">
        <v>5</v>
      </c>
      <c r="J172" s="69">
        <f t="shared" si="6"/>
        <v>0.55555555555555558</v>
      </c>
      <c r="K172" s="90">
        <f t="shared" si="7"/>
        <v>5</v>
      </c>
      <c r="L172" s="94">
        <f t="shared" si="8"/>
        <v>0.55555555555555558</v>
      </c>
      <c r="N172"/>
      <c r="O172" s="8"/>
      <c r="P172"/>
      <c r="Q172" s="8"/>
    </row>
    <row r="173" spans="2:17" x14ac:dyDescent="0.25">
      <c r="B173" s="38">
        <v>3</v>
      </c>
      <c r="C173" s="39" t="s">
        <v>55</v>
      </c>
      <c r="D173" s="40" t="s">
        <v>56</v>
      </c>
      <c r="E173" s="219"/>
      <c r="F173" s="61" t="s">
        <v>295</v>
      </c>
      <c r="G173" s="63" t="s">
        <v>296</v>
      </c>
      <c r="H173" s="55">
        <v>9</v>
      </c>
      <c r="I173" s="55">
        <v>2</v>
      </c>
      <c r="J173" s="69">
        <f t="shared" si="6"/>
        <v>0.22222222222222221</v>
      </c>
      <c r="K173" s="90">
        <f t="shared" si="7"/>
        <v>2</v>
      </c>
      <c r="L173" s="94">
        <f t="shared" si="8"/>
        <v>0.22222222222222221</v>
      </c>
      <c r="N173"/>
      <c r="O173" s="8"/>
      <c r="P173"/>
      <c r="Q173" s="8"/>
    </row>
    <row r="174" spans="2:17" x14ac:dyDescent="0.25">
      <c r="B174" s="38">
        <v>5</v>
      </c>
      <c r="C174" s="39" t="s">
        <v>57</v>
      </c>
      <c r="D174" s="40" t="s">
        <v>58</v>
      </c>
      <c r="E174" s="219"/>
      <c r="F174" s="61" t="s">
        <v>172</v>
      </c>
      <c r="G174" s="63" t="s">
        <v>172</v>
      </c>
      <c r="H174" s="55">
        <v>9</v>
      </c>
      <c r="I174" s="55">
        <v>0</v>
      </c>
      <c r="J174" s="69">
        <f t="shared" si="6"/>
        <v>0</v>
      </c>
      <c r="K174" s="90">
        <f t="shared" si="7"/>
        <v>0</v>
      </c>
      <c r="L174" s="94">
        <f t="shared" si="8"/>
        <v>0</v>
      </c>
      <c r="N174"/>
      <c r="O174" s="8"/>
      <c r="P174"/>
      <c r="Q174" s="8"/>
    </row>
    <row r="175" spans="2:17" x14ac:dyDescent="0.25">
      <c r="B175" s="38">
        <v>5</v>
      </c>
      <c r="C175" s="39" t="s">
        <v>59</v>
      </c>
      <c r="D175" s="40" t="s">
        <v>60</v>
      </c>
      <c r="E175" s="219"/>
      <c r="F175" s="61" t="s">
        <v>225</v>
      </c>
      <c r="G175" s="63" t="s">
        <v>231</v>
      </c>
      <c r="H175" s="68">
        <v>9</v>
      </c>
      <c r="I175" s="55">
        <v>7</v>
      </c>
      <c r="J175" s="69">
        <f t="shared" si="6"/>
        <v>0.77777777777777779</v>
      </c>
      <c r="K175" s="90">
        <f t="shared" si="7"/>
        <v>7</v>
      </c>
      <c r="L175" s="94">
        <f t="shared" si="8"/>
        <v>0.77777777777777779</v>
      </c>
      <c r="N175"/>
      <c r="O175" s="8"/>
      <c r="P175"/>
      <c r="Q175" s="8"/>
    </row>
    <row r="176" spans="2:17" x14ac:dyDescent="0.25">
      <c r="B176" s="42">
        <v>8</v>
      </c>
      <c r="C176" s="43" t="s">
        <v>61</v>
      </c>
      <c r="D176" s="44" t="s">
        <v>62</v>
      </c>
      <c r="E176" s="220"/>
      <c r="F176" s="64" t="s">
        <v>297</v>
      </c>
      <c r="G176" s="65" t="s">
        <v>287</v>
      </c>
      <c r="H176" s="56">
        <v>9</v>
      </c>
      <c r="I176" s="56">
        <v>6</v>
      </c>
      <c r="J176" s="72">
        <f t="shared" si="6"/>
        <v>0.66666666666666663</v>
      </c>
      <c r="K176" s="91">
        <f t="shared" si="7"/>
        <v>6</v>
      </c>
      <c r="L176" s="96">
        <f t="shared" si="8"/>
        <v>0.66666666666666663</v>
      </c>
      <c r="N176"/>
      <c r="O176" s="8"/>
      <c r="P176"/>
      <c r="Q176" s="8"/>
    </row>
    <row r="177" spans="2:17" x14ac:dyDescent="0.25">
      <c r="B177" s="35">
        <v>3</v>
      </c>
      <c r="C177" s="36" t="s">
        <v>43</v>
      </c>
      <c r="D177" s="37" t="s">
        <v>44</v>
      </c>
      <c r="E177" s="218" t="s">
        <v>183</v>
      </c>
      <c r="F177" s="81" t="s">
        <v>219</v>
      </c>
      <c r="G177" s="63" t="s">
        <v>298</v>
      </c>
      <c r="H177" s="136">
        <v>45</v>
      </c>
      <c r="I177" s="136">
        <v>3</v>
      </c>
      <c r="J177" s="71">
        <f t="shared" si="6"/>
        <v>6.6666666666666666E-2</v>
      </c>
      <c r="K177" s="103">
        <f t="shared" si="7"/>
        <v>3</v>
      </c>
      <c r="L177" s="95">
        <f t="shared" si="8"/>
        <v>6.6666666666666666E-2</v>
      </c>
      <c r="N177"/>
      <c r="O177" s="8"/>
      <c r="P177"/>
      <c r="Q177" s="8"/>
    </row>
    <row r="178" spans="2:17" x14ac:dyDescent="0.25">
      <c r="B178" s="38">
        <v>3</v>
      </c>
      <c r="C178" s="39" t="s">
        <v>46</v>
      </c>
      <c r="D178" s="40" t="s">
        <v>47</v>
      </c>
      <c r="E178" s="219"/>
      <c r="F178" s="82" t="s">
        <v>299</v>
      </c>
      <c r="G178" s="63" t="s">
        <v>300</v>
      </c>
      <c r="H178" s="68">
        <v>45</v>
      </c>
      <c r="I178" s="55">
        <v>5</v>
      </c>
      <c r="J178" s="69">
        <f t="shared" si="6"/>
        <v>0.1111111111111111</v>
      </c>
      <c r="K178" s="90">
        <f t="shared" si="7"/>
        <v>5</v>
      </c>
      <c r="L178" s="94">
        <f t="shared" si="8"/>
        <v>0.1111111111111111</v>
      </c>
      <c r="N178"/>
      <c r="O178" s="8"/>
      <c r="P178"/>
      <c r="Q178" s="8"/>
    </row>
    <row r="179" spans="2:17" x14ac:dyDescent="0.25">
      <c r="B179" s="38">
        <v>3</v>
      </c>
      <c r="C179" s="39" t="s">
        <v>49</v>
      </c>
      <c r="D179" s="40" t="s">
        <v>50</v>
      </c>
      <c r="E179" s="219"/>
      <c r="F179" s="83" t="s">
        <v>51</v>
      </c>
      <c r="G179" s="63" t="s">
        <v>301</v>
      </c>
      <c r="H179" s="55">
        <v>40</v>
      </c>
      <c r="I179" s="70">
        <v>4</v>
      </c>
      <c r="J179" s="69">
        <f t="shared" si="6"/>
        <v>0.1</v>
      </c>
      <c r="K179" s="90">
        <f t="shared" si="7"/>
        <v>4</v>
      </c>
      <c r="L179" s="94">
        <f t="shared" si="8"/>
        <v>0.1</v>
      </c>
      <c r="N179"/>
      <c r="O179" s="8"/>
      <c r="P179"/>
      <c r="Q179" s="8"/>
    </row>
    <row r="180" spans="2:17" x14ac:dyDescent="0.25">
      <c r="B180" s="38">
        <v>3</v>
      </c>
      <c r="C180" s="39" t="s">
        <v>52</v>
      </c>
      <c r="D180" s="40" t="s">
        <v>53</v>
      </c>
      <c r="E180" s="219"/>
      <c r="F180" s="82" t="s">
        <v>302</v>
      </c>
      <c r="G180" s="63" t="s">
        <v>303</v>
      </c>
      <c r="H180" s="55">
        <v>70</v>
      </c>
      <c r="I180" s="55">
        <v>10</v>
      </c>
      <c r="J180" s="69">
        <f t="shared" si="6"/>
        <v>0.14285714285714285</v>
      </c>
      <c r="K180" s="90">
        <f t="shared" si="7"/>
        <v>10</v>
      </c>
      <c r="L180" s="94">
        <f t="shared" si="8"/>
        <v>0.14285714285714285</v>
      </c>
      <c r="N180"/>
      <c r="O180" s="8"/>
      <c r="P180"/>
      <c r="Q180" s="8"/>
    </row>
    <row r="181" spans="2:17" x14ac:dyDescent="0.25">
      <c r="B181" s="42">
        <v>3</v>
      </c>
      <c r="C181" s="43" t="s">
        <v>55</v>
      </c>
      <c r="D181" s="44" t="s">
        <v>56</v>
      </c>
      <c r="E181" s="220"/>
      <c r="F181" s="84" t="s">
        <v>477</v>
      </c>
      <c r="G181" s="63" t="s">
        <v>301</v>
      </c>
      <c r="H181" s="56">
        <v>70</v>
      </c>
      <c r="I181" s="56">
        <v>8</v>
      </c>
      <c r="J181" s="72">
        <f t="shared" si="6"/>
        <v>0.11428571428571428</v>
      </c>
      <c r="K181" s="91">
        <f>+I181</f>
        <v>8</v>
      </c>
      <c r="L181" s="96">
        <f t="shared" si="8"/>
        <v>0.11428571428571428</v>
      </c>
      <c r="N181"/>
      <c r="O181" s="8"/>
      <c r="P181"/>
      <c r="Q181" s="8"/>
    </row>
    <row r="182" spans="2:17" x14ac:dyDescent="0.25">
      <c r="B182" s="85">
        <v>3</v>
      </c>
      <c r="C182" s="105" t="s">
        <v>332</v>
      </c>
      <c r="D182" s="106" t="s">
        <v>333</v>
      </c>
      <c r="E182" s="238" t="s">
        <v>334</v>
      </c>
      <c r="F182" s="59" t="s">
        <v>232</v>
      </c>
      <c r="G182" s="60" t="s">
        <v>109</v>
      </c>
      <c r="H182" s="89">
        <v>30</v>
      </c>
      <c r="I182" s="137">
        <v>5</v>
      </c>
      <c r="J182" s="71">
        <f t="shared" si="6"/>
        <v>0.16666666666666666</v>
      </c>
      <c r="K182" s="103">
        <f t="shared" ref="K182:K211" si="9">+I182</f>
        <v>5</v>
      </c>
      <c r="L182" s="95">
        <f t="shared" si="8"/>
        <v>0.16666666666666666</v>
      </c>
      <c r="N182"/>
      <c r="O182" s="8"/>
      <c r="P182"/>
      <c r="Q182" s="8"/>
    </row>
    <row r="183" spans="2:17" x14ac:dyDescent="0.25">
      <c r="B183" s="86">
        <v>3</v>
      </c>
      <c r="C183" s="107" t="s">
        <v>52</v>
      </c>
      <c r="D183" s="108" t="s">
        <v>53</v>
      </c>
      <c r="E183" s="239"/>
      <c r="F183" s="61" t="s">
        <v>335</v>
      </c>
      <c r="G183" s="76" t="s">
        <v>336</v>
      </c>
      <c r="H183" s="2">
        <v>20</v>
      </c>
      <c r="I183" s="3">
        <v>3</v>
      </c>
      <c r="J183" s="69">
        <f t="shared" si="6"/>
        <v>0.15</v>
      </c>
      <c r="K183" s="90">
        <f t="shared" si="9"/>
        <v>3</v>
      </c>
      <c r="L183" s="94">
        <f t="shared" si="8"/>
        <v>0.15</v>
      </c>
      <c r="N183"/>
      <c r="O183" s="8"/>
      <c r="P183"/>
      <c r="Q183" s="8"/>
    </row>
    <row r="184" spans="2:17" x14ac:dyDescent="0.25">
      <c r="B184" s="86">
        <v>3</v>
      </c>
      <c r="C184" s="107" t="s">
        <v>55</v>
      </c>
      <c r="D184" s="108" t="s">
        <v>56</v>
      </c>
      <c r="E184" s="239"/>
      <c r="F184" s="61" t="s">
        <v>337</v>
      </c>
      <c r="G184" s="62" t="s">
        <v>338</v>
      </c>
      <c r="H184" s="3">
        <v>20</v>
      </c>
      <c r="I184" s="4">
        <v>4</v>
      </c>
      <c r="J184" s="69">
        <f t="shared" si="6"/>
        <v>0.2</v>
      </c>
      <c r="K184" s="90">
        <f t="shared" si="9"/>
        <v>4</v>
      </c>
      <c r="L184" s="94">
        <f t="shared" si="8"/>
        <v>0.2</v>
      </c>
      <c r="N184"/>
      <c r="O184" s="8"/>
      <c r="P184"/>
      <c r="Q184" s="8"/>
    </row>
    <row r="185" spans="2:17" x14ac:dyDescent="0.25">
      <c r="B185" s="86">
        <v>5</v>
      </c>
      <c r="C185" s="107" t="s">
        <v>57</v>
      </c>
      <c r="D185" s="108" t="s">
        <v>58</v>
      </c>
      <c r="E185" s="239"/>
      <c r="F185" s="61" t="s">
        <v>339</v>
      </c>
      <c r="G185" s="62" t="s">
        <v>340</v>
      </c>
      <c r="H185" s="3">
        <v>15</v>
      </c>
      <c r="I185" s="3">
        <v>4</v>
      </c>
      <c r="J185" s="69">
        <f t="shared" si="6"/>
        <v>0.26666666666666666</v>
      </c>
      <c r="K185" s="90">
        <f t="shared" si="9"/>
        <v>4</v>
      </c>
      <c r="L185" s="94">
        <f t="shared" si="8"/>
        <v>0.26666666666666666</v>
      </c>
      <c r="N185"/>
      <c r="O185" s="8"/>
      <c r="P185"/>
      <c r="Q185" s="8"/>
    </row>
    <row r="186" spans="2:17" x14ac:dyDescent="0.25">
      <c r="B186" s="86">
        <v>5</v>
      </c>
      <c r="C186" s="107" t="s">
        <v>59</v>
      </c>
      <c r="D186" s="108" t="s">
        <v>60</v>
      </c>
      <c r="E186" s="239"/>
      <c r="F186" s="62" t="s">
        <v>341</v>
      </c>
      <c r="G186" s="62" t="s">
        <v>32</v>
      </c>
      <c r="H186" s="3">
        <v>20</v>
      </c>
      <c r="I186" s="3">
        <v>4</v>
      </c>
      <c r="J186" s="69">
        <f t="shared" si="6"/>
        <v>0.2</v>
      </c>
      <c r="K186" s="90">
        <f t="shared" si="9"/>
        <v>4</v>
      </c>
      <c r="L186" s="94">
        <f t="shared" si="8"/>
        <v>0.2</v>
      </c>
      <c r="N186"/>
      <c r="O186" s="8"/>
      <c r="P186"/>
      <c r="Q186" s="8"/>
    </row>
    <row r="187" spans="2:17" x14ac:dyDescent="0.25">
      <c r="B187" s="86">
        <v>8</v>
      </c>
      <c r="C187" s="107" t="s">
        <v>61</v>
      </c>
      <c r="D187" s="108" t="s">
        <v>62</v>
      </c>
      <c r="E187" s="239"/>
      <c r="F187" s="62" t="s">
        <v>342</v>
      </c>
      <c r="G187" s="62" t="s">
        <v>343</v>
      </c>
      <c r="H187" s="3">
        <v>15</v>
      </c>
      <c r="I187" s="3">
        <v>2</v>
      </c>
      <c r="J187" s="69">
        <f t="shared" si="6"/>
        <v>0.13333333333333333</v>
      </c>
      <c r="K187" s="90">
        <f t="shared" si="9"/>
        <v>2</v>
      </c>
      <c r="L187" s="94">
        <f t="shared" si="8"/>
        <v>0.13333333333333333</v>
      </c>
      <c r="N187"/>
      <c r="O187" s="8"/>
      <c r="P187"/>
      <c r="Q187" s="8"/>
    </row>
    <row r="188" spans="2:17" x14ac:dyDescent="0.25">
      <c r="B188" s="86">
        <v>8</v>
      </c>
      <c r="C188" s="107" t="s">
        <v>344</v>
      </c>
      <c r="D188" s="108" t="s">
        <v>345</v>
      </c>
      <c r="E188" s="239"/>
      <c r="F188" s="61" t="s">
        <v>476</v>
      </c>
      <c r="G188" s="62" t="s">
        <v>32</v>
      </c>
      <c r="H188" s="3">
        <v>20</v>
      </c>
      <c r="I188" s="3">
        <v>2</v>
      </c>
      <c r="J188" s="69">
        <f t="shared" si="6"/>
        <v>0.1</v>
      </c>
      <c r="K188" s="90">
        <f t="shared" si="9"/>
        <v>2</v>
      </c>
      <c r="L188" s="94">
        <f t="shared" si="8"/>
        <v>0.1</v>
      </c>
      <c r="N188"/>
      <c r="O188" s="8"/>
      <c r="P188"/>
      <c r="Q188" s="8"/>
    </row>
    <row r="189" spans="2:17" x14ac:dyDescent="0.25">
      <c r="B189" s="86">
        <v>8</v>
      </c>
      <c r="C189" s="107" t="s">
        <v>346</v>
      </c>
      <c r="D189" s="108" t="s">
        <v>347</v>
      </c>
      <c r="E189" s="239"/>
      <c r="F189" s="62" t="s">
        <v>348</v>
      </c>
      <c r="G189" s="62" t="s">
        <v>32</v>
      </c>
      <c r="H189" s="3">
        <v>20</v>
      </c>
      <c r="I189" s="3">
        <v>2</v>
      </c>
      <c r="J189" s="69">
        <f t="shared" si="6"/>
        <v>0.1</v>
      </c>
      <c r="K189" s="90">
        <f t="shared" si="9"/>
        <v>2</v>
      </c>
      <c r="L189" s="94">
        <f t="shared" si="8"/>
        <v>0.1</v>
      </c>
      <c r="N189"/>
      <c r="O189" s="8"/>
      <c r="P189"/>
      <c r="Q189" s="8"/>
    </row>
    <row r="190" spans="2:17" x14ac:dyDescent="0.25">
      <c r="B190" s="87">
        <v>8</v>
      </c>
      <c r="C190" s="109" t="s">
        <v>349</v>
      </c>
      <c r="D190" s="110" t="s">
        <v>350</v>
      </c>
      <c r="E190" s="227"/>
      <c r="F190" s="64" t="s">
        <v>351</v>
      </c>
      <c r="G190" s="63" t="s">
        <v>352</v>
      </c>
      <c r="H190" s="97">
        <v>20</v>
      </c>
      <c r="I190" s="97">
        <v>4</v>
      </c>
      <c r="J190" s="72">
        <f t="shared" si="6"/>
        <v>0.2</v>
      </c>
      <c r="K190" s="91">
        <f t="shared" si="9"/>
        <v>4</v>
      </c>
      <c r="L190" s="96">
        <f t="shared" si="8"/>
        <v>0.2</v>
      </c>
      <c r="N190"/>
      <c r="O190" s="8"/>
      <c r="P190"/>
      <c r="Q190" s="8"/>
    </row>
    <row r="191" spans="2:17" x14ac:dyDescent="0.25">
      <c r="B191" s="85">
        <v>3</v>
      </c>
      <c r="C191" s="105" t="s">
        <v>43</v>
      </c>
      <c r="D191" s="106" t="s">
        <v>44</v>
      </c>
      <c r="E191" s="232" t="s">
        <v>353</v>
      </c>
      <c r="F191" s="59" t="s">
        <v>478</v>
      </c>
      <c r="G191" s="60" t="s">
        <v>354</v>
      </c>
      <c r="H191" s="89">
        <v>18</v>
      </c>
      <c r="I191" s="137">
        <v>3</v>
      </c>
      <c r="J191" s="71">
        <f t="shared" si="6"/>
        <v>0.16666666666666666</v>
      </c>
      <c r="K191" s="103">
        <f t="shared" si="9"/>
        <v>3</v>
      </c>
      <c r="L191" s="95">
        <f t="shared" si="8"/>
        <v>0.16666666666666666</v>
      </c>
      <c r="N191"/>
      <c r="O191" s="8"/>
      <c r="P191"/>
      <c r="Q191" s="8"/>
    </row>
    <row r="192" spans="2:17" x14ac:dyDescent="0.25">
      <c r="B192" s="86">
        <v>3</v>
      </c>
      <c r="C192" s="107" t="s">
        <v>46</v>
      </c>
      <c r="D192" s="108" t="s">
        <v>47</v>
      </c>
      <c r="E192" s="232"/>
      <c r="F192" s="61" t="s">
        <v>479</v>
      </c>
      <c r="G192" s="63" t="s">
        <v>354</v>
      </c>
      <c r="H192" s="2">
        <v>18</v>
      </c>
      <c r="I192" s="3">
        <v>3</v>
      </c>
      <c r="J192" s="69">
        <f t="shared" si="6"/>
        <v>0.16666666666666666</v>
      </c>
      <c r="K192" s="90">
        <f t="shared" si="9"/>
        <v>3</v>
      </c>
      <c r="L192" s="94">
        <f t="shared" si="8"/>
        <v>0.16666666666666666</v>
      </c>
      <c r="N192"/>
      <c r="O192" s="8"/>
      <c r="P192"/>
      <c r="Q192" s="8"/>
    </row>
    <row r="193" spans="2:17" x14ac:dyDescent="0.25">
      <c r="B193" s="86">
        <v>3</v>
      </c>
      <c r="C193" s="107" t="s">
        <v>98</v>
      </c>
      <c r="D193" s="108" t="s">
        <v>99</v>
      </c>
      <c r="E193" s="232"/>
      <c r="F193" s="61" t="s">
        <v>480</v>
      </c>
      <c r="G193" s="62" t="s">
        <v>354</v>
      </c>
      <c r="H193" s="3">
        <v>24</v>
      </c>
      <c r="I193" s="3">
        <v>4</v>
      </c>
      <c r="J193" s="69">
        <f t="shared" si="6"/>
        <v>0.16666666666666666</v>
      </c>
      <c r="K193" s="90">
        <f t="shared" si="9"/>
        <v>4</v>
      </c>
      <c r="L193" s="94">
        <f t="shared" si="8"/>
        <v>0.16666666666666666</v>
      </c>
      <c r="N193"/>
      <c r="O193" s="8"/>
      <c r="P193"/>
      <c r="Q193" s="8"/>
    </row>
    <row r="194" spans="2:17" x14ac:dyDescent="0.25">
      <c r="B194" s="86">
        <v>3</v>
      </c>
      <c r="C194" s="107" t="s">
        <v>49</v>
      </c>
      <c r="D194" s="108" t="s">
        <v>50</v>
      </c>
      <c r="E194" s="232"/>
      <c r="F194" s="61" t="s">
        <v>481</v>
      </c>
      <c r="G194" s="62" t="s">
        <v>354</v>
      </c>
      <c r="H194" s="3">
        <v>24</v>
      </c>
      <c r="I194" s="3">
        <v>4</v>
      </c>
      <c r="J194" s="69">
        <f t="shared" si="6"/>
        <v>0.16666666666666666</v>
      </c>
      <c r="K194" s="90">
        <f t="shared" si="9"/>
        <v>4</v>
      </c>
      <c r="L194" s="94">
        <f t="shared" si="8"/>
        <v>0.16666666666666666</v>
      </c>
      <c r="N194"/>
      <c r="O194" s="8"/>
      <c r="P194"/>
      <c r="Q194" s="8"/>
    </row>
    <row r="195" spans="2:17" x14ac:dyDescent="0.25">
      <c r="B195" s="86">
        <v>3</v>
      </c>
      <c r="C195" s="107" t="s">
        <v>52</v>
      </c>
      <c r="D195" s="108" t="s">
        <v>53</v>
      </c>
      <c r="E195" s="232"/>
      <c r="F195" s="61" t="s">
        <v>482</v>
      </c>
      <c r="G195" s="62" t="s">
        <v>354</v>
      </c>
      <c r="H195" s="3">
        <v>24</v>
      </c>
      <c r="I195" s="3">
        <v>4</v>
      </c>
      <c r="J195" s="69">
        <f t="shared" si="6"/>
        <v>0.16666666666666666</v>
      </c>
      <c r="K195" s="90">
        <f t="shared" si="9"/>
        <v>4</v>
      </c>
      <c r="L195" s="94">
        <f t="shared" si="8"/>
        <v>0.16666666666666666</v>
      </c>
      <c r="N195"/>
      <c r="O195" s="8"/>
      <c r="P195"/>
      <c r="Q195" s="8"/>
    </row>
    <row r="196" spans="2:17" x14ac:dyDescent="0.25">
      <c r="B196" s="86">
        <v>3</v>
      </c>
      <c r="C196" s="107" t="s">
        <v>55</v>
      </c>
      <c r="D196" s="108" t="s">
        <v>56</v>
      </c>
      <c r="E196" s="232"/>
      <c r="F196" s="61" t="s">
        <v>483</v>
      </c>
      <c r="G196" s="62" t="s">
        <v>354</v>
      </c>
      <c r="H196" s="3">
        <v>24</v>
      </c>
      <c r="I196" s="3">
        <v>4</v>
      </c>
      <c r="J196" s="69">
        <f t="shared" si="6"/>
        <v>0.16666666666666666</v>
      </c>
      <c r="K196" s="90">
        <f t="shared" si="9"/>
        <v>4</v>
      </c>
      <c r="L196" s="94">
        <f t="shared" si="8"/>
        <v>0.16666666666666666</v>
      </c>
      <c r="N196"/>
      <c r="O196" s="8"/>
      <c r="P196"/>
      <c r="Q196" s="8"/>
    </row>
    <row r="197" spans="2:17" x14ac:dyDescent="0.25">
      <c r="B197" s="86">
        <v>5</v>
      </c>
      <c r="C197" s="107" t="s">
        <v>57</v>
      </c>
      <c r="D197" s="108" t="s">
        <v>58</v>
      </c>
      <c r="E197" s="232"/>
      <c r="F197" s="61" t="s">
        <v>484</v>
      </c>
      <c r="G197" s="62" t="s">
        <v>354</v>
      </c>
      <c r="H197" s="3">
        <v>24</v>
      </c>
      <c r="I197" s="3">
        <v>4</v>
      </c>
      <c r="J197" s="69">
        <f t="shared" si="6"/>
        <v>0.16666666666666666</v>
      </c>
      <c r="K197" s="90">
        <f t="shared" si="9"/>
        <v>4</v>
      </c>
      <c r="L197" s="94">
        <f t="shared" si="8"/>
        <v>0.16666666666666666</v>
      </c>
      <c r="N197"/>
      <c r="O197" s="8"/>
      <c r="P197"/>
      <c r="Q197" s="8"/>
    </row>
    <row r="198" spans="2:17" x14ac:dyDescent="0.25">
      <c r="B198" s="87">
        <v>8</v>
      </c>
      <c r="C198" s="109" t="s">
        <v>61</v>
      </c>
      <c r="D198" s="110" t="s">
        <v>62</v>
      </c>
      <c r="E198" s="232"/>
      <c r="F198" s="64" t="s">
        <v>355</v>
      </c>
      <c r="G198" s="65" t="s">
        <v>354</v>
      </c>
      <c r="H198" s="97">
        <v>24</v>
      </c>
      <c r="I198" s="97">
        <v>4</v>
      </c>
      <c r="J198" s="72">
        <f t="shared" si="6"/>
        <v>0.16666666666666666</v>
      </c>
      <c r="K198" s="91">
        <f t="shared" si="9"/>
        <v>4</v>
      </c>
      <c r="L198" s="96">
        <f t="shared" si="8"/>
        <v>0.16666666666666666</v>
      </c>
      <c r="N198"/>
      <c r="O198" s="8"/>
      <c r="P198"/>
      <c r="Q198" s="8"/>
    </row>
    <row r="199" spans="2:17" x14ac:dyDescent="0.25">
      <c r="B199" s="85">
        <v>2</v>
      </c>
      <c r="C199" s="105" t="s">
        <v>356</v>
      </c>
      <c r="D199" s="106" t="s">
        <v>357</v>
      </c>
      <c r="E199" s="226" t="s">
        <v>359</v>
      </c>
      <c r="F199" s="59" t="s">
        <v>358</v>
      </c>
      <c r="G199" s="60" t="s">
        <v>32</v>
      </c>
      <c r="H199" s="89">
        <v>60</v>
      </c>
      <c r="I199" s="137">
        <v>5</v>
      </c>
      <c r="J199" s="71">
        <f t="shared" si="6"/>
        <v>8.3333333333333329E-2</v>
      </c>
      <c r="K199" s="103">
        <f t="shared" si="9"/>
        <v>5</v>
      </c>
      <c r="L199" s="95">
        <f t="shared" si="8"/>
        <v>8.3333333333333329E-2</v>
      </c>
      <c r="N199"/>
      <c r="O199" s="8"/>
      <c r="P199"/>
      <c r="Q199" s="8"/>
    </row>
    <row r="200" spans="2:17" x14ac:dyDescent="0.25">
      <c r="B200" s="86">
        <v>2</v>
      </c>
      <c r="C200" s="107" t="s">
        <v>360</v>
      </c>
      <c r="D200" s="108" t="s">
        <v>361</v>
      </c>
      <c r="E200" s="226"/>
      <c r="F200" s="61" t="s">
        <v>362</v>
      </c>
      <c r="G200" s="62" t="s">
        <v>32</v>
      </c>
      <c r="H200" s="2">
        <v>40</v>
      </c>
      <c r="I200" s="3">
        <v>5</v>
      </c>
      <c r="J200" s="69">
        <f t="shared" si="6"/>
        <v>0.125</v>
      </c>
      <c r="K200" s="90">
        <f t="shared" si="9"/>
        <v>5</v>
      </c>
      <c r="L200" s="94">
        <f t="shared" si="8"/>
        <v>0.125</v>
      </c>
      <c r="N200"/>
      <c r="O200" s="8"/>
      <c r="P200"/>
      <c r="Q200" s="8"/>
    </row>
    <row r="201" spans="2:17" x14ac:dyDescent="0.25">
      <c r="B201" s="86">
        <v>2</v>
      </c>
      <c r="C201" s="107" t="s">
        <v>363</v>
      </c>
      <c r="D201" s="108" t="s">
        <v>364</v>
      </c>
      <c r="E201" s="226"/>
      <c r="F201" s="61" t="s">
        <v>365</v>
      </c>
      <c r="G201" s="63" t="s">
        <v>32</v>
      </c>
      <c r="H201" s="3">
        <v>10</v>
      </c>
      <c r="I201" s="4">
        <v>3</v>
      </c>
      <c r="J201" s="69">
        <f t="shared" si="6"/>
        <v>0.3</v>
      </c>
      <c r="K201" s="90">
        <f t="shared" si="9"/>
        <v>3</v>
      </c>
      <c r="L201" s="94">
        <f t="shared" si="8"/>
        <v>0.3</v>
      </c>
      <c r="N201"/>
      <c r="O201" s="8"/>
      <c r="P201"/>
      <c r="Q201" s="8"/>
    </row>
    <row r="202" spans="2:17" x14ac:dyDescent="0.25">
      <c r="B202" s="86">
        <v>2</v>
      </c>
      <c r="C202" s="107" t="s">
        <v>366</v>
      </c>
      <c r="D202" s="108" t="s">
        <v>367</v>
      </c>
      <c r="E202" s="226"/>
      <c r="F202" s="61" t="s">
        <v>365</v>
      </c>
      <c r="G202" s="62" t="s">
        <v>32</v>
      </c>
      <c r="H202" s="3">
        <v>10</v>
      </c>
      <c r="I202" s="3">
        <v>3</v>
      </c>
      <c r="J202" s="69">
        <f t="shared" si="6"/>
        <v>0.3</v>
      </c>
      <c r="K202" s="90">
        <f t="shared" si="9"/>
        <v>3</v>
      </c>
      <c r="L202" s="94">
        <f t="shared" si="8"/>
        <v>0.3</v>
      </c>
      <c r="N202"/>
      <c r="O202" s="8"/>
      <c r="P202"/>
      <c r="Q202" s="8"/>
    </row>
    <row r="203" spans="2:17" x14ac:dyDescent="0.25">
      <c r="B203" s="86">
        <v>2</v>
      </c>
      <c r="C203" s="107" t="s">
        <v>368</v>
      </c>
      <c r="D203" s="108" t="s">
        <v>369</v>
      </c>
      <c r="E203" s="226"/>
      <c r="F203" s="61" t="s">
        <v>365</v>
      </c>
      <c r="G203" s="62" t="s">
        <v>32</v>
      </c>
      <c r="H203" s="3">
        <v>10</v>
      </c>
      <c r="I203" s="3">
        <v>5</v>
      </c>
      <c r="J203" s="69">
        <f t="shared" si="6"/>
        <v>0.5</v>
      </c>
      <c r="K203" s="90">
        <f t="shared" si="9"/>
        <v>5</v>
      </c>
      <c r="L203" s="94">
        <f t="shared" si="8"/>
        <v>0.5</v>
      </c>
      <c r="N203"/>
      <c r="O203" s="8"/>
      <c r="P203"/>
      <c r="Q203" s="8"/>
    </row>
    <row r="204" spans="2:17" x14ac:dyDescent="0.25">
      <c r="B204" s="86">
        <v>2</v>
      </c>
      <c r="C204" s="107" t="s">
        <v>140</v>
      </c>
      <c r="D204" s="108" t="s">
        <v>141</v>
      </c>
      <c r="E204" s="226"/>
      <c r="F204" s="61" t="s">
        <v>370</v>
      </c>
      <c r="G204" s="62" t="s">
        <v>32</v>
      </c>
      <c r="H204" s="3">
        <v>20</v>
      </c>
      <c r="I204" s="3">
        <v>5</v>
      </c>
      <c r="J204" s="69">
        <f t="shared" si="6"/>
        <v>0.25</v>
      </c>
      <c r="K204" s="90">
        <f t="shared" si="9"/>
        <v>5</v>
      </c>
      <c r="L204" s="94">
        <f t="shared" si="8"/>
        <v>0.25</v>
      </c>
      <c r="N204"/>
      <c r="O204" s="8"/>
      <c r="P204"/>
      <c r="Q204" s="8"/>
    </row>
    <row r="205" spans="2:17" x14ac:dyDescent="0.25">
      <c r="B205" s="86">
        <v>2</v>
      </c>
      <c r="C205" s="107" t="s">
        <v>371</v>
      </c>
      <c r="D205" s="108" t="s">
        <v>372</v>
      </c>
      <c r="E205" s="226"/>
      <c r="F205" s="61" t="s">
        <v>373</v>
      </c>
      <c r="G205" s="62" t="s">
        <v>32</v>
      </c>
      <c r="H205" s="3">
        <v>10</v>
      </c>
      <c r="I205" s="3">
        <v>2</v>
      </c>
      <c r="J205" s="69">
        <f t="shared" si="6"/>
        <v>0.2</v>
      </c>
      <c r="K205" s="90">
        <f t="shared" si="9"/>
        <v>2</v>
      </c>
      <c r="L205" s="94">
        <f t="shared" si="8"/>
        <v>0.2</v>
      </c>
      <c r="N205"/>
      <c r="O205" s="8"/>
      <c r="P205"/>
      <c r="Q205" s="8"/>
    </row>
    <row r="206" spans="2:17" x14ac:dyDescent="0.25">
      <c r="B206" s="87">
        <v>2</v>
      </c>
      <c r="C206" s="109" t="s">
        <v>374</v>
      </c>
      <c r="D206" s="110" t="s">
        <v>375</v>
      </c>
      <c r="E206" s="226"/>
      <c r="F206" s="64" t="s">
        <v>376</v>
      </c>
      <c r="G206" s="65" t="s">
        <v>32</v>
      </c>
      <c r="H206" s="97">
        <v>20</v>
      </c>
      <c r="I206" s="97">
        <v>2</v>
      </c>
      <c r="J206" s="72">
        <f t="shared" si="6"/>
        <v>0.1</v>
      </c>
      <c r="K206" s="91">
        <f t="shared" si="9"/>
        <v>2</v>
      </c>
      <c r="L206" s="96">
        <f t="shared" si="8"/>
        <v>0.1</v>
      </c>
      <c r="N206"/>
      <c r="O206" s="8"/>
      <c r="P206"/>
      <c r="Q206" s="8"/>
    </row>
    <row r="207" spans="2:17" x14ac:dyDescent="0.25">
      <c r="B207" s="88">
        <v>1</v>
      </c>
      <c r="C207" s="111" t="s">
        <v>230</v>
      </c>
      <c r="D207" s="112" t="s">
        <v>377</v>
      </c>
      <c r="E207" s="226" t="s">
        <v>378</v>
      </c>
      <c r="F207" s="59" t="s">
        <v>485</v>
      </c>
      <c r="G207" s="60" t="s">
        <v>32</v>
      </c>
      <c r="H207" s="66">
        <v>30</v>
      </c>
      <c r="I207" s="136">
        <v>8</v>
      </c>
      <c r="J207" s="71">
        <f t="shared" ref="J207:J268" si="10">IFERROR(I207/H207,0)</f>
        <v>0.26666666666666666</v>
      </c>
      <c r="K207" s="103">
        <f t="shared" si="9"/>
        <v>8</v>
      </c>
      <c r="L207" s="95">
        <f t="shared" ref="L207:L268" si="11">IFERROR(K207/H207,0)</f>
        <v>0.26666666666666666</v>
      </c>
      <c r="N207"/>
      <c r="O207" s="8"/>
      <c r="P207"/>
      <c r="Q207" s="8"/>
    </row>
    <row r="208" spans="2:17" x14ac:dyDescent="0.25">
      <c r="B208" s="86">
        <v>1</v>
      </c>
      <c r="C208" s="107" t="s">
        <v>74</v>
      </c>
      <c r="D208" s="108" t="s">
        <v>226</v>
      </c>
      <c r="E208" s="226"/>
      <c r="F208" s="61" t="s">
        <v>486</v>
      </c>
      <c r="G208" s="62" t="s">
        <v>32</v>
      </c>
      <c r="H208" s="68">
        <v>30</v>
      </c>
      <c r="I208" s="55">
        <v>5</v>
      </c>
      <c r="J208" s="69">
        <f t="shared" si="10"/>
        <v>0.16666666666666666</v>
      </c>
      <c r="K208" s="90">
        <f t="shared" si="9"/>
        <v>5</v>
      </c>
      <c r="L208" s="94">
        <f t="shared" si="11"/>
        <v>0.16666666666666666</v>
      </c>
      <c r="N208"/>
      <c r="O208" s="8"/>
      <c r="P208"/>
      <c r="Q208" s="8"/>
    </row>
    <row r="209" spans="2:17" x14ac:dyDescent="0.25">
      <c r="B209" s="86">
        <v>1</v>
      </c>
      <c r="C209" s="107" t="s">
        <v>77</v>
      </c>
      <c r="D209" s="108" t="s">
        <v>78</v>
      </c>
      <c r="E209" s="226"/>
      <c r="F209" s="61" t="s">
        <v>487</v>
      </c>
      <c r="G209" s="63" t="s">
        <v>32</v>
      </c>
      <c r="H209" s="55">
        <v>30</v>
      </c>
      <c r="I209" s="70">
        <v>3</v>
      </c>
      <c r="J209" s="69">
        <f t="shared" si="10"/>
        <v>0.1</v>
      </c>
      <c r="K209" s="90">
        <f t="shared" si="9"/>
        <v>3</v>
      </c>
      <c r="L209" s="94">
        <f t="shared" si="11"/>
        <v>0.1</v>
      </c>
      <c r="N209"/>
      <c r="O209" s="8"/>
      <c r="P209"/>
      <c r="Q209" s="8"/>
    </row>
    <row r="210" spans="2:17" x14ac:dyDescent="0.25">
      <c r="B210" s="86">
        <v>1</v>
      </c>
      <c r="C210" s="107" t="s">
        <v>89</v>
      </c>
      <c r="D210" s="108" t="s">
        <v>90</v>
      </c>
      <c r="E210" s="226"/>
      <c r="F210" s="61" t="s">
        <v>488</v>
      </c>
      <c r="G210" s="62" t="s">
        <v>32</v>
      </c>
      <c r="H210" s="55">
        <v>30</v>
      </c>
      <c r="I210" s="55">
        <v>3</v>
      </c>
      <c r="J210" s="69">
        <f t="shared" si="10"/>
        <v>0.1</v>
      </c>
      <c r="K210" s="90">
        <f t="shared" si="9"/>
        <v>3</v>
      </c>
      <c r="L210" s="94">
        <f t="shared" si="11"/>
        <v>0.1</v>
      </c>
      <c r="N210"/>
      <c r="O210" s="8"/>
      <c r="P210"/>
      <c r="Q210" s="8"/>
    </row>
    <row r="211" spans="2:17" x14ac:dyDescent="0.25">
      <c r="B211" s="86">
        <v>1</v>
      </c>
      <c r="C211" s="107" t="s">
        <v>379</v>
      </c>
      <c r="D211" s="108" t="s">
        <v>380</v>
      </c>
      <c r="E211" s="226"/>
      <c r="F211" s="61" t="s">
        <v>489</v>
      </c>
      <c r="G211" s="62" t="s">
        <v>32</v>
      </c>
      <c r="H211" s="55">
        <v>30</v>
      </c>
      <c r="I211" s="55">
        <v>9</v>
      </c>
      <c r="J211" s="69">
        <f t="shared" si="10"/>
        <v>0.3</v>
      </c>
      <c r="K211" s="90">
        <f t="shared" si="9"/>
        <v>9</v>
      </c>
      <c r="L211" s="94">
        <f t="shared" si="11"/>
        <v>0.3</v>
      </c>
      <c r="N211"/>
      <c r="O211" s="8"/>
      <c r="P211"/>
      <c r="Q211" s="8"/>
    </row>
    <row r="212" spans="2:17" x14ac:dyDescent="0.25">
      <c r="B212" s="87">
        <v>2</v>
      </c>
      <c r="C212" s="109" t="s">
        <v>360</v>
      </c>
      <c r="D212" s="110" t="s">
        <v>361</v>
      </c>
      <c r="E212" s="226"/>
      <c r="F212" s="64" t="s">
        <v>490</v>
      </c>
      <c r="G212" s="65" t="s">
        <v>32</v>
      </c>
      <c r="H212" s="56">
        <v>30</v>
      </c>
      <c r="I212" s="56">
        <v>2</v>
      </c>
      <c r="J212" s="72">
        <f t="shared" si="10"/>
        <v>6.6666666666666666E-2</v>
      </c>
      <c r="K212" s="91">
        <f t="shared" ref="K212:K263" si="12">+I212</f>
        <v>2</v>
      </c>
      <c r="L212" s="96">
        <f t="shared" si="11"/>
        <v>6.6666666666666666E-2</v>
      </c>
      <c r="N212"/>
      <c r="O212" s="8"/>
      <c r="P212"/>
      <c r="Q212" s="8"/>
    </row>
    <row r="213" spans="2:17" x14ac:dyDescent="0.25">
      <c r="B213" s="88">
        <v>3</v>
      </c>
      <c r="C213" s="111" t="s">
        <v>43</v>
      </c>
      <c r="D213" s="112" t="s">
        <v>44</v>
      </c>
      <c r="E213" s="232" t="s">
        <v>382</v>
      </c>
      <c r="F213" s="59" t="s">
        <v>381</v>
      </c>
      <c r="G213" s="60" t="s">
        <v>383</v>
      </c>
      <c r="H213" s="89">
        <v>28</v>
      </c>
      <c r="I213" s="137">
        <v>4</v>
      </c>
      <c r="J213" s="71">
        <f t="shared" si="10"/>
        <v>0.14285714285714285</v>
      </c>
      <c r="K213" s="103">
        <f t="shared" si="12"/>
        <v>4</v>
      </c>
      <c r="L213" s="95">
        <f t="shared" si="11"/>
        <v>0.14285714285714285</v>
      </c>
      <c r="N213"/>
      <c r="O213" s="8"/>
      <c r="P213"/>
      <c r="Q213" s="8"/>
    </row>
    <row r="214" spans="2:17" x14ac:dyDescent="0.25">
      <c r="B214" s="86">
        <v>3</v>
      </c>
      <c r="C214" s="107" t="s">
        <v>46</v>
      </c>
      <c r="D214" s="108" t="s">
        <v>47</v>
      </c>
      <c r="E214" s="232"/>
      <c r="F214" s="61" t="s">
        <v>384</v>
      </c>
      <c r="G214" s="76" t="s">
        <v>385</v>
      </c>
      <c r="H214" s="2">
        <v>28</v>
      </c>
      <c r="I214" s="3">
        <v>2</v>
      </c>
      <c r="J214" s="69">
        <f t="shared" si="10"/>
        <v>7.1428571428571425E-2</v>
      </c>
      <c r="K214" s="90">
        <f t="shared" si="12"/>
        <v>2</v>
      </c>
      <c r="L214" s="94">
        <f t="shared" si="11"/>
        <v>7.1428571428571425E-2</v>
      </c>
      <c r="N214"/>
      <c r="O214" s="8"/>
      <c r="P214"/>
      <c r="Q214" s="8"/>
    </row>
    <row r="215" spans="2:17" x14ac:dyDescent="0.25">
      <c r="B215" s="86">
        <v>3</v>
      </c>
      <c r="C215" s="107" t="s">
        <v>98</v>
      </c>
      <c r="D215" s="108" t="s">
        <v>99</v>
      </c>
      <c r="E215" s="232"/>
      <c r="F215" s="61" t="s">
        <v>386</v>
      </c>
      <c r="G215" s="62" t="s">
        <v>387</v>
      </c>
      <c r="H215" s="3">
        <v>27</v>
      </c>
      <c r="I215" s="4">
        <v>1</v>
      </c>
      <c r="J215" s="69">
        <f t="shared" si="10"/>
        <v>3.7037037037037035E-2</v>
      </c>
      <c r="K215" s="90">
        <f t="shared" si="12"/>
        <v>1</v>
      </c>
      <c r="L215" s="94">
        <f t="shared" si="11"/>
        <v>3.7037037037037035E-2</v>
      </c>
      <c r="N215"/>
      <c r="O215" s="8"/>
      <c r="P215"/>
      <c r="Q215" s="8"/>
    </row>
    <row r="216" spans="2:17" x14ac:dyDescent="0.25">
      <c r="B216" s="86">
        <v>3</v>
      </c>
      <c r="C216" s="107" t="s">
        <v>49</v>
      </c>
      <c r="D216" s="108" t="s">
        <v>50</v>
      </c>
      <c r="E216" s="232"/>
      <c r="F216" s="61" t="s">
        <v>388</v>
      </c>
      <c r="G216" s="62" t="s">
        <v>389</v>
      </c>
      <c r="H216" s="3">
        <v>32</v>
      </c>
      <c r="I216" s="3">
        <v>3</v>
      </c>
      <c r="J216" s="69">
        <f t="shared" si="10"/>
        <v>9.375E-2</v>
      </c>
      <c r="K216" s="90">
        <f t="shared" si="12"/>
        <v>3</v>
      </c>
      <c r="L216" s="94">
        <f t="shared" si="11"/>
        <v>9.375E-2</v>
      </c>
      <c r="N216"/>
      <c r="O216" s="8"/>
      <c r="P216"/>
      <c r="Q216" s="8"/>
    </row>
    <row r="217" spans="2:17" x14ac:dyDescent="0.25">
      <c r="B217" s="86">
        <v>3</v>
      </c>
      <c r="C217" s="107" t="s">
        <v>52</v>
      </c>
      <c r="D217" s="108" t="s">
        <v>53</v>
      </c>
      <c r="E217" s="232"/>
      <c r="F217" s="62" t="s">
        <v>390</v>
      </c>
      <c r="G217" s="62" t="s">
        <v>391</v>
      </c>
      <c r="H217" s="3">
        <v>30</v>
      </c>
      <c r="I217" s="3">
        <v>5</v>
      </c>
      <c r="J217" s="69">
        <f t="shared" si="10"/>
        <v>0.16666666666666666</v>
      </c>
      <c r="K217" s="90">
        <f t="shared" si="12"/>
        <v>5</v>
      </c>
      <c r="L217" s="94">
        <f t="shared" si="11"/>
        <v>0.16666666666666666</v>
      </c>
      <c r="N217"/>
      <c r="O217" s="8"/>
      <c r="P217"/>
      <c r="Q217" s="8"/>
    </row>
    <row r="218" spans="2:17" x14ac:dyDescent="0.25">
      <c r="B218" s="86">
        <v>3</v>
      </c>
      <c r="C218" s="107" t="s">
        <v>55</v>
      </c>
      <c r="D218" s="108" t="s">
        <v>56</v>
      </c>
      <c r="E218" s="232"/>
      <c r="F218" s="62" t="s">
        <v>392</v>
      </c>
      <c r="G218" s="62" t="s">
        <v>393</v>
      </c>
      <c r="H218" s="3">
        <v>30</v>
      </c>
      <c r="I218" s="3">
        <v>3</v>
      </c>
      <c r="J218" s="69">
        <f t="shared" si="10"/>
        <v>0.1</v>
      </c>
      <c r="K218" s="90">
        <f t="shared" si="12"/>
        <v>3</v>
      </c>
      <c r="L218" s="94">
        <f t="shared" si="11"/>
        <v>0.1</v>
      </c>
      <c r="N218"/>
      <c r="O218" s="8"/>
      <c r="P218"/>
      <c r="Q218" s="8"/>
    </row>
    <row r="219" spans="2:17" x14ac:dyDescent="0.25">
      <c r="B219" s="86">
        <v>5</v>
      </c>
      <c r="C219" s="107" t="s">
        <v>57</v>
      </c>
      <c r="D219" s="108" t="s">
        <v>58</v>
      </c>
      <c r="E219" s="232"/>
      <c r="F219" s="61" t="s">
        <v>394</v>
      </c>
      <c r="G219" s="62" t="s">
        <v>395</v>
      </c>
      <c r="H219" s="3">
        <v>30</v>
      </c>
      <c r="I219" s="3">
        <v>4</v>
      </c>
      <c r="J219" s="69">
        <f t="shared" si="10"/>
        <v>0.13333333333333333</v>
      </c>
      <c r="K219" s="90">
        <f t="shared" si="12"/>
        <v>4</v>
      </c>
      <c r="L219" s="94">
        <f t="shared" si="11"/>
        <v>0.13333333333333333</v>
      </c>
      <c r="N219"/>
      <c r="O219" s="8"/>
      <c r="P219"/>
      <c r="Q219" s="8"/>
    </row>
    <row r="220" spans="2:17" x14ac:dyDescent="0.25">
      <c r="B220" s="86">
        <v>5</v>
      </c>
      <c r="C220" s="107" t="s">
        <v>59</v>
      </c>
      <c r="D220" s="108" t="s">
        <v>60</v>
      </c>
      <c r="E220" s="232"/>
      <c r="F220" s="62" t="s">
        <v>396</v>
      </c>
      <c r="G220" s="62" t="s">
        <v>397</v>
      </c>
      <c r="H220" s="3">
        <v>35</v>
      </c>
      <c r="I220" s="3">
        <v>4</v>
      </c>
      <c r="J220" s="69">
        <f t="shared" si="10"/>
        <v>0.11428571428571428</v>
      </c>
      <c r="K220" s="90">
        <f t="shared" si="12"/>
        <v>4</v>
      </c>
      <c r="L220" s="94">
        <f t="shared" si="11"/>
        <v>0.11428571428571428</v>
      </c>
      <c r="N220"/>
      <c r="O220" s="8"/>
      <c r="P220"/>
      <c r="Q220" s="8"/>
    </row>
    <row r="221" spans="2:17" x14ac:dyDescent="0.25">
      <c r="B221" s="104">
        <v>8</v>
      </c>
      <c r="C221" s="113" t="s">
        <v>61</v>
      </c>
      <c r="D221" s="114" t="s">
        <v>62</v>
      </c>
      <c r="E221" s="232"/>
      <c r="F221" s="64" t="s">
        <v>398</v>
      </c>
      <c r="G221" s="63" t="s">
        <v>397</v>
      </c>
      <c r="H221" s="97">
        <v>30</v>
      </c>
      <c r="I221" s="97">
        <v>4</v>
      </c>
      <c r="J221" s="72">
        <f t="shared" si="10"/>
        <v>0.13333333333333333</v>
      </c>
      <c r="K221" s="91">
        <f t="shared" si="12"/>
        <v>4</v>
      </c>
      <c r="L221" s="96">
        <f t="shared" si="11"/>
        <v>0.13333333333333333</v>
      </c>
      <c r="N221"/>
      <c r="O221" s="8"/>
      <c r="P221"/>
      <c r="Q221" s="8"/>
    </row>
    <row r="222" spans="2:17" x14ac:dyDescent="0.25">
      <c r="B222" s="85">
        <v>3</v>
      </c>
      <c r="C222" s="105" t="s">
        <v>43</v>
      </c>
      <c r="D222" s="106" t="s">
        <v>44</v>
      </c>
      <c r="E222" s="232" t="s">
        <v>400</v>
      </c>
      <c r="F222" s="59" t="s">
        <v>399</v>
      </c>
      <c r="G222" s="60" t="s">
        <v>401</v>
      </c>
      <c r="H222" s="89">
        <v>20</v>
      </c>
      <c r="I222" s="136">
        <v>3</v>
      </c>
      <c r="J222" s="71">
        <f t="shared" si="10"/>
        <v>0.15</v>
      </c>
      <c r="K222" s="103">
        <f t="shared" si="12"/>
        <v>3</v>
      </c>
      <c r="L222" s="95">
        <f t="shared" si="11"/>
        <v>0.15</v>
      </c>
      <c r="N222"/>
      <c r="O222" s="8"/>
      <c r="P222"/>
      <c r="Q222" s="8"/>
    </row>
    <row r="223" spans="2:17" x14ac:dyDescent="0.25">
      <c r="B223" s="86">
        <v>3</v>
      </c>
      <c r="C223" s="107" t="s">
        <v>46</v>
      </c>
      <c r="D223" s="108" t="s">
        <v>47</v>
      </c>
      <c r="E223" s="232"/>
      <c r="F223" s="61" t="s">
        <v>48</v>
      </c>
      <c r="G223" s="76" t="s">
        <v>401</v>
      </c>
      <c r="H223" s="2">
        <v>20</v>
      </c>
      <c r="I223" s="55">
        <v>3</v>
      </c>
      <c r="J223" s="69">
        <f t="shared" si="10"/>
        <v>0.15</v>
      </c>
      <c r="K223" s="90">
        <f t="shared" si="12"/>
        <v>3</v>
      </c>
      <c r="L223" s="94">
        <f t="shared" si="11"/>
        <v>0.15</v>
      </c>
      <c r="N223"/>
      <c r="O223" s="8"/>
      <c r="P223"/>
      <c r="Q223" s="8"/>
    </row>
    <row r="224" spans="2:17" x14ac:dyDescent="0.25">
      <c r="B224" s="86">
        <v>3</v>
      </c>
      <c r="C224" s="107" t="s">
        <v>98</v>
      </c>
      <c r="D224" s="108" t="s">
        <v>99</v>
      </c>
      <c r="E224" s="232"/>
      <c r="F224" s="61" t="s">
        <v>402</v>
      </c>
      <c r="G224" s="62" t="s">
        <v>401</v>
      </c>
      <c r="H224" s="3">
        <v>20</v>
      </c>
      <c r="I224" s="70">
        <v>4</v>
      </c>
      <c r="J224" s="69">
        <f t="shared" si="10"/>
        <v>0.2</v>
      </c>
      <c r="K224" s="90">
        <f t="shared" si="12"/>
        <v>4</v>
      </c>
      <c r="L224" s="94">
        <f t="shared" si="11"/>
        <v>0.2</v>
      </c>
      <c r="N224"/>
      <c r="O224" s="8"/>
      <c r="P224"/>
      <c r="Q224" s="8"/>
    </row>
    <row r="225" spans="2:17" x14ac:dyDescent="0.25">
      <c r="B225" s="86">
        <v>3</v>
      </c>
      <c r="C225" s="107" t="s">
        <v>49</v>
      </c>
      <c r="D225" s="108" t="s">
        <v>50</v>
      </c>
      <c r="E225" s="232"/>
      <c r="F225" s="61" t="s">
        <v>403</v>
      </c>
      <c r="G225" s="62" t="s">
        <v>401</v>
      </c>
      <c r="H225" s="3">
        <v>20</v>
      </c>
      <c r="I225" s="55">
        <v>4</v>
      </c>
      <c r="J225" s="69">
        <f t="shared" si="10"/>
        <v>0.2</v>
      </c>
      <c r="K225" s="90">
        <f t="shared" si="12"/>
        <v>4</v>
      </c>
      <c r="L225" s="94">
        <f t="shared" si="11"/>
        <v>0.2</v>
      </c>
      <c r="N225"/>
      <c r="O225" s="8"/>
      <c r="P225"/>
      <c r="Q225" s="8"/>
    </row>
    <row r="226" spans="2:17" x14ac:dyDescent="0.25">
      <c r="B226" s="86">
        <v>3</v>
      </c>
      <c r="C226" s="107" t="s">
        <v>52</v>
      </c>
      <c r="D226" s="108" t="s">
        <v>53</v>
      </c>
      <c r="E226" s="232"/>
      <c r="F226" s="62" t="s">
        <v>54</v>
      </c>
      <c r="G226" s="62" t="s">
        <v>401</v>
      </c>
      <c r="H226" s="3">
        <v>20</v>
      </c>
      <c r="I226" s="55">
        <v>3</v>
      </c>
      <c r="J226" s="69">
        <f t="shared" si="10"/>
        <v>0.15</v>
      </c>
      <c r="K226" s="90">
        <f t="shared" si="12"/>
        <v>3</v>
      </c>
      <c r="L226" s="94">
        <f t="shared" si="11"/>
        <v>0.15</v>
      </c>
      <c r="N226"/>
      <c r="O226" s="8"/>
      <c r="P226"/>
      <c r="Q226" s="8"/>
    </row>
    <row r="227" spans="2:17" x14ac:dyDescent="0.25">
      <c r="B227" s="86">
        <v>3</v>
      </c>
      <c r="C227" s="107" t="s">
        <v>55</v>
      </c>
      <c r="D227" s="108" t="s">
        <v>56</v>
      </c>
      <c r="E227" s="232"/>
      <c r="F227" s="62" t="s">
        <v>404</v>
      </c>
      <c r="G227" s="62" t="s">
        <v>401</v>
      </c>
      <c r="H227" s="3">
        <v>20</v>
      </c>
      <c r="I227" s="55">
        <v>4</v>
      </c>
      <c r="J227" s="69">
        <f t="shared" si="10"/>
        <v>0.2</v>
      </c>
      <c r="K227" s="90">
        <f t="shared" si="12"/>
        <v>4</v>
      </c>
      <c r="L227" s="94">
        <f t="shared" si="11"/>
        <v>0.2</v>
      </c>
      <c r="N227"/>
      <c r="O227" s="8"/>
      <c r="P227"/>
      <c r="Q227" s="8"/>
    </row>
    <row r="228" spans="2:17" x14ac:dyDescent="0.25">
      <c r="B228" s="86">
        <v>5</v>
      </c>
      <c r="C228" s="107" t="s">
        <v>57</v>
      </c>
      <c r="D228" s="108" t="s">
        <v>58</v>
      </c>
      <c r="E228" s="232"/>
      <c r="F228" s="61" t="s">
        <v>54</v>
      </c>
      <c r="G228" s="62" t="s">
        <v>401</v>
      </c>
      <c r="H228" s="3">
        <v>20</v>
      </c>
      <c r="I228" s="55">
        <v>3</v>
      </c>
      <c r="J228" s="69">
        <f t="shared" si="10"/>
        <v>0.15</v>
      </c>
      <c r="K228" s="90">
        <f t="shared" si="12"/>
        <v>3</v>
      </c>
      <c r="L228" s="94">
        <f t="shared" si="11"/>
        <v>0.15</v>
      </c>
      <c r="N228"/>
      <c r="O228" s="8"/>
      <c r="P228"/>
      <c r="Q228" s="8"/>
    </row>
    <row r="229" spans="2:17" x14ac:dyDescent="0.25">
      <c r="B229" s="86">
        <v>5</v>
      </c>
      <c r="C229" s="107" t="s">
        <v>59</v>
      </c>
      <c r="D229" s="108" t="s">
        <v>60</v>
      </c>
      <c r="E229" s="232"/>
      <c r="F229" s="62" t="s">
        <v>54</v>
      </c>
      <c r="G229" s="62" t="s">
        <v>401</v>
      </c>
      <c r="H229" s="3">
        <v>20</v>
      </c>
      <c r="I229" s="55">
        <v>3</v>
      </c>
      <c r="J229" s="69">
        <f t="shared" si="10"/>
        <v>0.15</v>
      </c>
      <c r="K229" s="90">
        <f t="shared" si="12"/>
        <v>3</v>
      </c>
      <c r="L229" s="94">
        <f t="shared" si="11"/>
        <v>0.15</v>
      </c>
      <c r="N229"/>
      <c r="O229" s="8"/>
      <c r="P229"/>
      <c r="Q229" s="8"/>
    </row>
    <row r="230" spans="2:17" x14ac:dyDescent="0.25">
      <c r="B230" s="87">
        <v>8</v>
      </c>
      <c r="C230" s="109" t="s">
        <v>61</v>
      </c>
      <c r="D230" s="110" t="s">
        <v>62</v>
      </c>
      <c r="E230" s="232"/>
      <c r="F230" s="64" t="s">
        <v>405</v>
      </c>
      <c r="G230" s="65" t="s">
        <v>401</v>
      </c>
      <c r="H230" s="97">
        <v>20</v>
      </c>
      <c r="I230" s="56">
        <v>3</v>
      </c>
      <c r="J230" s="72">
        <f t="shared" si="10"/>
        <v>0.15</v>
      </c>
      <c r="K230" s="91">
        <f t="shared" si="12"/>
        <v>3</v>
      </c>
      <c r="L230" s="96">
        <f t="shared" si="11"/>
        <v>0.15</v>
      </c>
      <c r="N230"/>
      <c r="O230" s="8"/>
      <c r="P230"/>
      <c r="Q230" s="8"/>
    </row>
    <row r="231" spans="2:17" x14ac:dyDescent="0.25">
      <c r="B231" s="85">
        <v>3</v>
      </c>
      <c r="C231" s="105" t="s">
        <v>43</v>
      </c>
      <c r="D231" s="106" t="s">
        <v>44</v>
      </c>
      <c r="E231" s="232" t="s">
        <v>407</v>
      </c>
      <c r="F231" s="115" t="s">
        <v>406</v>
      </c>
      <c r="G231" s="63" t="s">
        <v>408</v>
      </c>
      <c r="H231" s="66">
        <v>30</v>
      </c>
      <c r="I231" s="136">
        <v>4</v>
      </c>
      <c r="J231" s="71">
        <f t="shared" si="10"/>
        <v>0.13333333333333333</v>
      </c>
      <c r="K231" s="103">
        <f t="shared" si="12"/>
        <v>4</v>
      </c>
      <c r="L231" s="95">
        <f t="shared" si="11"/>
        <v>0.13333333333333333</v>
      </c>
      <c r="N231"/>
      <c r="O231" s="8"/>
      <c r="P231"/>
      <c r="Q231" s="8"/>
    </row>
    <row r="232" spans="2:17" x14ac:dyDescent="0.25">
      <c r="B232" s="86">
        <v>3</v>
      </c>
      <c r="C232" s="107" t="s">
        <v>46</v>
      </c>
      <c r="D232" s="108" t="s">
        <v>47</v>
      </c>
      <c r="E232" s="232"/>
      <c r="F232" s="116" t="s">
        <v>409</v>
      </c>
      <c r="G232" s="62" t="s">
        <v>410</v>
      </c>
      <c r="H232" s="68">
        <v>30</v>
      </c>
      <c r="I232" s="55">
        <v>2</v>
      </c>
      <c r="J232" s="69">
        <f t="shared" si="10"/>
        <v>6.6666666666666666E-2</v>
      </c>
      <c r="K232" s="90">
        <f t="shared" si="12"/>
        <v>2</v>
      </c>
      <c r="L232" s="94">
        <f t="shared" si="11"/>
        <v>6.6666666666666666E-2</v>
      </c>
      <c r="N232"/>
      <c r="O232" s="8"/>
      <c r="P232"/>
      <c r="Q232" s="8"/>
    </row>
    <row r="233" spans="2:17" x14ac:dyDescent="0.25">
      <c r="B233" s="86">
        <v>3</v>
      </c>
      <c r="C233" s="107" t="s">
        <v>98</v>
      </c>
      <c r="D233" s="108" t="s">
        <v>99</v>
      </c>
      <c r="E233" s="232"/>
      <c r="F233" s="116" t="s">
        <v>411</v>
      </c>
      <c r="G233" s="63" t="s">
        <v>412</v>
      </c>
      <c r="H233" s="55">
        <v>30</v>
      </c>
      <c r="I233" s="70">
        <v>3</v>
      </c>
      <c r="J233" s="69">
        <f t="shared" si="10"/>
        <v>0.1</v>
      </c>
      <c r="K233" s="90">
        <f t="shared" si="12"/>
        <v>3</v>
      </c>
      <c r="L233" s="94">
        <f t="shared" si="11"/>
        <v>0.1</v>
      </c>
      <c r="N233"/>
      <c r="O233" s="8"/>
      <c r="P233"/>
      <c r="Q233" s="8"/>
    </row>
    <row r="234" spans="2:17" x14ac:dyDescent="0.25">
      <c r="B234" s="86">
        <v>3</v>
      </c>
      <c r="C234" s="107" t="s">
        <v>49</v>
      </c>
      <c r="D234" s="108" t="s">
        <v>50</v>
      </c>
      <c r="E234" s="232"/>
      <c r="F234" s="116" t="s">
        <v>413</v>
      </c>
      <c r="G234" s="62" t="s">
        <v>414</v>
      </c>
      <c r="H234" s="55">
        <v>30</v>
      </c>
      <c r="I234" s="55">
        <v>2</v>
      </c>
      <c r="J234" s="69">
        <f t="shared" si="10"/>
        <v>6.6666666666666666E-2</v>
      </c>
      <c r="K234" s="90">
        <f t="shared" si="12"/>
        <v>2</v>
      </c>
      <c r="L234" s="94">
        <f t="shared" si="11"/>
        <v>6.6666666666666666E-2</v>
      </c>
      <c r="N234"/>
      <c r="O234" s="8"/>
      <c r="P234"/>
      <c r="Q234" s="8"/>
    </row>
    <row r="235" spans="2:17" x14ac:dyDescent="0.25">
      <c r="B235" s="86">
        <v>3</v>
      </c>
      <c r="C235" s="107" t="s">
        <v>52</v>
      </c>
      <c r="D235" s="108" t="s">
        <v>53</v>
      </c>
      <c r="E235" s="232"/>
      <c r="F235" s="116" t="s">
        <v>415</v>
      </c>
      <c r="G235" s="62" t="s">
        <v>416</v>
      </c>
      <c r="H235" s="55">
        <v>30</v>
      </c>
      <c r="I235" s="55">
        <v>7</v>
      </c>
      <c r="J235" s="69">
        <f t="shared" si="10"/>
        <v>0.23333333333333334</v>
      </c>
      <c r="K235" s="90">
        <f t="shared" si="12"/>
        <v>7</v>
      </c>
      <c r="L235" s="94">
        <f t="shared" si="11"/>
        <v>0.23333333333333334</v>
      </c>
      <c r="N235"/>
      <c r="O235" s="8"/>
      <c r="P235"/>
      <c r="Q235" s="8"/>
    </row>
    <row r="236" spans="2:17" x14ac:dyDescent="0.25">
      <c r="B236" s="86">
        <v>3</v>
      </c>
      <c r="C236" s="107" t="s">
        <v>55</v>
      </c>
      <c r="D236" s="108" t="s">
        <v>56</v>
      </c>
      <c r="E236" s="232"/>
      <c r="F236" s="116" t="s">
        <v>417</v>
      </c>
      <c r="G236" s="62" t="s">
        <v>418</v>
      </c>
      <c r="H236" s="55">
        <v>30</v>
      </c>
      <c r="I236" s="55">
        <v>2</v>
      </c>
      <c r="J236" s="69">
        <f t="shared" si="10"/>
        <v>6.6666666666666666E-2</v>
      </c>
      <c r="K236" s="90">
        <f t="shared" si="12"/>
        <v>2</v>
      </c>
      <c r="L236" s="94">
        <f t="shared" si="11"/>
        <v>6.6666666666666666E-2</v>
      </c>
      <c r="N236"/>
      <c r="O236" s="8"/>
      <c r="P236"/>
      <c r="Q236" s="8"/>
    </row>
    <row r="237" spans="2:17" x14ac:dyDescent="0.25">
      <c r="B237" s="86">
        <v>5</v>
      </c>
      <c r="C237" s="107" t="s">
        <v>57</v>
      </c>
      <c r="D237" s="108" t="s">
        <v>58</v>
      </c>
      <c r="E237" s="232"/>
      <c r="F237" s="132" t="s">
        <v>419</v>
      </c>
      <c r="G237" s="76" t="s">
        <v>420</v>
      </c>
      <c r="H237" s="55">
        <v>30</v>
      </c>
      <c r="I237" s="55">
        <v>4</v>
      </c>
      <c r="J237" s="69">
        <f t="shared" si="10"/>
        <v>0.13333333333333333</v>
      </c>
      <c r="K237" s="90">
        <f t="shared" si="12"/>
        <v>4</v>
      </c>
      <c r="L237" s="94">
        <f t="shared" si="11"/>
        <v>0.13333333333333333</v>
      </c>
      <c r="N237"/>
      <c r="O237" s="8"/>
      <c r="P237"/>
      <c r="Q237" s="8"/>
    </row>
    <row r="238" spans="2:17" x14ac:dyDescent="0.25">
      <c r="B238" s="86">
        <v>5</v>
      </c>
      <c r="C238" s="107" t="s">
        <v>59</v>
      </c>
      <c r="D238" s="108" t="s">
        <v>60</v>
      </c>
      <c r="E238" s="233"/>
      <c r="F238" s="116" t="s">
        <v>421</v>
      </c>
      <c r="G238" s="62" t="s">
        <v>422</v>
      </c>
      <c r="H238" s="128">
        <v>30</v>
      </c>
      <c r="I238" s="55">
        <v>4</v>
      </c>
      <c r="J238" s="69">
        <f t="shared" si="10"/>
        <v>0.13333333333333333</v>
      </c>
      <c r="K238" s="90">
        <f t="shared" si="12"/>
        <v>4</v>
      </c>
      <c r="L238" s="94">
        <f t="shared" si="11"/>
        <v>0.13333333333333333</v>
      </c>
      <c r="N238"/>
      <c r="O238" s="8"/>
      <c r="P238"/>
      <c r="Q238" s="8"/>
    </row>
    <row r="239" spans="2:17" x14ac:dyDescent="0.25">
      <c r="B239" s="87">
        <v>8</v>
      </c>
      <c r="C239" s="109" t="s">
        <v>61</v>
      </c>
      <c r="D239" s="110" t="s">
        <v>62</v>
      </c>
      <c r="E239" s="234"/>
      <c r="F239" s="133" t="s">
        <v>423</v>
      </c>
      <c r="G239" s="65" t="s">
        <v>424</v>
      </c>
      <c r="H239" s="56">
        <v>30</v>
      </c>
      <c r="I239" s="56">
        <v>2</v>
      </c>
      <c r="J239" s="72">
        <f t="shared" si="10"/>
        <v>6.6666666666666666E-2</v>
      </c>
      <c r="K239" s="91">
        <f t="shared" si="12"/>
        <v>2</v>
      </c>
      <c r="L239" s="96">
        <f t="shared" si="11"/>
        <v>6.6666666666666666E-2</v>
      </c>
      <c r="N239"/>
      <c r="O239" s="8"/>
      <c r="P239"/>
      <c r="Q239" s="8"/>
    </row>
    <row r="240" spans="2:17" x14ac:dyDescent="0.25">
      <c r="B240" s="85">
        <v>3</v>
      </c>
      <c r="C240" s="105" t="s">
        <v>46</v>
      </c>
      <c r="D240" s="106" t="s">
        <v>47</v>
      </c>
      <c r="E240" s="226" t="s">
        <v>426</v>
      </c>
      <c r="F240" s="59" t="s">
        <v>425</v>
      </c>
      <c r="G240" s="63" t="s">
        <v>427</v>
      </c>
      <c r="H240" s="136">
        <v>45</v>
      </c>
      <c r="I240" s="136">
        <v>5</v>
      </c>
      <c r="J240" s="71">
        <f t="shared" si="10"/>
        <v>0.1111111111111111</v>
      </c>
      <c r="K240" s="103">
        <f t="shared" si="12"/>
        <v>5</v>
      </c>
      <c r="L240" s="95">
        <f t="shared" si="11"/>
        <v>0.1111111111111111</v>
      </c>
      <c r="N240"/>
      <c r="O240" s="8"/>
      <c r="P240"/>
      <c r="Q240" s="8"/>
    </row>
    <row r="241" spans="1:17" x14ac:dyDescent="0.25">
      <c r="B241" s="86">
        <v>3</v>
      </c>
      <c r="C241" s="107" t="s">
        <v>98</v>
      </c>
      <c r="D241" s="108" t="s">
        <v>99</v>
      </c>
      <c r="E241" s="226"/>
      <c r="F241" s="61" t="s">
        <v>428</v>
      </c>
      <c r="G241" s="62" t="s">
        <v>429</v>
      </c>
      <c r="H241" s="68">
        <v>45</v>
      </c>
      <c r="I241" s="55">
        <v>4</v>
      </c>
      <c r="J241" s="69">
        <f t="shared" si="10"/>
        <v>8.8888888888888892E-2</v>
      </c>
      <c r="K241" s="90">
        <f t="shared" si="12"/>
        <v>4</v>
      </c>
      <c r="L241" s="94">
        <f t="shared" si="11"/>
        <v>8.8888888888888892E-2</v>
      </c>
      <c r="N241"/>
      <c r="O241" s="8"/>
      <c r="P241"/>
      <c r="Q241" s="8"/>
    </row>
    <row r="242" spans="1:17" x14ac:dyDescent="0.25">
      <c r="B242" s="86">
        <v>3</v>
      </c>
      <c r="C242" s="107" t="s">
        <v>49</v>
      </c>
      <c r="D242" s="108" t="s">
        <v>50</v>
      </c>
      <c r="E242" s="226"/>
      <c r="F242" s="61" t="s">
        <v>430</v>
      </c>
      <c r="G242" s="63" t="s">
        <v>431</v>
      </c>
      <c r="H242" s="55">
        <v>45</v>
      </c>
      <c r="I242" s="70">
        <v>4</v>
      </c>
      <c r="J242" s="69">
        <f t="shared" si="10"/>
        <v>8.8888888888888892E-2</v>
      </c>
      <c r="K242" s="90">
        <f t="shared" si="12"/>
        <v>4</v>
      </c>
      <c r="L242" s="94">
        <f t="shared" si="11"/>
        <v>8.8888888888888892E-2</v>
      </c>
    </row>
    <row r="243" spans="1:17" s="16" customFormat="1" x14ac:dyDescent="0.25">
      <c r="B243" s="86">
        <v>3</v>
      </c>
      <c r="C243" s="107" t="s">
        <v>52</v>
      </c>
      <c r="D243" s="108" t="s">
        <v>53</v>
      </c>
      <c r="E243" s="226"/>
      <c r="F243" s="61" t="s">
        <v>432</v>
      </c>
      <c r="G243" s="62" t="s">
        <v>296</v>
      </c>
      <c r="H243" s="55">
        <v>45</v>
      </c>
      <c r="I243" s="55">
        <v>7</v>
      </c>
      <c r="J243" s="69">
        <f t="shared" si="10"/>
        <v>0.15555555555555556</v>
      </c>
      <c r="K243" s="90">
        <f t="shared" si="12"/>
        <v>7</v>
      </c>
      <c r="L243" s="94">
        <f t="shared" si="11"/>
        <v>0.15555555555555556</v>
      </c>
      <c r="O243"/>
      <c r="Q243"/>
    </row>
    <row r="244" spans="1:17" x14ac:dyDescent="0.25">
      <c r="B244" s="86">
        <v>5</v>
      </c>
      <c r="C244" s="107" t="s">
        <v>59</v>
      </c>
      <c r="D244" s="108" t="s">
        <v>60</v>
      </c>
      <c r="E244" s="226"/>
      <c r="F244" s="61" t="s">
        <v>433</v>
      </c>
      <c r="G244" s="62" t="s">
        <v>434</v>
      </c>
      <c r="H244" s="55">
        <v>45</v>
      </c>
      <c r="I244" s="55">
        <v>4</v>
      </c>
      <c r="J244" s="69">
        <f t="shared" si="10"/>
        <v>8.8888888888888892E-2</v>
      </c>
      <c r="K244" s="90">
        <f t="shared" si="12"/>
        <v>4</v>
      </c>
      <c r="L244" s="94">
        <f t="shared" si="11"/>
        <v>8.8888888888888892E-2</v>
      </c>
    </row>
    <row r="245" spans="1:17" ht="14.45" customHeight="1" x14ac:dyDescent="0.25">
      <c r="B245" s="86">
        <v>8</v>
      </c>
      <c r="C245" s="107" t="s">
        <v>61</v>
      </c>
      <c r="D245" s="108" t="s">
        <v>62</v>
      </c>
      <c r="E245" s="226"/>
      <c r="F245" s="64" t="s">
        <v>435</v>
      </c>
      <c r="G245" s="65" t="s">
        <v>436</v>
      </c>
      <c r="H245" s="56">
        <v>45</v>
      </c>
      <c r="I245" s="56">
        <v>6</v>
      </c>
      <c r="J245" s="72">
        <f t="shared" si="10"/>
        <v>0.13333333333333333</v>
      </c>
      <c r="K245" s="91">
        <f t="shared" si="12"/>
        <v>6</v>
      </c>
      <c r="L245" s="96">
        <f t="shared" si="11"/>
        <v>0.13333333333333333</v>
      </c>
    </row>
    <row r="246" spans="1:17" ht="14.45" customHeight="1" x14ac:dyDescent="0.25">
      <c r="A246" s="5"/>
      <c r="B246" s="85">
        <v>3</v>
      </c>
      <c r="C246" s="105" t="s">
        <v>52</v>
      </c>
      <c r="D246" s="106" t="s">
        <v>53</v>
      </c>
      <c r="E246" s="227" t="s">
        <v>438</v>
      </c>
      <c r="F246" s="59" t="s">
        <v>437</v>
      </c>
      <c r="G246" s="60" t="s">
        <v>439</v>
      </c>
      <c r="H246" s="66">
        <v>15</v>
      </c>
      <c r="I246" s="136">
        <v>9</v>
      </c>
      <c r="J246" s="71">
        <f t="shared" si="10"/>
        <v>0.6</v>
      </c>
      <c r="K246" s="103">
        <f t="shared" si="12"/>
        <v>9</v>
      </c>
      <c r="L246" s="95">
        <f t="shared" si="11"/>
        <v>0.6</v>
      </c>
    </row>
    <row r="247" spans="1:17" x14ac:dyDescent="0.25">
      <c r="A247" s="5"/>
      <c r="B247" s="86">
        <v>3</v>
      </c>
      <c r="C247" s="107" t="s">
        <v>55</v>
      </c>
      <c r="D247" s="108" t="s">
        <v>56</v>
      </c>
      <c r="E247" s="226"/>
      <c r="F247" s="61" t="s">
        <v>440</v>
      </c>
      <c r="G247" s="62" t="s">
        <v>439</v>
      </c>
      <c r="H247" s="68">
        <v>15</v>
      </c>
      <c r="I247" s="55">
        <v>9</v>
      </c>
      <c r="J247" s="69">
        <f t="shared" si="10"/>
        <v>0.6</v>
      </c>
      <c r="K247" s="90">
        <f t="shared" si="12"/>
        <v>9</v>
      </c>
      <c r="L247" s="94">
        <f t="shared" si="11"/>
        <v>0.6</v>
      </c>
    </row>
    <row r="248" spans="1:17" x14ac:dyDescent="0.25">
      <c r="A248" s="5"/>
      <c r="B248" s="86">
        <v>4</v>
      </c>
      <c r="C248" s="107" t="s">
        <v>441</v>
      </c>
      <c r="D248" s="108" t="s">
        <v>442</v>
      </c>
      <c r="E248" s="226"/>
      <c r="F248" s="61" t="s">
        <v>443</v>
      </c>
      <c r="G248" s="63" t="s">
        <v>444</v>
      </c>
      <c r="H248" s="55">
        <v>15</v>
      </c>
      <c r="I248" s="70">
        <v>3</v>
      </c>
      <c r="J248" s="69">
        <f t="shared" si="10"/>
        <v>0.2</v>
      </c>
      <c r="K248" s="90">
        <f t="shared" si="12"/>
        <v>3</v>
      </c>
      <c r="L248" s="94">
        <f t="shared" si="11"/>
        <v>0.2</v>
      </c>
    </row>
    <row r="249" spans="1:17" ht="14.45" customHeight="1" x14ac:dyDescent="0.25">
      <c r="A249" s="5"/>
      <c r="B249" s="86">
        <v>5</v>
      </c>
      <c r="C249" s="107" t="s">
        <v>57</v>
      </c>
      <c r="D249" s="108" t="s">
        <v>58</v>
      </c>
      <c r="E249" s="226"/>
      <c r="F249" s="61" t="s">
        <v>445</v>
      </c>
      <c r="G249" s="62" t="s">
        <v>439</v>
      </c>
      <c r="H249" s="55">
        <v>15</v>
      </c>
      <c r="I249" s="55">
        <v>5</v>
      </c>
      <c r="J249" s="69">
        <f t="shared" si="10"/>
        <v>0.33333333333333331</v>
      </c>
      <c r="K249" s="90">
        <f t="shared" si="12"/>
        <v>5</v>
      </c>
      <c r="L249" s="94">
        <f t="shared" si="11"/>
        <v>0.33333333333333331</v>
      </c>
    </row>
    <row r="250" spans="1:17" ht="14.45" customHeight="1" x14ac:dyDescent="0.25">
      <c r="A250" s="5"/>
      <c r="B250" s="86">
        <v>5</v>
      </c>
      <c r="C250" s="107" t="s">
        <v>59</v>
      </c>
      <c r="D250" s="108" t="s">
        <v>60</v>
      </c>
      <c r="E250" s="226"/>
      <c r="F250" s="61" t="s">
        <v>446</v>
      </c>
      <c r="G250" s="62" t="s">
        <v>447</v>
      </c>
      <c r="H250" s="55">
        <v>15</v>
      </c>
      <c r="I250" s="55">
        <v>2</v>
      </c>
      <c r="J250" s="69">
        <f t="shared" si="10"/>
        <v>0.13333333333333333</v>
      </c>
      <c r="K250" s="90">
        <f t="shared" si="12"/>
        <v>2</v>
      </c>
      <c r="L250" s="94">
        <f t="shared" si="11"/>
        <v>0.13333333333333333</v>
      </c>
    </row>
    <row r="251" spans="1:17" ht="14.45" customHeight="1" x14ac:dyDescent="0.25">
      <c r="A251" s="5"/>
      <c r="B251" s="87">
        <v>8</v>
      </c>
      <c r="C251" s="109" t="s">
        <v>61</v>
      </c>
      <c r="D251" s="110" t="s">
        <v>62</v>
      </c>
      <c r="E251" s="226"/>
      <c r="F251" s="64" t="s">
        <v>448</v>
      </c>
      <c r="G251" s="65" t="s">
        <v>439</v>
      </c>
      <c r="H251" s="56">
        <v>15</v>
      </c>
      <c r="I251" s="56">
        <v>2</v>
      </c>
      <c r="J251" s="72">
        <f t="shared" si="10"/>
        <v>0.13333333333333333</v>
      </c>
      <c r="K251" s="91">
        <f t="shared" si="12"/>
        <v>2</v>
      </c>
      <c r="L251" s="96">
        <f t="shared" si="11"/>
        <v>0.13333333333333333</v>
      </c>
    </row>
    <row r="252" spans="1:17" x14ac:dyDescent="0.25">
      <c r="A252" s="5"/>
      <c r="B252" s="85">
        <v>3</v>
      </c>
      <c r="C252" s="105" t="s">
        <v>43</v>
      </c>
      <c r="D252" s="106" t="s">
        <v>44</v>
      </c>
      <c r="E252" s="226" t="s">
        <v>450</v>
      </c>
      <c r="F252" s="60" t="s">
        <v>449</v>
      </c>
      <c r="G252" s="60" t="s">
        <v>451</v>
      </c>
      <c r="H252" s="66">
        <v>34</v>
      </c>
      <c r="I252" s="136">
        <v>4</v>
      </c>
      <c r="J252" s="71">
        <f t="shared" si="10"/>
        <v>0.11764705882352941</v>
      </c>
      <c r="K252" s="103">
        <f t="shared" si="12"/>
        <v>4</v>
      </c>
      <c r="L252" s="95">
        <f t="shared" si="11"/>
        <v>0.11764705882352941</v>
      </c>
    </row>
    <row r="253" spans="1:17" x14ac:dyDescent="0.25">
      <c r="A253" s="5"/>
      <c r="B253" s="86">
        <v>3</v>
      </c>
      <c r="C253" s="107" t="s">
        <v>46</v>
      </c>
      <c r="D253" s="108" t="s">
        <v>47</v>
      </c>
      <c r="E253" s="226"/>
      <c r="F253" s="74" t="s">
        <v>452</v>
      </c>
      <c r="G253" s="62" t="s">
        <v>453</v>
      </c>
      <c r="H253" s="68">
        <v>34</v>
      </c>
      <c r="I253" s="55">
        <v>4</v>
      </c>
      <c r="J253" s="69">
        <f t="shared" si="10"/>
        <v>0.11764705882352941</v>
      </c>
      <c r="K253" s="90">
        <f t="shared" si="12"/>
        <v>4</v>
      </c>
      <c r="L253" s="94">
        <f t="shared" si="11"/>
        <v>0.11764705882352941</v>
      </c>
    </row>
    <row r="254" spans="1:17" ht="14.45" customHeight="1" x14ac:dyDescent="0.25">
      <c r="B254" s="86">
        <v>3</v>
      </c>
      <c r="C254" s="107" t="s">
        <v>49</v>
      </c>
      <c r="D254" s="108" t="s">
        <v>50</v>
      </c>
      <c r="E254" s="226"/>
      <c r="F254" s="62" t="s">
        <v>454</v>
      </c>
      <c r="G254" s="63" t="s">
        <v>455</v>
      </c>
      <c r="H254" s="55">
        <v>34</v>
      </c>
      <c r="I254" s="70">
        <v>4</v>
      </c>
      <c r="J254" s="69">
        <f t="shared" si="10"/>
        <v>0.11764705882352941</v>
      </c>
      <c r="K254" s="90">
        <f t="shared" si="12"/>
        <v>4</v>
      </c>
      <c r="L254" s="94">
        <f t="shared" si="11"/>
        <v>0.11764705882352941</v>
      </c>
    </row>
    <row r="255" spans="1:17" ht="14.45" customHeight="1" x14ac:dyDescent="0.25">
      <c r="B255" s="86">
        <v>3</v>
      </c>
      <c r="C255" s="107" t="s">
        <v>52</v>
      </c>
      <c r="D255" s="108" t="s">
        <v>53</v>
      </c>
      <c r="E255" s="226"/>
      <c r="F255" s="62" t="s">
        <v>456</v>
      </c>
      <c r="G255" s="62" t="s">
        <v>457</v>
      </c>
      <c r="H255" s="55">
        <v>34</v>
      </c>
      <c r="I255" s="55">
        <v>4</v>
      </c>
      <c r="J255" s="69">
        <f t="shared" si="10"/>
        <v>0.11764705882352941</v>
      </c>
      <c r="K255" s="90">
        <f t="shared" si="12"/>
        <v>4</v>
      </c>
      <c r="L255" s="94">
        <f t="shared" si="11"/>
        <v>0.11764705882352941</v>
      </c>
    </row>
    <row r="256" spans="1:17" x14ac:dyDescent="0.25">
      <c r="B256" s="86">
        <v>3</v>
      </c>
      <c r="C256" s="107" t="s">
        <v>55</v>
      </c>
      <c r="D256" s="108" t="s">
        <v>56</v>
      </c>
      <c r="E256" s="226"/>
      <c r="F256" s="62" t="s">
        <v>458</v>
      </c>
      <c r="G256" s="62" t="s">
        <v>459</v>
      </c>
      <c r="H256" s="55">
        <v>34</v>
      </c>
      <c r="I256" s="55">
        <v>4</v>
      </c>
      <c r="J256" s="69">
        <f t="shared" si="10"/>
        <v>0.11764705882352941</v>
      </c>
      <c r="K256" s="90">
        <f t="shared" si="12"/>
        <v>4</v>
      </c>
      <c r="L256" s="94">
        <f t="shared" si="11"/>
        <v>0.11764705882352941</v>
      </c>
    </row>
    <row r="257" spans="1:18" x14ac:dyDescent="0.25">
      <c r="B257" s="86">
        <v>5</v>
      </c>
      <c r="C257" s="107" t="s">
        <v>57</v>
      </c>
      <c r="D257" s="108" t="s">
        <v>58</v>
      </c>
      <c r="E257" s="226"/>
      <c r="F257" s="74" t="s">
        <v>460</v>
      </c>
      <c r="G257" s="62" t="s">
        <v>461</v>
      </c>
      <c r="H257" s="55">
        <v>34</v>
      </c>
      <c r="I257" s="55">
        <v>4</v>
      </c>
      <c r="J257" s="69">
        <f t="shared" si="10"/>
        <v>0.11764705882352941</v>
      </c>
      <c r="K257" s="90">
        <f t="shared" si="12"/>
        <v>4</v>
      </c>
      <c r="L257" s="94">
        <f t="shared" si="11"/>
        <v>0.11764705882352941</v>
      </c>
    </row>
    <row r="258" spans="1:18" s="6" customFormat="1" ht="14.45" customHeight="1" x14ac:dyDescent="0.25">
      <c r="A258" s="8"/>
      <c r="B258" s="86">
        <v>5</v>
      </c>
      <c r="C258" s="107" t="s">
        <v>59</v>
      </c>
      <c r="D258" s="108" t="s">
        <v>60</v>
      </c>
      <c r="E258" s="226"/>
      <c r="F258" s="62" t="s">
        <v>462</v>
      </c>
      <c r="G258" s="62" t="s">
        <v>461</v>
      </c>
      <c r="H258" s="55">
        <v>33</v>
      </c>
      <c r="I258" s="55">
        <v>3</v>
      </c>
      <c r="J258" s="69">
        <f t="shared" si="10"/>
        <v>9.0909090909090912E-2</v>
      </c>
      <c r="K258" s="90">
        <f t="shared" si="12"/>
        <v>3</v>
      </c>
      <c r="L258" s="94">
        <f t="shared" si="11"/>
        <v>9.0909090909090912E-2</v>
      </c>
      <c r="M258" s="8"/>
      <c r="N258" s="8"/>
      <c r="O258"/>
      <c r="P258" s="8"/>
      <c r="Q258"/>
      <c r="R258" s="8"/>
    </row>
    <row r="259" spans="1:18" s="6" customFormat="1" ht="14.45" customHeight="1" x14ac:dyDescent="0.25">
      <c r="A259" s="8"/>
      <c r="B259" s="86">
        <v>8</v>
      </c>
      <c r="C259" s="107" t="s">
        <v>61</v>
      </c>
      <c r="D259" s="108" t="s">
        <v>62</v>
      </c>
      <c r="E259" s="226"/>
      <c r="F259" s="65" t="s">
        <v>463</v>
      </c>
      <c r="G259" s="65" t="s">
        <v>464</v>
      </c>
      <c r="H259" s="56">
        <v>33</v>
      </c>
      <c r="I259" s="56">
        <v>3</v>
      </c>
      <c r="J259" s="72">
        <f t="shared" si="10"/>
        <v>9.0909090909090912E-2</v>
      </c>
      <c r="K259" s="91">
        <f t="shared" si="12"/>
        <v>3</v>
      </c>
      <c r="L259" s="96">
        <f t="shared" si="11"/>
        <v>9.0909090909090912E-2</v>
      </c>
      <c r="M259" s="8"/>
      <c r="N259" s="8"/>
      <c r="O259"/>
      <c r="P259" s="8"/>
      <c r="Q259"/>
      <c r="R259" s="8"/>
    </row>
    <row r="260" spans="1:18" x14ac:dyDescent="0.25">
      <c r="B260" s="85">
        <v>3</v>
      </c>
      <c r="C260" s="105" t="s">
        <v>43</v>
      </c>
      <c r="D260" s="106" t="s">
        <v>44</v>
      </c>
      <c r="E260" s="238" t="s">
        <v>466</v>
      </c>
      <c r="F260" s="117" t="s">
        <v>465</v>
      </c>
      <c r="G260" s="60" t="s">
        <v>467</v>
      </c>
      <c r="H260" s="66">
        <v>20</v>
      </c>
      <c r="I260" s="136">
        <v>4</v>
      </c>
      <c r="J260" s="71">
        <f t="shared" si="10"/>
        <v>0.2</v>
      </c>
      <c r="K260" s="103">
        <f t="shared" si="12"/>
        <v>4</v>
      </c>
      <c r="L260" s="95">
        <f t="shared" si="11"/>
        <v>0.2</v>
      </c>
    </row>
    <row r="261" spans="1:18" x14ac:dyDescent="0.25">
      <c r="B261" s="86">
        <v>3</v>
      </c>
      <c r="C261" s="107" t="s">
        <v>46</v>
      </c>
      <c r="D261" s="108" t="s">
        <v>47</v>
      </c>
      <c r="E261" s="239"/>
      <c r="F261" s="116" t="s">
        <v>48</v>
      </c>
      <c r="G261" s="62" t="s">
        <v>32</v>
      </c>
      <c r="H261" s="68">
        <v>20</v>
      </c>
      <c r="I261" s="55">
        <v>3</v>
      </c>
      <c r="J261" s="69">
        <f t="shared" si="10"/>
        <v>0.15</v>
      </c>
      <c r="K261" s="90">
        <f t="shared" si="12"/>
        <v>3</v>
      </c>
      <c r="L261" s="94">
        <f t="shared" si="11"/>
        <v>0.15</v>
      </c>
    </row>
    <row r="262" spans="1:18" x14ac:dyDescent="0.25">
      <c r="B262" s="86">
        <v>3</v>
      </c>
      <c r="C262" s="107" t="s">
        <v>98</v>
      </c>
      <c r="D262" s="108" t="s">
        <v>99</v>
      </c>
      <c r="E262" s="239"/>
      <c r="F262" s="116" t="s">
        <v>48</v>
      </c>
      <c r="G262" s="63" t="s">
        <v>32</v>
      </c>
      <c r="H262" s="55">
        <v>20</v>
      </c>
      <c r="I262" s="70">
        <v>3</v>
      </c>
      <c r="J262" s="69">
        <f t="shared" si="10"/>
        <v>0.15</v>
      </c>
      <c r="K262" s="90">
        <f t="shared" si="12"/>
        <v>3</v>
      </c>
      <c r="L262" s="94">
        <f t="shared" si="11"/>
        <v>0.15</v>
      </c>
    </row>
    <row r="263" spans="1:18" x14ac:dyDescent="0.25">
      <c r="B263" s="86">
        <v>3</v>
      </c>
      <c r="C263" s="107" t="s">
        <v>49</v>
      </c>
      <c r="D263" s="108" t="s">
        <v>50</v>
      </c>
      <c r="E263" s="239"/>
      <c r="F263" s="116" t="s">
        <v>468</v>
      </c>
      <c r="G263" s="62" t="s">
        <v>469</v>
      </c>
      <c r="H263" s="55">
        <v>20</v>
      </c>
      <c r="I263" s="55">
        <v>3</v>
      </c>
      <c r="J263" s="69">
        <f t="shared" si="10"/>
        <v>0.15</v>
      </c>
      <c r="K263" s="90">
        <f t="shared" si="12"/>
        <v>3</v>
      </c>
      <c r="L263" s="94">
        <f t="shared" si="11"/>
        <v>0.15</v>
      </c>
    </row>
    <row r="264" spans="1:18" x14ac:dyDescent="0.25">
      <c r="B264" s="86">
        <v>3</v>
      </c>
      <c r="C264" s="107" t="s">
        <v>52</v>
      </c>
      <c r="D264" s="108" t="s">
        <v>53</v>
      </c>
      <c r="E264" s="239"/>
      <c r="F264" s="116" t="s">
        <v>470</v>
      </c>
      <c r="G264" s="62" t="s">
        <v>471</v>
      </c>
      <c r="H264" s="55">
        <v>20</v>
      </c>
      <c r="I264" s="55">
        <v>4</v>
      </c>
      <c r="J264" s="69">
        <f t="shared" si="10"/>
        <v>0.2</v>
      </c>
      <c r="K264" s="90">
        <f t="shared" ref="K264:K268" si="13">+I264</f>
        <v>4</v>
      </c>
      <c r="L264" s="94">
        <f t="shared" si="11"/>
        <v>0.2</v>
      </c>
    </row>
    <row r="265" spans="1:18" x14ac:dyDescent="0.25">
      <c r="B265" s="86">
        <v>3</v>
      </c>
      <c r="C265" s="107" t="s">
        <v>55</v>
      </c>
      <c r="D265" s="108" t="s">
        <v>56</v>
      </c>
      <c r="E265" s="239"/>
      <c r="F265" s="116" t="s">
        <v>472</v>
      </c>
      <c r="G265" s="62" t="s">
        <v>473</v>
      </c>
      <c r="H265" s="55">
        <v>20</v>
      </c>
      <c r="I265" s="55">
        <v>4</v>
      </c>
      <c r="J265" s="69">
        <f t="shared" si="10"/>
        <v>0.2</v>
      </c>
      <c r="K265" s="90">
        <f t="shared" si="13"/>
        <v>4</v>
      </c>
      <c r="L265" s="94">
        <f t="shared" si="11"/>
        <v>0.2</v>
      </c>
    </row>
    <row r="266" spans="1:18" x14ac:dyDescent="0.25">
      <c r="B266" s="86">
        <v>5</v>
      </c>
      <c r="C266" s="107" t="s">
        <v>57</v>
      </c>
      <c r="D266" s="108" t="s">
        <v>58</v>
      </c>
      <c r="E266" s="239"/>
      <c r="F266" s="132" t="s">
        <v>238</v>
      </c>
      <c r="G266" s="76" t="s">
        <v>32</v>
      </c>
      <c r="H266" s="55">
        <v>20</v>
      </c>
      <c r="I266" s="55">
        <v>3</v>
      </c>
      <c r="J266" s="69">
        <f t="shared" si="10"/>
        <v>0.15</v>
      </c>
      <c r="K266" s="90">
        <f t="shared" si="13"/>
        <v>3</v>
      </c>
      <c r="L266" s="94">
        <f t="shared" si="11"/>
        <v>0.15</v>
      </c>
    </row>
    <row r="267" spans="1:18" x14ac:dyDescent="0.25">
      <c r="B267" s="86">
        <v>5</v>
      </c>
      <c r="C267" s="107" t="s">
        <v>59</v>
      </c>
      <c r="D267" s="108" t="s">
        <v>60</v>
      </c>
      <c r="E267" s="239"/>
      <c r="F267" s="116" t="s">
        <v>474</v>
      </c>
      <c r="G267" s="62" t="s">
        <v>32</v>
      </c>
      <c r="H267" s="128">
        <v>20</v>
      </c>
      <c r="I267" s="55">
        <v>3</v>
      </c>
      <c r="J267" s="69">
        <f t="shared" si="10"/>
        <v>0.15</v>
      </c>
      <c r="K267" s="90">
        <f>+I267</f>
        <v>3</v>
      </c>
      <c r="L267" s="94">
        <f t="shared" si="11"/>
        <v>0.15</v>
      </c>
    </row>
    <row r="268" spans="1:18" x14ac:dyDescent="0.25">
      <c r="B268" s="87">
        <v>8</v>
      </c>
      <c r="C268" s="109" t="s">
        <v>61</v>
      </c>
      <c r="D268" s="110" t="s">
        <v>62</v>
      </c>
      <c r="E268" s="227"/>
      <c r="F268" s="134" t="s">
        <v>63</v>
      </c>
      <c r="G268" s="135" t="s">
        <v>32</v>
      </c>
      <c r="H268" s="56">
        <v>20</v>
      </c>
      <c r="I268" s="56">
        <v>3</v>
      </c>
      <c r="J268" s="72">
        <f t="shared" si="10"/>
        <v>0.15</v>
      </c>
      <c r="K268" s="91">
        <f t="shared" si="13"/>
        <v>3</v>
      </c>
      <c r="L268" s="96">
        <f t="shared" si="11"/>
        <v>0.15</v>
      </c>
    </row>
    <row r="269" spans="1:18" x14ac:dyDescent="0.25">
      <c r="D269" s="18"/>
      <c r="E269" s="5"/>
      <c r="F269" s="14"/>
      <c r="G269" s="5"/>
      <c r="H269" s="240" t="str">
        <f>+CONCATENATE("TOTAL A ",D7)</f>
        <v>TOTAL A ABRIL</v>
      </c>
      <c r="I269" s="241"/>
      <c r="J269" s="242"/>
      <c r="K269" s="240" t="s">
        <v>33</v>
      </c>
      <c r="L269" s="242"/>
    </row>
    <row r="270" spans="1:18" x14ac:dyDescent="0.25">
      <c r="D270" s="48"/>
      <c r="E270" s="54"/>
      <c r="F270" s="16"/>
      <c r="G270" s="54"/>
      <c r="H270" s="49">
        <f>+SUM(H13:H268)</f>
        <v>5220</v>
      </c>
      <c r="I270" s="50">
        <f>SUM(I13:I268)</f>
        <v>870</v>
      </c>
      <c r="J270" s="51">
        <f>IFERROR(I270/H270,0)</f>
        <v>0.16666666666666666</v>
      </c>
      <c r="K270" s="50">
        <f>+SUM(K13:K268)</f>
        <v>870</v>
      </c>
      <c r="L270" s="51">
        <f>IFERROR(K270/H270,0)</f>
        <v>0.16666666666666666</v>
      </c>
    </row>
    <row r="271" spans="1:18" x14ac:dyDescent="0.25">
      <c r="D271" s="48"/>
      <c r="E271" s="54"/>
      <c r="F271" s="16"/>
      <c r="G271" s="54"/>
      <c r="H271" s="118"/>
      <c r="I271" s="119"/>
      <c r="J271" s="120"/>
      <c r="K271" s="119"/>
      <c r="L271" s="120"/>
    </row>
    <row r="272" spans="1:18" ht="280.35000000000002" customHeight="1" x14ac:dyDescent="0.25">
      <c r="B272" s="243" t="s">
        <v>34</v>
      </c>
      <c r="C272" s="244"/>
      <c r="D272" s="245" t="s">
        <v>491</v>
      </c>
      <c r="E272" s="246"/>
      <c r="F272" s="246"/>
      <c r="G272" s="246"/>
      <c r="H272" s="246"/>
      <c r="I272" s="246"/>
      <c r="J272" s="246"/>
      <c r="K272" s="246"/>
      <c r="L272" s="247"/>
    </row>
    <row r="273" spans="1:18" x14ac:dyDescent="0.25">
      <c r="B273" s="248" t="s">
        <v>36</v>
      </c>
      <c r="C273" s="249"/>
      <c r="D273" s="249"/>
      <c r="E273" s="249"/>
      <c r="F273" s="249"/>
      <c r="G273" s="249"/>
      <c r="H273" s="249"/>
      <c r="I273" s="249"/>
      <c r="J273" s="249"/>
      <c r="K273" s="249"/>
      <c r="L273" s="250"/>
    </row>
    <row r="274" spans="1:18" x14ac:dyDescent="0.25">
      <c r="B274" s="251"/>
      <c r="C274" s="252"/>
      <c r="D274" s="252"/>
      <c r="E274" s="252"/>
      <c r="F274" s="252"/>
      <c r="G274" s="252"/>
      <c r="H274" s="252"/>
      <c r="I274" s="252"/>
      <c r="J274" s="252"/>
      <c r="K274" s="252"/>
      <c r="L274" s="253"/>
    </row>
    <row r="275" spans="1:18" x14ac:dyDescent="0.25">
      <c r="B275" s="254" t="s">
        <v>37</v>
      </c>
      <c r="C275" s="255"/>
      <c r="D275" s="255"/>
      <c r="E275" s="255"/>
      <c r="F275" s="255"/>
      <c r="G275" s="255"/>
      <c r="H275" s="255"/>
      <c r="I275" s="255"/>
      <c r="J275" s="255"/>
      <c r="K275" s="255"/>
      <c r="L275" s="256"/>
    </row>
    <row r="276" spans="1:18" ht="24.75" x14ac:dyDescent="0.3">
      <c r="B276" s="52" t="s">
        <v>38</v>
      </c>
      <c r="C276" s="121"/>
      <c r="D276" s="257" t="s">
        <v>35</v>
      </c>
      <c r="E276" s="258"/>
      <c r="F276" s="258"/>
      <c r="G276" s="258"/>
      <c r="H276" s="258"/>
      <c r="I276" s="258"/>
      <c r="J276" s="258"/>
      <c r="K276" s="258"/>
      <c r="L276" s="259"/>
    </row>
    <row r="277" spans="1:18" ht="24.75" x14ac:dyDescent="0.3">
      <c r="B277" s="52" t="s">
        <v>39</v>
      </c>
      <c r="C277" s="121"/>
      <c r="D277" s="260"/>
      <c r="E277" s="261"/>
      <c r="F277" s="261"/>
      <c r="G277" s="261"/>
      <c r="H277" s="261"/>
      <c r="I277" s="261"/>
      <c r="J277" s="261"/>
      <c r="K277" s="261"/>
      <c r="L277" s="262"/>
    </row>
    <row r="278" spans="1:18" x14ac:dyDescent="0.25">
      <c r="B278" s="263" t="s">
        <v>36</v>
      </c>
      <c r="C278" s="264"/>
      <c r="D278" s="264"/>
      <c r="E278" s="264"/>
      <c r="F278" s="264"/>
      <c r="G278" s="264"/>
      <c r="H278" s="264"/>
      <c r="I278" s="264"/>
      <c r="J278" s="264"/>
      <c r="K278" s="264"/>
      <c r="L278" s="265"/>
    </row>
    <row r="279" spans="1:18" s="6" customFormat="1" ht="14.45" hidden="1" customHeight="1" x14ac:dyDescent="0.25">
      <c r="A279" t="s">
        <v>0</v>
      </c>
      <c r="B279" s="266"/>
      <c r="C279" s="267"/>
      <c r="D279" s="267"/>
      <c r="E279" s="267"/>
      <c r="F279" s="267"/>
      <c r="G279" s="267"/>
      <c r="H279" s="267"/>
      <c r="I279" s="267"/>
      <c r="J279" s="267"/>
      <c r="K279" s="267"/>
      <c r="L279" s="268"/>
      <c r="M279" s="8"/>
      <c r="N279" s="8"/>
      <c r="O279"/>
      <c r="P279" s="8"/>
      <c r="Q279"/>
      <c r="R279" s="8"/>
    </row>
    <row r="280" spans="1:18" s="6" customFormat="1" ht="14.45" hidden="1" customHeight="1" x14ac:dyDescent="0.25">
      <c r="A280" t="s">
        <v>2</v>
      </c>
      <c r="B280" s="254" t="s">
        <v>40</v>
      </c>
      <c r="C280" s="255"/>
      <c r="D280" s="255"/>
      <c r="E280" s="255"/>
      <c r="F280" s="255"/>
      <c r="G280" s="255"/>
      <c r="H280" s="255"/>
      <c r="I280" s="255"/>
      <c r="J280" s="255"/>
      <c r="K280" s="255"/>
      <c r="L280" s="256"/>
      <c r="M280" s="8"/>
      <c r="N280" s="8"/>
      <c r="O280"/>
      <c r="P280" s="8"/>
      <c r="Q280"/>
      <c r="R280" s="8"/>
    </row>
    <row r="281" spans="1:18" s="6" customFormat="1" ht="14.45" hidden="1" customHeight="1" x14ac:dyDescent="0.3">
      <c r="A281" t="s">
        <v>6</v>
      </c>
      <c r="B281" s="52" t="s">
        <v>38</v>
      </c>
      <c r="C281" s="121"/>
      <c r="D281" s="257" t="s">
        <v>35</v>
      </c>
      <c r="E281" s="258"/>
      <c r="F281" s="258"/>
      <c r="G281" s="258"/>
      <c r="H281" s="258"/>
      <c r="I281" s="258"/>
      <c r="J281" s="258"/>
      <c r="K281" s="258"/>
      <c r="L281" s="259"/>
      <c r="M281" s="8"/>
      <c r="N281" s="8"/>
      <c r="O281"/>
      <c r="P281" s="8"/>
      <c r="Q281"/>
      <c r="R281" s="8"/>
    </row>
    <row r="282" spans="1:18" s="6" customFormat="1" ht="14.45" hidden="1" customHeight="1" x14ac:dyDescent="0.3">
      <c r="A282" t="s">
        <v>8</v>
      </c>
      <c r="B282" s="52" t="s">
        <v>39</v>
      </c>
      <c r="C282" s="121"/>
      <c r="D282" s="260"/>
      <c r="E282" s="261"/>
      <c r="F282" s="261"/>
      <c r="G282" s="261"/>
      <c r="H282" s="261"/>
      <c r="I282" s="261"/>
      <c r="J282" s="261"/>
      <c r="K282" s="261"/>
      <c r="L282" s="262"/>
      <c r="M282" s="8"/>
      <c r="N282" s="8"/>
      <c r="O282"/>
      <c r="P282" s="8"/>
      <c r="Q282"/>
      <c r="R282" s="8"/>
    </row>
    <row r="283" spans="1:18" s="6" customFormat="1" ht="14.45" hidden="1" customHeight="1" x14ac:dyDescent="0.25">
      <c r="A283" t="s">
        <v>9</v>
      </c>
      <c r="B283" s="53"/>
      <c r="C283" s="53"/>
      <c r="D283" s="18"/>
      <c r="E283" s="5"/>
      <c r="G283" s="5"/>
      <c r="H283" s="53"/>
      <c r="I283" s="122"/>
      <c r="M283" s="8"/>
      <c r="N283" s="8"/>
      <c r="O283"/>
      <c r="P283" s="8"/>
      <c r="Q283"/>
      <c r="R283" s="8"/>
    </row>
    <row r="284" spans="1:18" s="6" customFormat="1" ht="14.45" hidden="1" customHeight="1" x14ac:dyDescent="0.25">
      <c r="A284" t="s">
        <v>10</v>
      </c>
      <c r="B284" s="53"/>
      <c r="C284" s="53"/>
      <c r="D284" s="18"/>
      <c r="E284" s="5"/>
      <c r="G284" s="5"/>
      <c r="H284" s="53"/>
      <c r="I284" s="122"/>
      <c r="M284" s="8"/>
      <c r="N284" s="8"/>
      <c r="O284"/>
      <c r="P284" s="8"/>
      <c r="Q284"/>
      <c r="R284" s="8"/>
    </row>
    <row r="285" spans="1:18" s="6" customFormat="1" ht="14.45" hidden="1" customHeight="1" x14ac:dyDescent="0.25">
      <c r="A285" t="s">
        <v>11</v>
      </c>
      <c r="B285" s="269"/>
      <c r="C285" s="269"/>
      <c r="D285" s="269"/>
      <c r="E285" s="5"/>
      <c r="G285" s="5"/>
      <c r="H285" s="269"/>
      <c r="I285" s="269"/>
      <c r="J285" s="269"/>
      <c r="K285" s="269"/>
      <c r="M285" s="8"/>
      <c r="N285" s="8"/>
      <c r="O285"/>
      <c r="P285" s="8"/>
      <c r="Q285"/>
      <c r="R285" s="8"/>
    </row>
    <row r="286" spans="1:18" s="6" customFormat="1" ht="14.45" hidden="1" customHeight="1" x14ac:dyDescent="0.25">
      <c r="A286" t="s">
        <v>13</v>
      </c>
      <c r="B286" s="5" t="s">
        <v>41</v>
      </c>
      <c r="C286" s="270"/>
      <c r="D286" s="270"/>
      <c r="E286" s="5"/>
      <c r="G286" s="5"/>
      <c r="H286" s="5" t="s">
        <v>42</v>
      </c>
      <c r="I286" s="270" t="s">
        <v>222</v>
      </c>
      <c r="J286" s="270"/>
      <c r="K286" s="270"/>
      <c r="M286" s="8"/>
      <c r="N286" s="8"/>
      <c r="O286"/>
      <c r="P286" s="8"/>
      <c r="Q286"/>
      <c r="R286" s="8"/>
    </row>
    <row r="287" spans="1:18" s="6" customFormat="1" hidden="1" x14ac:dyDescent="0.25">
      <c r="A287" t="s">
        <v>14</v>
      </c>
      <c r="B287" s="54"/>
      <c r="C287" s="5"/>
      <c r="F287" s="7"/>
      <c r="M287" s="8"/>
      <c r="N287" s="8"/>
      <c r="O287"/>
      <c r="P287" s="8"/>
      <c r="Q287"/>
      <c r="R287" s="8"/>
    </row>
    <row r="288" spans="1:18" s="6" customFormat="1" hidden="1" x14ac:dyDescent="0.25">
      <c r="A288" t="s">
        <v>16</v>
      </c>
      <c r="B288" s="54"/>
      <c r="C288" s="5"/>
      <c r="F288" s="7"/>
      <c r="M288" s="8"/>
      <c r="N288" s="8"/>
      <c r="O288"/>
      <c r="P288" s="8"/>
      <c r="Q288"/>
      <c r="R288" s="8"/>
    </row>
    <row r="289" spans="1:18" s="6" customFormat="1" hidden="1" x14ac:dyDescent="0.25">
      <c r="A289" t="s">
        <v>17</v>
      </c>
      <c r="B289" s="54"/>
      <c r="C289" s="5"/>
      <c r="F289" s="7"/>
      <c r="M289" s="8"/>
      <c r="N289" s="8"/>
      <c r="O289"/>
      <c r="P289" s="8"/>
      <c r="Q289"/>
      <c r="R289" s="8"/>
    </row>
    <row r="290" spans="1:18" s="6" customFormat="1" hidden="1" x14ac:dyDescent="0.25">
      <c r="A290" t="s">
        <v>21</v>
      </c>
      <c r="B290" s="54"/>
      <c r="C290" s="5"/>
      <c r="F290" s="7"/>
      <c r="M290" s="8"/>
      <c r="N290" s="8"/>
      <c r="O290"/>
      <c r="P290" s="8"/>
      <c r="Q290"/>
      <c r="R290" s="8"/>
    </row>
    <row r="291" spans="1:18" s="6" customFormat="1" hidden="1" x14ac:dyDescent="0.25">
      <c r="A291" t="s">
        <v>31</v>
      </c>
      <c r="B291" s="54"/>
      <c r="C291" s="5"/>
      <c r="F291" s="7"/>
      <c r="M291" s="8"/>
      <c r="N291" s="8"/>
      <c r="O291"/>
      <c r="P291" s="8"/>
      <c r="Q291"/>
      <c r="R291" s="8"/>
    </row>
    <row r="292" spans="1:18" x14ac:dyDescent="0.25">
      <c r="B292" s="254" t="s">
        <v>40</v>
      </c>
      <c r="C292" s="255"/>
      <c r="D292" s="255"/>
      <c r="E292" s="255"/>
      <c r="F292" s="255"/>
      <c r="G292" s="255"/>
      <c r="H292" s="255"/>
      <c r="I292" s="255"/>
      <c r="J292" s="255"/>
      <c r="K292" s="255"/>
      <c r="L292" s="256"/>
    </row>
    <row r="293" spans="1:18" ht="24.75" x14ac:dyDescent="0.3">
      <c r="B293" s="52" t="s">
        <v>38</v>
      </c>
      <c r="C293" s="121"/>
      <c r="D293" s="257" t="s">
        <v>35</v>
      </c>
      <c r="E293" s="258"/>
      <c r="F293" s="258"/>
      <c r="G293" s="258"/>
      <c r="H293" s="258"/>
      <c r="I293" s="258"/>
      <c r="J293" s="258"/>
      <c r="K293" s="258"/>
      <c r="L293" s="259"/>
    </row>
    <row r="294" spans="1:18" ht="24.75" x14ac:dyDescent="0.3">
      <c r="B294" s="52" t="s">
        <v>39</v>
      </c>
      <c r="C294" s="121"/>
      <c r="D294" s="260"/>
      <c r="E294" s="261"/>
      <c r="F294" s="261"/>
      <c r="G294" s="261"/>
      <c r="H294" s="261"/>
      <c r="I294" s="261"/>
      <c r="J294" s="261"/>
      <c r="K294" s="261"/>
      <c r="L294" s="262"/>
    </row>
    <row r="295" spans="1:18" x14ac:dyDescent="0.25">
      <c r="B295" s="53"/>
      <c r="C295" s="53"/>
      <c r="D295" s="18"/>
      <c r="E295" s="5"/>
      <c r="F295" s="6"/>
      <c r="G295" s="5"/>
      <c r="H295" s="53"/>
      <c r="I295" s="122"/>
    </row>
    <row r="296" spans="1:18" x14ac:dyDescent="0.25">
      <c r="B296" s="53"/>
      <c r="C296" s="53"/>
      <c r="D296" s="18"/>
      <c r="E296" s="5"/>
      <c r="F296" s="6"/>
      <c r="G296" s="5"/>
      <c r="H296" s="53"/>
      <c r="I296" s="122"/>
    </row>
    <row r="297" spans="1:18" x14ac:dyDescent="0.25">
      <c r="B297" s="269"/>
      <c r="C297" s="269"/>
      <c r="D297" s="269"/>
      <c r="E297" s="5"/>
      <c r="F297" s="6"/>
      <c r="G297" s="5"/>
      <c r="H297" s="269"/>
      <c r="I297" s="269"/>
      <c r="J297" s="269"/>
      <c r="K297" s="269"/>
    </row>
    <row r="298" spans="1:18" x14ac:dyDescent="0.25">
      <c r="B298" s="5" t="s">
        <v>41</v>
      </c>
      <c r="C298" s="270"/>
      <c r="D298" s="270"/>
      <c r="E298" s="5"/>
      <c r="F298" s="6"/>
      <c r="G298" s="5"/>
      <c r="H298" s="5" t="s">
        <v>42</v>
      </c>
      <c r="I298" s="270" t="s">
        <v>222</v>
      </c>
      <c r="J298" s="270"/>
      <c r="K298" s="270"/>
    </row>
  </sheetData>
  <sheetProtection formatCells="0" formatColumns="0" formatRows="0" insertColumns="0" insertRows="0" insertHyperlinks="0" deleteColumns="0" deleteRows="0" sort="0" autoFilter="0" pivotTables="0"/>
  <mergeCells count="59">
    <mergeCell ref="B292:L292"/>
    <mergeCell ref="D293:L294"/>
    <mergeCell ref="B297:D297"/>
    <mergeCell ref="H297:K297"/>
    <mergeCell ref="C298:D298"/>
    <mergeCell ref="I298:K298"/>
    <mergeCell ref="D281:L282"/>
    <mergeCell ref="B285:D285"/>
    <mergeCell ref="H285:K285"/>
    <mergeCell ref="C286:D286"/>
    <mergeCell ref="I286:K286"/>
    <mergeCell ref="B273:L274"/>
    <mergeCell ref="B275:L275"/>
    <mergeCell ref="D276:L277"/>
    <mergeCell ref="B278:L279"/>
    <mergeCell ref="B280:L280"/>
    <mergeCell ref="E260:E268"/>
    <mergeCell ref="H269:J269"/>
    <mergeCell ref="K269:L269"/>
    <mergeCell ref="B272:C272"/>
    <mergeCell ref="D272:L272"/>
    <mergeCell ref="E231:E239"/>
    <mergeCell ref="E146:E156"/>
    <mergeCell ref="E157:E166"/>
    <mergeCell ref="E167:E176"/>
    <mergeCell ref="E177:E181"/>
    <mergeCell ref="E182:E190"/>
    <mergeCell ref="E191:E198"/>
    <mergeCell ref="E199:E206"/>
    <mergeCell ref="E207:E212"/>
    <mergeCell ref="E213:E221"/>
    <mergeCell ref="E240:E245"/>
    <mergeCell ref="E246:E251"/>
    <mergeCell ref="E252:E259"/>
    <mergeCell ref="E134:E145"/>
    <mergeCell ref="E30:E38"/>
    <mergeCell ref="E39:E46"/>
    <mergeCell ref="E47:E55"/>
    <mergeCell ref="E56:E64"/>
    <mergeCell ref="E65:E73"/>
    <mergeCell ref="E74:E82"/>
    <mergeCell ref="E83:E91"/>
    <mergeCell ref="E92:E102"/>
    <mergeCell ref="E103:E113"/>
    <mergeCell ref="E114:E122"/>
    <mergeCell ref="E123:E133"/>
    <mergeCell ref="E222:E230"/>
    <mergeCell ref="E21:E29"/>
    <mergeCell ref="B2:L2"/>
    <mergeCell ref="B3:D3"/>
    <mergeCell ref="F3:I3"/>
    <mergeCell ref="J3:L3"/>
    <mergeCell ref="B5:C5"/>
    <mergeCell ref="B7:C7"/>
    <mergeCell ref="B9:C9"/>
    <mergeCell ref="B11:H11"/>
    <mergeCell ref="I11:J11"/>
    <mergeCell ref="K11:L11"/>
    <mergeCell ref="E13:E20"/>
  </mergeCells>
  <conditionalFormatting sqref="L13:L268">
    <cfRule type="cellIs" dxfId="19" priority="29" operator="greaterThan">
      <formula>1</formula>
    </cfRule>
  </conditionalFormatting>
  <dataValidations count="4">
    <dataValidation type="list" allowBlank="1" showInputMessage="1" showErrorMessage="1" sqref="D7">
      <formula1>$A$280:$A$291</formula1>
    </dataValidation>
    <dataValidation type="list" allowBlank="1" showInputMessage="1" showErrorMessage="1" sqref="F7:G8 D8">
      <formula1>#REF!</formula1>
    </dataValidation>
    <dataValidation type="whole" allowBlank="1" showInputMessage="1" showErrorMessage="1" errorTitle="¡Error!" error="Introduzca un número válido." promptTitle="¡Atención!" prompt="Introduzca un número entre 0 y 366" sqref="H271 H13:H268">
      <formula1>0</formula1>
      <formula2>366</formula2>
    </dataValidation>
    <dataValidation type="whole" allowBlank="1" showInputMessage="1" showErrorMessage="1" errorTitle="¡Error!" error="Introduzca un número válido." promptTitle="¡Atención!" prompt="Introduzca un número entre 0 y 30" sqref="I13:I268">
      <formula1>0</formula1>
      <formula2>30</formula2>
    </dataValidation>
  </dataValidations>
  <hyperlinks>
    <hyperlink ref="G50" r:id="rId1"/>
    <hyperlink ref="G56" r:id="rId2"/>
    <hyperlink ref="G57" r:id="rId3" display="\\10.100.25.60\sya\gec\Castilla\39. Proyecto_Inyeccion_de_Agua\SAHARA_x000a_"/>
    <hyperlink ref="G58" r:id="rId4"/>
    <hyperlink ref="G64" r:id="rId5"/>
    <hyperlink ref="G60" r:id="rId6"/>
    <hyperlink ref="G62" r:id="rId7"/>
    <hyperlink ref="G65" r:id="rId8" display="https://ecopetrol-my.sharepoint.com/:p:/g/personal/fabian_torres_ecopetrol_com_co1/EVDU7dil0AZKuEEvwl_wYUMBz5-ITb1XKJgfJvcLtCKwyg?email=geisson.zafra%40ecopetrol.com.co&amp;e=wAKzzZ&amp;wdOrigin=TEAMS-MAGLEV.p2p_ns.rwc&amp;wdExp=TEAMS-TREATMENT&amp;wdhostclicktime=1741892843119&amp;web=1&amp;previoussessionid=2053db84-be0f-ec5a-3ed2-fe60df430c3f"/>
    <hyperlink ref="G67" r:id="rId9" display="https://ecopetrol.sharepoint.com/sites/SeguimientoIAChichimeneECP/Documentos%20compartidos/Forms/AllItems.aspx?id=%2Fsites%2FSeguimientoIAChichimeneECP%2FDocumentos%20compartidos%2F17%2E%20IMR%2F2024%2F10%2E%20Octubre&amp;viewid=72844968%2Df801%2D450d%2D81d2%2D32c578273e17"/>
    <hyperlink ref="G69" r:id="rId10" display="https://ecopetrol.sharepoint.com/sites/SeguimientoIAChichimeneECP/Documentos%20compartidos/Forms/AllItems.aspx?id=%2Fsites%2FSeguimientoIAChichimeneECP%2FDocumentos%20compartidos%2F11%2E%20Desviaciones%20Prod%5FIny%20Real%20vs%20P50%20vs%20Auditoria%20vs%20PDI%20vs%20GOP%20vs%20POP%2F2025&amp;viewid=72844968%2Df801%2D450d%2D81d2%2D32c578273e17"/>
    <hyperlink ref="G70" r:id="rId11" display="https://ecopetrol.sharepoint.com/sites/SeguimientoIAChichimeneECP/Documentos%20compartidos/Forms/AllItems.aspx?id=%2Fsites%2FSeguimientoIAChichimeneECP%2FDocumentos%20compartidos%2F45%2E%20WorkOvers%20GCH%202024%2D2026%2D2027&amp;viewid=72844968%2Df801%2D450d%2D81d2%2D32c578273e17"/>
    <hyperlink ref="G71" r:id="rId12" display="https://ecopetrol.sharepoint.com/sites/SeguimientoIAChichimeneECP/Documentos%20compartidos/Forms/AllItems.aspx?id=%2Fsites%2FSeguimientoIAChichimeneECP%2FDocumentos%20compartidos%2F45%2E%20WorkOvers%20GCH%202024%2D2026%2D2027&amp;viewid=72844968%2Df801%2D450d%2D81d2%2D32c578273e17"/>
    <hyperlink ref="G72" r:id="rId13"/>
    <hyperlink ref="G75" r:id="rId14"/>
    <hyperlink ref="G76" r:id="rId15" display="\\10.100.25.60\sya\gec\Castilla\39. Proyecto_Inyeccion_de_Agua"/>
    <hyperlink ref="G77" r:id="rId16"/>
    <hyperlink ref="G78" r:id="rId17"/>
    <hyperlink ref="G79" r:id="rId18"/>
    <hyperlink ref="G80" r:id="rId19" display="https://wellmeeting.ecopetrol.com.co/login_x000a_Sharepoint DTWF"/>
    <hyperlink ref="G81" r:id="rId20" display="\\10.100.25.60\sya\gec\Castilla\39. Proyecto_Inyeccion_de_Agua"/>
    <hyperlink ref="G74" r:id="rId21"/>
    <hyperlink ref="G90" r:id="rId22"/>
    <hyperlink ref="G97" r:id="rId23" display="https://ecopetrol.sharepoint.com/sites/CastillaWOs2022/Documentos%20compartidos/Forms/AllItems.aspx?id=%2Fsites%2FCastillaWOs2022%2FDocumentos%20compartidos%2FJustificaciones&amp;viewid=9ecb22f4%2D2d68%2D4a78%2Db78d%2Df5ff342528b5"/>
    <hyperlink ref="G104" r:id="rId24" display="\\10.100.25.60\sya\gec\Castilla\39. Proyecto_Inyeccion_de_Agua\SAHARA_x000a_"/>
    <hyperlink ref="G105" r:id="rId25" display="\\10.100.25.60\sya\gec\Castilla\39. Proyecto_Inyeccion_de_Agua"/>
    <hyperlink ref="G106" r:id="rId26" display="\\10.100.25.60\sya\gec\Castilla\39. Proyecto_Inyeccion_de_Agua\SAHARA\BD Sahara"/>
    <hyperlink ref="G107" r:id="rId27" display="https://wellmeeting.ecopetrol.com.co/login"/>
    <hyperlink ref="G108" r:id="rId28" display="https://wellmeeting.ecopetrol.com.co/login_x000a_GDT Plus (El V.A.R.) - General - Todos los documentos"/>
    <hyperlink ref="G109" r:id="rId29" display="https://wellmeeting.ecopetrol.com.co/login_x000a_Sharepoint DTWF"/>
    <hyperlink ref="G110" r:id="rId30" display="\\10.100.25.60\sya\gec\Castilla\39. Proyecto_Inyeccion_de_Agua"/>
    <hyperlink ref="G103" r:id="rId31" display="\\10.100.25.60\sya\gec\Castilla\39. Proyecto_Inyeccion_de_Agua\SAHARA) y en las notas de wellmeeting"/>
    <hyperlink ref="G161" r:id="rId32"/>
    <hyperlink ref="G163" r:id="rId33" display="https://ecopetrol-my.sharepoint.com/:w:/r/personal/nayath_rodriguez_ecopetrol_com_co1/_layouts/15/Doc.aspx?sourcedoc=%7B16E8FA1B-CAFC-400A-9F16-5A2CECCADCD1%7D&amp;file=20240822_Documento%20soporte%20Reservas_GCH.docx&amp;nav=eyJjIjo4NzkxMjAwMDZ9&amp;action=default&amp;mobileredirect=true"/>
    <hyperlink ref="G164" r:id="rId34"/>
    <hyperlink ref="G166" r:id="rId35" display="https://ecopetrol-my.sharepoint.com/:x:/r/personal/cesar_garnica_ecopetrol_com_co/_layouts/15/Doc.aspx?sourcedoc=%7BAA7899F4-3C92-43E6-A801-E6AC46835FA0%7D&amp;file=Pronosticos%20WF%20ExpK%20(3).xlsx&amp;action=default&amp;mobileredirect=true&amp;wdOrigin=OUTLOOK-METAOS.FILEBROWSER.FILES-HOME"/>
    <hyperlink ref="G159" r:id="rId36"/>
    <hyperlink ref="G158" r:id="rId37" display="https://ecopetrol.sharepoint.com/:f:/r/sites/CHICHIMENE-GDO/Documentos compartidos/L-Plazo No Termico/04-Proyectos/04-Etapa 6 WF Nueva Generaci%C3%B3n/DATA SHEET POZOS/DATA SHEET-CAMPA%C3%91A 2?csf=1&amp;web=1&amp;e=aLP3ml"/>
    <hyperlink ref="G172" r:id="rId38" display="https://ecopetrol-my.sharepoint.com/:x:/g/personal/juanca_lizcanoni_ecopetrol_com_co/EWqfc085W9lAj4yjgqy9518BDoJy91LaAvYwT4ztKDLgrw?wdOrigin=TEAMS-MAGLEV.p2p_ns.rwc&amp;wdExp=TEAMS-TREATMENT&amp;wdhostclicktime=1745952824168&amp;web=1"/>
    <hyperlink ref="G171" r:id="rId39" display="https://ecopetrol-my.sharepoint.com/:x:/g/personal/briggite_camacho_ecopetrol_com_co1/EY2Fvm9mclJEk0Akeq_UFRgBvsWpTTrzeRC2T3GFx4EuFA?wdOrigin=TEAMS-MAGLEV.p2p_ns.rwc&amp;wdExp=TEAMS-TREATMENT&amp;wdhostclicktime=1745952910488&amp;web=1"/>
    <hyperlink ref="G173" r:id="rId40" display="https://ecopetrol.sharepoint.com/:u:/r/sites/MonitoreoVRO/Documentos compartidos/Tableros/Tablero 2.1/2.1_Monitoreo_Proyectos_VRO.pbix?csf=1&amp;web=1&amp;e=MbX5sa"/>
    <hyperlink ref="G177" r:id="rId41"/>
    <hyperlink ref="G178" r:id="rId42"/>
    <hyperlink ref="G179" r:id="rId43"/>
    <hyperlink ref="G180" r:id="rId44" display="https://ecopetrol.sharepoint.com/:f:/r/sites/INTERVENCIONESGDA/Documentos%20compartidos/Monica%20Martinez/Entregables/Abril%202025?csf=1&amp;web=1&amp;e=z1WNUb  ; "/>
    <hyperlink ref="G181" r:id="rId45"/>
    <hyperlink ref="G14" r:id="rId46" display="https://ecopetrol.sharepoint.com/sites/EquipoDesarrolloCPO-9/Documentos%20compartidos/Forms/AllItems.aspx?id=%2Fsites%2FEquipoDesarrolloCPO%2D9%2FDocumentos%20compartidos%2FGeneral%2F04%2DExploratorio%2FExploratorios%20CPO%2D9&amp;viewid=0e96c994%2D47e1%2D4e99%2D93c0%2D37826753815c"/>
    <hyperlink ref="G13" r:id="rId47" display="https://ecopetrol.sharepoint.com/sites/ACCESS/Documentos compartidos/Forms/AllItems.aspx?id=%2Fsites%2FACCESS%2FDocumentos%20compartidos%2FPLP%202024&amp;viewid=84208958%2Dec67%2D431a%2D9db0%2D33a6806f19c8"/>
    <hyperlink ref="G15" r:id="rId48" display="https://ecopetrol.sharepoint.com/sites/ACCESS/Documentos compartidos/Forms/AllItems.aspx?id=%2Fsites%2FACCESS%2FDocumentos%20compartidos%2FPLP%202024&amp;viewid=84208958%2Dec67%2D431a%2D9db0%2D33a6806f19c8"/>
    <hyperlink ref="G17" r:id="rId49" display="https://ecopetrol.sharepoint.com/sites/ACCESS/Documentos compartidos/Forms/AllItems.aspx?id=%2Fsites%2FACCESS%2FDocumentos%20compartidos%2FPLP%202024&amp;viewid=84208958%2Dec67%2D431a%2D9db0%2D33a6806f19c8"/>
    <hyperlink ref="G16" r:id="rId50" display="https://ecopetrol.sharepoint.com/sites/ACCESS/Documentos compartidos/Forms/AllItems.aspx?id=%2Fsites%2FACCESS%2FDocumentos%20compartidos%2FPLP%202024&amp;viewid=84208958%2Dec67%2D431a%2D9db0%2D33a6806f19c8"/>
    <hyperlink ref="G20" r:id="rId51" display="https://ecopetrol.sharepoint.com/sites/InformedereservasCampoAkacias2022"/>
    <hyperlink ref="G18" r:id="rId52" display="https://ecopetrol.sharepoint.com/sites/ACCESS/Documentos compartidos/Forms/AllItems.aspx?id=%2Fsites%2FACCESS%2FDocumentos%20compartidos%2FFrontera&amp;viewid=84208958%2Dec67%2D431a%2D9db0%2D33a6806f19c8"/>
    <hyperlink ref="G19" r:id="rId53" display="https://ecopetrol.sharepoint.com/sites/ACCESS/Documentos compartidos/Forms/AllItems.aspx?id=%2Fsites%2FACCESS%2FDocumentos%20compartidos%2FTinamu&amp;viewid=84208958%2Dec67%2D431a%2D9db0%2D33a6806f19c8"/>
    <hyperlink ref="G182" r:id="rId54"/>
    <hyperlink ref="G183" r:id="rId55" display="https://ecopetrol-my.sharepoint.com/:x:/r/personal/carlos_olmos_ecopetrol_com_co/Documents/Archivos de chat de Microsoft Teams/Qwi_Obj_180325.xlsx?d=wb7975fcf436a458bbdfcf901c154ac2f&amp;csf=1&amp;web=1&amp;e=bT3mes"/>
    <hyperlink ref="G185" r:id="rId56" display="https://ecopetrol.sharepoint.com/:u:/r/sites/DTWFCASTILLA/Documentos compartidos/General/Capacidad_de_flujo_Castilla_WF_Ene2025.pbix?csf=1&amp;web=1&amp;e=rdqOBO"/>
    <hyperlink ref="G187" r:id="rId57" display="https://ecopetrol.sharepoint.com/:u:/r/sites/BDSaharaCastilla/Documentos compartidos/Tablero P50/P50 CASTILLA_2024_V19.pbix?csf=1&amp;web=1&amp;e=CrebOA"/>
    <hyperlink ref="G191" r:id="rId58"/>
    <hyperlink ref="G192:G198" r:id="rId59" display="\\10.100.25.60\sya\GEC\Ariari\67. ENTREGAS DE CARGO\ING. DE PORTAFOLIO\CMPC\Christian Pardo\ENTREGABLES 2025\04. ABRIL"/>
    <hyperlink ref="G214" r:id="rId60" display="https://ecopetrol.sharepoint.com/:f:/r/sites/SeguimientoIAChichimeneECP/Documentos compartidos/01. Revisi%C3%B3n Caudales Objetivo?csf=1&amp;web=1&amp;e=HMOlD6"/>
    <hyperlink ref="G215" r:id="rId61" display="https://ecopetrol.sharepoint.com/:f:/r/sites/SeguimientoIAChichimeneECP/Documentos compartidos/28. Molinos de Viento?csf=1&amp;web=1&amp;e=Sfg2nD"/>
    <hyperlink ref="G216" r:id="rId62" display="https://ecopetrol.sharepoint.com/:f:/r/sites/SeguimientoIAChichimeneECP/Documentos compartidos/28. Molinos de Viento/Cargue por Tecnologia?csf=1&amp;web=1&amp;e=Zd14xn"/>
    <hyperlink ref="G217" r:id="rId63" display="https://ecopetrol.sharepoint.com/:f:/r/sites/SeguimientoIAChichimeneECP/Documentos compartidos/15. RWA/Visualizadores?csf=1&amp;web=1&amp;e=cWNCbZ"/>
    <hyperlink ref="G218" r:id="rId64" display="https://ecopetrol.sharepoint.com/:f:/r/sites/SeguimientoIAChichimeneECP/Documentos compartidos/04. Pwf Chichimene?csf=1&amp;web=1&amp;e=bchtw6"/>
    <hyperlink ref="G219" r:id="rId65" display="https://ecopetrol.sharepoint.com/:f:/r/sites/SeguimientoIAChichimeneECP/Documentos compartidos/22. PBU/Formas 8CR?csf=1&amp;web=1&amp;e=3PEoe6"/>
    <hyperlink ref="G220" r:id="rId66" display="https://ecopetrol.sharepoint.com/:f:/r/sites/SeguimientoIAChichimeneECP/Documentos compartidos/09. Gerenciamiento Chichimene?csf=1&amp;web=1&amp;e=AleeXi"/>
    <hyperlink ref="G221" r:id="rId67" display="https://ecopetrol.sharepoint.com/:f:/r/sites/SeguimientoIAChichimeneECP/Documentos compartidos/09. Gerenciamiento Chichimene?csf=1&amp;web=1&amp;e=AleeXi"/>
    <hyperlink ref="G222" r:id="rId68"/>
    <hyperlink ref="G223:G230" r:id="rId69" display="\\10.100.25.60\sya\gec\JOSE GABRIEL NASSAR - PORTAFOLIO CASTILLA\0. ENTREGABLES\15. ABRIL_2025"/>
    <hyperlink ref="G241" r:id="rId70" display="https://ecopetrol.sharepoint.com/:u:/r/sites/MonitoreoVRO/Documentos compartidos/Tableros/Tablero 2.2/2.2_Monitoreo_Prod_P50.pbix?csf=1&amp;web=1&amp;e=solEfC"/>
    <hyperlink ref="G243" r:id="rId71" display="https://ecopetrol.sharepoint.com/:u:/r/sites/MonitoreoVRO/Documentos compartidos/Tableros/Tablero 2.1/2.1_Monitoreo_Proyectos_VRO.pbix?csf=1&amp;web=1&amp;e=Rbxt9l"/>
    <hyperlink ref="G242" r:id="rId72" display="https://ecopetrol.sharepoint.com/:u:/r/sites/MonitoreoVRO/Documentos compartidos/Tableros/Tablero 2.6/2.61_SeguimientoProducci%C3%B3nChiak.pbix?csf=1&amp;web=1&amp;e=tyE96t"/>
    <hyperlink ref="G240" r:id="rId73" display="https://ecopetrol.sharepoint.com/:u:/r/sites/MonitoreoVRO/Documentos compartidos/Tableros/Tablero 2.6/2.62_SeguimientoProducci%C3%B3nCastilla.pbix?csf=1&amp;web=1&amp;e=H94eQs"/>
    <hyperlink ref="G244" r:id="rId74" display="https://ecopetrol.sharepoint.com/:u:/r/sites/MonitoreoVRO/Documentos compartidos/Tableros/Tablero Calidad de agua/2.9_Seguimiento_Calidad_de_agua_VRO.pbix?csf=1&amp;web=1&amp;e=yzre4a"/>
    <hyperlink ref="G245" r:id="rId75" display="https://ecopetrol.sharepoint.com/:u:/r/sites/MonitoreoVRO/Documentos compartidos/Tableros/Tablero 2.3/2.3_Monitoreo_Secundaria_VRO.pbix?csf=1&amp;web=1&amp;e=7rDpbG"/>
    <hyperlink ref="G256" r:id="rId76"/>
    <hyperlink ref="G257" r:id="rId77"/>
    <hyperlink ref="G258" r:id="rId78"/>
    <hyperlink ref="G259" r:id="rId79" display="https://ecopetrol.sharepoint.com/:f:/r/sites/IAAKACIAS/Documentos compartidos/04. Tableros/01. Molinos?csf=1&amp;web=1&amp;e=ytTQ84"/>
    <hyperlink ref="G260" r:id="rId80"/>
    <hyperlink ref="G264" r:id="rId81" display="https://ecopetrol-my.sharepoint.com/:x:/r/personal/jaimejo_martinez_ecopetrol_com_co1/Documents/Archivos de chat de Microsoft Teams/EUR vs hpay 2024 Suria.xlsx?d=w278e9bed0a28460daa0ecdf703b9195f&amp;csf=1&amp;web=1&amp;e=YXoRy4"/>
    <hyperlink ref="G263" r:id="rId82" display="https://ecopetrol-my.sharepoint.com/:x:/g/personal/julio_gonzalez_ecopetrol_com_co1/EcqvhrNqXRlIo3fx0toBjC8Basv1HvSygMZn1OymPdSyyg?e=L16uNV"/>
    <hyperlink ref="G265" r:id="rId83" display="https://ecopetrol.sharepoint.com/:x:/s/YACIMIENTOS-APIAY/EbmwQUUu8J5Jp5h1Urc4VHsBWIKkIMiuHgBVlbu1alVQuw?e=fPWH7k"/>
    <hyperlink ref="G266" r:id="rId84" display="https://ecopetrol-my.sharepoint.com/:x:/r/personal/jaimejo_martinez_ecopetrol_com_co1/Documents/Archivos%20de%20chat%20de%20Microsoft%20Teams/Vintage%20Produccion%20Suria%20T2.xlsx?d=wf83e0d33cd724068af98820017aff361&amp;csf=1&amp;web=1&amp;e=edJsN2"/>
    <hyperlink ref="G98" r:id="rId85" display="https://ecopetrol.sharepoint.com/sites/CastillaWOs2022/Documentos%20compartidos/Forms/AllItems.aspx?id=%2Fsites%2FCastillaWOs2022%2FDocumentos%20compartidos%2FJustificaciones&amp;viewid=9ecb22f4%2D2d68%2D4a78%2Db78d%2Df5ff342528b5"/>
  </hyperlinks>
  <pageMargins left="0.7" right="0.7" top="0.75" bottom="0.75" header="0.3" footer="0.3"/>
  <pageSetup scale="12" orientation="portrait" r:id="rId86"/>
  <drawing r:id="rId87"/>
  <legacyDrawing r:id="rId8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298"/>
  <sheetViews>
    <sheetView showGridLines="0" view="pageBreakPreview" topLeftCell="A79" zoomScaleNormal="100" zoomScaleSheetLayoutView="100" workbookViewId="0">
      <selection activeCell="F83" sqref="F83:I91"/>
    </sheetView>
  </sheetViews>
  <sheetFormatPr baseColWidth="10" defaultColWidth="8.5703125" defaultRowHeight="15" x14ac:dyDescent="0.25"/>
  <cols>
    <col min="1" max="1" width="7.42578125" style="8" customWidth="1"/>
    <col min="2" max="2" width="15.5703125" style="5" customWidth="1"/>
    <col min="3" max="3" width="8.5703125" style="5" customWidth="1"/>
    <col min="4" max="4" width="43.42578125" style="6" customWidth="1"/>
    <col min="5" max="5" width="16.85546875" style="6" bestFit="1" customWidth="1"/>
    <col min="6" max="6" width="31" style="7" customWidth="1"/>
    <col min="7" max="7" width="30.140625" style="6" customWidth="1"/>
    <col min="8" max="8" width="13.5703125" style="6" customWidth="1"/>
    <col min="9" max="9" width="13.42578125" style="6" customWidth="1"/>
    <col min="10" max="10" width="10.42578125" style="6" customWidth="1"/>
    <col min="11" max="12" width="12.42578125" style="6" customWidth="1"/>
    <col min="13" max="13" width="6.5703125" style="8" customWidth="1"/>
    <col min="14" max="14" width="16.42578125" style="8" customWidth="1"/>
    <col min="16" max="16" width="16.42578125" style="8" customWidth="1"/>
    <col min="17" max="17" width="0" hidden="1" customWidth="1"/>
    <col min="18" max="18" width="16.42578125" style="8" customWidth="1"/>
    <col min="19" max="16384" width="8.5703125" style="8"/>
  </cols>
  <sheetData>
    <row r="1" spans="2:17" x14ac:dyDescent="0.25">
      <c r="Q1" t="s">
        <v>0</v>
      </c>
    </row>
    <row r="2" spans="2:17" ht="49.5" customHeight="1" x14ac:dyDescent="0.25">
      <c r="B2" s="221" t="s">
        <v>1</v>
      </c>
      <c r="C2" s="221"/>
      <c r="D2" s="221"/>
      <c r="E2" s="221"/>
      <c r="F2" s="221"/>
      <c r="G2" s="221"/>
      <c r="H2" s="221"/>
      <c r="I2" s="221"/>
      <c r="J2" s="221"/>
      <c r="K2" s="221"/>
      <c r="L2" s="221"/>
      <c r="Q2" t="s">
        <v>2</v>
      </c>
    </row>
    <row r="3" spans="2:17" ht="18.75" customHeight="1" x14ac:dyDescent="0.25">
      <c r="B3" s="222" t="s">
        <v>3</v>
      </c>
      <c r="C3" s="223"/>
      <c r="D3" s="223"/>
      <c r="E3" s="58"/>
      <c r="F3" s="223" t="s">
        <v>4</v>
      </c>
      <c r="G3" s="223"/>
      <c r="H3" s="223"/>
      <c r="I3" s="223"/>
      <c r="J3" s="223" t="s">
        <v>5</v>
      </c>
      <c r="K3" s="223"/>
      <c r="L3" s="224"/>
    </row>
    <row r="4" spans="2:17" x14ac:dyDescent="0.25">
      <c r="B4" s="9"/>
      <c r="C4" s="57"/>
      <c r="L4" s="10"/>
      <c r="Q4" t="s">
        <v>6</v>
      </c>
    </row>
    <row r="5" spans="2:17" s="16" customFormat="1" ht="27.6" customHeight="1" x14ac:dyDescent="0.25">
      <c r="B5" s="225" t="s">
        <v>7</v>
      </c>
      <c r="C5" s="225"/>
      <c r="D5" s="11">
        <v>90141005</v>
      </c>
      <c r="E5"/>
      <c r="F5" s="12"/>
      <c r="G5" s="13"/>
      <c r="H5" s="14"/>
      <c r="I5" s="14"/>
      <c r="J5" s="14"/>
      <c r="K5" s="14"/>
      <c r="L5" s="15"/>
      <c r="O5"/>
      <c r="Q5" t="s">
        <v>8</v>
      </c>
    </row>
    <row r="6" spans="2:17" s="16" customFormat="1" x14ac:dyDescent="0.25">
      <c r="B6" s="17"/>
      <c r="C6" s="5"/>
      <c r="D6" s="14"/>
      <c r="E6"/>
      <c r="F6" s="18"/>
      <c r="G6" s="14"/>
      <c r="H6" s="14"/>
      <c r="I6" s="14"/>
      <c r="J6" s="14"/>
      <c r="K6" s="14"/>
      <c r="L6" s="15"/>
      <c r="O6"/>
      <c r="Q6" t="s">
        <v>11</v>
      </c>
    </row>
    <row r="7" spans="2:17" s="16" customFormat="1" x14ac:dyDescent="0.25">
      <c r="B7" s="225" t="s">
        <v>12</v>
      </c>
      <c r="C7" s="225"/>
      <c r="D7" s="19" t="s">
        <v>10</v>
      </c>
      <c r="E7"/>
      <c r="F7" s="20"/>
      <c r="G7" s="21"/>
      <c r="H7" s="14"/>
      <c r="I7" s="14"/>
      <c r="J7" s="14"/>
      <c r="K7" s="14"/>
      <c r="L7" s="15"/>
      <c r="O7"/>
      <c r="Q7" t="s">
        <v>13</v>
      </c>
    </row>
    <row r="8" spans="2:17" s="16" customFormat="1" x14ac:dyDescent="0.25">
      <c r="B8" s="22"/>
      <c r="C8" s="23"/>
      <c r="D8" s="24"/>
      <c r="E8"/>
      <c r="F8" s="20"/>
      <c r="G8" s="21"/>
      <c r="H8" s="14"/>
      <c r="I8" s="14"/>
      <c r="J8" s="14"/>
      <c r="K8" s="14"/>
      <c r="L8" s="15"/>
      <c r="O8"/>
      <c r="Q8" t="s">
        <v>14</v>
      </c>
    </row>
    <row r="9" spans="2:17" s="16" customFormat="1" x14ac:dyDescent="0.25">
      <c r="B9" s="225" t="s">
        <v>15</v>
      </c>
      <c r="C9" s="225"/>
      <c r="D9" s="25">
        <v>45808</v>
      </c>
      <c r="E9"/>
      <c r="F9" s="26"/>
      <c r="G9" s="27"/>
      <c r="H9" s="14"/>
      <c r="I9" s="14"/>
      <c r="J9" s="14"/>
      <c r="K9" s="14"/>
      <c r="L9" s="15"/>
      <c r="O9"/>
      <c r="Q9" t="s">
        <v>16</v>
      </c>
    </row>
    <row r="10" spans="2:17" x14ac:dyDescent="0.25">
      <c r="B10" s="28"/>
      <c r="C10" s="29"/>
      <c r="L10" s="30"/>
      <c r="Q10" t="s">
        <v>17</v>
      </c>
    </row>
    <row r="11" spans="2:17" s="31" customFormat="1" ht="26.85" customHeight="1" x14ac:dyDescent="0.25">
      <c r="B11" s="225" t="s">
        <v>18</v>
      </c>
      <c r="C11" s="225"/>
      <c r="D11" s="225"/>
      <c r="E11" s="225"/>
      <c r="F11" s="225"/>
      <c r="G11" s="225"/>
      <c r="H11" s="225"/>
      <c r="I11" s="225" t="s">
        <v>19</v>
      </c>
      <c r="J11" s="225"/>
      <c r="K11" s="225" t="s">
        <v>20</v>
      </c>
      <c r="L11" s="225"/>
      <c r="O11" s="32"/>
      <c r="Q11" s="32" t="s">
        <v>21</v>
      </c>
    </row>
    <row r="12" spans="2:17" s="31" customFormat="1" ht="57.6" customHeight="1" x14ac:dyDescent="0.25">
      <c r="B12" s="33" t="s">
        <v>22</v>
      </c>
      <c r="C12" s="33" t="s">
        <v>23</v>
      </c>
      <c r="D12" s="33" t="s">
        <v>24</v>
      </c>
      <c r="E12" s="33" t="s">
        <v>72</v>
      </c>
      <c r="F12" s="34" t="s">
        <v>25</v>
      </c>
      <c r="G12" s="33" t="s">
        <v>26</v>
      </c>
      <c r="H12" s="33" t="s">
        <v>27</v>
      </c>
      <c r="I12" s="33" t="s">
        <v>28</v>
      </c>
      <c r="J12" s="33" t="s">
        <v>29</v>
      </c>
      <c r="K12" s="33" t="s">
        <v>30</v>
      </c>
      <c r="L12" s="33" t="s">
        <v>29</v>
      </c>
      <c r="O12" s="32"/>
      <c r="Q12" s="32" t="s">
        <v>31</v>
      </c>
    </row>
    <row r="13" spans="2:17" x14ac:dyDescent="0.25">
      <c r="B13" s="35">
        <v>3</v>
      </c>
      <c r="C13" s="36" t="s">
        <v>43</v>
      </c>
      <c r="D13" s="37" t="s">
        <v>44</v>
      </c>
      <c r="E13" s="218" t="s">
        <v>73</v>
      </c>
      <c r="F13" s="59" t="s">
        <v>64</v>
      </c>
      <c r="G13" s="60" t="s">
        <v>65</v>
      </c>
      <c r="H13" s="89">
        <v>20</v>
      </c>
      <c r="I13" s="89">
        <v>7</v>
      </c>
      <c r="J13" s="67">
        <f>IFERROR(I13/H13,0)</f>
        <v>0.35</v>
      </c>
      <c r="K13" s="93">
        <f>+I13+'ABRIL 2025'!K13</f>
        <v>14</v>
      </c>
      <c r="L13" s="92">
        <f>IFERROR(K13/H13,0)</f>
        <v>0.7</v>
      </c>
    </row>
    <row r="14" spans="2:17" x14ac:dyDescent="0.25">
      <c r="B14" s="38">
        <v>3</v>
      </c>
      <c r="C14" s="39" t="s">
        <v>46</v>
      </c>
      <c r="D14" s="40" t="s">
        <v>47</v>
      </c>
      <c r="E14" s="219"/>
      <c r="F14" s="61" t="s">
        <v>66</v>
      </c>
      <c r="G14" s="63" t="s">
        <v>67</v>
      </c>
      <c r="H14" s="2">
        <v>10</v>
      </c>
      <c r="I14" s="3">
        <v>2</v>
      </c>
      <c r="J14" s="69">
        <f>IFERROR(I14/H14,0)</f>
        <v>0.2</v>
      </c>
      <c r="K14" s="90">
        <f>+I14+'ABRIL 2025'!K14</f>
        <v>10</v>
      </c>
      <c r="L14" s="94">
        <f>IFERROR(K14/H14,0)</f>
        <v>1</v>
      </c>
    </row>
    <row r="15" spans="2:17" x14ac:dyDescent="0.25">
      <c r="B15" s="38">
        <v>3</v>
      </c>
      <c r="C15" s="39" t="s">
        <v>49</v>
      </c>
      <c r="D15" s="40" t="s">
        <v>50</v>
      </c>
      <c r="E15" s="219"/>
      <c r="F15" s="61" t="s">
        <v>68</v>
      </c>
      <c r="G15" s="62" t="s">
        <v>65</v>
      </c>
      <c r="H15" s="3">
        <v>10</v>
      </c>
      <c r="I15" s="4">
        <v>2</v>
      </c>
      <c r="J15" s="69">
        <f t="shared" ref="J15:J78" si="0">IFERROR(I15/H15,0)</f>
        <v>0.2</v>
      </c>
      <c r="K15" s="90">
        <f>+I15+'ABRIL 2025'!K15</f>
        <v>4</v>
      </c>
      <c r="L15" s="94">
        <f t="shared" ref="L15:L78" si="1">IFERROR(K15/H15,0)</f>
        <v>0.4</v>
      </c>
    </row>
    <row r="16" spans="2:17" x14ac:dyDescent="0.25">
      <c r="B16" s="38">
        <v>3</v>
      </c>
      <c r="C16" s="39" t="s">
        <v>52</v>
      </c>
      <c r="D16" s="40" t="s">
        <v>53</v>
      </c>
      <c r="E16" s="219"/>
      <c r="F16" s="61" t="s">
        <v>54</v>
      </c>
      <c r="G16" s="62" t="s">
        <v>65</v>
      </c>
      <c r="H16" s="3">
        <v>10</v>
      </c>
      <c r="I16" s="3">
        <v>4</v>
      </c>
      <c r="J16" s="69">
        <f t="shared" si="0"/>
        <v>0.4</v>
      </c>
      <c r="K16" s="90">
        <f>+I16+'ABRIL 2025'!K16</f>
        <v>8</v>
      </c>
      <c r="L16" s="94">
        <f t="shared" si="1"/>
        <v>0.8</v>
      </c>
    </row>
    <row r="17" spans="2:17" s="16" customFormat="1" x14ac:dyDescent="0.25">
      <c r="B17" s="38">
        <v>3</v>
      </c>
      <c r="C17" s="39" t="s">
        <v>55</v>
      </c>
      <c r="D17" s="40" t="s">
        <v>56</v>
      </c>
      <c r="E17" s="219"/>
      <c r="F17" s="61" t="s">
        <v>69</v>
      </c>
      <c r="G17" s="62" t="s">
        <v>65</v>
      </c>
      <c r="H17" s="3">
        <v>10</v>
      </c>
      <c r="I17" s="3">
        <v>2</v>
      </c>
      <c r="J17" s="69">
        <f t="shared" si="0"/>
        <v>0.2</v>
      </c>
      <c r="K17" s="90">
        <f>+I17+'ABRIL 2025'!K17</f>
        <v>4</v>
      </c>
      <c r="L17" s="94">
        <f t="shared" si="1"/>
        <v>0.4</v>
      </c>
      <c r="O17" s="41"/>
      <c r="Q17" s="41"/>
    </row>
    <row r="18" spans="2:17" x14ac:dyDescent="0.25">
      <c r="B18" s="38">
        <v>5</v>
      </c>
      <c r="C18" s="39" t="s">
        <v>57</v>
      </c>
      <c r="D18" s="40" t="s">
        <v>58</v>
      </c>
      <c r="E18" s="219"/>
      <c r="F18" s="61" t="s">
        <v>54</v>
      </c>
      <c r="G18" s="62" t="s">
        <v>203</v>
      </c>
      <c r="H18" s="3">
        <v>10</v>
      </c>
      <c r="I18" s="3">
        <v>3</v>
      </c>
      <c r="J18" s="69">
        <f t="shared" si="0"/>
        <v>0.3</v>
      </c>
      <c r="K18" s="90">
        <f>+I18+'ABRIL 2025'!K18</f>
        <v>6</v>
      </c>
      <c r="L18" s="94">
        <f t="shared" si="1"/>
        <v>0.6</v>
      </c>
    </row>
    <row r="19" spans="2:17" x14ac:dyDescent="0.25">
      <c r="B19" s="38">
        <v>5</v>
      </c>
      <c r="C19" s="39" t="s">
        <v>59</v>
      </c>
      <c r="D19" s="40" t="s">
        <v>60</v>
      </c>
      <c r="E19" s="219"/>
      <c r="F19" s="61" t="s">
        <v>70</v>
      </c>
      <c r="G19" s="62" t="s">
        <v>204</v>
      </c>
      <c r="H19" s="3">
        <v>10</v>
      </c>
      <c r="I19" s="3">
        <v>4</v>
      </c>
      <c r="J19" s="69">
        <f t="shared" si="0"/>
        <v>0.4</v>
      </c>
      <c r="K19" s="90">
        <f>+I19+'ABRIL 2025'!K19</f>
        <v>5</v>
      </c>
      <c r="L19" s="94">
        <f t="shared" si="1"/>
        <v>0.5</v>
      </c>
    </row>
    <row r="20" spans="2:17" x14ac:dyDescent="0.25">
      <c r="B20" s="42">
        <v>8</v>
      </c>
      <c r="C20" s="43" t="s">
        <v>61</v>
      </c>
      <c r="D20" s="44" t="s">
        <v>62</v>
      </c>
      <c r="E20" s="220"/>
      <c r="F20" s="64" t="s">
        <v>63</v>
      </c>
      <c r="G20" s="65" t="s">
        <v>71</v>
      </c>
      <c r="H20" s="97">
        <v>10</v>
      </c>
      <c r="I20" s="97">
        <v>6</v>
      </c>
      <c r="J20" s="72">
        <f t="shared" si="0"/>
        <v>0.6</v>
      </c>
      <c r="K20" s="91">
        <f>+I20+'ABRIL 2025'!K20</f>
        <v>9</v>
      </c>
      <c r="L20" s="96">
        <f t="shared" si="1"/>
        <v>0.9</v>
      </c>
    </row>
    <row r="21" spans="2:17" x14ac:dyDescent="0.25">
      <c r="B21" s="35">
        <v>3</v>
      </c>
      <c r="C21" s="36" t="s">
        <v>43</v>
      </c>
      <c r="D21" s="37" t="s">
        <v>44</v>
      </c>
      <c r="E21" s="218" t="s">
        <v>100</v>
      </c>
      <c r="F21" s="59" t="s">
        <v>492</v>
      </c>
      <c r="G21" s="60" t="s">
        <v>493</v>
      </c>
      <c r="H21" s="89">
        <v>10</v>
      </c>
      <c r="I21" s="89">
        <v>4</v>
      </c>
      <c r="J21" s="69">
        <f t="shared" si="0"/>
        <v>0.4</v>
      </c>
      <c r="K21" s="103">
        <f>+I21+'ABRIL 2025'!K21</f>
        <v>7</v>
      </c>
      <c r="L21" s="94">
        <f t="shared" si="1"/>
        <v>0.7</v>
      </c>
      <c r="N21"/>
      <c r="O21" s="8"/>
      <c r="P21"/>
      <c r="Q21" s="8"/>
    </row>
    <row r="22" spans="2:17" x14ac:dyDescent="0.25">
      <c r="B22" s="38">
        <v>3</v>
      </c>
      <c r="C22" s="39" t="s">
        <v>46</v>
      </c>
      <c r="D22" s="40" t="s">
        <v>47</v>
      </c>
      <c r="E22" s="219"/>
      <c r="F22" s="61" t="s">
        <v>494</v>
      </c>
      <c r="G22" s="62" t="s">
        <v>495</v>
      </c>
      <c r="H22" s="2">
        <v>10</v>
      </c>
      <c r="I22" s="3">
        <v>3</v>
      </c>
      <c r="J22" s="69">
        <f t="shared" si="0"/>
        <v>0.3</v>
      </c>
      <c r="K22" s="90">
        <f>+I22+'ABRIL 2025'!K22</f>
        <v>6</v>
      </c>
      <c r="L22" s="94">
        <f t="shared" si="1"/>
        <v>0.6</v>
      </c>
      <c r="N22"/>
      <c r="O22" s="8"/>
      <c r="P22"/>
      <c r="Q22" s="8"/>
    </row>
    <row r="23" spans="2:17" x14ac:dyDescent="0.25">
      <c r="B23" s="38">
        <v>3</v>
      </c>
      <c r="C23" s="39" t="s">
        <v>98</v>
      </c>
      <c r="D23" s="40" t="s">
        <v>99</v>
      </c>
      <c r="E23" s="219"/>
      <c r="F23" s="61" t="s">
        <v>496</v>
      </c>
      <c r="G23" s="63" t="s">
        <v>497</v>
      </c>
      <c r="H23" s="3">
        <v>10</v>
      </c>
      <c r="I23" s="4">
        <v>3</v>
      </c>
      <c r="J23" s="69">
        <f t="shared" si="0"/>
        <v>0.3</v>
      </c>
      <c r="K23" s="90">
        <f>+I23+'ABRIL 2025'!K23</f>
        <v>6</v>
      </c>
      <c r="L23" s="94">
        <f t="shared" si="1"/>
        <v>0.6</v>
      </c>
      <c r="N23"/>
      <c r="O23" s="8"/>
      <c r="P23"/>
      <c r="Q23" s="8"/>
    </row>
    <row r="24" spans="2:17" x14ac:dyDescent="0.25">
      <c r="B24" s="38">
        <v>3</v>
      </c>
      <c r="C24" s="39" t="s">
        <v>49</v>
      </c>
      <c r="D24" s="40" t="s">
        <v>50</v>
      </c>
      <c r="E24" s="219"/>
      <c r="F24" s="61" t="s">
        <v>498</v>
      </c>
      <c r="G24" s="62" t="s">
        <v>499</v>
      </c>
      <c r="H24" s="3">
        <v>10</v>
      </c>
      <c r="I24" s="3">
        <v>3</v>
      </c>
      <c r="J24" s="69">
        <f t="shared" si="0"/>
        <v>0.3</v>
      </c>
      <c r="K24" s="90">
        <f>+I24+'ABRIL 2025'!K24</f>
        <v>7</v>
      </c>
      <c r="L24" s="94">
        <f t="shared" si="1"/>
        <v>0.7</v>
      </c>
      <c r="N24"/>
      <c r="O24" s="8"/>
      <c r="P24"/>
      <c r="Q24" s="8"/>
    </row>
    <row r="25" spans="2:17" x14ac:dyDescent="0.25">
      <c r="B25" s="38">
        <v>3</v>
      </c>
      <c r="C25" s="39" t="s">
        <v>52</v>
      </c>
      <c r="D25" s="40" t="s">
        <v>53</v>
      </c>
      <c r="E25" s="219"/>
      <c r="F25" s="61" t="s">
        <v>500</v>
      </c>
      <c r="G25" s="62" t="s">
        <v>501</v>
      </c>
      <c r="H25" s="3">
        <v>10</v>
      </c>
      <c r="I25" s="3">
        <v>3</v>
      </c>
      <c r="J25" s="69">
        <f t="shared" si="0"/>
        <v>0.3</v>
      </c>
      <c r="K25" s="90">
        <f>+I25+'ABRIL 2025'!K25</f>
        <v>6</v>
      </c>
      <c r="L25" s="94">
        <f t="shared" si="1"/>
        <v>0.6</v>
      </c>
      <c r="N25"/>
      <c r="O25" s="8"/>
      <c r="P25"/>
      <c r="Q25" s="8"/>
    </row>
    <row r="26" spans="2:17" s="16" customFormat="1" x14ac:dyDescent="0.25">
      <c r="B26" s="38">
        <v>3</v>
      </c>
      <c r="C26" s="39" t="s">
        <v>55</v>
      </c>
      <c r="D26" s="40" t="s">
        <v>56</v>
      </c>
      <c r="E26" s="219"/>
      <c r="F26" s="61" t="s">
        <v>502</v>
      </c>
      <c r="G26" s="62" t="s">
        <v>503</v>
      </c>
      <c r="H26" s="3">
        <v>10</v>
      </c>
      <c r="I26" s="3">
        <v>4</v>
      </c>
      <c r="J26" s="69">
        <f t="shared" si="0"/>
        <v>0.4</v>
      </c>
      <c r="K26" s="90">
        <f>+I26+'ABRIL 2025'!K26</f>
        <v>7</v>
      </c>
      <c r="L26" s="94">
        <f t="shared" si="1"/>
        <v>0.7</v>
      </c>
      <c r="N26" s="41"/>
      <c r="P26" s="41"/>
    </row>
    <row r="27" spans="2:17" x14ac:dyDescent="0.25">
      <c r="B27" s="38">
        <v>5</v>
      </c>
      <c r="C27" s="39" t="s">
        <v>57</v>
      </c>
      <c r="D27" s="40" t="s">
        <v>58</v>
      </c>
      <c r="E27" s="219"/>
      <c r="F27" s="61" t="s">
        <v>504</v>
      </c>
      <c r="G27" s="62" t="s">
        <v>505</v>
      </c>
      <c r="H27" s="3">
        <v>10</v>
      </c>
      <c r="I27" s="3">
        <v>3</v>
      </c>
      <c r="J27" s="69">
        <f t="shared" si="0"/>
        <v>0.3</v>
      </c>
      <c r="K27" s="90">
        <f>+I27+'ABRIL 2025'!K27</f>
        <v>8</v>
      </c>
      <c r="L27" s="94">
        <f t="shared" si="1"/>
        <v>0.8</v>
      </c>
      <c r="N27"/>
      <c r="O27" s="8"/>
      <c r="P27"/>
      <c r="Q27" s="8"/>
    </row>
    <row r="28" spans="2:17" x14ac:dyDescent="0.25">
      <c r="B28" s="38">
        <v>5</v>
      </c>
      <c r="C28" s="39" t="s">
        <v>59</v>
      </c>
      <c r="D28" s="40" t="s">
        <v>60</v>
      </c>
      <c r="E28" s="219"/>
      <c r="F28" s="61" t="s">
        <v>506</v>
      </c>
      <c r="G28" s="62" t="s">
        <v>507</v>
      </c>
      <c r="H28" s="3">
        <v>10</v>
      </c>
      <c r="I28" s="3">
        <v>3</v>
      </c>
      <c r="J28" s="69">
        <f t="shared" si="0"/>
        <v>0.3</v>
      </c>
      <c r="K28" s="90">
        <f>+I28+'ABRIL 2025'!K28</f>
        <v>6</v>
      </c>
      <c r="L28" s="94">
        <f t="shared" si="1"/>
        <v>0.6</v>
      </c>
      <c r="N28"/>
      <c r="O28" s="8"/>
      <c r="P28"/>
      <c r="Q28" s="8"/>
    </row>
    <row r="29" spans="2:17" x14ac:dyDescent="0.25">
      <c r="B29" s="42">
        <v>8</v>
      </c>
      <c r="C29" s="43" t="s">
        <v>61</v>
      </c>
      <c r="D29" s="44" t="s">
        <v>62</v>
      </c>
      <c r="E29" s="220"/>
      <c r="F29" s="64" t="s">
        <v>508</v>
      </c>
      <c r="G29" s="65" t="s">
        <v>509</v>
      </c>
      <c r="H29" s="97">
        <v>10</v>
      </c>
      <c r="I29" s="97">
        <v>4</v>
      </c>
      <c r="J29" s="72">
        <f t="shared" si="0"/>
        <v>0.4</v>
      </c>
      <c r="K29" s="91">
        <f>+I29+'ABRIL 2025'!K29</f>
        <v>7</v>
      </c>
      <c r="L29" s="96">
        <f t="shared" si="1"/>
        <v>0.7</v>
      </c>
      <c r="N29"/>
      <c r="O29" s="8"/>
      <c r="P29"/>
      <c r="Q29" s="8"/>
    </row>
    <row r="30" spans="2:17" x14ac:dyDescent="0.25">
      <c r="B30" s="35">
        <v>1</v>
      </c>
      <c r="C30" s="36" t="s">
        <v>74</v>
      </c>
      <c r="D30" s="37" t="s">
        <v>75</v>
      </c>
      <c r="E30" s="218" t="s">
        <v>97</v>
      </c>
      <c r="F30" s="59" t="s">
        <v>659</v>
      </c>
      <c r="G30" s="60" t="s">
        <v>76</v>
      </c>
      <c r="H30" s="98">
        <v>15</v>
      </c>
      <c r="I30" s="98">
        <v>5</v>
      </c>
      <c r="J30" s="69">
        <f t="shared" si="0"/>
        <v>0.33333333333333331</v>
      </c>
      <c r="K30" s="103">
        <f>+I30+'ABRIL 2025'!K30</f>
        <v>9</v>
      </c>
      <c r="L30" s="94">
        <f t="shared" si="1"/>
        <v>0.6</v>
      </c>
      <c r="N30"/>
      <c r="O30" s="8"/>
      <c r="P30"/>
      <c r="Q30" s="8"/>
    </row>
    <row r="31" spans="2:17" x14ac:dyDescent="0.25">
      <c r="B31" s="38">
        <v>1</v>
      </c>
      <c r="C31" s="39" t="s">
        <v>77</v>
      </c>
      <c r="D31" s="40" t="s">
        <v>78</v>
      </c>
      <c r="E31" s="219"/>
      <c r="F31" s="61" t="s">
        <v>322</v>
      </c>
      <c r="G31" s="76" t="s">
        <v>660</v>
      </c>
      <c r="H31" s="99">
        <v>8</v>
      </c>
      <c r="I31" s="100">
        <v>3</v>
      </c>
      <c r="J31" s="69">
        <f t="shared" si="0"/>
        <v>0.375</v>
      </c>
      <c r="K31" s="90">
        <f>+I31+'ABRIL 2025'!K31</f>
        <v>5</v>
      </c>
      <c r="L31" s="94">
        <f t="shared" si="1"/>
        <v>0.625</v>
      </c>
      <c r="N31"/>
      <c r="O31" s="8"/>
      <c r="P31"/>
      <c r="Q31" s="8"/>
    </row>
    <row r="32" spans="2:17" x14ac:dyDescent="0.25">
      <c r="B32" s="38">
        <v>1</v>
      </c>
      <c r="C32" s="39" t="s">
        <v>79</v>
      </c>
      <c r="D32" s="40" t="s">
        <v>80</v>
      </c>
      <c r="E32" s="219"/>
      <c r="F32" s="61" t="s">
        <v>661</v>
      </c>
      <c r="G32" s="62" t="s">
        <v>81</v>
      </c>
      <c r="H32" s="100">
        <v>10</v>
      </c>
      <c r="I32" s="101">
        <v>3</v>
      </c>
      <c r="J32" s="69">
        <f t="shared" si="0"/>
        <v>0.3</v>
      </c>
      <c r="K32" s="90">
        <f>+I32+'ABRIL 2025'!K32</f>
        <v>5</v>
      </c>
      <c r="L32" s="94">
        <f t="shared" si="1"/>
        <v>0.5</v>
      </c>
      <c r="N32"/>
      <c r="O32" s="8"/>
      <c r="P32"/>
      <c r="Q32" s="8"/>
    </row>
    <row r="33" spans="2:17" x14ac:dyDescent="0.25">
      <c r="B33" s="38">
        <v>1</v>
      </c>
      <c r="C33" s="39" t="s">
        <v>82</v>
      </c>
      <c r="D33" s="40" t="s">
        <v>83</v>
      </c>
      <c r="E33" s="219"/>
      <c r="F33" s="61" t="s">
        <v>662</v>
      </c>
      <c r="G33" s="62" t="s">
        <v>81</v>
      </c>
      <c r="H33" s="100">
        <v>8</v>
      </c>
      <c r="I33" s="100">
        <v>2</v>
      </c>
      <c r="J33" s="69">
        <f t="shared" si="0"/>
        <v>0.25</v>
      </c>
      <c r="K33" s="90">
        <f>+I33+'ABRIL 2025'!K33</f>
        <v>5</v>
      </c>
      <c r="L33" s="94">
        <f t="shared" si="1"/>
        <v>0.625</v>
      </c>
      <c r="N33"/>
      <c r="O33" s="8"/>
      <c r="P33"/>
      <c r="Q33" s="8"/>
    </row>
    <row r="34" spans="2:17" x14ac:dyDescent="0.25">
      <c r="B34" s="38">
        <v>1</v>
      </c>
      <c r="C34" s="39" t="s">
        <v>84</v>
      </c>
      <c r="D34" s="40" t="s">
        <v>85</v>
      </c>
      <c r="E34" s="219"/>
      <c r="F34" s="61" t="s">
        <v>663</v>
      </c>
      <c r="G34" s="76" t="s">
        <v>660</v>
      </c>
      <c r="H34" s="100">
        <v>10</v>
      </c>
      <c r="I34" s="100">
        <v>3</v>
      </c>
      <c r="J34" s="69">
        <f t="shared" si="0"/>
        <v>0.3</v>
      </c>
      <c r="K34" s="90">
        <f>+I34+'ABRIL 2025'!K34</f>
        <v>8</v>
      </c>
      <c r="L34" s="94">
        <f t="shared" si="1"/>
        <v>0.8</v>
      </c>
      <c r="N34"/>
      <c r="O34" s="8"/>
      <c r="P34"/>
      <c r="Q34" s="8"/>
    </row>
    <row r="35" spans="2:17" s="16" customFormat="1" x14ac:dyDescent="0.25">
      <c r="B35" s="38">
        <v>1</v>
      </c>
      <c r="C35" s="39" t="s">
        <v>86</v>
      </c>
      <c r="D35" s="40" t="s">
        <v>87</v>
      </c>
      <c r="E35" s="219"/>
      <c r="F35" s="61" t="s">
        <v>664</v>
      </c>
      <c r="G35" s="62" t="s">
        <v>88</v>
      </c>
      <c r="H35" s="100">
        <v>8</v>
      </c>
      <c r="I35" s="100">
        <v>3</v>
      </c>
      <c r="J35" s="69">
        <f t="shared" si="0"/>
        <v>0.375</v>
      </c>
      <c r="K35" s="90">
        <f>+I35+'ABRIL 2025'!K35</f>
        <v>6</v>
      </c>
      <c r="L35" s="94">
        <f t="shared" si="1"/>
        <v>0.75</v>
      </c>
      <c r="N35" s="41"/>
      <c r="P35" s="41"/>
    </row>
    <row r="36" spans="2:17" x14ac:dyDescent="0.25">
      <c r="B36" s="38">
        <v>1</v>
      </c>
      <c r="C36" s="39" t="s">
        <v>89</v>
      </c>
      <c r="D36" s="40" t="s">
        <v>90</v>
      </c>
      <c r="E36" s="219"/>
      <c r="F36" s="61" t="s">
        <v>328</v>
      </c>
      <c r="G36" s="62" t="s">
        <v>91</v>
      </c>
      <c r="H36" s="100">
        <v>8</v>
      </c>
      <c r="I36" s="100">
        <v>3</v>
      </c>
      <c r="J36" s="69">
        <f t="shared" si="0"/>
        <v>0.375</v>
      </c>
      <c r="K36" s="90">
        <f>+I36+'ABRIL 2025'!K36</f>
        <v>5</v>
      </c>
      <c r="L36" s="94">
        <f t="shared" si="1"/>
        <v>0.625</v>
      </c>
      <c r="N36"/>
      <c r="O36" s="8"/>
      <c r="P36"/>
      <c r="Q36" s="8"/>
    </row>
    <row r="37" spans="2:17" x14ac:dyDescent="0.25">
      <c r="B37" s="38">
        <v>1</v>
      </c>
      <c r="C37" s="39" t="s">
        <v>92</v>
      </c>
      <c r="D37" s="40" t="s">
        <v>93</v>
      </c>
      <c r="E37" s="219"/>
      <c r="F37" s="61" t="s">
        <v>665</v>
      </c>
      <c r="G37" s="62" t="s">
        <v>94</v>
      </c>
      <c r="H37" s="100">
        <v>15</v>
      </c>
      <c r="I37" s="100">
        <v>5</v>
      </c>
      <c r="J37" s="69">
        <f t="shared" si="0"/>
        <v>0.33333333333333331</v>
      </c>
      <c r="K37" s="90">
        <f>+I37+'ABRIL 2025'!K37</f>
        <v>9</v>
      </c>
      <c r="L37" s="94">
        <f t="shared" si="1"/>
        <v>0.6</v>
      </c>
      <c r="N37"/>
      <c r="O37" s="8"/>
      <c r="P37"/>
      <c r="Q37" s="8"/>
    </row>
    <row r="38" spans="2:17" x14ac:dyDescent="0.25">
      <c r="B38" s="42">
        <v>1</v>
      </c>
      <c r="C38" s="43" t="s">
        <v>95</v>
      </c>
      <c r="D38" s="44" t="s">
        <v>96</v>
      </c>
      <c r="E38" s="220"/>
      <c r="F38" s="64" t="s">
        <v>237</v>
      </c>
      <c r="G38" s="65" t="s">
        <v>94</v>
      </c>
      <c r="H38" s="102">
        <v>8</v>
      </c>
      <c r="I38" s="102">
        <v>3</v>
      </c>
      <c r="J38" s="72">
        <f t="shared" si="0"/>
        <v>0.375</v>
      </c>
      <c r="K38" s="91">
        <f>+I38+'ABRIL 2025'!K38</f>
        <v>8</v>
      </c>
      <c r="L38" s="96">
        <f t="shared" si="1"/>
        <v>1</v>
      </c>
      <c r="N38"/>
      <c r="O38" s="8"/>
      <c r="P38"/>
      <c r="Q38" s="8"/>
    </row>
    <row r="39" spans="2:17" x14ac:dyDescent="0.25">
      <c r="B39" s="35">
        <v>3</v>
      </c>
      <c r="C39" s="36" t="s">
        <v>43</v>
      </c>
      <c r="D39" s="37" t="s">
        <v>44</v>
      </c>
      <c r="E39" s="218" t="s">
        <v>103</v>
      </c>
      <c r="F39" s="59" t="s">
        <v>510</v>
      </c>
      <c r="G39" s="60" t="s">
        <v>101</v>
      </c>
      <c r="H39" s="89">
        <v>12</v>
      </c>
      <c r="I39" s="89">
        <v>5</v>
      </c>
      <c r="J39" s="69">
        <f t="shared" si="0"/>
        <v>0.41666666666666669</v>
      </c>
      <c r="K39" s="103">
        <f>+I39+'ABRIL 2025'!K39</f>
        <v>8</v>
      </c>
      <c r="L39" s="94">
        <f t="shared" si="1"/>
        <v>0.66666666666666663</v>
      </c>
      <c r="N39"/>
      <c r="O39" s="8"/>
      <c r="P39"/>
      <c r="Q39" s="8"/>
    </row>
    <row r="40" spans="2:17" x14ac:dyDescent="0.25">
      <c r="B40" s="38">
        <v>3</v>
      </c>
      <c r="C40" s="39" t="s">
        <v>46</v>
      </c>
      <c r="D40" s="40" t="s">
        <v>47</v>
      </c>
      <c r="E40" s="219"/>
      <c r="F40" s="61" t="s">
        <v>511</v>
      </c>
      <c r="G40" s="76" t="s">
        <v>101</v>
      </c>
      <c r="H40" s="2">
        <v>11</v>
      </c>
      <c r="I40" s="3">
        <v>4</v>
      </c>
      <c r="J40" s="69">
        <f t="shared" si="0"/>
        <v>0.36363636363636365</v>
      </c>
      <c r="K40" s="90">
        <f>+I40+'ABRIL 2025'!K40</f>
        <v>7</v>
      </c>
      <c r="L40" s="94">
        <f t="shared" si="1"/>
        <v>0.63636363636363635</v>
      </c>
      <c r="N40"/>
      <c r="O40" s="8"/>
      <c r="P40"/>
      <c r="Q40" s="8"/>
    </row>
    <row r="41" spans="2:17" x14ac:dyDescent="0.25">
      <c r="B41" s="38">
        <v>3</v>
      </c>
      <c r="C41" s="39" t="s">
        <v>49</v>
      </c>
      <c r="D41" s="40" t="s">
        <v>50</v>
      </c>
      <c r="E41" s="219"/>
      <c r="F41" s="61" t="s">
        <v>240</v>
      </c>
      <c r="G41" s="62" t="s">
        <v>101</v>
      </c>
      <c r="H41" s="3">
        <v>11</v>
      </c>
      <c r="I41" s="4">
        <v>3</v>
      </c>
      <c r="J41" s="69">
        <f t="shared" si="0"/>
        <v>0.27272727272727271</v>
      </c>
      <c r="K41" s="90">
        <f>+I41+'ABRIL 2025'!K41</f>
        <v>7</v>
      </c>
      <c r="L41" s="94">
        <f t="shared" si="1"/>
        <v>0.63636363636363635</v>
      </c>
      <c r="N41"/>
      <c r="O41" s="8"/>
      <c r="P41"/>
      <c r="Q41" s="8"/>
    </row>
    <row r="42" spans="2:17" x14ac:dyDescent="0.25">
      <c r="B42" s="38">
        <v>3</v>
      </c>
      <c r="C42" s="39" t="s">
        <v>52</v>
      </c>
      <c r="D42" s="40" t="s">
        <v>53</v>
      </c>
      <c r="E42" s="219"/>
      <c r="F42" s="61" t="s">
        <v>170</v>
      </c>
      <c r="G42" s="62" t="s">
        <v>101</v>
      </c>
      <c r="H42" s="3">
        <v>11</v>
      </c>
      <c r="I42" s="3">
        <v>4</v>
      </c>
      <c r="J42" s="69">
        <f t="shared" si="0"/>
        <v>0.36363636363636365</v>
      </c>
      <c r="K42" s="90">
        <f>+I42+'ABRIL 2025'!K42</f>
        <v>8</v>
      </c>
      <c r="L42" s="94">
        <f t="shared" si="1"/>
        <v>0.72727272727272729</v>
      </c>
      <c r="N42"/>
      <c r="O42" s="8"/>
      <c r="P42"/>
      <c r="Q42" s="8"/>
    </row>
    <row r="43" spans="2:17" s="16" customFormat="1" x14ac:dyDescent="0.25">
      <c r="B43" s="38">
        <v>3</v>
      </c>
      <c r="C43" s="39" t="s">
        <v>55</v>
      </c>
      <c r="D43" s="40" t="s">
        <v>56</v>
      </c>
      <c r="E43" s="219"/>
      <c r="F43" s="61" t="s">
        <v>512</v>
      </c>
      <c r="G43" s="76" t="s">
        <v>101</v>
      </c>
      <c r="H43" s="3">
        <v>11</v>
      </c>
      <c r="I43" s="3">
        <v>3</v>
      </c>
      <c r="J43" s="69">
        <f t="shared" si="0"/>
        <v>0.27272727272727271</v>
      </c>
      <c r="K43" s="90">
        <f>+I43+'ABRIL 2025'!K43</f>
        <v>7</v>
      </c>
      <c r="L43" s="94">
        <f t="shared" si="1"/>
        <v>0.63636363636363635</v>
      </c>
      <c r="N43" s="41"/>
      <c r="P43" s="41"/>
    </row>
    <row r="44" spans="2:17" x14ac:dyDescent="0.25">
      <c r="B44" s="38">
        <v>5</v>
      </c>
      <c r="C44" s="39" t="s">
        <v>57</v>
      </c>
      <c r="D44" s="40" t="s">
        <v>58</v>
      </c>
      <c r="E44" s="219"/>
      <c r="F44" s="61" t="s">
        <v>241</v>
      </c>
      <c r="G44" s="62" t="s">
        <v>101</v>
      </c>
      <c r="H44" s="3">
        <v>11</v>
      </c>
      <c r="I44" s="3">
        <v>3</v>
      </c>
      <c r="J44" s="69">
        <f t="shared" si="0"/>
        <v>0.27272727272727271</v>
      </c>
      <c r="K44" s="90">
        <f>+I44+'ABRIL 2025'!K44</f>
        <v>7</v>
      </c>
      <c r="L44" s="94">
        <f t="shared" si="1"/>
        <v>0.63636363636363635</v>
      </c>
      <c r="N44"/>
      <c r="O44" s="8"/>
      <c r="P44"/>
      <c r="Q44" s="8"/>
    </row>
    <row r="45" spans="2:17" x14ac:dyDescent="0.25">
      <c r="B45" s="38">
        <v>5</v>
      </c>
      <c r="C45" s="39" t="s">
        <v>59</v>
      </c>
      <c r="D45" s="40" t="s">
        <v>60</v>
      </c>
      <c r="E45" s="219"/>
      <c r="F45" s="61" t="s">
        <v>102</v>
      </c>
      <c r="G45" s="62" t="s">
        <v>101</v>
      </c>
      <c r="H45" s="3">
        <v>12</v>
      </c>
      <c r="I45" s="3">
        <v>4</v>
      </c>
      <c r="J45" s="69">
        <f t="shared" si="0"/>
        <v>0.33333333333333331</v>
      </c>
      <c r="K45" s="90">
        <f>+I45+'ABRIL 2025'!K45</f>
        <v>8</v>
      </c>
      <c r="L45" s="94">
        <f t="shared" si="1"/>
        <v>0.66666666666666663</v>
      </c>
      <c r="N45"/>
      <c r="O45" s="8"/>
      <c r="P45"/>
      <c r="Q45" s="8"/>
    </row>
    <row r="46" spans="2:17" x14ac:dyDescent="0.25">
      <c r="B46" s="42">
        <v>8</v>
      </c>
      <c r="C46" s="43" t="s">
        <v>61</v>
      </c>
      <c r="D46" s="44" t="s">
        <v>62</v>
      </c>
      <c r="E46" s="220"/>
      <c r="F46" s="64" t="s">
        <v>212</v>
      </c>
      <c r="G46" s="62" t="s">
        <v>101</v>
      </c>
      <c r="H46" s="97">
        <v>11</v>
      </c>
      <c r="I46" s="97">
        <v>4</v>
      </c>
      <c r="J46" s="72">
        <f t="shared" si="0"/>
        <v>0.36363636363636365</v>
      </c>
      <c r="K46" s="91">
        <f>+I46+'ABRIL 2025'!K46</f>
        <v>8</v>
      </c>
      <c r="L46" s="96">
        <f t="shared" si="1"/>
        <v>0.72727272727272729</v>
      </c>
      <c r="N46"/>
      <c r="O46" s="8"/>
      <c r="P46"/>
      <c r="Q46" s="8"/>
    </row>
    <row r="47" spans="2:17" x14ac:dyDescent="0.25">
      <c r="B47" s="35">
        <v>3</v>
      </c>
      <c r="C47" s="36" t="s">
        <v>43</v>
      </c>
      <c r="D47" s="37" t="s">
        <v>44</v>
      </c>
      <c r="E47" s="218" t="s">
        <v>108</v>
      </c>
      <c r="F47" s="59" t="s">
        <v>45</v>
      </c>
      <c r="G47" s="60" t="s">
        <v>104</v>
      </c>
      <c r="H47" s="89">
        <v>20</v>
      </c>
      <c r="I47" s="89">
        <v>3</v>
      </c>
      <c r="J47" s="69">
        <f t="shared" si="0"/>
        <v>0.15</v>
      </c>
      <c r="K47" s="103">
        <f>+I47+'ABRIL 2025'!K47</f>
        <v>6</v>
      </c>
      <c r="L47" s="94">
        <f t="shared" si="1"/>
        <v>0.3</v>
      </c>
      <c r="N47"/>
      <c r="O47" s="8"/>
      <c r="P47"/>
      <c r="Q47" s="8"/>
    </row>
    <row r="48" spans="2:17" x14ac:dyDescent="0.25">
      <c r="B48" s="38">
        <v>3</v>
      </c>
      <c r="C48" s="39" t="s">
        <v>46</v>
      </c>
      <c r="D48" s="40" t="s">
        <v>47</v>
      </c>
      <c r="E48" s="219"/>
      <c r="F48" s="61" t="s">
        <v>48</v>
      </c>
      <c r="G48" s="62" t="s">
        <v>104</v>
      </c>
      <c r="H48" s="2">
        <v>20</v>
      </c>
      <c r="I48" s="3">
        <v>3</v>
      </c>
      <c r="J48" s="69">
        <f t="shared" si="0"/>
        <v>0.15</v>
      </c>
      <c r="K48" s="90">
        <f>+I48+'ABRIL 2025'!K48</f>
        <v>6</v>
      </c>
      <c r="L48" s="94">
        <f t="shared" si="1"/>
        <v>0.3</v>
      </c>
      <c r="N48"/>
      <c r="O48" s="8"/>
      <c r="P48"/>
      <c r="Q48" s="8"/>
    </row>
    <row r="49" spans="2:17" x14ac:dyDescent="0.25">
      <c r="B49" s="38">
        <v>3</v>
      </c>
      <c r="C49" s="39" t="s">
        <v>98</v>
      </c>
      <c r="D49" s="40" t="s">
        <v>99</v>
      </c>
      <c r="E49" s="219"/>
      <c r="F49" s="61" t="s">
        <v>48</v>
      </c>
      <c r="G49" s="63" t="s">
        <v>104</v>
      </c>
      <c r="H49" s="3">
        <v>20</v>
      </c>
      <c r="I49" s="4">
        <v>4</v>
      </c>
      <c r="J49" s="69">
        <f t="shared" si="0"/>
        <v>0.2</v>
      </c>
      <c r="K49" s="90">
        <f>+I49+'ABRIL 2025'!K49</f>
        <v>8</v>
      </c>
      <c r="L49" s="94">
        <f t="shared" si="1"/>
        <v>0.4</v>
      </c>
      <c r="N49"/>
      <c r="O49" s="8"/>
      <c r="P49"/>
      <c r="Q49" s="8"/>
    </row>
    <row r="50" spans="2:17" x14ac:dyDescent="0.25">
      <c r="B50" s="38">
        <v>3</v>
      </c>
      <c r="C50" s="39" t="s">
        <v>49</v>
      </c>
      <c r="D50" s="40" t="s">
        <v>50</v>
      </c>
      <c r="E50" s="219"/>
      <c r="F50" s="61" t="s">
        <v>51</v>
      </c>
      <c r="G50" s="63" t="s">
        <v>252</v>
      </c>
      <c r="H50" s="3">
        <v>20</v>
      </c>
      <c r="I50" s="3">
        <v>3</v>
      </c>
      <c r="J50" s="69">
        <f t="shared" si="0"/>
        <v>0.15</v>
      </c>
      <c r="K50" s="90">
        <f>+I50+'ABRIL 2025'!K50</f>
        <v>6</v>
      </c>
      <c r="L50" s="94">
        <f t="shared" si="1"/>
        <v>0.3</v>
      </c>
      <c r="N50"/>
      <c r="O50" s="8"/>
      <c r="P50"/>
      <c r="Q50" s="8"/>
    </row>
    <row r="51" spans="2:17" x14ac:dyDescent="0.25">
      <c r="B51" s="38">
        <v>3</v>
      </c>
      <c r="C51" s="39" t="s">
        <v>52</v>
      </c>
      <c r="D51" s="40" t="s">
        <v>53</v>
      </c>
      <c r="E51" s="219"/>
      <c r="F51" s="61" t="s">
        <v>54</v>
      </c>
      <c r="G51" s="62" t="s">
        <v>104</v>
      </c>
      <c r="H51" s="3">
        <v>20</v>
      </c>
      <c r="I51" s="3">
        <v>4</v>
      </c>
      <c r="J51" s="69">
        <f t="shared" si="0"/>
        <v>0.2</v>
      </c>
      <c r="K51" s="90">
        <f>+I51+'ABRIL 2025'!K51</f>
        <v>8</v>
      </c>
      <c r="L51" s="94">
        <f t="shared" si="1"/>
        <v>0.4</v>
      </c>
      <c r="N51"/>
      <c r="O51" s="8"/>
      <c r="P51"/>
      <c r="Q51" s="8"/>
    </row>
    <row r="52" spans="2:17" s="16" customFormat="1" x14ac:dyDescent="0.25">
      <c r="B52" s="38">
        <v>3</v>
      </c>
      <c r="C52" s="39" t="s">
        <v>55</v>
      </c>
      <c r="D52" s="40" t="s">
        <v>56</v>
      </c>
      <c r="E52" s="219"/>
      <c r="F52" s="61" t="s">
        <v>54</v>
      </c>
      <c r="G52" s="62" t="s">
        <v>105</v>
      </c>
      <c r="H52" s="3">
        <v>20</v>
      </c>
      <c r="I52" s="3">
        <v>3</v>
      </c>
      <c r="J52" s="69">
        <f t="shared" si="0"/>
        <v>0.15</v>
      </c>
      <c r="K52" s="90">
        <f>+I52+'ABRIL 2025'!K52</f>
        <v>6</v>
      </c>
      <c r="L52" s="94">
        <f t="shared" si="1"/>
        <v>0.3</v>
      </c>
      <c r="N52" s="41"/>
      <c r="P52" s="41"/>
    </row>
    <row r="53" spans="2:17" x14ac:dyDescent="0.25">
      <c r="B53" s="38">
        <v>5</v>
      </c>
      <c r="C53" s="39" t="s">
        <v>57</v>
      </c>
      <c r="D53" s="40" t="s">
        <v>58</v>
      </c>
      <c r="E53" s="219"/>
      <c r="F53" s="61" t="s">
        <v>54</v>
      </c>
      <c r="G53" s="62" t="s">
        <v>106</v>
      </c>
      <c r="H53" s="3">
        <v>20</v>
      </c>
      <c r="I53" s="3">
        <v>3</v>
      </c>
      <c r="J53" s="69">
        <f t="shared" si="0"/>
        <v>0.15</v>
      </c>
      <c r="K53" s="90">
        <f>+I53+'ABRIL 2025'!K53</f>
        <v>6</v>
      </c>
      <c r="L53" s="94">
        <f t="shared" si="1"/>
        <v>0.3</v>
      </c>
      <c r="N53"/>
      <c r="O53" s="8"/>
      <c r="P53"/>
      <c r="Q53" s="8"/>
    </row>
    <row r="54" spans="2:17" x14ac:dyDescent="0.25">
      <c r="B54" s="38">
        <v>5</v>
      </c>
      <c r="C54" s="39" t="s">
        <v>59</v>
      </c>
      <c r="D54" s="40" t="s">
        <v>60</v>
      </c>
      <c r="E54" s="219"/>
      <c r="F54" s="61" t="s">
        <v>54</v>
      </c>
      <c r="G54" s="62" t="s">
        <v>253</v>
      </c>
      <c r="H54" s="3">
        <v>20</v>
      </c>
      <c r="I54" s="3">
        <v>4</v>
      </c>
      <c r="J54" s="69">
        <f t="shared" si="0"/>
        <v>0.2</v>
      </c>
      <c r="K54" s="90">
        <f>+I54+'ABRIL 2025'!K54</f>
        <v>8</v>
      </c>
      <c r="L54" s="94">
        <f t="shared" si="1"/>
        <v>0.4</v>
      </c>
      <c r="N54"/>
      <c r="O54" s="8"/>
      <c r="P54"/>
      <c r="Q54" s="8"/>
    </row>
    <row r="55" spans="2:17" x14ac:dyDescent="0.25">
      <c r="B55" s="42">
        <v>8</v>
      </c>
      <c r="C55" s="43" t="s">
        <v>61</v>
      </c>
      <c r="D55" s="44" t="s">
        <v>62</v>
      </c>
      <c r="E55" s="220"/>
      <c r="F55" s="64" t="s">
        <v>63</v>
      </c>
      <c r="G55" s="65" t="s">
        <v>107</v>
      </c>
      <c r="H55" s="97">
        <v>20</v>
      </c>
      <c r="I55" s="97">
        <v>3</v>
      </c>
      <c r="J55" s="72">
        <f t="shared" si="0"/>
        <v>0.15</v>
      </c>
      <c r="K55" s="91">
        <f>+I55+'ABRIL 2025'!K55</f>
        <v>6</v>
      </c>
      <c r="L55" s="96">
        <f t="shared" si="1"/>
        <v>0.3</v>
      </c>
      <c r="N55"/>
      <c r="O55" s="8"/>
      <c r="P55"/>
      <c r="Q55" s="8"/>
    </row>
    <row r="56" spans="2:17" x14ac:dyDescent="0.25">
      <c r="B56" s="35">
        <v>3</v>
      </c>
      <c r="C56" s="36" t="s">
        <v>43</v>
      </c>
      <c r="D56" s="37" t="s">
        <v>44</v>
      </c>
      <c r="E56" s="218" t="s">
        <v>171</v>
      </c>
      <c r="F56" s="59" t="s">
        <v>513</v>
      </c>
      <c r="G56" s="60" t="s">
        <v>109</v>
      </c>
      <c r="H56" s="123">
        <v>18</v>
      </c>
      <c r="I56" s="66">
        <v>3</v>
      </c>
      <c r="J56" s="69">
        <f t="shared" si="0"/>
        <v>0.16666666666666666</v>
      </c>
      <c r="K56" s="103">
        <f>+I56+'ABRIL 2025'!K56</f>
        <v>6</v>
      </c>
      <c r="L56" s="94">
        <f t="shared" si="1"/>
        <v>0.33333333333333331</v>
      </c>
      <c r="N56"/>
      <c r="O56" s="8"/>
      <c r="P56"/>
      <c r="Q56" s="8"/>
    </row>
    <row r="57" spans="2:17" x14ac:dyDescent="0.25">
      <c r="B57" s="38">
        <v>3</v>
      </c>
      <c r="C57" s="39" t="s">
        <v>46</v>
      </c>
      <c r="D57" s="40" t="s">
        <v>47</v>
      </c>
      <c r="E57" s="219"/>
      <c r="F57" s="61" t="s">
        <v>248</v>
      </c>
      <c r="G57" s="62" t="s">
        <v>184</v>
      </c>
      <c r="H57" s="124">
        <v>36</v>
      </c>
      <c r="I57" s="55">
        <v>6</v>
      </c>
      <c r="J57" s="69">
        <f t="shared" si="0"/>
        <v>0.16666666666666666</v>
      </c>
      <c r="K57" s="90">
        <f>+I57+'ABRIL 2025'!K57</f>
        <v>12</v>
      </c>
      <c r="L57" s="94">
        <f t="shared" si="1"/>
        <v>0.33333333333333331</v>
      </c>
      <c r="N57"/>
      <c r="O57" s="8"/>
      <c r="P57"/>
      <c r="Q57" s="8"/>
    </row>
    <row r="58" spans="2:17" x14ac:dyDescent="0.25">
      <c r="B58" s="38">
        <v>3</v>
      </c>
      <c r="C58" s="39" t="s">
        <v>98</v>
      </c>
      <c r="D58" s="40" t="s">
        <v>99</v>
      </c>
      <c r="E58" s="219"/>
      <c r="F58" s="61" t="s">
        <v>514</v>
      </c>
      <c r="G58" s="63" t="s">
        <v>173</v>
      </c>
      <c r="H58" s="125">
        <v>12</v>
      </c>
      <c r="I58" s="70">
        <v>2</v>
      </c>
      <c r="J58" s="69">
        <f t="shared" si="0"/>
        <v>0.16666666666666666</v>
      </c>
      <c r="K58" s="90">
        <f>+I58+'ABRIL 2025'!K58</f>
        <v>4</v>
      </c>
      <c r="L58" s="94">
        <f t="shared" si="1"/>
        <v>0.33333333333333331</v>
      </c>
      <c r="N58"/>
      <c r="O58" s="8"/>
      <c r="P58"/>
      <c r="Q58" s="8"/>
    </row>
    <row r="59" spans="2:17" x14ac:dyDescent="0.25">
      <c r="B59" s="38">
        <v>3</v>
      </c>
      <c r="C59" s="39" t="s">
        <v>49</v>
      </c>
      <c r="D59" s="40" t="s">
        <v>50</v>
      </c>
      <c r="E59" s="219"/>
      <c r="F59" s="61" t="s">
        <v>515</v>
      </c>
      <c r="G59" s="63" t="s">
        <v>516</v>
      </c>
      <c r="H59" s="125">
        <v>36</v>
      </c>
      <c r="I59" s="55">
        <v>6</v>
      </c>
      <c r="J59" s="69">
        <f t="shared" si="0"/>
        <v>0.16666666666666666</v>
      </c>
      <c r="K59" s="90">
        <f>+I59+'ABRIL 2025'!K59</f>
        <v>12</v>
      </c>
      <c r="L59" s="94">
        <f t="shared" si="1"/>
        <v>0.33333333333333331</v>
      </c>
      <c r="N59"/>
      <c r="O59" s="8"/>
      <c r="P59"/>
      <c r="Q59" s="8"/>
    </row>
    <row r="60" spans="2:17" x14ac:dyDescent="0.25">
      <c r="B60" s="38">
        <v>3</v>
      </c>
      <c r="C60" s="39" t="s">
        <v>52</v>
      </c>
      <c r="D60" s="40" t="s">
        <v>53</v>
      </c>
      <c r="E60" s="219"/>
      <c r="F60" s="61" t="s">
        <v>250</v>
      </c>
      <c r="G60" s="62" t="s">
        <v>185</v>
      </c>
      <c r="H60" s="125">
        <v>18</v>
      </c>
      <c r="I60" s="55">
        <v>3</v>
      </c>
      <c r="J60" s="69">
        <f t="shared" si="0"/>
        <v>0.16666666666666666</v>
      </c>
      <c r="K60" s="90">
        <f>+I60+'ABRIL 2025'!K60</f>
        <v>6</v>
      </c>
      <c r="L60" s="94">
        <f t="shared" si="1"/>
        <v>0.33333333333333331</v>
      </c>
      <c r="N60"/>
      <c r="O60" s="8"/>
      <c r="P60"/>
      <c r="Q60" s="8"/>
    </row>
    <row r="61" spans="2:17" s="16" customFormat="1" x14ac:dyDescent="0.25">
      <c r="B61" s="38">
        <v>3</v>
      </c>
      <c r="C61" s="39" t="s">
        <v>55</v>
      </c>
      <c r="D61" s="40" t="s">
        <v>56</v>
      </c>
      <c r="E61" s="219"/>
      <c r="F61" s="61" t="s">
        <v>517</v>
      </c>
      <c r="G61" s="62" t="s">
        <v>186</v>
      </c>
      <c r="H61" s="125">
        <v>18</v>
      </c>
      <c r="I61" s="55">
        <v>3</v>
      </c>
      <c r="J61" s="69">
        <f t="shared" si="0"/>
        <v>0.16666666666666666</v>
      </c>
      <c r="K61" s="90">
        <f>+I61+'ABRIL 2025'!K61</f>
        <v>6</v>
      </c>
      <c r="L61" s="94">
        <f t="shared" si="1"/>
        <v>0.33333333333333331</v>
      </c>
      <c r="N61" s="41"/>
      <c r="P61" s="41"/>
    </row>
    <row r="62" spans="2:17" x14ac:dyDescent="0.25">
      <c r="B62" s="38">
        <v>5</v>
      </c>
      <c r="C62" s="39" t="s">
        <v>57</v>
      </c>
      <c r="D62" s="40" t="s">
        <v>58</v>
      </c>
      <c r="E62" s="219"/>
      <c r="F62" s="61" t="s">
        <v>518</v>
      </c>
      <c r="G62" s="62" t="s">
        <v>175</v>
      </c>
      <c r="H62" s="125">
        <v>12</v>
      </c>
      <c r="I62" s="55">
        <v>2</v>
      </c>
      <c r="J62" s="69">
        <f t="shared" si="0"/>
        <v>0.16666666666666666</v>
      </c>
      <c r="K62" s="90">
        <f>+I62+'ABRIL 2025'!K62</f>
        <v>4</v>
      </c>
      <c r="L62" s="94">
        <f t="shared" si="1"/>
        <v>0.33333333333333331</v>
      </c>
      <c r="N62"/>
      <c r="O62" s="8"/>
      <c r="P62"/>
      <c r="Q62" s="8"/>
    </row>
    <row r="63" spans="2:17" x14ac:dyDescent="0.25">
      <c r="B63" s="38">
        <v>5</v>
      </c>
      <c r="C63" s="39" t="s">
        <v>59</v>
      </c>
      <c r="D63" s="40" t="s">
        <v>60</v>
      </c>
      <c r="E63" s="219"/>
      <c r="F63" s="61" t="s">
        <v>251</v>
      </c>
      <c r="G63" s="62" t="s">
        <v>516</v>
      </c>
      <c r="H63" s="125">
        <v>18</v>
      </c>
      <c r="I63" s="55">
        <v>3</v>
      </c>
      <c r="J63" s="69">
        <f t="shared" si="0"/>
        <v>0.16666666666666666</v>
      </c>
      <c r="K63" s="90">
        <f>+I63+'ABRIL 2025'!K63</f>
        <v>6</v>
      </c>
      <c r="L63" s="94">
        <f t="shared" si="1"/>
        <v>0.33333333333333331</v>
      </c>
      <c r="N63"/>
      <c r="O63" s="8"/>
      <c r="P63"/>
      <c r="Q63" s="8"/>
    </row>
    <row r="64" spans="2:17" x14ac:dyDescent="0.25">
      <c r="B64" s="42">
        <v>8</v>
      </c>
      <c r="C64" s="43" t="s">
        <v>61</v>
      </c>
      <c r="D64" s="44" t="s">
        <v>62</v>
      </c>
      <c r="E64" s="220"/>
      <c r="F64" s="64" t="s">
        <v>519</v>
      </c>
      <c r="G64" s="65" t="s">
        <v>109</v>
      </c>
      <c r="H64" s="126">
        <v>12</v>
      </c>
      <c r="I64" s="56">
        <v>2</v>
      </c>
      <c r="J64" s="72">
        <f t="shared" si="0"/>
        <v>0.16666666666666666</v>
      </c>
      <c r="K64" s="91">
        <f>+I64+'ABRIL 2025'!K64</f>
        <v>4</v>
      </c>
      <c r="L64" s="96">
        <f t="shared" si="1"/>
        <v>0.33333333333333331</v>
      </c>
      <c r="N64"/>
      <c r="O64" s="8"/>
      <c r="P64"/>
      <c r="Q64" s="8"/>
    </row>
    <row r="65" spans="2:17" x14ac:dyDescent="0.25">
      <c r="B65" s="35">
        <v>3</v>
      </c>
      <c r="C65" s="36" t="s">
        <v>43</v>
      </c>
      <c r="D65" s="37" t="s">
        <v>44</v>
      </c>
      <c r="E65" s="218" t="s">
        <v>115</v>
      </c>
      <c r="F65" s="59" t="s">
        <v>520</v>
      </c>
      <c r="G65" s="60" t="s">
        <v>521</v>
      </c>
      <c r="H65" s="66">
        <v>30</v>
      </c>
      <c r="I65" s="66">
        <v>5</v>
      </c>
      <c r="J65" s="69">
        <f t="shared" si="0"/>
        <v>0.16666666666666666</v>
      </c>
      <c r="K65" s="103">
        <f>+I65+'ABRIL 2025'!K65</f>
        <v>9</v>
      </c>
      <c r="L65" s="94">
        <f t="shared" si="1"/>
        <v>0.3</v>
      </c>
      <c r="N65"/>
      <c r="O65" s="8"/>
      <c r="P65"/>
      <c r="Q65" s="8"/>
    </row>
    <row r="66" spans="2:17" x14ac:dyDescent="0.25">
      <c r="B66" s="38">
        <v>3</v>
      </c>
      <c r="C66" s="39" t="s">
        <v>46</v>
      </c>
      <c r="D66" s="40" t="s">
        <v>47</v>
      </c>
      <c r="E66" s="219"/>
      <c r="F66" s="61" t="s">
        <v>522</v>
      </c>
      <c r="G66" s="61" t="s">
        <v>521</v>
      </c>
      <c r="H66" s="68">
        <v>30</v>
      </c>
      <c r="I66" s="55">
        <v>4</v>
      </c>
      <c r="J66" s="69">
        <f t="shared" si="0"/>
        <v>0.13333333333333333</v>
      </c>
      <c r="K66" s="90">
        <f>+I66+'ABRIL 2025'!K66</f>
        <v>8</v>
      </c>
      <c r="L66" s="94">
        <f t="shared" si="1"/>
        <v>0.26666666666666666</v>
      </c>
      <c r="N66"/>
      <c r="O66" s="8"/>
      <c r="P66"/>
      <c r="Q66" s="8"/>
    </row>
    <row r="67" spans="2:17" x14ac:dyDescent="0.25">
      <c r="B67" s="38">
        <v>3</v>
      </c>
      <c r="C67" s="39" t="s">
        <v>98</v>
      </c>
      <c r="D67" s="40" t="s">
        <v>99</v>
      </c>
      <c r="E67" s="219"/>
      <c r="F67" s="61" t="s">
        <v>523</v>
      </c>
      <c r="G67" s="63" t="s">
        <v>207</v>
      </c>
      <c r="H67" s="55">
        <v>30</v>
      </c>
      <c r="I67" s="70">
        <v>4</v>
      </c>
      <c r="J67" s="69">
        <f t="shared" si="0"/>
        <v>0.13333333333333333</v>
      </c>
      <c r="K67" s="90">
        <f>+I67+'ABRIL 2025'!K67</f>
        <v>7</v>
      </c>
      <c r="L67" s="94">
        <f t="shared" si="1"/>
        <v>0.23333333333333334</v>
      </c>
      <c r="N67"/>
      <c r="O67" s="8"/>
      <c r="P67"/>
      <c r="Q67" s="8"/>
    </row>
    <row r="68" spans="2:17" x14ac:dyDescent="0.25">
      <c r="B68" s="38">
        <v>3</v>
      </c>
      <c r="C68" s="39" t="s">
        <v>49</v>
      </c>
      <c r="D68" s="40" t="s">
        <v>50</v>
      </c>
      <c r="E68" s="219"/>
      <c r="F68" s="61" t="s">
        <v>524</v>
      </c>
      <c r="G68" s="63" t="s">
        <v>114</v>
      </c>
      <c r="H68" s="55">
        <v>30</v>
      </c>
      <c r="I68" s="55">
        <v>4</v>
      </c>
      <c r="J68" s="69">
        <f t="shared" si="0"/>
        <v>0.13333333333333333</v>
      </c>
      <c r="K68" s="90">
        <f>+I68+'ABRIL 2025'!K68</f>
        <v>8</v>
      </c>
      <c r="L68" s="94">
        <f t="shared" si="1"/>
        <v>0.26666666666666666</v>
      </c>
      <c r="N68"/>
      <c r="O68" s="8"/>
      <c r="P68"/>
      <c r="Q68" s="8"/>
    </row>
    <row r="69" spans="2:17" x14ac:dyDescent="0.25">
      <c r="B69" s="38">
        <v>3</v>
      </c>
      <c r="C69" s="39" t="s">
        <v>52</v>
      </c>
      <c r="D69" s="40" t="s">
        <v>53</v>
      </c>
      <c r="E69" s="219"/>
      <c r="F69" s="61" t="s">
        <v>525</v>
      </c>
      <c r="G69" s="62" t="s">
        <v>235</v>
      </c>
      <c r="H69" s="55">
        <v>30</v>
      </c>
      <c r="I69" s="55">
        <v>2</v>
      </c>
      <c r="J69" s="69">
        <f t="shared" si="0"/>
        <v>6.6666666666666666E-2</v>
      </c>
      <c r="K69" s="90">
        <f>+I69+'ABRIL 2025'!K69</f>
        <v>5</v>
      </c>
      <c r="L69" s="94">
        <f t="shared" si="1"/>
        <v>0.16666666666666666</v>
      </c>
      <c r="N69"/>
      <c r="O69" s="8"/>
      <c r="P69"/>
      <c r="Q69" s="8"/>
    </row>
    <row r="70" spans="2:17" s="16" customFormat="1" x14ac:dyDescent="0.25">
      <c r="B70" s="38">
        <v>3</v>
      </c>
      <c r="C70" s="39" t="s">
        <v>55</v>
      </c>
      <c r="D70" s="40" t="s">
        <v>56</v>
      </c>
      <c r="E70" s="219"/>
      <c r="F70" s="61" t="s">
        <v>526</v>
      </c>
      <c r="G70" s="62" t="s">
        <v>114</v>
      </c>
      <c r="H70" s="55">
        <v>30</v>
      </c>
      <c r="I70" s="55">
        <v>2</v>
      </c>
      <c r="J70" s="69">
        <f t="shared" si="0"/>
        <v>6.6666666666666666E-2</v>
      </c>
      <c r="K70" s="90">
        <f>+I70+'ABRIL 2025'!K70</f>
        <v>5</v>
      </c>
      <c r="L70" s="94">
        <f t="shared" si="1"/>
        <v>0.16666666666666666</v>
      </c>
      <c r="N70" s="41"/>
      <c r="P70" s="41"/>
    </row>
    <row r="71" spans="2:17" x14ac:dyDescent="0.25">
      <c r="B71" s="38">
        <v>5</v>
      </c>
      <c r="C71" s="39" t="s">
        <v>57</v>
      </c>
      <c r="D71" s="40" t="s">
        <v>58</v>
      </c>
      <c r="E71" s="219"/>
      <c r="F71" s="61" t="s">
        <v>262</v>
      </c>
      <c r="G71" s="62" t="s">
        <v>208</v>
      </c>
      <c r="H71" s="55">
        <v>30</v>
      </c>
      <c r="I71" s="55">
        <v>3</v>
      </c>
      <c r="J71" s="69">
        <f t="shared" si="0"/>
        <v>0.1</v>
      </c>
      <c r="K71" s="90">
        <f>+I71+'ABRIL 2025'!K71</f>
        <v>6</v>
      </c>
      <c r="L71" s="94">
        <f t="shared" si="1"/>
        <v>0.2</v>
      </c>
      <c r="N71"/>
      <c r="O71" s="8"/>
      <c r="P71"/>
      <c r="Q71" s="8"/>
    </row>
    <row r="72" spans="2:17" x14ac:dyDescent="0.25">
      <c r="B72" s="38">
        <v>5</v>
      </c>
      <c r="C72" s="39" t="s">
        <v>59</v>
      </c>
      <c r="D72" s="40" t="s">
        <v>60</v>
      </c>
      <c r="E72" s="219"/>
      <c r="F72" s="61" t="s">
        <v>527</v>
      </c>
      <c r="G72" s="62" t="s">
        <v>521</v>
      </c>
      <c r="H72" s="55">
        <v>30</v>
      </c>
      <c r="I72" s="55">
        <v>4</v>
      </c>
      <c r="J72" s="69">
        <f t="shared" si="0"/>
        <v>0.13333333333333333</v>
      </c>
      <c r="K72" s="90">
        <f>+I72+'ABRIL 2025'!K72</f>
        <v>7</v>
      </c>
      <c r="L72" s="94">
        <f t="shared" si="1"/>
        <v>0.23333333333333334</v>
      </c>
      <c r="N72"/>
      <c r="O72" s="8"/>
      <c r="P72"/>
      <c r="Q72" s="8"/>
    </row>
    <row r="73" spans="2:17" x14ac:dyDescent="0.25">
      <c r="B73" s="42">
        <v>8</v>
      </c>
      <c r="C73" s="43" t="s">
        <v>61</v>
      </c>
      <c r="D73" s="44" t="s">
        <v>62</v>
      </c>
      <c r="E73" s="220"/>
      <c r="F73" s="64" t="s">
        <v>264</v>
      </c>
      <c r="G73" s="65" t="s">
        <v>114</v>
      </c>
      <c r="H73" s="56">
        <v>30</v>
      </c>
      <c r="I73" s="56">
        <v>2</v>
      </c>
      <c r="J73" s="72">
        <f t="shared" si="0"/>
        <v>6.6666666666666666E-2</v>
      </c>
      <c r="K73" s="91">
        <f>+I73+'ABRIL 2025'!K73</f>
        <v>5</v>
      </c>
      <c r="L73" s="96">
        <f t="shared" si="1"/>
        <v>0.16666666666666666</v>
      </c>
      <c r="N73"/>
      <c r="O73" s="8"/>
      <c r="P73"/>
      <c r="Q73" s="8"/>
    </row>
    <row r="74" spans="2:17" x14ac:dyDescent="0.25">
      <c r="B74" s="35">
        <v>3</v>
      </c>
      <c r="C74" s="36" t="s">
        <v>43</v>
      </c>
      <c r="D74" s="37" t="s">
        <v>44</v>
      </c>
      <c r="E74" s="218" t="s">
        <v>116</v>
      </c>
      <c r="F74" s="59" t="s">
        <v>232</v>
      </c>
      <c r="G74" s="60" t="s">
        <v>109</v>
      </c>
      <c r="H74" s="66">
        <v>20</v>
      </c>
      <c r="I74" s="66">
        <v>4</v>
      </c>
      <c r="J74" s="69">
        <f t="shared" si="0"/>
        <v>0.2</v>
      </c>
      <c r="K74" s="103">
        <f>+I74+'ABRIL 2025'!K74</f>
        <v>7</v>
      </c>
      <c r="L74" s="94">
        <f t="shared" si="1"/>
        <v>0.35</v>
      </c>
      <c r="N74"/>
      <c r="O74" s="8"/>
      <c r="P74"/>
      <c r="Q74" s="8"/>
    </row>
    <row r="75" spans="2:17" x14ac:dyDescent="0.25">
      <c r="B75" s="38">
        <v>3</v>
      </c>
      <c r="C75" s="39" t="s">
        <v>46</v>
      </c>
      <c r="D75" s="40" t="s">
        <v>47</v>
      </c>
      <c r="E75" s="219"/>
      <c r="F75" s="61" t="s">
        <v>528</v>
      </c>
      <c r="G75" s="61" t="s">
        <v>110</v>
      </c>
      <c r="H75" s="68">
        <v>14</v>
      </c>
      <c r="I75" s="55">
        <v>3</v>
      </c>
      <c r="J75" s="69">
        <f t="shared" si="0"/>
        <v>0.21428571428571427</v>
      </c>
      <c r="K75" s="90">
        <f>+I75+'ABRIL 2025'!K75</f>
        <v>5</v>
      </c>
      <c r="L75" s="94">
        <f t="shared" si="1"/>
        <v>0.35714285714285715</v>
      </c>
      <c r="N75"/>
      <c r="O75" s="8"/>
      <c r="P75"/>
      <c r="Q75" s="8"/>
    </row>
    <row r="76" spans="2:17" x14ac:dyDescent="0.25">
      <c r="B76" s="38">
        <v>3</v>
      </c>
      <c r="C76" s="39" t="s">
        <v>98</v>
      </c>
      <c r="D76" s="40" t="s">
        <v>99</v>
      </c>
      <c r="E76" s="219"/>
      <c r="F76" s="61" t="s">
        <v>529</v>
      </c>
      <c r="G76" s="63" t="s">
        <v>187</v>
      </c>
      <c r="H76" s="55">
        <v>28</v>
      </c>
      <c r="I76" s="70">
        <v>4</v>
      </c>
      <c r="J76" s="69">
        <f t="shared" si="0"/>
        <v>0.14285714285714285</v>
      </c>
      <c r="K76" s="90">
        <f>+I76+'ABRIL 2025'!K76</f>
        <v>9</v>
      </c>
      <c r="L76" s="94">
        <f t="shared" si="1"/>
        <v>0.32142857142857145</v>
      </c>
      <c r="N76"/>
      <c r="O76" s="8"/>
      <c r="P76"/>
      <c r="Q76" s="8"/>
    </row>
    <row r="77" spans="2:17" x14ac:dyDescent="0.25">
      <c r="B77" s="38">
        <v>3</v>
      </c>
      <c r="C77" s="39" t="s">
        <v>49</v>
      </c>
      <c r="D77" s="40" t="s">
        <v>50</v>
      </c>
      <c r="E77" s="219"/>
      <c r="F77" s="61" t="s">
        <v>530</v>
      </c>
      <c r="G77" s="63" t="s">
        <v>185</v>
      </c>
      <c r="H77" s="55">
        <v>16</v>
      </c>
      <c r="I77" s="55">
        <v>3</v>
      </c>
      <c r="J77" s="69">
        <f t="shared" si="0"/>
        <v>0.1875</v>
      </c>
      <c r="K77" s="90">
        <f>+I77+'ABRIL 2025'!K77</f>
        <v>6</v>
      </c>
      <c r="L77" s="94">
        <f t="shared" si="1"/>
        <v>0.375</v>
      </c>
      <c r="N77"/>
      <c r="O77" s="8"/>
      <c r="P77"/>
      <c r="Q77" s="8"/>
    </row>
    <row r="78" spans="2:17" x14ac:dyDescent="0.25">
      <c r="B78" s="38">
        <v>3</v>
      </c>
      <c r="C78" s="39" t="s">
        <v>52</v>
      </c>
      <c r="D78" s="40" t="s">
        <v>53</v>
      </c>
      <c r="E78" s="219"/>
      <c r="F78" s="61" t="s">
        <v>531</v>
      </c>
      <c r="G78" s="62" t="s">
        <v>111</v>
      </c>
      <c r="H78" s="55">
        <v>16</v>
      </c>
      <c r="I78" s="55">
        <v>3</v>
      </c>
      <c r="J78" s="69">
        <f t="shared" si="0"/>
        <v>0.1875</v>
      </c>
      <c r="K78" s="90">
        <f>+I78+'ABRIL 2025'!K78</f>
        <v>6</v>
      </c>
      <c r="L78" s="94">
        <f t="shared" si="1"/>
        <v>0.375</v>
      </c>
      <c r="N78"/>
      <c r="O78" s="8"/>
      <c r="P78"/>
      <c r="Q78" s="8"/>
    </row>
    <row r="79" spans="2:17" s="16" customFormat="1" x14ac:dyDescent="0.25">
      <c r="B79" s="38">
        <v>3</v>
      </c>
      <c r="C79" s="39" t="s">
        <v>55</v>
      </c>
      <c r="D79" s="40" t="s">
        <v>56</v>
      </c>
      <c r="E79" s="219"/>
      <c r="F79" s="61" t="s">
        <v>112</v>
      </c>
      <c r="G79" s="62" t="s">
        <v>188</v>
      </c>
      <c r="H79" s="55">
        <v>12</v>
      </c>
      <c r="I79" s="55">
        <v>2</v>
      </c>
      <c r="J79" s="69">
        <f t="shared" ref="J79:J142" si="2">IFERROR(I79/H79,0)</f>
        <v>0.16666666666666666</v>
      </c>
      <c r="K79" s="90">
        <f>+I79+'ABRIL 2025'!K79</f>
        <v>4</v>
      </c>
      <c r="L79" s="94">
        <f t="shared" ref="L79:L142" si="3">IFERROR(K79/H79,0)</f>
        <v>0.33333333333333331</v>
      </c>
      <c r="N79" s="41"/>
      <c r="P79" s="41"/>
    </row>
    <row r="80" spans="2:17" x14ac:dyDescent="0.25">
      <c r="B80" s="38">
        <v>5</v>
      </c>
      <c r="C80" s="39" t="s">
        <v>57</v>
      </c>
      <c r="D80" s="40" t="s">
        <v>58</v>
      </c>
      <c r="E80" s="219"/>
      <c r="F80" s="73" t="s">
        <v>532</v>
      </c>
      <c r="G80" s="62" t="s">
        <v>113</v>
      </c>
      <c r="H80" s="55">
        <v>24</v>
      </c>
      <c r="I80" s="55">
        <v>3</v>
      </c>
      <c r="J80" s="69">
        <f t="shared" si="2"/>
        <v>0.125</v>
      </c>
      <c r="K80" s="90">
        <f>+I80+'ABRIL 2025'!K80</f>
        <v>7</v>
      </c>
      <c r="L80" s="94">
        <f t="shared" si="3"/>
        <v>0.29166666666666669</v>
      </c>
      <c r="N80"/>
      <c r="O80" s="8"/>
      <c r="P80"/>
      <c r="Q80" s="8"/>
    </row>
    <row r="81" spans="2:17" x14ac:dyDescent="0.25">
      <c r="B81" s="38">
        <v>5</v>
      </c>
      <c r="C81" s="39" t="s">
        <v>59</v>
      </c>
      <c r="D81" s="40" t="s">
        <v>60</v>
      </c>
      <c r="E81" s="219"/>
      <c r="F81" s="61" t="s">
        <v>269</v>
      </c>
      <c r="G81" s="62" t="s">
        <v>189</v>
      </c>
      <c r="H81" s="55">
        <v>26</v>
      </c>
      <c r="I81" s="55">
        <v>4</v>
      </c>
      <c r="J81" s="69">
        <f t="shared" si="2"/>
        <v>0.15384615384615385</v>
      </c>
      <c r="K81" s="90">
        <f>+I81+'ABRIL 2025'!K81</f>
        <v>8</v>
      </c>
      <c r="L81" s="94">
        <f t="shared" si="3"/>
        <v>0.30769230769230771</v>
      </c>
      <c r="N81"/>
      <c r="O81" s="8"/>
      <c r="P81"/>
      <c r="Q81" s="8"/>
    </row>
    <row r="82" spans="2:17" x14ac:dyDescent="0.25">
      <c r="B82" s="42">
        <v>8</v>
      </c>
      <c r="C82" s="43" t="s">
        <v>61</v>
      </c>
      <c r="D82" s="44" t="s">
        <v>62</v>
      </c>
      <c r="E82" s="220"/>
      <c r="F82" s="64" t="s">
        <v>533</v>
      </c>
      <c r="G82" s="65" t="s">
        <v>534</v>
      </c>
      <c r="H82" s="56">
        <v>24</v>
      </c>
      <c r="I82" s="56">
        <v>4</v>
      </c>
      <c r="J82" s="72">
        <f t="shared" si="2"/>
        <v>0.16666666666666666</v>
      </c>
      <c r="K82" s="91">
        <f>+I82+'ABRIL 2025'!K82</f>
        <v>8</v>
      </c>
      <c r="L82" s="96">
        <f t="shared" si="3"/>
        <v>0.33333333333333331</v>
      </c>
      <c r="N82"/>
      <c r="O82" s="8"/>
      <c r="P82"/>
      <c r="Q82" s="8"/>
    </row>
    <row r="83" spans="2:17" x14ac:dyDescent="0.25">
      <c r="B83" s="35">
        <v>3</v>
      </c>
      <c r="C83" s="36" t="s">
        <v>43</v>
      </c>
      <c r="D83" s="37" t="s">
        <v>44</v>
      </c>
      <c r="E83" s="218" t="s">
        <v>117</v>
      </c>
      <c r="F83" s="60" t="s">
        <v>213</v>
      </c>
      <c r="G83" s="60" t="s">
        <v>169</v>
      </c>
      <c r="H83" s="66">
        <v>30</v>
      </c>
      <c r="I83" s="66">
        <v>3</v>
      </c>
      <c r="J83" s="69">
        <f t="shared" si="2"/>
        <v>0.1</v>
      </c>
      <c r="K83" s="103">
        <f>+I83+'ABRIL 2025'!K83</f>
        <v>6</v>
      </c>
      <c r="L83" s="94">
        <f t="shared" si="3"/>
        <v>0.2</v>
      </c>
      <c r="N83"/>
      <c r="O83" s="8"/>
      <c r="P83"/>
      <c r="Q83" s="8"/>
    </row>
    <row r="84" spans="2:17" x14ac:dyDescent="0.25">
      <c r="B84" s="38">
        <v>3</v>
      </c>
      <c r="C84" s="39" t="s">
        <v>46</v>
      </c>
      <c r="D84" s="40" t="s">
        <v>47</v>
      </c>
      <c r="E84" s="219"/>
      <c r="F84" s="74" t="s">
        <v>860</v>
      </c>
      <c r="G84" s="74" t="s">
        <v>861</v>
      </c>
      <c r="H84" s="68">
        <v>30</v>
      </c>
      <c r="I84" s="55">
        <v>3</v>
      </c>
      <c r="J84" s="69">
        <f t="shared" si="2"/>
        <v>0.1</v>
      </c>
      <c r="K84" s="90">
        <f>+I84+'ABRIL 2025'!K84</f>
        <v>6</v>
      </c>
      <c r="L84" s="94">
        <f t="shared" si="3"/>
        <v>0.2</v>
      </c>
      <c r="N84"/>
      <c r="O84" s="8"/>
      <c r="P84"/>
      <c r="Q84" s="8"/>
    </row>
    <row r="85" spans="2:17" x14ac:dyDescent="0.25">
      <c r="B85" s="38">
        <v>3</v>
      </c>
      <c r="C85" s="39" t="s">
        <v>98</v>
      </c>
      <c r="D85" s="40" t="s">
        <v>99</v>
      </c>
      <c r="E85" s="219"/>
      <c r="F85" s="62" t="s">
        <v>862</v>
      </c>
      <c r="G85" s="62" t="s">
        <v>169</v>
      </c>
      <c r="H85" s="55">
        <v>30</v>
      </c>
      <c r="I85" s="70">
        <v>3</v>
      </c>
      <c r="J85" s="69">
        <f t="shared" si="2"/>
        <v>0.1</v>
      </c>
      <c r="K85" s="90">
        <f>+I85+'ABRIL 2025'!K85</f>
        <v>6</v>
      </c>
      <c r="L85" s="94">
        <f t="shared" si="3"/>
        <v>0.2</v>
      </c>
      <c r="N85"/>
      <c r="O85" s="8"/>
      <c r="P85"/>
      <c r="Q85" s="8"/>
    </row>
    <row r="86" spans="2:17" x14ac:dyDescent="0.25">
      <c r="B86" s="38">
        <v>3</v>
      </c>
      <c r="C86" s="39" t="s">
        <v>49</v>
      </c>
      <c r="D86" s="40" t="s">
        <v>50</v>
      </c>
      <c r="E86" s="219"/>
      <c r="F86" s="62" t="s">
        <v>213</v>
      </c>
      <c r="G86" s="62" t="s">
        <v>169</v>
      </c>
      <c r="H86" s="55">
        <v>30</v>
      </c>
      <c r="I86" s="55">
        <v>3</v>
      </c>
      <c r="J86" s="69">
        <f t="shared" si="2"/>
        <v>0.1</v>
      </c>
      <c r="K86" s="90">
        <f>+I86+'ABRIL 2025'!K86</f>
        <v>6</v>
      </c>
      <c r="L86" s="94">
        <f t="shared" si="3"/>
        <v>0.2</v>
      </c>
      <c r="N86"/>
      <c r="O86" s="8"/>
      <c r="P86"/>
      <c r="Q86" s="8"/>
    </row>
    <row r="87" spans="2:17" x14ac:dyDescent="0.25">
      <c r="B87" s="38">
        <v>3</v>
      </c>
      <c r="C87" s="39" t="s">
        <v>52</v>
      </c>
      <c r="D87" s="40" t="s">
        <v>53</v>
      </c>
      <c r="E87" s="219"/>
      <c r="F87" s="62" t="s">
        <v>214</v>
      </c>
      <c r="G87" s="62" t="s">
        <v>191</v>
      </c>
      <c r="H87" s="55">
        <v>30</v>
      </c>
      <c r="I87" s="55">
        <v>3</v>
      </c>
      <c r="J87" s="69">
        <f t="shared" si="2"/>
        <v>0.1</v>
      </c>
      <c r="K87" s="90">
        <f>+I87+'ABRIL 2025'!K87</f>
        <v>6</v>
      </c>
      <c r="L87" s="94">
        <f t="shared" si="3"/>
        <v>0.2</v>
      </c>
      <c r="N87"/>
      <c r="O87" s="8"/>
      <c r="P87"/>
      <c r="Q87" s="8"/>
    </row>
    <row r="88" spans="2:17" s="16" customFormat="1" x14ac:dyDescent="0.25">
      <c r="B88" s="38">
        <v>3</v>
      </c>
      <c r="C88" s="39" t="s">
        <v>55</v>
      </c>
      <c r="D88" s="40" t="s">
        <v>56</v>
      </c>
      <c r="E88" s="219"/>
      <c r="F88" s="62" t="s">
        <v>215</v>
      </c>
      <c r="G88" s="62" t="s">
        <v>192</v>
      </c>
      <c r="H88" s="55">
        <v>30</v>
      </c>
      <c r="I88" s="55">
        <v>3</v>
      </c>
      <c r="J88" s="69">
        <f t="shared" si="2"/>
        <v>0.1</v>
      </c>
      <c r="K88" s="90">
        <f>+I88+'ABRIL 2025'!K88</f>
        <v>6</v>
      </c>
      <c r="L88" s="94">
        <f t="shared" si="3"/>
        <v>0.2</v>
      </c>
      <c r="N88" s="41"/>
      <c r="P88" s="41"/>
    </row>
    <row r="89" spans="2:17" x14ac:dyDescent="0.25">
      <c r="B89" s="38">
        <v>5</v>
      </c>
      <c r="C89" s="39" t="s">
        <v>57</v>
      </c>
      <c r="D89" s="40" t="s">
        <v>58</v>
      </c>
      <c r="E89" s="219"/>
      <c r="F89" s="62" t="s">
        <v>216</v>
      </c>
      <c r="G89" s="62" t="s">
        <v>193</v>
      </c>
      <c r="H89" s="55">
        <v>30</v>
      </c>
      <c r="I89" s="55">
        <v>4</v>
      </c>
      <c r="J89" s="69">
        <f t="shared" si="2"/>
        <v>0.13333333333333333</v>
      </c>
      <c r="K89" s="90">
        <f>+I89+'ABRIL 2025'!K89</f>
        <v>8</v>
      </c>
      <c r="L89" s="94">
        <f t="shared" si="3"/>
        <v>0.26666666666666666</v>
      </c>
      <c r="N89"/>
      <c r="O89" s="8"/>
      <c r="P89"/>
      <c r="Q89" s="8"/>
    </row>
    <row r="90" spans="2:17" x14ac:dyDescent="0.25">
      <c r="B90" s="38">
        <v>5</v>
      </c>
      <c r="C90" s="39" t="s">
        <v>59</v>
      </c>
      <c r="D90" s="40" t="s">
        <v>60</v>
      </c>
      <c r="E90" s="219"/>
      <c r="F90" s="62" t="s">
        <v>194</v>
      </c>
      <c r="G90" s="62" t="s">
        <v>195</v>
      </c>
      <c r="H90" s="55">
        <v>30</v>
      </c>
      <c r="I90" s="55">
        <v>4</v>
      </c>
      <c r="J90" s="69">
        <f t="shared" si="2"/>
        <v>0.13333333333333333</v>
      </c>
      <c r="K90" s="90">
        <f>+I90+'ABRIL 2025'!K90</f>
        <v>8</v>
      </c>
      <c r="L90" s="94">
        <f t="shared" si="3"/>
        <v>0.26666666666666666</v>
      </c>
      <c r="N90"/>
      <c r="O90" s="8"/>
      <c r="P90"/>
      <c r="Q90" s="8"/>
    </row>
    <row r="91" spans="2:17" x14ac:dyDescent="0.25">
      <c r="B91" s="42">
        <v>8</v>
      </c>
      <c r="C91" s="43" t="s">
        <v>61</v>
      </c>
      <c r="D91" s="44" t="s">
        <v>62</v>
      </c>
      <c r="E91" s="220"/>
      <c r="F91" s="65" t="s">
        <v>196</v>
      </c>
      <c r="G91" s="65" t="s">
        <v>206</v>
      </c>
      <c r="H91" s="56">
        <v>30</v>
      </c>
      <c r="I91" s="56">
        <v>4</v>
      </c>
      <c r="J91" s="72">
        <f t="shared" si="2"/>
        <v>0.13333333333333333</v>
      </c>
      <c r="K91" s="91">
        <f>+I91+'ABRIL 2025'!K91</f>
        <v>8</v>
      </c>
      <c r="L91" s="96">
        <f t="shared" si="3"/>
        <v>0.26666666666666666</v>
      </c>
      <c r="N91"/>
      <c r="O91" s="8"/>
      <c r="P91"/>
      <c r="Q91" s="8"/>
    </row>
    <row r="92" spans="2:17" x14ac:dyDescent="0.25">
      <c r="B92" s="35">
        <v>3</v>
      </c>
      <c r="C92" s="36" t="s">
        <v>43</v>
      </c>
      <c r="D92" s="37" t="s">
        <v>44</v>
      </c>
      <c r="E92" s="228" t="s">
        <v>179</v>
      </c>
      <c r="F92" s="59" t="s">
        <v>45</v>
      </c>
      <c r="G92" s="59" t="s">
        <v>180</v>
      </c>
      <c r="H92" s="66">
        <v>18</v>
      </c>
      <c r="I92" s="66">
        <v>2</v>
      </c>
      <c r="J92" s="69">
        <f t="shared" si="2"/>
        <v>0.1111111111111111</v>
      </c>
      <c r="K92" s="103">
        <f>+I92+'ABRIL 2025'!K92</f>
        <v>5</v>
      </c>
      <c r="L92" s="94">
        <f t="shared" si="3"/>
        <v>0.27777777777777779</v>
      </c>
      <c r="N92"/>
      <c r="O92" s="8"/>
      <c r="P92"/>
      <c r="Q92" s="8"/>
    </row>
    <row r="93" spans="2:17" x14ac:dyDescent="0.25">
      <c r="B93" s="38">
        <v>3</v>
      </c>
      <c r="C93" s="39" t="s">
        <v>46</v>
      </c>
      <c r="D93" s="40" t="s">
        <v>47</v>
      </c>
      <c r="E93" s="229"/>
      <c r="F93" s="61" t="s">
        <v>48</v>
      </c>
      <c r="G93" s="61" t="s">
        <v>181</v>
      </c>
      <c r="H93" s="68">
        <v>16</v>
      </c>
      <c r="I93" s="55">
        <v>3</v>
      </c>
      <c r="J93" s="69">
        <f t="shared" si="2"/>
        <v>0.1875</v>
      </c>
      <c r="K93" s="90">
        <f>+I93+'ABRIL 2025'!K93</f>
        <v>6</v>
      </c>
      <c r="L93" s="94">
        <f t="shared" si="3"/>
        <v>0.375</v>
      </c>
      <c r="N93"/>
      <c r="O93" s="8"/>
      <c r="P93"/>
      <c r="Q93" s="8"/>
    </row>
    <row r="94" spans="2:17" x14ac:dyDescent="0.25">
      <c r="B94" s="38">
        <v>3</v>
      </c>
      <c r="C94" s="39" t="s">
        <v>98</v>
      </c>
      <c r="D94" s="40" t="s">
        <v>99</v>
      </c>
      <c r="E94" s="229"/>
      <c r="F94" s="61" t="s">
        <v>48</v>
      </c>
      <c r="G94" s="61" t="s">
        <v>197</v>
      </c>
      <c r="H94" s="55">
        <v>16</v>
      </c>
      <c r="I94" s="70">
        <v>3</v>
      </c>
      <c r="J94" s="69">
        <f t="shared" si="2"/>
        <v>0.1875</v>
      </c>
      <c r="K94" s="90">
        <f>+I94+'ABRIL 2025'!K94</f>
        <v>5</v>
      </c>
      <c r="L94" s="94">
        <f t="shared" si="3"/>
        <v>0.3125</v>
      </c>
      <c r="N94"/>
      <c r="O94" s="8"/>
      <c r="P94"/>
      <c r="Q94" s="8"/>
    </row>
    <row r="95" spans="2:17" x14ac:dyDescent="0.25">
      <c r="B95" s="38">
        <v>3</v>
      </c>
      <c r="C95" s="39" t="s">
        <v>49</v>
      </c>
      <c r="D95" s="40" t="s">
        <v>50</v>
      </c>
      <c r="E95" s="229"/>
      <c r="F95" s="61" t="s">
        <v>51</v>
      </c>
      <c r="G95" s="61" t="s">
        <v>197</v>
      </c>
      <c r="H95" s="55">
        <v>16</v>
      </c>
      <c r="I95" s="55">
        <v>3</v>
      </c>
      <c r="J95" s="69">
        <f t="shared" si="2"/>
        <v>0.1875</v>
      </c>
      <c r="K95" s="90">
        <f>+I95+'ABRIL 2025'!K95</f>
        <v>5</v>
      </c>
      <c r="L95" s="94">
        <f t="shared" si="3"/>
        <v>0.3125</v>
      </c>
      <c r="N95"/>
      <c r="O95" s="8"/>
      <c r="P95"/>
      <c r="Q95" s="8"/>
    </row>
    <row r="96" spans="2:17" x14ac:dyDescent="0.25">
      <c r="B96" s="38">
        <v>3</v>
      </c>
      <c r="C96" s="39" t="s">
        <v>52</v>
      </c>
      <c r="D96" s="40" t="s">
        <v>53</v>
      </c>
      <c r="E96" s="229"/>
      <c r="F96" s="61" t="s">
        <v>54</v>
      </c>
      <c r="G96" s="61" t="s">
        <v>198</v>
      </c>
      <c r="H96" s="55">
        <v>16</v>
      </c>
      <c r="I96" s="55">
        <v>3</v>
      </c>
      <c r="J96" s="69">
        <f t="shared" si="2"/>
        <v>0.1875</v>
      </c>
      <c r="K96" s="90">
        <f>+I96+'ABRIL 2025'!K96</f>
        <v>5</v>
      </c>
      <c r="L96" s="94">
        <f t="shared" si="3"/>
        <v>0.3125</v>
      </c>
      <c r="N96"/>
      <c r="O96" s="8"/>
      <c r="P96"/>
      <c r="Q96" s="8"/>
    </row>
    <row r="97" spans="2:17" x14ac:dyDescent="0.25">
      <c r="B97" s="38">
        <v>3</v>
      </c>
      <c r="C97" s="39" t="s">
        <v>55</v>
      </c>
      <c r="D97" s="40" t="s">
        <v>56</v>
      </c>
      <c r="E97" s="229"/>
      <c r="F97" s="61" t="s">
        <v>54</v>
      </c>
      <c r="G97" s="129" t="s">
        <v>244</v>
      </c>
      <c r="H97" s="55">
        <v>16</v>
      </c>
      <c r="I97" s="55">
        <v>3</v>
      </c>
      <c r="J97" s="69">
        <f t="shared" si="2"/>
        <v>0.1875</v>
      </c>
      <c r="K97" s="90">
        <f>+I97+'ABRIL 2025'!K97</f>
        <v>6</v>
      </c>
      <c r="L97" s="94">
        <f t="shared" si="3"/>
        <v>0.375</v>
      </c>
      <c r="N97"/>
      <c r="O97" s="8"/>
      <c r="P97"/>
      <c r="Q97" s="8"/>
    </row>
    <row r="98" spans="2:17" x14ac:dyDescent="0.25">
      <c r="B98" s="38">
        <v>5</v>
      </c>
      <c r="C98" s="39" t="s">
        <v>57</v>
      </c>
      <c r="D98" s="40" t="s">
        <v>58</v>
      </c>
      <c r="E98" s="229"/>
      <c r="F98" s="127" t="s">
        <v>54</v>
      </c>
      <c r="G98" s="61" t="s">
        <v>244</v>
      </c>
      <c r="H98" s="128">
        <v>16</v>
      </c>
      <c r="I98" s="55">
        <v>3</v>
      </c>
      <c r="J98" s="69">
        <f t="shared" si="2"/>
        <v>0.1875</v>
      </c>
      <c r="K98" s="90">
        <f>+I98+'ABRIL 2025'!K98</f>
        <v>6</v>
      </c>
      <c r="L98" s="94">
        <f t="shared" si="3"/>
        <v>0.375</v>
      </c>
      <c r="N98"/>
      <c r="O98" s="8"/>
      <c r="P98"/>
      <c r="Q98" s="8"/>
    </row>
    <row r="99" spans="2:17" s="16" customFormat="1" x14ac:dyDescent="0.25">
      <c r="B99" s="38">
        <v>5</v>
      </c>
      <c r="C99" s="39" t="s">
        <v>118</v>
      </c>
      <c r="D99" s="40" t="s">
        <v>119</v>
      </c>
      <c r="E99" s="229"/>
      <c r="F99" s="61" t="s">
        <v>54</v>
      </c>
      <c r="G99" s="130" t="s">
        <v>180</v>
      </c>
      <c r="H99" s="55">
        <v>16</v>
      </c>
      <c r="I99" s="55">
        <v>3</v>
      </c>
      <c r="J99" s="69">
        <f t="shared" si="2"/>
        <v>0.1875</v>
      </c>
      <c r="K99" s="90">
        <f>+I99+'ABRIL 2025'!K99</f>
        <v>6</v>
      </c>
      <c r="L99" s="94">
        <f t="shared" si="3"/>
        <v>0.375</v>
      </c>
      <c r="N99" s="41"/>
      <c r="P99" s="41"/>
    </row>
    <row r="100" spans="2:17" x14ac:dyDescent="0.25">
      <c r="B100" s="38">
        <v>5</v>
      </c>
      <c r="C100" s="39" t="s">
        <v>120</v>
      </c>
      <c r="D100" s="40" t="s">
        <v>121</v>
      </c>
      <c r="E100" s="229"/>
      <c r="F100" s="61" t="s">
        <v>54</v>
      </c>
      <c r="G100" s="61" t="s">
        <v>245</v>
      </c>
      <c r="H100" s="68">
        <v>18</v>
      </c>
      <c r="I100" s="55">
        <v>3</v>
      </c>
      <c r="J100" s="69">
        <f t="shared" si="2"/>
        <v>0.16666666666666666</v>
      </c>
      <c r="K100" s="90">
        <f>+I100+'ABRIL 2025'!K100</f>
        <v>6</v>
      </c>
      <c r="L100" s="94">
        <f t="shared" si="3"/>
        <v>0.33333333333333331</v>
      </c>
      <c r="N100"/>
      <c r="O100" s="8"/>
      <c r="P100"/>
      <c r="Q100" s="8"/>
    </row>
    <row r="101" spans="2:17" x14ac:dyDescent="0.25">
      <c r="B101" s="38">
        <v>5</v>
      </c>
      <c r="C101" s="39" t="s">
        <v>122</v>
      </c>
      <c r="D101" s="40" t="s">
        <v>123</v>
      </c>
      <c r="E101" s="229"/>
      <c r="F101" s="61" t="s">
        <v>54</v>
      </c>
      <c r="G101" s="61" t="s">
        <v>246</v>
      </c>
      <c r="H101" s="55">
        <v>16</v>
      </c>
      <c r="I101" s="55">
        <v>2</v>
      </c>
      <c r="J101" s="69">
        <f t="shared" si="2"/>
        <v>0.125</v>
      </c>
      <c r="K101" s="90">
        <f>+I101+'ABRIL 2025'!K101</f>
        <v>5</v>
      </c>
      <c r="L101" s="94">
        <f t="shared" si="3"/>
        <v>0.3125</v>
      </c>
      <c r="N101"/>
      <c r="O101" s="8"/>
      <c r="P101"/>
      <c r="Q101" s="8"/>
    </row>
    <row r="102" spans="2:17" x14ac:dyDescent="0.25">
      <c r="B102" s="42">
        <v>5</v>
      </c>
      <c r="C102" s="43" t="s">
        <v>59</v>
      </c>
      <c r="D102" s="44" t="s">
        <v>60</v>
      </c>
      <c r="E102" s="230"/>
      <c r="F102" s="64" t="s">
        <v>54</v>
      </c>
      <c r="G102" s="61" t="s">
        <v>246</v>
      </c>
      <c r="H102" s="56">
        <v>16</v>
      </c>
      <c r="I102" s="56">
        <v>2</v>
      </c>
      <c r="J102" s="72">
        <f t="shared" si="2"/>
        <v>0.125</v>
      </c>
      <c r="K102" s="91">
        <f>+I102+'ABRIL 2025'!K102</f>
        <v>5</v>
      </c>
      <c r="L102" s="96">
        <f t="shared" si="3"/>
        <v>0.3125</v>
      </c>
      <c r="N102"/>
      <c r="O102" s="8"/>
      <c r="P102"/>
      <c r="Q102" s="8"/>
    </row>
    <row r="103" spans="2:17" x14ac:dyDescent="0.25">
      <c r="B103" s="35">
        <v>3</v>
      </c>
      <c r="C103" s="36" t="s">
        <v>43</v>
      </c>
      <c r="D103" s="37" t="s">
        <v>44</v>
      </c>
      <c r="E103" s="218" t="s">
        <v>124</v>
      </c>
      <c r="F103" s="59" t="s">
        <v>535</v>
      </c>
      <c r="G103" s="75" t="s">
        <v>160</v>
      </c>
      <c r="H103" s="66">
        <v>13</v>
      </c>
      <c r="I103" s="66">
        <v>2</v>
      </c>
      <c r="J103" s="69">
        <f t="shared" si="2"/>
        <v>0.15384615384615385</v>
      </c>
      <c r="K103" s="103">
        <f>+I103+'ABRIL 2025'!K103</f>
        <v>4</v>
      </c>
      <c r="L103" s="94">
        <f t="shared" si="3"/>
        <v>0.30769230769230771</v>
      </c>
      <c r="N103"/>
      <c r="O103" s="8"/>
      <c r="P103"/>
      <c r="Q103" s="8"/>
    </row>
    <row r="104" spans="2:17" x14ac:dyDescent="0.25">
      <c r="B104" s="38">
        <v>3</v>
      </c>
      <c r="C104" s="39" t="s">
        <v>46</v>
      </c>
      <c r="D104" s="40" t="s">
        <v>47</v>
      </c>
      <c r="E104" s="219"/>
      <c r="F104" s="61" t="s">
        <v>536</v>
      </c>
      <c r="G104" s="76" t="s">
        <v>161</v>
      </c>
      <c r="H104" s="68">
        <v>14</v>
      </c>
      <c r="I104" s="55">
        <v>3</v>
      </c>
      <c r="J104" s="69">
        <f t="shared" si="2"/>
        <v>0.21428571428571427</v>
      </c>
      <c r="K104" s="90">
        <f>+I104+'ABRIL 2025'!K104</f>
        <v>5</v>
      </c>
      <c r="L104" s="94">
        <f t="shared" si="3"/>
        <v>0.35714285714285715</v>
      </c>
      <c r="N104"/>
      <c r="O104" s="8"/>
      <c r="P104"/>
      <c r="Q104" s="8"/>
    </row>
    <row r="105" spans="2:17" x14ac:dyDescent="0.25">
      <c r="B105" s="38">
        <v>3</v>
      </c>
      <c r="C105" s="39" t="s">
        <v>98</v>
      </c>
      <c r="D105" s="40" t="s">
        <v>99</v>
      </c>
      <c r="E105" s="219"/>
      <c r="F105" s="61" t="s">
        <v>217</v>
      </c>
      <c r="G105" s="62" t="s">
        <v>160</v>
      </c>
      <c r="H105" s="55">
        <v>14</v>
      </c>
      <c r="I105" s="70">
        <v>3</v>
      </c>
      <c r="J105" s="69">
        <f t="shared" si="2"/>
        <v>0.21428571428571427</v>
      </c>
      <c r="K105" s="90">
        <f>+I105+'ABRIL 2025'!K105</f>
        <v>5</v>
      </c>
      <c r="L105" s="94">
        <f t="shared" si="3"/>
        <v>0.35714285714285715</v>
      </c>
      <c r="N105"/>
      <c r="O105" s="8"/>
      <c r="P105"/>
      <c r="Q105" s="8"/>
    </row>
    <row r="106" spans="2:17" x14ac:dyDescent="0.25">
      <c r="B106" s="38">
        <v>3</v>
      </c>
      <c r="C106" s="39" t="s">
        <v>49</v>
      </c>
      <c r="D106" s="40" t="s">
        <v>50</v>
      </c>
      <c r="E106" s="219"/>
      <c r="F106" s="61" t="s">
        <v>271</v>
      </c>
      <c r="G106" s="62" t="s">
        <v>160</v>
      </c>
      <c r="H106" s="55">
        <v>16</v>
      </c>
      <c r="I106" s="55">
        <v>3</v>
      </c>
      <c r="J106" s="69">
        <f t="shared" si="2"/>
        <v>0.1875</v>
      </c>
      <c r="K106" s="90">
        <f>+I106+'ABRIL 2025'!K106</f>
        <v>5</v>
      </c>
      <c r="L106" s="94">
        <f t="shared" si="3"/>
        <v>0.3125</v>
      </c>
      <c r="N106"/>
      <c r="O106" s="8"/>
      <c r="P106"/>
      <c r="Q106" s="8"/>
    </row>
    <row r="107" spans="2:17" x14ac:dyDescent="0.25">
      <c r="B107" s="38">
        <v>3</v>
      </c>
      <c r="C107" s="39" t="s">
        <v>52</v>
      </c>
      <c r="D107" s="40" t="s">
        <v>53</v>
      </c>
      <c r="E107" s="219"/>
      <c r="F107" s="61" t="s">
        <v>537</v>
      </c>
      <c r="G107" s="62" t="s">
        <v>160</v>
      </c>
      <c r="H107" s="55">
        <v>16</v>
      </c>
      <c r="I107" s="55">
        <v>3</v>
      </c>
      <c r="J107" s="69">
        <f t="shared" si="2"/>
        <v>0.1875</v>
      </c>
      <c r="K107" s="90">
        <f>+I107+'ABRIL 2025'!K107</f>
        <v>5</v>
      </c>
      <c r="L107" s="94">
        <f t="shared" si="3"/>
        <v>0.3125</v>
      </c>
      <c r="N107"/>
      <c r="O107" s="8"/>
      <c r="P107"/>
      <c r="Q107" s="8"/>
    </row>
    <row r="108" spans="2:17" x14ac:dyDescent="0.25">
      <c r="B108" s="38">
        <v>3</v>
      </c>
      <c r="C108" s="39" t="s">
        <v>55</v>
      </c>
      <c r="D108" s="40" t="s">
        <v>56</v>
      </c>
      <c r="E108" s="219"/>
      <c r="F108" s="61" t="s">
        <v>164</v>
      </c>
      <c r="G108" s="62" t="s">
        <v>160</v>
      </c>
      <c r="H108" s="55">
        <v>15</v>
      </c>
      <c r="I108" s="55">
        <v>2</v>
      </c>
      <c r="J108" s="69">
        <f t="shared" si="2"/>
        <v>0.13333333333333333</v>
      </c>
      <c r="K108" s="90">
        <f>+I108+'ABRIL 2025'!K108</f>
        <v>5</v>
      </c>
      <c r="L108" s="94">
        <f t="shared" si="3"/>
        <v>0.33333333333333331</v>
      </c>
      <c r="N108"/>
      <c r="O108" s="8"/>
      <c r="P108"/>
      <c r="Q108" s="8"/>
    </row>
    <row r="109" spans="2:17" x14ac:dyDescent="0.25">
      <c r="B109" s="38">
        <v>5</v>
      </c>
      <c r="C109" s="39" t="s">
        <v>57</v>
      </c>
      <c r="D109" s="40" t="s">
        <v>58</v>
      </c>
      <c r="E109" s="219"/>
      <c r="F109" s="61" t="s">
        <v>538</v>
      </c>
      <c r="G109" s="62" t="s">
        <v>160</v>
      </c>
      <c r="H109" s="55">
        <v>16</v>
      </c>
      <c r="I109" s="55">
        <v>2</v>
      </c>
      <c r="J109" s="69">
        <f t="shared" si="2"/>
        <v>0.125</v>
      </c>
      <c r="K109" s="90">
        <f>+I109+'ABRIL 2025'!K109</f>
        <v>5</v>
      </c>
      <c r="L109" s="94">
        <f t="shared" si="3"/>
        <v>0.3125</v>
      </c>
      <c r="N109"/>
      <c r="O109" s="8"/>
      <c r="P109"/>
      <c r="Q109" s="8"/>
    </row>
    <row r="110" spans="2:17" s="16" customFormat="1" x14ac:dyDescent="0.25">
      <c r="B110" s="38">
        <v>5</v>
      </c>
      <c r="C110" s="39" t="s">
        <v>118</v>
      </c>
      <c r="D110" s="40" t="s">
        <v>119</v>
      </c>
      <c r="E110" s="219"/>
      <c r="F110" s="61" t="s">
        <v>539</v>
      </c>
      <c r="G110" s="62" t="s">
        <v>160</v>
      </c>
      <c r="H110" s="55">
        <v>16</v>
      </c>
      <c r="I110" s="55">
        <v>3</v>
      </c>
      <c r="J110" s="69">
        <f t="shared" si="2"/>
        <v>0.1875</v>
      </c>
      <c r="K110" s="90">
        <f>+I110+'ABRIL 2025'!K110</f>
        <v>6</v>
      </c>
      <c r="L110" s="94">
        <f t="shared" si="3"/>
        <v>0.375</v>
      </c>
      <c r="N110" s="41"/>
      <c r="P110" s="41"/>
    </row>
    <row r="111" spans="2:17" x14ac:dyDescent="0.25">
      <c r="B111" s="38">
        <v>5</v>
      </c>
      <c r="C111" s="39" t="s">
        <v>120</v>
      </c>
      <c r="D111" s="40" t="s">
        <v>121</v>
      </c>
      <c r="E111" s="219"/>
      <c r="F111" s="61" t="s">
        <v>166</v>
      </c>
      <c r="G111" s="62" t="s">
        <v>160</v>
      </c>
      <c r="H111" s="68">
        <v>16</v>
      </c>
      <c r="I111" s="68">
        <v>2</v>
      </c>
      <c r="J111" s="69">
        <f t="shared" si="2"/>
        <v>0.125</v>
      </c>
      <c r="K111" s="90">
        <f>+I111+'ABRIL 2025'!K111</f>
        <v>5</v>
      </c>
      <c r="L111" s="94">
        <f t="shared" si="3"/>
        <v>0.3125</v>
      </c>
      <c r="N111"/>
      <c r="O111" s="8"/>
      <c r="P111"/>
      <c r="Q111" s="8"/>
    </row>
    <row r="112" spans="2:17" x14ac:dyDescent="0.25">
      <c r="B112" s="38">
        <v>5</v>
      </c>
      <c r="C112" s="39" t="s">
        <v>122</v>
      </c>
      <c r="D112" s="40" t="s">
        <v>123</v>
      </c>
      <c r="E112" s="219"/>
      <c r="F112" s="61" t="s">
        <v>273</v>
      </c>
      <c r="G112" s="62" t="s">
        <v>160</v>
      </c>
      <c r="H112" s="68">
        <v>20</v>
      </c>
      <c r="I112" s="68">
        <v>2</v>
      </c>
      <c r="J112" s="69">
        <f t="shared" si="2"/>
        <v>0.1</v>
      </c>
      <c r="K112" s="90">
        <f>+I112+'ABRIL 2025'!K112</f>
        <v>6</v>
      </c>
      <c r="L112" s="94">
        <f t="shared" si="3"/>
        <v>0.3</v>
      </c>
      <c r="N112"/>
      <c r="O112" s="8"/>
      <c r="P112"/>
      <c r="Q112" s="8"/>
    </row>
    <row r="113" spans="2:17" x14ac:dyDescent="0.25">
      <c r="B113" s="42">
        <v>5</v>
      </c>
      <c r="C113" s="43" t="s">
        <v>59</v>
      </c>
      <c r="D113" s="44" t="s">
        <v>60</v>
      </c>
      <c r="E113" s="220"/>
      <c r="F113" s="64" t="s">
        <v>221</v>
      </c>
      <c r="G113" s="65" t="s">
        <v>160</v>
      </c>
      <c r="H113" s="56">
        <v>24</v>
      </c>
      <c r="I113" s="56">
        <v>5</v>
      </c>
      <c r="J113" s="72">
        <f t="shared" si="2"/>
        <v>0.20833333333333334</v>
      </c>
      <c r="K113" s="91">
        <f>+I113+'ABRIL 2025'!K113</f>
        <v>9</v>
      </c>
      <c r="L113" s="96">
        <f t="shared" si="3"/>
        <v>0.375</v>
      </c>
      <c r="N113"/>
      <c r="O113" s="8"/>
      <c r="P113"/>
      <c r="Q113" s="8"/>
    </row>
    <row r="114" spans="2:17" x14ac:dyDescent="0.25">
      <c r="B114" s="46">
        <v>3</v>
      </c>
      <c r="C114" s="45" t="s">
        <v>43</v>
      </c>
      <c r="D114" s="47" t="s">
        <v>44</v>
      </c>
      <c r="E114" s="231" t="s">
        <v>128</v>
      </c>
      <c r="F114" s="59" t="s">
        <v>45</v>
      </c>
      <c r="G114" s="60" t="s">
        <v>125</v>
      </c>
      <c r="H114" s="66">
        <v>20</v>
      </c>
      <c r="I114" s="66">
        <v>2</v>
      </c>
      <c r="J114" s="69">
        <f t="shared" si="2"/>
        <v>0.1</v>
      </c>
      <c r="K114" s="103">
        <f>+I114+'ABRIL 2025'!K114</f>
        <v>4</v>
      </c>
      <c r="L114" s="94">
        <f t="shared" si="3"/>
        <v>0.2</v>
      </c>
      <c r="N114"/>
      <c r="O114" s="8"/>
      <c r="P114"/>
      <c r="Q114" s="8"/>
    </row>
    <row r="115" spans="2:17" x14ac:dyDescent="0.25">
      <c r="B115" s="38">
        <v>3</v>
      </c>
      <c r="C115" s="39" t="s">
        <v>46</v>
      </c>
      <c r="D115" s="40" t="s">
        <v>47</v>
      </c>
      <c r="E115" s="219"/>
      <c r="F115" s="61" t="s">
        <v>48</v>
      </c>
      <c r="G115" s="74" t="s">
        <v>200</v>
      </c>
      <c r="H115" s="68">
        <v>14</v>
      </c>
      <c r="I115" s="55">
        <v>3</v>
      </c>
      <c r="J115" s="69">
        <f t="shared" si="2"/>
        <v>0.21428571428571427</v>
      </c>
      <c r="K115" s="90">
        <f>+I115+'ABRIL 2025'!K115</f>
        <v>6</v>
      </c>
      <c r="L115" s="94">
        <f t="shared" si="3"/>
        <v>0.42857142857142855</v>
      </c>
      <c r="N115"/>
      <c r="O115" s="8"/>
      <c r="P115"/>
      <c r="Q115" s="8"/>
    </row>
    <row r="116" spans="2:17" x14ac:dyDescent="0.25">
      <c r="B116" s="38">
        <v>3</v>
      </c>
      <c r="C116" s="39" t="s">
        <v>98</v>
      </c>
      <c r="D116" s="40" t="s">
        <v>99</v>
      </c>
      <c r="E116" s="219"/>
      <c r="F116" s="61" t="s">
        <v>48</v>
      </c>
      <c r="G116" s="62" t="s">
        <v>125</v>
      </c>
      <c r="H116" s="55">
        <v>28</v>
      </c>
      <c r="I116" s="70">
        <v>3</v>
      </c>
      <c r="J116" s="69">
        <f t="shared" si="2"/>
        <v>0.10714285714285714</v>
      </c>
      <c r="K116" s="90">
        <f>+I116+'ABRIL 2025'!K116</f>
        <v>7</v>
      </c>
      <c r="L116" s="94">
        <f t="shared" si="3"/>
        <v>0.25</v>
      </c>
      <c r="N116"/>
      <c r="O116" s="8"/>
      <c r="P116"/>
      <c r="Q116" s="8"/>
    </row>
    <row r="117" spans="2:17" x14ac:dyDescent="0.25">
      <c r="B117" s="38">
        <v>3</v>
      </c>
      <c r="C117" s="39" t="s">
        <v>49</v>
      </c>
      <c r="D117" s="40" t="s">
        <v>50</v>
      </c>
      <c r="E117" s="219"/>
      <c r="F117" s="61" t="s">
        <v>51</v>
      </c>
      <c r="G117" s="62" t="s">
        <v>125</v>
      </c>
      <c r="H117" s="55">
        <v>16</v>
      </c>
      <c r="I117" s="55">
        <v>4</v>
      </c>
      <c r="J117" s="69">
        <f t="shared" si="2"/>
        <v>0.25</v>
      </c>
      <c r="K117" s="90">
        <f>+I117+'ABRIL 2025'!K117</f>
        <v>7</v>
      </c>
      <c r="L117" s="94">
        <f t="shared" si="3"/>
        <v>0.4375</v>
      </c>
      <c r="N117"/>
      <c r="O117" s="8"/>
      <c r="P117"/>
      <c r="Q117" s="8"/>
    </row>
    <row r="118" spans="2:17" x14ac:dyDescent="0.25">
      <c r="B118" s="38">
        <v>3</v>
      </c>
      <c r="C118" s="39" t="s">
        <v>52</v>
      </c>
      <c r="D118" s="40" t="s">
        <v>53</v>
      </c>
      <c r="E118" s="219"/>
      <c r="F118" s="61" t="s">
        <v>54</v>
      </c>
      <c r="G118" s="62" t="s">
        <v>209</v>
      </c>
      <c r="H118" s="55">
        <v>16</v>
      </c>
      <c r="I118" s="55">
        <v>4</v>
      </c>
      <c r="J118" s="69">
        <f t="shared" si="2"/>
        <v>0.25</v>
      </c>
      <c r="K118" s="90">
        <f>+I118+'ABRIL 2025'!K118</f>
        <v>7</v>
      </c>
      <c r="L118" s="94">
        <f t="shared" si="3"/>
        <v>0.4375</v>
      </c>
      <c r="N118"/>
      <c r="O118" s="8"/>
      <c r="P118"/>
      <c r="Q118" s="8"/>
    </row>
    <row r="119" spans="2:17" s="16" customFormat="1" x14ac:dyDescent="0.25">
      <c r="B119" s="38">
        <v>3</v>
      </c>
      <c r="C119" s="39" t="s">
        <v>55</v>
      </c>
      <c r="D119" s="40" t="s">
        <v>56</v>
      </c>
      <c r="E119" s="219"/>
      <c r="F119" s="61" t="s">
        <v>54</v>
      </c>
      <c r="G119" s="62" t="s">
        <v>126</v>
      </c>
      <c r="H119" s="55">
        <v>12</v>
      </c>
      <c r="I119" s="55">
        <v>4</v>
      </c>
      <c r="J119" s="69">
        <f t="shared" si="2"/>
        <v>0.33333333333333331</v>
      </c>
      <c r="K119" s="90">
        <f>+I119+'ABRIL 2025'!K119</f>
        <v>7</v>
      </c>
      <c r="L119" s="94">
        <f t="shared" si="3"/>
        <v>0.58333333333333337</v>
      </c>
      <c r="N119" s="41"/>
      <c r="P119" s="41"/>
    </row>
    <row r="120" spans="2:17" x14ac:dyDescent="0.25">
      <c r="B120" s="38">
        <v>5</v>
      </c>
      <c r="C120" s="39" t="s">
        <v>57</v>
      </c>
      <c r="D120" s="40" t="s">
        <v>58</v>
      </c>
      <c r="E120" s="219"/>
      <c r="F120" s="73" t="s">
        <v>54</v>
      </c>
      <c r="G120" s="62" t="s">
        <v>126</v>
      </c>
      <c r="H120" s="55">
        <v>24</v>
      </c>
      <c r="I120" s="55">
        <v>4</v>
      </c>
      <c r="J120" s="69">
        <f t="shared" si="2"/>
        <v>0.16666666666666666</v>
      </c>
      <c r="K120" s="90">
        <f>+I120+'ABRIL 2025'!K120</f>
        <v>8</v>
      </c>
      <c r="L120" s="94">
        <f t="shared" si="3"/>
        <v>0.33333333333333331</v>
      </c>
      <c r="N120"/>
      <c r="O120" s="8"/>
      <c r="P120"/>
      <c r="Q120" s="8"/>
    </row>
    <row r="121" spans="2:17" x14ac:dyDescent="0.25">
      <c r="B121" s="38">
        <v>5</v>
      </c>
      <c r="C121" s="39" t="s">
        <v>59</v>
      </c>
      <c r="D121" s="40" t="s">
        <v>60</v>
      </c>
      <c r="E121" s="219"/>
      <c r="F121" s="61" t="s">
        <v>54</v>
      </c>
      <c r="G121" s="62" t="s">
        <v>210</v>
      </c>
      <c r="H121" s="55">
        <v>26</v>
      </c>
      <c r="I121" s="55">
        <v>2</v>
      </c>
      <c r="J121" s="69">
        <f t="shared" si="2"/>
        <v>7.6923076923076927E-2</v>
      </c>
      <c r="K121" s="90">
        <f>+I121+'ABRIL 2025'!K121</f>
        <v>6</v>
      </c>
      <c r="L121" s="94">
        <f t="shared" si="3"/>
        <v>0.23076923076923078</v>
      </c>
      <c r="N121"/>
      <c r="O121" s="8"/>
      <c r="P121"/>
      <c r="Q121" s="8"/>
    </row>
    <row r="122" spans="2:17" x14ac:dyDescent="0.25">
      <c r="B122" s="42">
        <v>8</v>
      </c>
      <c r="C122" s="43" t="s">
        <v>61</v>
      </c>
      <c r="D122" s="44" t="s">
        <v>62</v>
      </c>
      <c r="E122" s="220"/>
      <c r="F122" s="64" t="s">
        <v>63</v>
      </c>
      <c r="G122" s="65" t="s">
        <v>127</v>
      </c>
      <c r="H122" s="56">
        <v>24</v>
      </c>
      <c r="I122" s="56">
        <v>4</v>
      </c>
      <c r="J122" s="72">
        <f t="shared" si="2"/>
        <v>0.16666666666666666</v>
      </c>
      <c r="K122" s="91">
        <f>+I122+'ABRIL 2025'!K122</f>
        <v>8</v>
      </c>
      <c r="L122" s="96">
        <f t="shared" si="3"/>
        <v>0.33333333333333331</v>
      </c>
      <c r="N122"/>
      <c r="O122" s="8"/>
      <c r="P122"/>
      <c r="Q122" s="8"/>
    </row>
    <row r="123" spans="2:17" x14ac:dyDescent="0.25">
      <c r="B123" s="35">
        <v>1</v>
      </c>
      <c r="C123" s="36" t="s">
        <v>74</v>
      </c>
      <c r="D123" s="37" t="s">
        <v>75</v>
      </c>
      <c r="E123" s="218" t="s">
        <v>143</v>
      </c>
      <c r="F123" s="59" t="s">
        <v>48</v>
      </c>
      <c r="G123" s="60" t="s">
        <v>129</v>
      </c>
      <c r="H123" s="66">
        <v>14</v>
      </c>
      <c r="I123" s="66">
        <v>3</v>
      </c>
      <c r="J123" s="69">
        <f t="shared" si="2"/>
        <v>0.21428571428571427</v>
      </c>
      <c r="K123" s="103">
        <f>+I123+'ABRIL 2025'!K123</f>
        <v>5</v>
      </c>
      <c r="L123" s="94">
        <f t="shared" si="3"/>
        <v>0.35714285714285715</v>
      </c>
      <c r="N123"/>
      <c r="O123" s="8"/>
      <c r="P123"/>
      <c r="Q123" s="8"/>
    </row>
    <row r="124" spans="2:17" x14ac:dyDescent="0.25">
      <c r="B124" s="38">
        <v>1</v>
      </c>
      <c r="C124" s="39" t="s">
        <v>77</v>
      </c>
      <c r="D124" s="40" t="s">
        <v>78</v>
      </c>
      <c r="E124" s="219"/>
      <c r="F124" s="61" t="s">
        <v>227</v>
      </c>
      <c r="G124" s="62" t="s">
        <v>130</v>
      </c>
      <c r="H124" s="68">
        <v>14</v>
      </c>
      <c r="I124" s="55">
        <v>3</v>
      </c>
      <c r="J124" s="69">
        <f t="shared" si="2"/>
        <v>0.21428571428571427</v>
      </c>
      <c r="K124" s="90">
        <f>+I124+'ABRIL 2025'!K124</f>
        <v>5</v>
      </c>
      <c r="L124" s="94">
        <f t="shared" si="3"/>
        <v>0.35714285714285715</v>
      </c>
      <c r="N124"/>
      <c r="O124" s="8"/>
      <c r="P124"/>
      <c r="Q124" s="8"/>
    </row>
    <row r="125" spans="2:17" x14ac:dyDescent="0.25">
      <c r="B125" s="38">
        <v>1</v>
      </c>
      <c r="C125" s="39" t="s">
        <v>79</v>
      </c>
      <c r="D125" s="40" t="s">
        <v>80</v>
      </c>
      <c r="E125" s="219"/>
      <c r="F125" s="61" t="s">
        <v>228</v>
      </c>
      <c r="G125" s="62" t="s">
        <v>131</v>
      </c>
      <c r="H125" s="55">
        <v>16</v>
      </c>
      <c r="I125" s="70">
        <v>2</v>
      </c>
      <c r="J125" s="69">
        <f t="shared" si="2"/>
        <v>0.125</v>
      </c>
      <c r="K125" s="90">
        <f>+I125+'ABRIL 2025'!K125</f>
        <v>5</v>
      </c>
      <c r="L125" s="94">
        <f t="shared" si="3"/>
        <v>0.3125</v>
      </c>
      <c r="N125"/>
      <c r="O125" s="8"/>
      <c r="P125"/>
      <c r="Q125" s="8"/>
    </row>
    <row r="126" spans="2:17" x14ac:dyDescent="0.25">
      <c r="B126" s="38">
        <v>1</v>
      </c>
      <c r="C126" s="39" t="s">
        <v>82</v>
      </c>
      <c r="D126" s="40" t="s">
        <v>83</v>
      </c>
      <c r="E126" s="219"/>
      <c r="F126" s="61" t="s">
        <v>132</v>
      </c>
      <c r="G126" s="62" t="s">
        <v>32</v>
      </c>
      <c r="H126" s="55">
        <v>18</v>
      </c>
      <c r="I126" s="55">
        <v>3</v>
      </c>
      <c r="J126" s="69">
        <f t="shared" si="2"/>
        <v>0.16666666666666666</v>
      </c>
      <c r="K126" s="90">
        <f>+I126+'ABRIL 2025'!K126</f>
        <v>6</v>
      </c>
      <c r="L126" s="94">
        <f t="shared" si="3"/>
        <v>0.33333333333333331</v>
      </c>
      <c r="N126"/>
      <c r="O126" s="8"/>
      <c r="P126"/>
      <c r="Q126" s="8"/>
    </row>
    <row r="127" spans="2:17" x14ac:dyDescent="0.25">
      <c r="B127" s="38">
        <v>1</v>
      </c>
      <c r="C127" s="39" t="s">
        <v>84</v>
      </c>
      <c r="D127" s="40" t="s">
        <v>85</v>
      </c>
      <c r="E127" s="219"/>
      <c r="F127" s="61" t="s">
        <v>133</v>
      </c>
      <c r="G127" s="62" t="s">
        <v>134</v>
      </c>
      <c r="H127" s="55">
        <v>24</v>
      </c>
      <c r="I127" s="55">
        <v>4</v>
      </c>
      <c r="J127" s="69">
        <f t="shared" si="2"/>
        <v>0.16666666666666666</v>
      </c>
      <c r="K127" s="90">
        <f>+I127+'ABRIL 2025'!K127</f>
        <v>8</v>
      </c>
      <c r="L127" s="94">
        <f t="shared" si="3"/>
        <v>0.33333333333333331</v>
      </c>
      <c r="N127"/>
      <c r="O127" s="8"/>
      <c r="P127"/>
      <c r="Q127" s="8"/>
    </row>
    <row r="128" spans="2:17" x14ac:dyDescent="0.25">
      <c r="B128" s="38">
        <v>1</v>
      </c>
      <c r="C128" s="39" t="s">
        <v>86</v>
      </c>
      <c r="D128" s="40" t="s">
        <v>87</v>
      </c>
      <c r="E128" s="219"/>
      <c r="F128" s="61" t="s">
        <v>135</v>
      </c>
      <c r="G128" s="62" t="s">
        <v>136</v>
      </c>
      <c r="H128" s="55">
        <v>16</v>
      </c>
      <c r="I128" s="55">
        <v>3</v>
      </c>
      <c r="J128" s="69">
        <f t="shared" si="2"/>
        <v>0.1875</v>
      </c>
      <c r="K128" s="90">
        <f>+I128+'ABRIL 2025'!K128</f>
        <v>6</v>
      </c>
      <c r="L128" s="94">
        <f t="shared" si="3"/>
        <v>0.375</v>
      </c>
      <c r="N128"/>
      <c r="O128" s="8"/>
      <c r="P128"/>
      <c r="Q128" s="8"/>
    </row>
    <row r="129" spans="2:17" x14ac:dyDescent="0.25">
      <c r="B129" s="38">
        <v>1</v>
      </c>
      <c r="C129" s="39" t="s">
        <v>89</v>
      </c>
      <c r="D129" s="40" t="s">
        <v>90</v>
      </c>
      <c r="E129" s="219"/>
      <c r="F129" s="61" t="s">
        <v>137</v>
      </c>
      <c r="G129" s="62" t="s">
        <v>130</v>
      </c>
      <c r="H129" s="55">
        <v>18</v>
      </c>
      <c r="I129" s="55">
        <v>3</v>
      </c>
      <c r="J129" s="69">
        <f t="shared" si="2"/>
        <v>0.16666666666666666</v>
      </c>
      <c r="K129" s="90">
        <f>+I129+'ABRIL 2025'!K129</f>
        <v>6</v>
      </c>
      <c r="L129" s="94">
        <f t="shared" si="3"/>
        <v>0.33333333333333331</v>
      </c>
      <c r="N129"/>
      <c r="O129" s="8"/>
      <c r="P129"/>
      <c r="Q129" s="8"/>
    </row>
    <row r="130" spans="2:17" s="16" customFormat="1" x14ac:dyDescent="0.25">
      <c r="B130" s="38">
        <v>1</v>
      </c>
      <c r="C130" s="39" t="s">
        <v>92</v>
      </c>
      <c r="D130" s="40" t="s">
        <v>93</v>
      </c>
      <c r="E130" s="219"/>
      <c r="F130" s="61" t="s">
        <v>138</v>
      </c>
      <c r="G130" s="62" t="s">
        <v>136</v>
      </c>
      <c r="H130" s="55">
        <v>16</v>
      </c>
      <c r="I130" s="55">
        <v>2</v>
      </c>
      <c r="J130" s="69">
        <f t="shared" si="2"/>
        <v>0.125</v>
      </c>
      <c r="K130" s="90">
        <f>+I130+'ABRIL 2025'!K130</f>
        <v>5</v>
      </c>
      <c r="L130" s="94">
        <f t="shared" si="3"/>
        <v>0.3125</v>
      </c>
      <c r="N130" s="41"/>
      <c r="P130" s="41"/>
    </row>
    <row r="131" spans="2:17" x14ac:dyDescent="0.25">
      <c r="B131" s="38">
        <v>1</v>
      </c>
      <c r="C131" s="39" t="s">
        <v>95</v>
      </c>
      <c r="D131" s="40" t="s">
        <v>96</v>
      </c>
      <c r="E131" s="219"/>
      <c r="F131" s="61" t="s">
        <v>139</v>
      </c>
      <c r="G131" s="62" t="s">
        <v>129</v>
      </c>
      <c r="H131" s="68">
        <v>10</v>
      </c>
      <c r="I131" s="55">
        <v>1</v>
      </c>
      <c r="J131" s="69">
        <f t="shared" si="2"/>
        <v>0.1</v>
      </c>
      <c r="K131" s="90">
        <f>+I131+'ABRIL 2025'!K131</f>
        <v>3</v>
      </c>
      <c r="L131" s="94">
        <f t="shared" si="3"/>
        <v>0.3</v>
      </c>
      <c r="N131"/>
      <c r="O131" s="8"/>
      <c r="P131"/>
      <c r="Q131" s="8"/>
    </row>
    <row r="132" spans="2:17" x14ac:dyDescent="0.25">
      <c r="B132" s="38">
        <v>2</v>
      </c>
      <c r="C132" s="39" t="s">
        <v>140</v>
      </c>
      <c r="D132" s="40" t="s">
        <v>141</v>
      </c>
      <c r="E132" s="219"/>
      <c r="F132" s="61" t="s">
        <v>135</v>
      </c>
      <c r="G132" s="62" t="s">
        <v>130</v>
      </c>
      <c r="H132" s="55">
        <v>14</v>
      </c>
      <c r="I132" s="55">
        <v>3</v>
      </c>
      <c r="J132" s="69">
        <f t="shared" si="2"/>
        <v>0.21428571428571427</v>
      </c>
      <c r="K132" s="90">
        <f>+I132+'ABRIL 2025'!K132</f>
        <v>5</v>
      </c>
      <c r="L132" s="94">
        <f t="shared" si="3"/>
        <v>0.35714285714285715</v>
      </c>
      <c r="N132"/>
      <c r="O132" s="8"/>
      <c r="P132"/>
      <c r="Q132" s="8"/>
    </row>
    <row r="133" spans="2:17" x14ac:dyDescent="0.25">
      <c r="B133" s="42">
        <v>2</v>
      </c>
      <c r="C133" s="43" t="s">
        <v>57</v>
      </c>
      <c r="D133" s="44" t="s">
        <v>58</v>
      </c>
      <c r="E133" s="220"/>
      <c r="F133" s="64" t="s">
        <v>54</v>
      </c>
      <c r="G133" s="65" t="s">
        <v>142</v>
      </c>
      <c r="H133" s="56">
        <v>20</v>
      </c>
      <c r="I133" s="56">
        <v>3</v>
      </c>
      <c r="J133" s="72">
        <f t="shared" si="2"/>
        <v>0.15</v>
      </c>
      <c r="K133" s="91">
        <f>+I133+'ABRIL 2025'!K133</f>
        <v>6</v>
      </c>
      <c r="L133" s="96">
        <f t="shared" si="3"/>
        <v>0.3</v>
      </c>
      <c r="N133"/>
      <c r="O133" s="8"/>
      <c r="P133"/>
      <c r="Q133" s="8"/>
    </row>
    <row r="134" spans="2:17" x14ac:dyDescent="0.25">
      <c r="B134" s="35">
        <v>1</v>
      </c>
      <c r="C134" s="36" t="s">
        <v>144</v>
      </c>
      <c r="D134" s="37" t="s">
        <v>145</v>
      </c>
      <c r="E134" s="228" t="s">
        <v>205</v>
      </c>
      <c r="F134" s="61" t="s">
        <v>540</v>
      </c>
      <c r="G134" s="60" t="s">
        <v>541</v>
      </c>
      <c r="H134" s="66">
        <v>20</v>
      </c>
      <c r="I134" s="66">
        <v>3</v>
      </c>
      <c r="J134" s="69">
        <f t="shared" si="2"/>
        <v>0.15</v>
      </c>
      <c r="K134" s="103">
        <f>+I134+'ABRIL 2025'!K134</f>
        <v>6</v>
      </c>
      <c r="L134" s="94">
        <f t="shared" si="3"/>
        <v>0.3</v>
      </c>
      <c r="N134"/>
      <c r="O134" s="8"/>
      <c r="P134"/>
      <c r="Q134" s="8"/>
    </row>
    <row r="135" spans="2:17" x14ac:dyDescent="0.25">
      <c r="B135" s="38">
        <v>1</v>
      </c>
      <c r="C135" s="39" t="s">
        <v>74</v>
      </c>
      <c r="D135" s="40" t="s">
        <v>75</v>
      </c>
      <c r="E135" s="229"/>
      <c r="F135" s="61" t="s">
        <v>223</v>
      </c>
      <c r="G135" s="62" t="s">
        <v>542</v>
      </c>
      <c r="H135" s="68">
        <v>20</v>
      </c>
      <c r="I135" s="55">
        <v>3</v>
      </c>
      <c r="J135" s="69">
        <f t="shared" si="2"/>
        <v>0.15</v>
      </c>
      <c r="K135" s="90">
        <f>+I135+'ABRIL 2025'!K135</f>
        <v>5</v>
      </c>
      <c r="L135" s="94">
        <f t="shared" si="3"/>
        <v>0.25</v>
      </c>
      <c r="N135"/>
      <c r="O135" s="8"/>
      <c r="P135"/>
      <c r="Q135" s="8"/>
    </row>
    <row r="136" spans="2:17" x14ac:dyDescent="0.25">
      <c r="B136" s="38">
        <v>1</v>
      </c>
      <c r="C136" s="39" t="s">
        <v>77</v>
      </c>
      <c r="D136" s="40" t="s">
        <v>78</v>
      </c>
      <c r="E136" s="229"/>
      <c r="F136" s="61" t="s">
        <v>543</v>
      </c>
      <c r="G136" s="63" t="s">
        <v>544</v>
      </c>
      <c r="H136" s="55">
        <v>20</v>
      </c>
      <c r="I136" s="70">
        <v>2</v>
      </c>
      <c r="J136" s="69">
        <f t="shared" si="2"/>
        <v>0.1</v>
      </c>
      <c r="K136" s="90">
        <f>+I136+'ABRIL 2025'!K136</f>
        <v>4</v>
      </c>
      <c r="L136" s="94">
        <f t="shared" si="3"/>
        <v>0.2</v>
      </c>
      <c r="N136"/>
      <c r="O136" s="8"/>
      <c r="P136"/>
      <c r="Q136" s="8"/>
    </row>
    <row r="137" spans="2:17" x14ac:dyDescent="0.25">
      <c r="B137" s="38">
        <v>1</v>
      </c>
      <c r="C137" s="39" t="s">
        <v>79</v>
      </c>
      <c r="D137" s="40" t="s">
        <v>80</v>
      </c>
      <c r="E137" s="229"/>
      <c r="F137" s="61" t="s">
        <v>242</v>
      </c>
      <c r="G137" s="62" t="s">
        <v>545</v>
      </c>
      <c r="H137" s="55">
        <v>20</v>
      </c>
      <c r="I137" s="55">
        <v>5</v>
      </c>
      <c r="J137" s="69">
        <f t="shared" si="2"/>
        <v>0.25</v>
      </c>
      <c r="K137" s="90">
        <f>+I137+'ABRIL 2025'!K137</f>
        <v>10</v>
      </c>
      <c r="L137" s="94">
        <f t="shared" si="3"/>
        <v>0.5</v>
      </c>
      <c r="N137"/>
      <c r="O137" s="8"/>
      <c r="P137"/>
      <c r="Q137" s="8"/>
    </row>
    <row r="138" spans="2:17" x14ac:dyDescent="0.25">
      <c r="B138" s="38">
        <v>1</v>
      </c>
      <c r="C138" s="39" t="s">
        <v>82</v>
      </c>
      <c r="D138" s="40" t="s">
        <v>83</v>
      </c>
      <c r="E138" s="229"/>
      <c r="F138" s="61" t="s">
        <v>172</v>
      </c>
      <c r="G138" s="62" t="s">
        <v>172</v>
      </c>
      <c r="H138" s="55">
        <v>2</v>
      </c>
      <c r="I138" s="55">
        <v>0</v>
      </c>
      <c r="J138" s="69">
        <f t="shared" si="2"/>
        <v>0</v>
      </c>
      <c r="K138" s="90">
        <f>+I138+'ABRIL 2025'!K138</f>
        <v>2</v>
      </c>
      <c r="L138" s="94">
        <f t="shared" si="3"/>
        <v>1</v>
      </c>
      <c r="N138"/>
      <c r="O138" s="8"/>
      <c r="P138"/>
      <c r="Q138" s="8"/>
    </row>
    <row r="139" spans="2:17" x14ac:dyDescent="0.25">
      <c r="B139" s="38">
        <v>1</v>
      </c>
      <c r="C139" s="39" t="s">
        <v>84</v>
      </c>
      <c r="D139" s="40" t="s">
        <v>85</v>
      </c>
      <c r="E139" s="229"/>
      <c r="F139" s="61" t="s">
        <v>201</v>
      </c>
      <c r="G139" s="62" t="s">
        <v>32</v>
      </c>
      <c r="H139" s="55">
        <v>40</v>
      </c>
      <c r="I139" s="55">
        <v>5</v>
      </c>
      <c r="J139" s="69">
        <f t="shared" si="2"/>
        <v>0.125</v>
      </c>
      <c r="K139" s="90">
        <f>+I139+'ABRIL 2025'!K139</f>
        <v>10</v>
      </c>
      <c r="L139" s="94">
        <f t="shared" si="3"/>
        <v>0.25</v>
      </c>
      <c r="N139"/>
      <c r="O139" s="8"/>
      <c r="P139"/>
      <c r="Q139" s="8"/>
    </row>
    <row r="140" spans="2:17" x14ac:dyDescent="0.25">
      <c r="B140" s="38">
        <v>1</v>
      </c>
      <c r="C140" s="39" t="s">
        <v>86</v>
      </c>
      <c r="D140" s="40" t="s">
        <v>87</v>
      </c>
      <c r="E140" s="229"/>
      <c r="F140" s="40" t="s">
        <v>172</v>
      </c>
      <c r="G140" s="62" t="s">
        <v>172</v>
      </c>
      <c r="H140" s="55">
        <v>2</v>
      </c>
      <c r="I140" s="55">
        <v>0</v>
      </c>
      <c r="J140" s="69">
        <f t="shared" si="2"/>
        <v>0</v>
      </c>
      <c r="K140" s="90">
        <f>+I140+'ABRIL 2025'!K140</f>
        <v>2</v>
      </c>
      <c r="L140" s="94">
        <f t="shared" si="3"/>
        <v>1</v>
      </c>
      <c r="N140"/>
      <c r="O140" s="8"/>
      <c r="P140"/>
      <c r="Q140" s="8"/>
    </row>
    <row r="141" spans="2:17" x14ac:dyDescent="0.25">
      <c r="B141" s="38">
        <v>1</v>
      </c>
      <c r="C141" s="39" t="s">
        <v>89</v>
      </c>
      <c r="D141" s="40" t="s">
        <v>90</v>
      </c>
      <c r="E141" s="229"/>
      <c r="F141" s="61" t="s">
        <v>276</v>
      </c>
      <c r="G141" s="62" t="s">
        <v>546</v>
      </c>
      <c r="H141" s="55">
        <v>8</v>
      </c>
      <c r="I141" s="55">
        <v>2</v>
      </c>
      <c r="J141" s="69">
        <f t="shared" si="2"/>
        <v>0.25</v>
      </c>
      <c r="K141" s="90">
        <f>+I141+'ABRIL 2025'!K141</f>
        <v>4</v>
      </c>
      <c r="L141" s="94">
        <f t="shared" si="3"/>
        <v>0.5</v>
      </c>
      <c r="N141"/>
      <c r="O141" s="8"/>
      <c r="P141"/>
      <c r="Q141" s="8"/>
    </row>
    <row r="142" spans="2:17" s="16" customFormat="1" x14ac:dyDescent="0.25">
      <c r="B142" s="38">
        <v>1</v>
      </c>
      <c r="C142" s="39" t="s">
        <v>92</v>
      </c>
      <c r="D142" s="40" t="s">
        <v>93</v>
      </c>
      <c r="E142" s="229"/>
      <c r="F142" s="1" t="s">
        <v>547</v>
      </c>
      <c r="G142" s="62" t="s">
        <v>548</v>
      </c>
      <c r="H142" s="68">
        <v>15</v>
      </c>
      <c r="I142" s="55">
        <v>2</v>
      </c>
      <c r="J142" s="69">
        <f t="shared" si="2"/>
        <v>0.13333333333333333</v>
      </c>
      <c r="K142" s="90">
        <f>+I142+'ABRIL 2025'!K142</f>
        <v>4</v>
      </c>
      <c r="L142" s="94">
        <f t="shared" si="3"/>
        <v>0.26666666666666666</v>
      </c>
      <c r="N142" s="41"/>
      <c r="P142" s="41"/>
    </row>
    <row r="143" spans="2:17" x14ac:dyDescent="0.25">
      <c r="B143" s="38">
        <v>1</v>
      </c>
      <c r="C143" s="39" t="s">
        <v>146</v>
      </c>
      <c r="D143" s="40" t="s">
        <v>147</v>
      </c>
      <c r="E143" s="229"/>
      <c r="F143" s="61" t="s">
        <v>182</v>
      </c>
      <c r="G143" s="62" t="s">
        <v>32</v>
      </c>
      <c r="H143" s="55">
        <v>5</v>
      </c>
      <c r="I143" s="55">
        <v>2</v>
      </c>
      <c r="J143" s="69">
        <f t="shared" ref="J143:J206" si="4">IFERROR(I143/H143,0)</f>
        <v>0.4</v>
      </c>
      <c r="K143" s="90">
        <f>+I143+'ABRIL 2025'!K143</f>
        <v>4</v>
      </c>
      <c r="L143" s="94">
        <f t="shared" ref="L143:L206" si="5">IFERROR(K143/H143,0)</f>
        <v>0.8</v>
      </c>
      <c r="N143"/>
      <c r="O143" s="8"/>
      <c r="P143"/>
      <c r="Q143" s="8"/>
    </row>
    <row r="144" spans="2:17" x14ac:dyDescent="0.25">
      <c r="B144" s="38">
        <v>1</v>
      </c>
      <c r="C144" s="39" t="s">
        <v>95</v>
      </c>
      <c r="D144" s="40" t="s">
        <v>96</v>
      </c>
      <c r="E144" s="229"/>
      <c r="F144" s="61" t="s">
        <v>218</v>
      </c>
      <c r="G144" s="63" t="s">
        <v>549</v>
      </c>
      <c r="H144" s="55">
        <v>13</v>
      </c>
      <c r="I144" s="70">
        <v>3</v>
      </c>
      <c r="J144" s="69">
        <f t="shared" si="4"/>
        <v>0.23076923076923078</v>
      </c>
      <c r="K144" s="90">
        <f>+I144+'ABRIL 2025'!K144</f>
        <v>4</v>
      </c>
      <c r="L144" s="94">
        <f t="shared" si="5"/>
        <v>0.30769230769230771</v>
      </c>
      <c r="N144"/>
      <c r="O144" s="8"/>
      <c r="P144"/>
      <c r="Q144" s="8"/>
    </row>
    <row r="145" spans="2:17" x14ac:dyDescent="0.25">
      <c r="B145" s="42">
        <v>8</v>
      </c>
      <c r="C145" s="43" t="s">
        <v>148</v>
      </c>
      <c r="D145" s="44" t="s">
        <v>141</v>
      </c>
      <c r="E145" s="230"/>
      <c r="F145" s="64" t="s">
        <v>202</v>
      </c>
      <c r="G145" s="65" t="s">
        <v>550</v>
      </c>
      <c r="H145" s="56">
        <v>15</v>
      </c>
      <c r="I145" s="56">
        <v>3</v>
      </c>
      <c r="J145" s="72">
        <f t="shared" si="4"/>
        <v>0.2</v>
      </c>
      <c r="K145" s="91">
        <f>+I145+'ABRIL 2025'!K145</f>
        <v>5</v>
      </c>
      <c r="L145" s="96">
        <f t="shared" si="5"/>
        <v>0.33333333333333331</v>
      </c>
      <c r="N145"/>
      <c r="O145" s="8"/>
      <c r="P145"/>
      <c r="Q145" s="8"/>
    </row>
    <row r="146" spans="2:17" x14ac:dyDescent="0.25">
      <c r="B146" s="35">
        <v>3</v>
      </c>
      <c r="C146" s="36" t="s">
        <v>43</v>
      </c>
      <c r="D146" s="37" t="s">
        <v>44</v>
      </c>
      <c r="E146" s="235" t="s">
        <v>239</v>
      </c>
      <c r="F146" s="59" t="s">
        <v>45</v>
      </c>
      <c r="G146" s="77" t="s">
        <v>551</v>
      </c>
      <c r="H146" s="66">
        <v>16</v>
      </c>
      <c r="I146" s="66">
        <v>2</v>
      </c>
      <c r="J146" s="69">
        <f t="shared" si="4"/>
        <v>0.125</v>
      </c>
      <c r="K146" s="103">
        <f>+I146+'ABRIL 2025'!K146</f>
        <v>6</v>
      </c>
      <c r="L146" s="94">
        <f t="shared" si="5"/>
        <v>0.375</v>
      </c>
      <c r="N146"/>
      <c r="O146" s="8"/>
      <c r="P146"/>
      <c r="Q146" s="8"/>
    </row>
    <row r="147" spans="2:17" x14ac:dyDescent="0.25">
      <c r="B147" s="38">
        <v>3</v>
      </c>
      <c r="C147" s="39" t="s">
        <v>149</v>
      </c>
      <c r="D147" s="40" t="s">
        <v>150</v>
      </c>
      <c r="E147" s="236"/>
      <c r="F147" s="61" t="s">
        <v>48</v>
      </c>
      <c r="G147" s="78" t="s">
        <v>552</v>
      </c>
      <c r="H147" s="68">
        <v>17</v>
      </c>
      <c r="I147" s="55">
        <v>3</v>
      </c>
      <c r="J147" s="69">
        <f t="shared" si="4"/>
        <v>0.17647058823529413</v>
      </c>
      <c r="K147" s="90">
        <f>+I147+'ABRIL 2025'!K147</f>
        <v>5</v>
      </c>
      <c r="L147" s="94">
        <f t="shared" si="5"/>
        <v>0.29411764705882354</v>
      </c>
      <c r="N147"/>
      <c r="O147" s="8"/>
      <c r="P147"/>
      <c r="Q147" s="8"/>
    </row>
    <row r="148" spans="2:17" x14ac:dyDescent="0.25">
      <c r="B148" s="38">
        <v>3</v>
      </c>
      <c r="C148" s="39" t="s">
        <v>46</v>
      </c>
      <c r="D148" s="40" t="s">
        <v>47</v>
      </c>
      <c r="E148" s="236"/>
      <c r="F148" s="61" t="s">
        <v>48</v>
      </c>
      <c r="G148" s="79" t="s">
        <v>553</v>
      </c>
      <c r="H148" s="55">
        <v>16</v>
      </c>
      <c r="I148" s="70">
        <v>3</v>
      </c>
      <c r="J148" s="69">
        <f t="shared" si="4"/>
        <v>0.1875</v>
      </c>
      <c r="K148" s="90">
        <f>+I148+'ABRIL 2025'!K148</f>
        <v>5</v>
      </c>
      <c r="L148" s="94">
        <f t="shared" si="5"/>
        <v>0.3125</v>
      </c>
      <c r="N148"/>
      <c r="O148" s="8"/>
      <c r="P148"/>
      <c r="Q148" s="8"/>
    </row>
    <row r="149" spans="2:17" x14ac:dyDescent="0.25">
      <c r="B149" s="38">
        <v>3</v>
      </c>
      <c r="C149" s="39" t="s">
        <v>98</v>
      </c>
      <c r="D149" s="40" t="s">
        <v>99</v>
      </c>
      <c r="E149" s="236"/>
      <c r="F149" s="61" t="s">
        <v>48</v>
      </c>
      <c r="G149" s="78" t="s">
        <v>554</v>
      </c>
      <c r="H149" s="55">
        <v>17</v>
      </c>
      <c r="I149" s="55">
        <v>3</v>
      </c>
      <c r="J149" s="69">
        <f t="shared" si="4"/>
        <v>0.17647058823529413</v>
      </c>
      <c r="K149" s="90">
        <f>+I149+'ABRIL 2025'!K149</f>
        <v>7</v>
      </c>
      <c r="L149" s="94">
        <f t="shared" si="5"/>
        <v>0.41176470588235292</v>
      </c>
      <c r="N149"/>
      <c r="O149" s="8"/>
      <c r="P149"/>
      <c r="Q149" s="8"/>
    </row>
    <row r="150" spans="2:17" x14ac:dyDescent="0.25">
      <c r="B150" s="38">
        <v>3</v>
      </c>
      <c r="C150" s="39" t="s">
        <v>49</v>
      </c>
      <c r="D150" s="40" t="s">
        <v>50</v>
      </c>
      <c r="E150" s="236"/>
      <c r="F150" s="61" t="s">
        <v>51</v>
      </c>
      <c r="G150" s="78" t="s">
        <v>555</v>
      </c>
      <c r="H150" s="55">
        <v>16</v>
      </c>
      <c r="I150" s="55">
        <v>3</v>
      </c>
      <c r="J150" s="69">
        <f t="shared" si="4"/>
        <v>0.1875</v>
      </c>
      <c r="K150" s="90">
        <f>+I150+'ABRIL 2025'!K150</f>
        <v>5</v>
      </c>
      <c r="L150" s="94">
        <f t="shared" si="5"/>
        <v>0.3125</v>
      </c>
      <c r="N150"/>
      <c r="O150" s="8"/>
      <c r="P150"/>
      <c r="Q150" s="8"/>
    </row>
    <row r="151" spans="2:17" x14ac:dyDescent="0.25">
      <c r="B151" s="38">
        <v>3</v>
      </c>
      <c r="C151" s="39" t="s">
        <v>52</v>
      </c>
      <c r="D151" s="40" t="s">
        <v>53</v>
      </c>
      <c r="E151" s="236"/>
      <c r="F151" s="61" t="s">
        <v>54</v>
      </c>
      <c r="G151" s="78" t="s">
        <v>556</v>
      </c>
      <c r="H151" s="55">
        <v>17</v>
      </c>
      <c r="I151" s="55">
        <v>2</v>
      </c>
      <c r="J151" s="69">
        <f t="shared" si="4"/>
        <v>0.11764705882352941</v>
      </c>
      <c r="K151" s="90">
        <f>+I151+'ABRIL 2025'!K151</f>
        <v>6</v>
      </c>
      <c r="L151" s="94">
        <f t="shared" si="5"/>
        <v>0.35294117647058826</v>
      </c>
      <c r="N151"/>
      <c r="O151" s="8"/>
      <c r="P151"/>
      <c r="Q151" s="8"/>
    </row>
    <row r="152" spans="2:17" x14ac:dyDescent="0.25">
      <c r="B152" s="38">
        <v>3</v>
      </c>
      <c r="C152" s="39" t="s">
        <v>55</v>
      </c>
      <c r="D152" s="40" t="s">
        <v>56</v>
      </c>
      <c r="E152" s="236"/>
      <c r="F152" s="61" t="s">
        <v>54</v>
      </c>
      <c r="G152" s="78" t="s">
        <v>557</v>
      </c>
      <c r="H152" s="55">
        <v>16</v>
      </c>
      <c r="I152" s="55">
        <v>3</v>
      </c>
      <c r="J152" s="69">
        <f t="shared" si="4"/>
        <v>0.1875</v>
      </c>
      <c r="K152" s="90">
        <f>+I152+'ABRIL 2025'!K152</f>
        <v>6</v>
      </c>
      <c r="L152" s="94">
        <f t="shared" si="5"/>
        <v>0.375</v>
      </c>
      <c r="N152"/>
      <c r="O152" s="8"/>
      <c r="P152"/>
      <c r="Q152" s="8"/>
    </row>
    <row r="153" spans="2:17" s="16" customFormat="1" x14ac:dyDescent="0.25">
      <c r="B153" s="38">
        <v>5</v>
      </c>
      <c r="C153" s="39" t="s">
        <v>151</v>
      </c>
      <c r="D153" s="40" t="s">
        <v>152</v>
      </c>
      <c r="E153" s="236"/>
      <c r="F153" s="61" t="s">
        <v>48</v>
      </c>
      <c r="G153" s="78" t="s">
        <v>558</v>
      </c>
      <c r="H153" s="55">
        <v>16</v>
      </c>
      <c r="I153" s="55">
        <v>2</v>
      </c>
      <c r="J153" s="69">
        <f t="shared" si="4"/>
        <v>0.125</v>
      </c>
      <c r="K153" s="90">
        <f>+I153+'ABRIL 2025'!K153</f>
        <v>4</v>
      </c>
      <c r="L153" s="94">
        <f t="shared" si="5"/>
        <v>0.25</v>
      </c>
      <c r="N153" s="41"/>
      <c r="P153" s="41"/>
    </row>
    <row r="154" spans="2:17" x14ac:dyDescent="0.25">
      <c r="B154" s="38">
        <v>5</v>
      </c>
      <c r="C154" s="39" t="s">
        <v>57</v>
      </c>
      <c r="D154" s="40" t="s">
        <v>58</v>
      </c>
      <c r="E154" s="236"/>
      <c r="F154" s="61" t="s">
        <v>54</v>
      </c>
      <c r="G154" s="78" t="s">
        <v>559</v>
      </c>
      <c r="H154" s="68">
        <v>16</v>
      </c>
      <c r="I154" s="55">
        <v>4</v>
      </c>
      <c r="J154" s="69">
        <f t="shared" si="4"/>
        <v>0.25</v>
      </c>
      <c r="K154" s="90">
        <f>+I154+'ABRIL 2025'!K154</f>
        <v>6</v>
      </c>
      <c r="L154" s="94">
        <f t="shared" si="5"/>
        <v>0.375</v>
      </c>
      <c r="N154"/>
      <c r="O154" s="8"/>
      <c r="P154"/>
      <c r="Q154" s="8"/>
    </row>
    <row r="155" spans="2:17" x14ac:dyDescent="0.25">
      <c r="B155" s="38">
        <v>5</v>
      </c>
      <c r="C155" s="39" t="s">
        <v>59</v>
      </c>
      <c r="D155" s="40" t="s">
        <v>60</v>
      </c>
      <c r="E155" s="236"/>
      <c r="F155" s="61" t="s">
        <v>54</v>
      </c>
      <c r="G155" s="78" t="s">
        <v>560</v>
      </c>
      <c r="H155" s="55">
        <v>16</v>
      </c>
      <c r="I155" s="55">
        <v>3</v>
      </c>
      <c r="J155" s="69">
        <f t="shared" si="4"/>
        <v>0.1875</v>
      </c>
      <c r="K155" s="90">
        <f>+I155+'ABRIL 2025'!K155</f>
        <v>5</v>
      </c>
      <c r="L155" s="94">
        <f t="shared" si="5"/>
        <v>0.3125</v>
      </c>
      <c r="N155"/>
      <c r="O155" s="8"/>
      <c r="P155"/>
      <c r="Q155" s="8"/>
    </row>
    <row r="156" spans="2:17" x14ac:dyDescent="0.25">
      <c r="B156" s="42">
        <v>8</v>
      </c>
      <c r="C156" s="43" t="s">
        <v>61</v>
      </c>
      <c r="D156" s="44" t="s">
        <v>62</v>
      </c>
      <c r="E156" s="237"/>
      <c r="F156" s="64" t="s">
        <v>63</v>
      </c>
      <c r="G156" s="80" t="s">
        <v>561</v>
      </c>
      <c r="H156" s="56">
        <v>17</v>
      </c>
      <c r="I156" s="56">
        <v>2</v>
      </c>
      <c r="J156" s="72">
        <f t="shared" si="4"/>
        <v>0.11764705882352941</v>
      </c>
      <c r="K156" s="91">
        <f>+I156+'ABRIL 2025'!K156</f>
        <v>5</v>
      </c>
      <c r="L156" s="96">
        <f t="shared" si="5"/>
        <v>0.29411764705882354</v>
      </c>
      <c r="N156"/>
      <c r="O156" s="8"/>
      <c r="P156"/>
      <c r="Q156" s="8"/>
    </row>
    <row r="157" spans="2:17" x14ac:dyDescent="0.25">
      <c r="B157" s="35">
        <v>3</v>
      </c>
      <c r="C157" s="36" t="s">
        <v>43</v>
      </c>
      <c r="D157" s="37" t="s">
        <v>44</v>
      </c>
      <c r="E157" s="218" t="s">
        <v>157</v>
      </c>
      <c r="F157" s="59" t="s">
        <v>45</v>
      </c>
      <c r="G157" s="77" t="s">
        <v>562</v>
      </c>
      <c r="H157" s="66">
        <v>9</v>
      </c>
      <c r="I157" s="66">
        <v>3</v>
      </c>
      <c r="J157" s="69">
        <f t="shared" si="4"/>
        <v>0.33333333333333331</v>
      </c>
      <c r="K157" s="103">
        <f>+I157+'ABRIL 2025'!K157</f>
        <v>6</v>
      </c>
      <c r="L157" s="94">
        <f t="shared" si="5"/>
        <v>0.66666666666666663</v>
      </c>
      <c r="N157"/>
      <c r="O157" s="8"/>
      <c r="P157"/>
      <c r="Q157" s="8"/>
    </row>
    <row r="158" spans="2:17" x14ac:dyDescent="0.25">
      <c r="B158" s="38">
        <v>3</v>
      </c>
      <c r="C158" s="39" t="s">
        <v>153</v>
      </c>
      <c r="D158" s="40" t="s">
        <v>154</v>
      </c>
      <c r="E158" s="219"/>
      <c r="F158" s="61" t="s">
        <v>159</v>
      </c>
      <c r="G158" s="79" t="s">
        <v>288</v>
      </c>
      <c r="H158" s="55">
        <v>9</v>
      </c>
      <c r="I158" s="55">
        <v>3</v>
      </c>
      <c r="J158" s="69">
        <f t="shared" si="4"/>
        <v>0.33333333333333331</v>
      </c>
      <c r="K158" s="90">
        <f>+I158+'ABRIL 2025'!K158</f>
        <v>6</v>
      </c>
      <c r="L158" s="94">
        <f t="shared" si="5"/>
        <v>0.66666666666666663</v>
      </c>
      <c r="N158"/>
      <c r="O158" s="8"/>
      <c r="P158"/>
      <c r="Q158" s="8"/>
    </row>
    <row r="159" spans="2:17" x14ac:dyDescent="0.25">
      <c r="B159" s="38">
        <v>3</v>
      </c>
      <c r="C159" s="39" t="s">
        <v>46</v>
      </c>
      <c r="D159" s="40" t="s">
        <v>47</v>
      </c>
      <c r="E159" s="219"/>
      <c r="F159" s="61" t="s">
        <v>48</v>
      </c>
      <c r="G159" s="78" t="s">
        <v>289</v>
      </c>
      <c r="H159" s="55">
        <v>9</v>
      </c>
      <c r="I159" s="55">
        <v>3</v>
      </c>
      <c r="J159" s="69">
        <f t="shared" si="4"/>
        <v>0.33333333333333331</v>
      </c>
      <c r="K159" s="90">
        <f>+I159+'ABRIL 2025'!K159</f>
        <v>6</v>
      </c>
      <c r="L159" s="94">
        <f t="shared" si="5"/>
        <v>0.66666666666666663</v>
      </c>
      <c r="N159"/>
      <c r="O159" s="8"/>
      <c r="P159"/>
      <c r="Q159" s="8"/>
    </row>
    <row r="160" spans="2:17" x14ac:dyDescent="0.25">
      <c r="B160" s="38">
        <v>3</v>
      </c>
      <c r="C160" s="39" t="s">
        <v>98</v>
      </c>
      <c r="D160" s="40" t="s">
        <v>99</v>
      </c>
      <c r="E160" s="219"/>
      <c r="F160" s="61" t="s">
        <v>48</v>
      </c>
      <c r="G160" s="78" t="s">
        <v>562</v>
      </c>
      <c r="H160" s="55">
        <v>9</v>
      </c>
      <c r="I160" s="55">
        <v>3</v>
      </c>
      <c r="J160" s="69">
        <f t="shared" si="4"/>
        <v>0.33333333333333331</v>
      </c>
      <c r="K160" s="90">
        <f>+I160+'ABRIL 2025'!K160</f>
        <v>6</v>
      </c>
      <c r="L160" s="94">
        <f t="shared" si="5"/>
        <v>0.66666666666666663</v>
      </c>
      <c r="N160"/>
      <c r="O160" s="8"/>
      <c r="P160"/>
      <c r="Q160" s="8"/>
    </row>
    <row r="161" spans="2:17" s="16" customFormat="1" x14ac:dyDescent="0.25">
      <c r="B161" s="38">
        <v>3</v>
      </c>
      <c r="C161" s="39" t="s">
        <v>49</v>
      </c>
      <c r="D161" s="40" t="s">
        <v>50</v>
      </c>
      <c r="E161" s="219"/>
      <c r="F161" s="61" t="s">
        <v>51</v>
      </c>
      <c r="G161" s="78" t="s">
        <v>155</v>
      </c>
      <c r="H161" s="55">
        <v>9</v>
      </c>
      <c r="I161" s="55">
        <v>3</v>
      </c>
      <c r="J161" s="69">
        <f t="shared" si="4"/>
        <v>0.33333333333333331</v>
      </c>
      <c r="K161" s="90">
        <f>+I161+'ABRIL 2025'!K161</f>
        <v>6</v>
      </c>
      <c r="L161" s="94">
        <f t="shared" si="5"/>
        <v>0.66666666666666663</v>
      </c>
      <c r="N161" s="41"/>
      <c r="P161" s="41"/>
    </row>
    <row r="162" spans="2:17" x14ac:dyDescent="0.25">
      <c r="B162" s="38">
        <v>3</v>
      </c>
      <c r="C162" s="39" t="s">
        <v>52</v>
      </c>
      <c r="D162" s="40" t="s">
        <v>53</v>
      </c>
      <c r="E162" s="219"/>
      <c r="F162" s="61" t="s">
        <v>54</v>
      </c>
      <c r="G162" s="78" t="s">
        <v>167</v>
      </c>
      <c r="H162" s="55">
        <v>9</v>
      </c>
      <c r="I162" s="55">
        <v>3</v>
      </c>
      <c r="J162" s="69">
        <f t="shared" si="4"/>
        <v>0.33333333333333331</v>
      </c>
      <c r="K162" s="90">
        <f>+I162+'ABRIL 2025'!K162</f>
        <v>6</v>
      </c>
      <c r="L162" s="94">
        <f t="shared" si="5"/>
        <v>0.66666666666666663</v>
      </c>
      <c r="N162"/>
      <c r="O162" s="8"/>
      <c r="P162"/>
      <c r="Q162" s="8"/>
    </row>
    <row r="163" spans="2:17" x14ac:dyDescent="0.25">
      <c r="B163" s="38">
        <v>3</v>
      </c>
      <c r="C163" s="39" t="s">
        <v>55</v>
      </c>
      <c r="D163" s="40" t="s">
        <v>56</v>
      </c>
      <c r="E163" s="219"/>
      <c r="F163" s="61" t="s">
        <v>54</v>
      </c>
      <c r="G163" s="78" t="s">
        <v>168</v>
      </c>
      <c r="H163" s="55">
        <v>9</v>
      </c>
      <c r="I163" s="55">
        <v>3</v>
      </c>
      <c r="J163" s="69">
        <f t="shared" si="4"/>
        <v>0.33333333333333331</v>
      </c>
      <c r="K163" s="90">
        <f>+I163+'ABRIL 2025'!K163</f>
        <v>6</v>
      </c>
      <c r="L163" s="94">
        <f t="shared" si="5"/>
        <v>0.66666666666666663</v>
      </c>
      <c r="N163"/>
      <c r="O163" s="8"/>
      <c r="P163"/>
      <c r="Q163" s="8"/>
    </row>
    <row r="164" spans="2:17" x14ac:dyDescent="0.25">
      <c r="B164" s="38">
        <v>5</v>
      </c>
      <c r="C164" s="39" t="s">
        <v>57</v>
      </c>
      <c r="D164" s="40" t="s">
        <v>58</v>
      </c>
      <c r="E164" s="219"/>
      <c r="F164" s="61" t="s">
        <v>54</v>
      </c>
      <c r="G164" s="78" t="s">
        <v>155</v>
      </c>
      <c r="H164" s="68">
        <v>9</v>
      </c>
      <c r="I164" s="55">
        <v>3</v>
      </c>
      <c r="J164" s="69">
        <f t="shared" si="4"/>
        <v>0.33333333333333331</v>
      </c>
      <c r="K164" s="90">
        <f>+I164+'ABRIL 2025'!K164</f>
        <v>6</v>
      </c>
      <c r="L164" s="94">
        <f t="shared" si="5"/>
        <v>0.66666666666666663</v>
      </c>
      <c r="N164"/>
      <c r="O164" s="8"/>
      <c r="P164"/>
      <c r="Q164" s="8"/>
    </row>
    <row r="165" spans="2:17" x14ac:dyDescent="0.25">
      <c r="B165" s="38">
        <v>5</v>
      </c>
      <c r="C165" s="39" t="s">
        <v>59</v>
      </c>
      <c r="D165" s="40" t="s">
        <v>60</v>
      </c>
      <c r="E165" s="219"/>
      <c r="F165" s="61" t="s">
        <v>54</v>
      </c>
      <c r="G165" s="78" t="s">
        <v>562</v>
      </c>
      <c r="H165" s="55">
        <v>9</v>
      </c>
      <c r="I165" s="55">
        <v>3</v>
      </c>
      <c r="J165" s="69">
        <f t="shared" si="4"/>
        <v>0.33333333333333331</v>
      </c>
      <c r="K165" s="90">
        <f>+I165+'ABRIL 2025'!K165</f>
        <v>6</v>
      </c>
      <c r="L165" s="94">
        <f t="shared" si="5"/>
        <v>0.66666666666666663</v>
      </c>
      <c r="N165"/>
      <c r="O165" s="8"/>
      <c r="P165"/>
      <c r="Q165" s="8"/>
    </row>
    <row r="166" spans="2:17" x14ac:dyDescent="0.25">
      <c r="B166" s="42">
        <v>8</v>
      </c>
      <c r="C166" s="43" t="s">
        <v>61</v>
      </c>
      <c r="D166" s="44" t="s">
        <v>62</v>
      </c>
      <c r="E166" s="220"/>
      <c r="F166" s="64" t="s">
        <v>63</v>
      </c>
      <c r="G166" s="80" t="s">
        <v>156</v>
      </c>
      <c r="H166" s="56">
        <v>9</v>
      </c>
      <c r="I166" s="56">
        <v>3</v>
      </c>
      <c r="J166" s="72">
        <f t="shared" si="4"/>
        <v>0.33333333333333331</v>
      </c>
      <c r="K166" s="91">
        <f>+I166+'ABRIL 2025'!K166</f>
        <v>6</v>
      </c>
      <c r="L166" s="96">
        <f t="shared" si="5"/>
        <v>0.66666666666666663</v>
      </c>
      <c r="N166"/>
      <c r="O166" s="8"/>
      <c r="P166"/>
      <c r="Q166" s="8"/>
    </row>
    <row r="167" spans="2:17" x14ac:dyDescent="0.25">
      <c r="B167" s="35">
        <v>3</v>
      </c>
      <c r="C167" s="36" t="s">
        <v>43</v>
      </c>
      <c r="D167" s="37" t="s">
        <v>44</v>
      </c>
      <c r="E167" s="218" t="s">
        <v>158</v>
      </c>
      <c r="F167" s="59" t="s">
        <v>224</v>
      </c>
      <c r="G167" s="60" t="s">
        <v>287</v>
      </c>
      <c r="H167" s="66">
        <v>9</v>
      </c>
      <c r="I167" s="66">
        <v>5</v>
      </c>
      <c r="J167" s="69">
        <f t="shared" si="4"/>
        <v>0.55555555555555558</v>
      </c>
      <c r="K167" s="103">
        <f>+I167+'ABRIL 2025'!K167</f>
        <v>9</v>
      </c>
      <c r="L167" s="94">
        <f t="shared" si="5"/>
        <v>1</v>
      </c>
      <c r="N167"/>
      <c r="O167" s="8"/>
      <c r="P167"/>
      <c r="Q167" s="8"/>
    </row>
    <row r="168" spans="2:17" x14ac:dyDescent="0.25">
      <c r="B168" s="38">
        <v>3</v>
      </c>
      <c r="C168" s="39" t="s">
        <v>153</v>
      </c>
      <c r="D168" s="40" t="s">
        <v>154</v>
      </c>
      <c r="E168" s="219"/>
      <c r="F168" s="131" t="s">
        <v>172</v>
      </c>
      <c r="G168" s="62" t="s">
        <v>172</v>
      </c>
      <c r="H168" s="68">
        <v>9</v>
      </c>
      <c r="I168" s="55">
        <v>0</v>
      </c>
      <c r="J168" s="69">
        <f t="shared" si="4"/>
        <v>0</v>
      </c>
      <c r="K168" s="90">
        <f>+I168+'ABRIL 2025'!K168</f>
        <v>0</v>
      </c>
      <c r="L168" s="94">
        <f t="shared" si="5"/>
        <v>0</v>
      </c>
      <c r="N168"/>
      <c r="O168" s="8"/>
      <c r="P168"/>
      <c r="Q168" s="8"/>
    </row>
    <row r="169" spans="2:17" x14ac:dyDescent="0.25">
      <c r="B169" s="38">
        <v>3</v>
      </c>
      <c r="C169" s="39" t="s">
        <v>46</v>
      </c>
      <c r="D169" s="40" t="s">
        <v>47</v>
      </c>
      <c r="E169" s="219"/>
      <c r="F169" s="61" t="s">
        <v>563</v>
      </c>
      <c r="G169" s="63" t="s">
        <v>564</v>
      </c>
      <c r="H169" s="55">
        <v>9</v>
      </c>
      <c r="I169" s="70">
        <v>4</v>
      </c>
      <c r="J169" s="69">
        <f t="shared" si="4"/>
        <v>0.44444444444444442</v>
      </c>
      <c r="K169" s="90">
        <f>+I169+'ABRIL 2025'!K169</f>
        <v>6</v>
      </c>
      <c r="L169" s="94">
        <f t="shared" si="5"/>
        <v>0.66666666666666663</v>
      </c>
      <c r="N169"/>
      <c r="O169" s="8"/>
      <c r="P169"/>
      <c r="Q169" s="8"/>
    </row>
    <row r="170" spans="2:17" x14ac:dyDescent="0.25">
      <c r="B170" s="38">
        <v>3</v>
      </c>
      <c r="C170" s="39" t="s">
        <v>98</v>
      </c>
      <c r="D170" s="40" t="s">
        <v>99</v>
      </c>
      <c r="E170" s="219"/>
      <c r="F170" s="61" t="s">
        <v>565</v>
      </c>
      <c r="G170" s="63" t="s">
        <v>566</v>
      </c>
      <c r="H170" s="55">
        <v>9</v>
      </c>
      <c r="I170" s="55">
        <v>3</v>
      </c>
      <c r="J170" s="69">
        <f t="shared" si="4"/>
        <v>0.33333333333333331</v>
      </c>
      <c r="K170" s="90">
        <f>+I170+'ABRIL 2025'!K170</f>
        <v>3</v>
      </c>
      <c r="L170" s="94">
        <f t="shared" si="5"/>
        <v>0.33333333333333331</v>
      </c>
      <c r="N170"/>
      <c r="O170" s="8"/>
      <c r="P170"/>
      <c r="Q170" s="8"/>
    </row>
    <row r="171" spans="2:17" s="16" customFormat="1" x14ac:dyDescent="0.25">
      <c r="B171" s="38">
        <v>3</v>
      </c>
      <c r="C171" s="39" t="s">
        <v>49</v>
      </c>
      <c r="D171" s="40" t="s">
        <v>50</v>
      </c>
      <c r="E171" s="219"/>
      <c r="F171" s="61" t="s">
        <v>567</v>
      </c>
      <c r="G171" s="63" t="s">
        <v>568</v>
      </c>
      <c r="H171" s="55">
        <v>9</v>
      </c>
      <c r="I171" s="55">
        <v>4</v>
      </c>
      <c r="J171" s="69">
        <f t="shared" si="4"/>
        <v>0.44444444444444442</v>
      </c>
      <c r="K171" s="90">
        <f>+I171+'ABRIL 2025'!K171</f>
        <v>8</v>
      </c>
      <c r="L171" s="94">
        <f t="shared" si="5"/>
        <v>0.88888888888888884</v>
      </c>
      <c r="N171" s="41"/>
      <c r="P171" s="41"/>
    </row>
    <row r="172" spans="2:17" x14ac:dyDescent="0.25">
      <c r="B172" s="38">
        <v>3</v>
      </c>
      <c r="C172" s="39" t="s">
        <v>52</v>
      </c>
      <c r="D172" s="40" t="s">
        <v>53</v>
      </c>
      <c r="E172" s="219"/>
      <c r="F172" s="61" t="s">
        <v>569</v>
      </c>
      <c r="G172" s="63" t="s">
        <v>570</v>
      </c>
      <c r="H172" s="55">
        <v>9</v>
      </c>
      <c r="I172" s="55">
        <v>4</v>
      </c>
      <c r="J172" s="69">
        <f t="shared" si="4"/>
        <v>0.44444444444444442</v>
      </c>
      <c r="K172" s="90">
        <f>+I172+'ABRIL 2025'!K172</f>
        <v>9</v>
      </c>
      <c r="L172" s="94">
        <f t="shared" si="5"/>
        <v>1</v>
      </c>
      <c r="N172"/>
      <c r="O172" s="8"/>
      <c r="P172"/>
      <c r="Q172" s="8"/>
    </row>
    <row r="173" spans="2:17" x14ac:dyDescent="0.25">
      <c r="B173" s="38">
        <v>3</v>
      </c>
      <c r="C173" s="39" t="s">
        <v>55</v>
      </c>
      <c r="D173" s="40" t="s">
        <v>56</v>
      </c>
      <c r="E173" s="219"/>
      <c r="F173" s="61" t="s">
        <v>571</v>
      </c>
      <c r="G173" s="63" t="s">
        <v>572</v>
      </c>
      <c r="H173" s="55">
        <v>9</v>
      </c>
      <c r="I173" s="55">
        <v>5</v>
      </c>
      <c r="J173" s="69">
        <f t="shared" si="4"/>
        <v>0.55555555555555558</v>
      </c>
      <c r="K173" s="90">
        <f>+I173+'ABRIL 2025'!K173</f>
        <v>7</v>
      </c>
      <c r="L173" s="94">
        <f t="shared" si="5"/>
        <v>0.77777777777777779</v>
      </c>
      <c r="N173"/>
      <c r="O173" s="8"/>
      <c r="P173"/>
      <c r="Q173" s="8"/>
    </row>
    <row r="174" spans="2:17" x14ac:dyDescent="0.25">
      <c r="B174" s="38">
        <v>5</v>
      </c>
      <c r="C174" s="39" t="s">
        <v>57</v>
      </c>
      <c r="D174" s="40" t="s">
        <v>58</v>
      </c>
      <c r="E174" s="219"/>
      <c r="F174" s="61" t="s">
        <v>172</v>
      </c>
      <c r="G174" s="63" t="s">
        <v>172</v>
      </c>
      <c r="H174" s="55">
        <v>9</v>
      </c>
      <c r="I174" s="55">
        <v>0</v>
      </c>
      <c r="J174" s="69">
        <f t="shared" si="4"/>
        <v>0</v>
      </c>
      <c r="K174" s="90">
        <f>+I174+'ABRIL 2025'!K174</f>
        <v>0</v>
      </c>
      <c r="L174" s="94">
        <f t="shared" si="5"/>
        <v>0</v>
      </c>
      <c r="N174"/>
      <c r="O174" s="8"/>
      <c r="P174"/>
      <c r="Q174" s="8"/>
    </row>
    <row r="175" spans="2:17" x14ac:dyDescent="0.25">
      <c r="B175" s="38">
        <v>5</v>
      </c>
      <c r="C175" s="39" t="s">
        <v>59</v>
      </c>
      <c r="D175" s="40" t="s">
        <v>60</v>
      </c>
      <c r="E175" s="219"/>
      <c r="F175" s="61" t="s">
        <v>225</v>
      </c>
      <c r="G175" s="63" t="s">
        <v>231</v>
      </c>
      <c r="H175" s="68">
        <v>9</v>
      </c>
      <c r="I175" s="55">
        <v>2</v>
      </c>
      <c r="J175" s="69">
        <f t="shared" si="4"/>
        <v>0.22222222222222221</v>
      </c>
      <c r="K175" s="90">
        <f>+I175+'ABRIL 2025'!K175</f>
        <v>9</v>
      </c>
      <c r="L175" s="94">
        <f t="shared" si="5"/>
        <v>1</v>
      </c>
      <c r="N175"/>
      <c r="O175" s="8"/>
      <c r="P175"/>
      <c r="Q175" s="8"/>
    </row>
    <row r="176" spans="2:17" x14ac:dyDescent="0.25">
      <c r="B176" s="42">
        <v>8</v>
      </c>
      <c r="C176" s="43" t="s">
        <v>61</v>
      </c>
      <c r="D176" s="44" t="s">
        <v>62</v>
      </c>
      <c r="E176" s="220"/>
      <c r="F176" s="64" t="s">
        <v>573</v>
      </c>
      <c r="G176" s="65" t="s">
        <v>574</v>
      </c>
      <c r="H176" s="56">
        <v>9</v>
      </c>
      <c r="I176" s="56">
        <v>3</v>
      </c>
      <c r="J176" s="72">
        <f t="shared" si="4"/>
        <v>0.33333333333333331</v>
      </c>
      <c r="K176" s="91">
        <f>+I176+'ABRIL 2025'!K176</f>
        <v>9</v>
      </c>
      <c r="L176" s="96">
        <f t="shared" si="5"/>
        <v>1</v>
      </c>
      <c r="N176"/>
      <c r="O176" s="8"/>
      <c r="P176"/>
      <c r="Q176" s="8"/>
    </row>
    <row r="177" spans="2:17" x14ac:dyDescent="0.25">
      <c r="B177" s="35">
        <v>3</v>
      </c>
      <c r="C177" s="36" t="s">
        <v>43</v>
      </c>
      <c r="D177" s="37" t="s">
        <v>44</v>
      </c>
      <c r="E177" s="218" t="s">
        <v>183</v>
      </c>
      <c r="F177" s="81" t="s">
        <v>575</v>
      </c>
      <c r="G177" s="63" t="s">
        <v>576</v>
      </c>
      <c r="H177" s="66">
        <v>45</v>
      </c>
      <c r="I177" s="66">
        <v>5</v>
      </c>
      <c r="J177" s="69">
        <f t="shared" si="4"/>
        <v>0.1111111111111111</v>
      </c>
      <c r="K177" s="103">
        <f>+I177+'ABRIL 2025'!K177</f>
        <v>8</v>
      </c>
      <c r="L177" s="94">
        <f t="shared" si="5"/>
        <v>0.17777777777777778</v>
      </c>
      <c r="N177"/>
      <c r="O177" s="8"/>
      <c r="P177"/>
      <c r="Q177" s="8"/>
    </row>
    <row r="178" spans="2:17" x14ac:dyDescent="0.25">
      <c r="B178" s="38">
        <v>3</v>
      </c>
      <c r="C178" s="39" t="s">
        <v>46</v>
      </c>
      <c r="D178" s="40" t="s">
        <v>47</v>
      </c>
      <c r="E178" s="219"/>
      <c r="F178" s="82" t="s">
        <v>577</v>
      </c>
      <c r="G178" s="140">
        <v>45778</v>
      </c>
      <c r="H178" s="68">
        <v>45</v>
      </c>
      <c r="I178" s="55">
        <v>5</v>
      </c>
      <c r="J178" s="69">
        <f t="shared" si="4"/>
        <v>0.1111111111111111</v>
      </c>
      <c r="K178" s="90">
        <f>+I178+'ABRIL 2025'!K178</f>
        <v>10</v>
      </c>
      <c r="L178" s="94">
        <f t="shared" si="5"/>
        <v>0.22222222222222221</v>
      </c>
      <c r="N178"/>
      <c r="O178" s="8"/>
      <c r="P178"/>
      <c r="Q178" s="8"/>
    </row>
    <row r="179" spans="2:17" x14ac:dyDescent="0.25">
      <c r="B179" s="38">
        <v>3</v>
      </c>
      <c r="C179" s="39" t="s">
        <v>49</v>
      </c>
      <c r="D179" s="40" t="s">
        <v>50</v>
      </c>
      <c r="E179" s="219"/>
      <c r="F179" s="83" t="s">
        <v>51</v>
      </c>
      <c r="G179" s="140">
        <v>45778</v>
      </c>
      <c r="H179" s="55">
        <v>40</v>
      </c>
      <c r="I179" s="70">
        <v>7</v>
      </c>
      <c r="J179" s="69">
        <f t="shared" si="4"/>
        <v>0.17499999999999999</v>
      </c>
      <c r="K179" s="90">
        <f>+I179+'ABRIL 2025'!K179</f>
        <v>11</v>
      </c>
      <c r="L179" s="94">
        <f t="shared" si="5"/>
        <v>0.27500000000000002</v>
      </c>
      <c r="N179"/>
      <c r="O179" s="8"/>
      <c r="P179"/>
      <c r="Q179" s="8"/>
    </row>
    <row r="180" spans="2:17" x14ac:dyDescent="0.25">
      <c r="B180" s="38">
        <v>3</v>
      </c>
      <c r="C180" s="39" t="s">
        <v>52</v>
      </c>
      <c r="D180" s="40" t="s">
        <v>53</v>
      </c>
      <c r="E180" s="219"/>
      <c r="F180" s="82" t="s">
        <v>578</v>
      </c>
      <c r="G180" s="140">
        <v>45778</v>
      </c>
      <c r="H180" s="55">
        <v>70</v>
      </c>
      <c r="I180" s="55">
        <v>10</v>
      </c>
      <c r="J180" s="69">
        <f t="shared" si="4"/>
        <v>0.14285714285714285</v>
      </c>
      <c r="K180" s="90">
        <f>+I180+'ABRIL 2025'!K180</f>
        <v>20</v>
      </c>
      <c r="L180" s="94">
        <f t="shared" si="5"/>
        <v>0.2857142857142857</v>
      </c>
      <c r="N180"/>
      <c r="O180" s="8"/>
      <c r="P180"/>
      <c r="Q180" s="8"/>
    </row>
    <row r="181" spans="2:17" x14ac:dyDescent="0.25">
      <c r="B181" s="42">
        <v>3</v>
      </c>
      <c r="C181" s="43" t="s">
        <v>55</v>
      </c>
      <c r="D181" s="44" t="s">
        <v>56</v>
      </c>
      <c r="E181" s="220"/>
      <c r="F181" s="84" t="s">
        <v>579</v>
      </c>
      <c r="G181" s="140">
        <v>45778</v>
      </c>
      <c r="H181" s="56">
        <v>70</v>
      </c>
      <c r="I181" s="56">
        <v>3</v>
      </c>
      <c r="J181" s="72">
        <f t="shared" si="4"/>
        <v>4.2857142857142858E-2</v>
      </c>
      <c r="K181" s="91">
        <f>+I181+'ABRIL 2025'!K181</f>
        <v>11</v>
      </c>
      <c r="L181" s="96">
        <f t="shared" si="5"/>
        <v>0.15714285714285714</v>
      </c>
      <c r="N181"/>
      <c r="O181" s="8"/>
      <c r="P181"/>
      <c r="Q181" s="8"/>
    </row>
    <row r="182" spans="2:17" x14ac:dyDescent="0.25">
      <c r="B182" s="85">
        <v>3</v>
      </c>
      <c r="C182" s="105" t="s">
        <v>332</v>
      </c>
      <c r="D182" s="106" t="s">
        <v>333</v>
      </c>
      <c r="E182" s="238" t="s">
        <v>334</v>
      </c>
      <c r="F182" s="59" t="s">
        <v>232</v>
      </c>
      <c r="G182" s="60" t="s">
        <v>109</v>
      </c>
      <c r="H182" s="89">
        <v>30</v>
      </c>
      <c r="I182" s="89">
        <v>5</v>
      </c>
      <c r="J182" s="69">
        <f t="shared" si="4"/>
        <v>0.16666666666666666</v>
      </c>
      <c r="K182" s="103">
        <f>+I182+'ABRIL 2025'!K182</f>
        <v>10</v>
      </c>
      <c r="L182" s="94">
        <f t="shared" si="5"/>
        <v>0.33333333333333331</v>
      </c>
      <c r="N182"/>
      <c r="O182" s="8"/>
      <c r="P182"/>
      <c r="Q182" s="8"/>
    </row>
    <row r="183" spans="2:17" x14ac:dyDescent="0.25">
      <c r="B183" s="86">
        <v>3</v>
      </c>
      <c r="C183" s="107" t="s">
        <v>52</v>
      </c>
      <c r="D183" s="108" t="s">
        <v>53</v>
      </c>
      <c r="E183" s="239"/>
      <c r="F183" s="61" t="s">
        <v>580</v>
      </c>
      <c r="G183" s="76" t="s">
        <v>581</v>
      </c>
      <c r="H183" s="2">
        <v>20</v>
      </c>
      <c r="I183" s="3">
        <v>4</v>
      </c>
      <c r="J183" s="69">
        <f t="shared" si="4"/>
        <v>0.2</v>
      </c>
      <c r="K183" s="90">
        <f>+I183+'ABRIL 2025'!K183</f>
        <v>7</v>
      </c>
      <c r="L183" s="94">
        <f t="shared" si="5"/>
        <v>0.35</v>
      </c>
      <c r="N183"/>
      <c r="O183" s="8"/>
      <c r="P183"/>
      <c r="Q183" s="8"/>
    </row>
    <row r="184" spans="2:17" x14ac:dyDescent="0.25">
      <c r="B184" s="86">
        <v>3</v>
      </c>
      <c r="C184" s="107" t="s">
        <v>55</v>
      </c>
      <c r="D184" s="108" t="s">
        <v>56</v>
      </c>
      <c r="E184" s="239"/>
      <c r="F184" s="61" t="s">
        <v>337</v>
      </c>
      <c r="G184" s="62" t="s">
        <v>582</v>
      </c>
      <c r="H184" s="3">
        <v>20</v>
      </c>
      <c r="I184" s="4">
        <v>3</v>
      </c>
      <c r="J184" s="69">
        <f t="shared" si="4"/>
        <v>0.15</v>
      </c>
      <c r="K184" s="90">
        <f>+I184+'ABRIL 2025'!K184</f>
        <v>7</v>
      </c>
      <c r="L184" s="94">
        <f t="shared" si="5"/>
        <v>0.35</v>
      </c>
      <c r="N184"/>
      <c r="O184" s="8"/>
      <c r="P184"/>
      <c r="Q184" s="8"/>
    </row>
    <row r="185" spans="2:17" x14ac:dyDescent="0.25">
      <c r="B185" s="86">
        <v>5</v>
      </c>
      <c r="C185" s="107" t="s">
        <v>57</v>
      </c>
      <c r="D185" s="108" t="s">
        <v>58</v>
      </c>
      <c r="E185" s="239"/>
      <c r="F185" s="61" t="s">
        <v>339</v>
      </c>
      <c r="G185" s="62" t="s">
        <v>340</v>
      </c>
      <c r="H185" s="3">
        <v>15</v>
      </c>
      <c r="I185" s="3">
        <v>1</v>
      </c>
      <c r="J185" s="69">
        <f t="shared" si="4"/>
        <v>6.6666666666666666E-2</v>
      </c>
      <c r="K185" s="90">
        <f>+I185+'ABRIL 2025'!K185</f>
        <v>5</v>
      </c>
      <c r="L185" s="94">
        <f t="shared" si="5"/>
        <v>0.33333333333333331</v>
      </c>
      <c r="N185"/>
      <c r="O185" s="8"/>
      <c r="P185"/>
      <c r="Q185" s="8"/>
    </row>
    <row r="186" spans="2:17" x14ac:dyDescent="0.25">
      <c r="B186" s="86">
        <v>5</v>
      </c>
      <c r="C186" s="107" t="s">
        <v>59</v>
      </c>
      <c r="D186" s="108" t="s">
        <v>60</v>
      </c>
      <c r="E186" s="239"/>
      <c r="F186" s="62" t="s">
        <v>341</v>
      </c>
      <c r="G186" s="62"/>
      <c r="H186" s="3">
        <v>20</v>
      </c>
      <c r="I186" s="3">
        <v>3</v>
      </c>
      <c r="J186" s="69">
        <f t="shared" si="4"/>
        <v>0.15</v>
      </c>
      <c r="K186" s="90">
        <f>+I186+'ABRIL 2025'!K186</f>
        <v>7</v>
      </c>
      <c r="L186" s="94">
        <f t="shared" si="5"/>
        <v>0.35</v>
      </c>
      <c r="N186"/>
      <c r="O186" s="8"/>
      <c r="P186"/>
      <c r="Q186" s="8"/>
    </row>
    <row r="187" spans="2:17" x14ac:dyDescent="0.25">
      <c r="B187" s="86">
        <v>8</v>
      </c>
      <c r="C187" s="107" t="s">
        <v>61</v>
      </c>
      <c r="D187" s="108" t="s">
        <v>62</v>
      </c>
      <c r="E187" s="239"/>
      <c r="F187" s="62" t="s">
        <v>342</v>
      </c>
      <c r="G187" s="62" t="s">
        <v>343</v>
      </c>
      <c r="H187" s="3">
        <v>15</v>
      </c>
      <c r="I187" s="3">
        <v>2</v>
      </c>
      <c r="J187" s="69">
        <f t="shared" si="4"/>
        <v>0.13333333333333333</v>
      </c>
      <c r="K187" s="90">
        <f>+I187+'ABRIL 2025'!K187</f>
        <v>4</v>
      </c>
      <c r="L187" s="94">
        <f t="shared" si="5"/>
        <v>0.26666666666666666</v>
      </c>
      <c r="N187"/>
      <c r="O187" s="8"/>
      <c r="P187"/>
      <c r="Q187" s="8"/>
    </row>
    <row r="188" spans="2:17" x14ac:dyDescent="0.25">
      <c r="B188" s="86">
        <v>8</v>
      </c>
      <c r="C188" s="107" t="s">
        <v>344</v>
      </c>
      <c r="D188" s="108" t="s">
        <v>345</v>
      </c>
      <c r="E188" s="239"/>
      <c r="F188" s="61" t="s">
        <v>583</v>
      </c>
      <c r="G188" s="62" t="s">
        <v>584</v>
      </c>
      <c r="H188" s="3">
        <v>20</v>
      </c>
      <c r="I188" s="3">
        <v>5</v>
      </c>
      <c r="J188" s="69">
        <f t="shared" si="4"/>
        <v>0.25</v>
      </c>
      <c r="K188" s="90">
        <f>+I188+'ABRIL 2025'!K188</f>
        <v>7</v>
      </c>
      <c r="L188" s="94">
        <f t="shared" si="5"/>
        <v>0.35</v>
      </c>
      <c r="N188"/>
      <c r="O188" s="8"/>
      <c r="P188"/>
      <c r="Q188" s="8"/>
    </row>
    <row r="189" spans="2:17" x14ac:dyDescent="0.25">
      <c r="B189" s="86">
        <v>8</v>
      </c>
      <c r="C189" s="107" t="s">
        <v>346</v>
      </c>
      <c r="D189" s="108" t="s">
        <v>347</v>
      </c>
      <c r="E189" s="239"/>
      <c r="F189" s="62" t="s">
        <v>348</v>
      </c>
      <c r="G189" s="62" t="s">
        <v>585</v>
      </c>
      <c r="H189" s="3">
        <v>20</v>
      </c>
      <c r="I189" s="3">
        <v>4</v>
      </c>
      <c r="J189" s="69">
        <f t="shared" si="4"/>
        <v>0.2</v>
      </c>
      <c r="K189" s="90">
        <f>+I189+'ABRIL 2025'!K189</f>
        <v>6</v>
      </c>
      <c r="L189" s="94">
        <f t="shared" si="5"/>
        <v>0.3</v>
      </c>
      <c r="N189"/>
      <c r="O189" s="8"/>
      <c r="P189"/>
      <c r="Q189" s="8"/>
    </row>
    <row r="190" spans="2:17" x14ac:dyDescent="0.25">
      <c r="B190" s="87">
        <v>8</v>
      </c>
      <c r="C190" s="109" t="s">
        <v>349</v>
      </c>
      <c r="D190" s="110" t="s">
        <v>350</v>
      </c>
      <c r="E190" s="227"/>
      <c r="F190" s="64" t="s">
        <v>351</v>
      </c>
      <c r="G190" s="63" t="s">
        <v>352</v>
      </c>
      <c r="H190" s="97">
        <v>20</v>
      </c>
      <c r="I190" s="97">
        <v>3</v>
      </c>
      <c r="J190" s="72">
        <f t="shared" si="4"/>
        <v>0.15</v>
      </c>
      <c r="K190" s="91">
        <f>+I190+'ABRIL 2025'!K190</f>
        <v>7</v>
      </c>
      <c r="L190" s="96">
        <f t="shared" si="5"/>
        <v>0.35</v>
      </c>
      <c r="N190"/>
      <c r="O190" s="8"/>
      <c r="P190"/>
      <c r="Q190" s="8"/>
    </row>
    <row r="191" spans="2:17" x14ac:dyDescent="0.25">
      <c r="B191" s="85">
        <v>3</v>
      </c>
      <c r="C191" s="105" t="s">
        <v>43</v>
      </c>
      <c r="D191" s="106" t="s">
        <v>44</v>
      </c>
      <c r="E191" s="232" t="s">
        <v>353</v>
      </c>
      <c r="F191" s="59" t="s">
        <v>588</v>
      </c>
      <c r="G191" s="60" t="s">
        <v>586</v>
      </c>
      <c r="H191" s="89">
        <v>18</v>
      </c>
      <c r="I191" s="89">
        <v>3</v>
      </c>
      <c r="J191" s="69">
        <f t="shared" si="4"/>
        <v>0.16666666666666666</v>
      </c>
      <c r="K191" s="103">
        <f>+I191+'ABRIL 2025'!K191</f>
        <v>6</v>
      </c>
      <c r="L191" s="94">
        <f t="shared" si="5"/>
        <v>0.33333333333333331</v>
      </c>
      <c r="N191"/>
      <c r="O191" s="8"/>
      <c r="P191"/>
      <c r="Q191" s="8"/>
    </row>
    <row r="192" spans="2:17" x14ac:dyDescent="0.25">
      <c r="B192" s="86">
        <v>3</v>
      </c>
      <c r="C192" s="107" t="s">
        <v>46</v>
      </c>
      <c r="D192" s="108" t="s">
        <v>47</v>
      </c>
      <c r="E192" s="232"/>
      <c r="F192" s="61" t="s">
        <v>589</v>
      </c>
      <c r="G192" s="63" t="s">
        <v>586</v>
      </c>
      <c r="H192" s="2">
        <v>18</v>
      </c>
      <c r="I192" s="3">
        <v>3</v>
      </c>
      <c r="J192" s="69">
        <f t="shared" si="4"/>
        <v>0.16666666666666666</v>
      </c>
      <c r="K192" s="90">
        <f>+I192+'ABRIL 2025'!K192</f>
        <v>6</v>
      </c>
      <c r="L192" s="94">
        <f t="shared" si="5"/>
        <v>0.33333333333333331</v>
      </c>
      <c r="N192"/>
      <c r="O192" s="8"/>
      <c r="P192"/>
      <c r="Q192" s="8"/>
    </row>
    <row r="193" spans="2:17" x14ac:dyDescent="0.25">
      <c r="B193" s="86">
        <v>3</v>
      </c>
      <c r="C193" s="107" t="s">
        <v>98</v>
      </c>
      <c r="D193" s="108" t="s">
        <v>99</v>
      </c>
      <c r="E193" s="232"/>
      <c r="F193" s="61" t="s">
        <v>590</v>
      </c>
      <c r="G193" s="62" t="s">
        <v>586</v>
      </c>
      <c r="H193" s="3">
        <v>24</v>
      </c>
      <c r="I193" s="3">
        <v>4</v>
      </c>
      <c r="J193" s="69">
        <f t="shared" si="4"/>
        <v>0.16666666666666666</v>
      </c>
      <c r="K193" s="90">
        <f>+I193+'ABRIL 2025'!K193</f>
        <v>8</v>
      </c>
      <c r="L193" s="94">
        <f t="shared" si="5"/>
        <v>0.33333333333333331</v>
      </c>
      <c r="N193"/>
      <c r="O193" s="8"/>
      <c r="P193"/>
      <c r="Q193" s="8"/>
    </row>
    <row r="194" spans="2:17" x14ac:dyDescent="0.25">
      <c r="B194" s="86">
        <v>3</v>
      </c>
      <c r="C194" s="107" t="s">
        <v>49</v>
      </c>
      <c r="D194" s="108" t="s">
        <v>50</v>
      </c>
      <c r="E194" s="232"/>
      <c r="F194" s="61" t="s">
        <v>591</v>
      </c>
      <c r="G194" s="62" t="s">
        <v>586</v>
      </c>
      <c r="H194" s="3">
        <v>24</v>
      </c>
      <c r="I194" s="3">
        <v>4</v>
      </c>
      <c r="J194" s="69">
        <f t="shared" si="4"/>
        <v>0.16666666666666666</v>
      </c>
      <c r="K194" s="90">
        <f>+I194+'ABRIL 2025'!K194</f>
        <v>8</v>
      </c>
      <c r="L194" s="94">
        <f t="shared" si="5"/>
        <v>0.33333333333333331</v>
      </c>
      <c r="N194"/>
      <c r="O194" s="8"/>
      <c r="P194"/>
      <c r="Q194" s="8"/>
    </row>
    <row r="195" spans="2:17" x14ac:dyDescent="0.25">
      <c r="B195" s="86">
        <v>3</v>
      </c>
      <c r="C195" s="107" t="s">
        <v>52</v>
      </c>
      <c r="D195" s="108" t="s">
        <v>53</v>
      </c>
      <c r="E195" s="232"/>
      <c r="F195" s="61" t="s">
        <v>592</v>
      </c>
      <c r="G195" s="62" t="s">
        <v>586</v>
      </c>
      <c r="H195" s="3">
        <v>24</v>
      </c>
      <c r="I195" s="3">
        <v>4</v>
      </c>
      <c r="J195" s="69">
        <f t="shared" si="4"/>
        <v>0.16666666666666666</v>
      </c>
      <c r="K195" s="90">
        <f>+I195+'ABRIL 2025'!K195</f>
        <v>8</v>
      </c>
      <c r="L195" s="94">
        <f t="shared" si="5"/>
        <v>0.33333333333333331</v>
      </c>
      <c r="N195"/>
      <c r="O195" s="8"/>
      <c r="P195"/>
      <c r="Q195" s="8"/>
    </row>
    <row r="196" spans="2:17" x14ac:dyDescent="0.25">
      <c r="B196" s="86">
        <v>3</v>
      </c>
      <c r="C196" s="107" t="s">
        <v>55</v>
      </c>
      <c r="D196" s="108" t="s">
        <v>56</v>
      </c>
      <c r="E196" s="232"/>
      <c r="F196" s="61" t="s">
        <v>593</v>
      </c>
      <c r="G196" s="62" t="s">
        <v>586</v>
      </c>
      <c r="H196" s="3">
        <v>24</v>
      </c>
      <c r="I196" s="3">
        <v>4</v>
      </c>
      <c r="J196" s="69">
        <f t="shared" si="4"/>
        <v>0.16666666666666666</v>
      </c>
      <c r="K196" s="90">
        <f>+I196+'ABRIL 2025'!K196</f>
        <v>8</v>
      </c>
      <c r="L196" s="94">
        <f t="shared" si="5"/>
        <v>0.33333333333333331</v>
      </c>
      <c r="N196"/>
      <c r="O196" s="8"/>
      <c r="P196"/>
      <c r="Q196" s="8"/>
    </row>
    <row r="197" spans="2:17" x14ac:dyDescent="0.25">
      <c r="B197" s="86">
        <v>5</v>
      </c>
      <c r="C197" s="107" t="s">
        <v>57</v>
      </c>
      <c r="D197" s="108" t="s">
        <v>58</v>
      </c>
      <c r="E197" s="232"/>
      <c r="F197" s="61" t="s">
        <v>594</v>
      </c>
      <c r="G197" s="62" t="s">
        <v>586</v>
      </c>
      <c r="H197" s="3">
        <v>24</v>
      </c>
      <c r="I197" s="3">
        <v>4</v>
      </c>
      <c r="J197" s="69">
        <f t="shared" si="4"/>
        <v>0.16666666666666666</v>
      </c>
      <c r="K197" s="90">
        <f>+I197+'ABRIL 2025'!K197</f>
        <v>8</v>
      </c>
      <c r="L197" s="94">
        <f t="shared" si="5"/>
        <v>0.33333333333333331</v>
      </c>
      <c r="N197"/>
      <c r="O197" s="8"/>
      <c r="P197"/>
      <c r="Q197" s="8"/>
    </row>
    <row r="198" spans="2:17" x14ac:dyDescent="0.25">
      <c r="B198" s="87">
        <v>8</v>
      </c>
      <c r="C198" s="109" t="s">
        <v>61</v>
      </c>
      <c r="D198" s="110" t="s">
        <v>62</v>
      </c>
      <c r="E198" s="232"/>
      <c r="F198" s="64" t="s">
        <v>587</v>
      </c>
      <c r="G198" s="65" t="s">
        <v>586</v>
      </c>
      <c r="H198" s="97">
        <v>24</v>
      </c>
      <c r="I198" s="97">
        <v>4</v>
      </c>
      <c r="J198" s="72">
        <f t="shared" si="4"/>
        <v>0.16666666666666666</v>
      </c>
      <c r="K198" s="91">
        <f>+I198+'ABRIL 2025'!K198</f>
        <v>8</v>
      </c>
      <c r="L198" s="96">
        <f t="shared" si="5"/>
        <v>0.33333333333333331</v>
      </c>
      <c r="N198"/>
      <c r="O198" s="8"/>
      <c r="P198"/>
      <c r="Q198" s="8"/>
    </row>
    <row r="199" spans="2:17" x14ac:dyDescent="0.25">
      <c r="B199" s="85">
        <v>2</v>
      </c>
      <c r="C199" s="105" t="s">
        <v>356</v>
      </c>
      <c r="D199" s="106" t="s">
        <v>357</v>
      </c>
      <c r="E199" s="226" t="s">
        <v>359</v>
      </c>
      <c r="F199" s="59" t="s">
        <v>358</v>
      </c>
      <c r="G199" s="60" t="s">
        <v>595</v>
      </c>
      <c r="H199" s="89">
        <v>60</v>
      </c>
      <c r="I199" s="89">
        <v>12</v>
      </c>
      <c r="J199" s="69">
        <f t="shared" si="4"/>
        <v>0.2</v>
      </c>
      <c r="K199" s="103">
        <f>+I199+'ABRIL 2025'!K199</f>
        <v>17</v>
      </c>
      <c r="L199" s="94">
        <f t="shared" si="5"/>
        <v>0.28333333333333333</v>
      </c>
      <c r="N199"/>
      <c r="O199" s="8"/>
      <c r="P199"/>
      <c r="Q199" s="8"/>
    </row>
    <row r="200" spans="2:17" x14ac:dyDescent="0.25">
      <c r="B200" s="86">
        <v>2</v>
      </c>
      <c r="C200" s="107" t="s">
        <v>360</v>
      </c>
      <c r="D200" s="108" t="s">
        <v>361</v>
      </c>
      <c r="E200" s="226"/>
      <c r="F200" s="61" t="s">
        <v>596</v>
      </c>
      <c r="G200" s="62" t="s">
        <v>595</v>
      </c>
      <c r="H200" s="2">
        <v>40</v>
      </c>
      <c r="I200" s="3">
        <v>5</v>
      </c>
      <c r="J200" s="69">
        <f t="shared" si="4"/>
        <v>0.125</v>
      </c>
      <c r="K200" s="90">
        <f>+I200+'ABRIL 2025'!K200</f>
        <v>10</v>
      </c>
      <c r="L200" s="94">
        <f t="shared" si="5"/>
        <v>0.25</v>
      </c>
      <c r="N200"/>
      <c r="O200" s="8"/>
      <c r="P200"/>
      <c r="Q200" s="8"/>
    </row>
    <row r="201" spans="2:17" x14ac:dyDescent="0.25">
      <c r="B201" s="86">
        <v>2</v>
      </c>
      <c r="C201" s="107" t="s">
        <v>363</v>
      </c>
      <c r="D201" s="108" t="s">
        <v>364</v>
      </c>
      <c r="E201" s="226"/>
      <c r="F201" s="61" t="s">
        <v>597</v>
      </c>
      <c r="G201" s="63" t="s">
        <v>595</v>
      </c>
      <c r="H201" s="3">
        <v>10</v>
      </c>
      <c r="I201" s="4">
        <v>7</v>
      </c>
      <c r="J201" s="69">
        <f t="shared" si="4"/>
        <v>0.7</v>
      </c>
      <c r="K201" s="90">
        <f>+I201+'ABRIL 2025'!K201</f>
        <v>10</v>
      </c>
      <c r="L201" s="94">
        <f t="shared" si="5"/>
        <v>1</v>
      </c>
      <c r="N201"/>
      <c r="O201" s="8"/>
      <c r="P201"/>
      <c r="Q201" s="8"/>
    </row>
    <row r="202" spans="2:17" x14ac:dyDescent="0.25">
      <c r="B202" s="86">
        <v>2</v>
      </c>
      <c r="C202" s="107" t="s">
        <v>366</v>
      </c>
      <c r="D202" s="108" t="s">
        <v>367</v>
      </c>
      <c r="E202" s="226"/>
      <c r="F202" s="61" t="s">
        <v>598</v>
      </c>
      <c r="G202" s="62" t="s">
        <v>595</v>
      </c>
      <c r="H202" s="3">
        <v>10</v>
      </c>
      <c r="I202" s="3">
        <v>4</v>
      </c>
      <c r="J202" s="69">
        <f t="shared" si="4"/>
        <v>0.4</v>
      </c>
      <c r="K202" s="90">
        <f>+I202+'ABRIL 2025'!K202</f>
        <v>7</v>
      </c>
      <c r="L202" s="94">
        <f t="shared" si="5"/>
        <v>0.7</v>
      </c>
      <c r="N202"/>
      <c r="O202" s="8"/>
      <c r="P202"/>
      <c r="Q202" s="8"/>
    </row>
    <row r="203" spans="2:17" x14ac:dyDescent="0.25">
      <c r="B203" s="86">
        <v>2</v>
      </c>
      <c r="C203" s="107" t="s">
        <v>368</v>
      </c>
      <c r="D203" s="108" t="s">
        <v>369</v>
      </c>
      <c r="E203" s="226"/>
      <c r="F203" s="61" t="s">
        <v>358</v>
      </c>
      <c r="G203" s="62" t="s">
        <v>595</v>
      </c>
      <c r="H203" s="3">
        <v>10</v>
      </c>
      <c r="I203" s="3">
        <v>2</v>
      </c>
      <c r="J203" s="69">
        <f t="shared" si="4"/>
        <v>0.2</v>
      </c>
      <c r="K203" s="90">
        <f>+I203+'ABRIL 2025'!K203</f>
        <v>7</v>
      </c>
      <c r="L203" s="94">
        <f t="shared" si="5"/>
        <v>0.7</v>
      </c>
      <c r="N203"/>
      <c r="O203" s="8"/>
      <c r="P203"/>
      <c r="Q203" s="8"/>
    </row>
    <row r="204" spans="2:17" x14ac:dyDescent="0.25">
      <c r="B204" s="86">
        <v>2</v>
      </c>
      <c r="C204" s="107" t="s">
        <v>140</v>
      </c>
      <c r="D204" s="108" t="s">
        <v>141</v>
      </c>
      <c r="E204" s="226"/>
      <c r="F204" s="61" t="s">
        <v>172</v>
      </c>
      <c r="G204" s="62" t="s">
        <v>172</v>
      </c>
      <c r="H204" s="3">
        <v>20</v>
      </c>
      <c r="I204" s="3">
        <v>0</v>
      </c>
      <c r="J204" s="69">
        <f t="shared" si="4"/>
        <v>0</v>
      </c>
      <c r="K204" s="90">
        <f>+I204+'ABRIL 2025'!K204</f>
        <v>5</v>
      </c>
      <c r="L204" s="94">
        <f t="shared" si="5"/>
        <v>0.25</v>
      </c>
      <c r="N204"/>
      <c r="O204" s="8"/>
      <c r="P204"/>
      <c r="Q204" s="8"/>
    </row>
    <row r="205" spans="2:17" x14ac:dyDescent="0.25">
      <c r="B205" s="86">
        <v>2</v>
      </c>
      <c r="C205" s="107" t="s">
        <v>371</v>
      </c>
      <c r="D205" s="108" t="s">
        <v>372</v>
      </c>
      <c r="E205" s="226"/>
      <c r="F205" s="61" t="s">
        <v>172</v>
      </c>
      <c r="G205" s="62" t="s">
        <v>172</v>
      </c>
      <c r="H205" s="3">
        <v>10</v>
      </c>
      <c r="I205" s="3">
        <v>0</v>
      </c>
      <c r="J205" s="69">
        <f t="shared" si="4"/>
        <v>0</v>
      </c>
      <c r="K205" s="90">
        <f>+I205+'ABRIL 2025'!K205</f>
        <v>2</v>
      </c>
      <c r="L205" s="94">
        <f t="shared" si="5"/>
        <v>0.2</v>
      </c>
      <c r="N205"/>
      <c r="O205" s="8"/>
      <c r="P205"/>
      <c r="Q205" s="8"/>
    </row>
    <row r="206" spans="2:17" x14ac:dyDescent="0.25">
      <c r="B206" s="87">
        <v>2</v>
      </c>
      <c r="C206" s="109" t="s">
        <v>374</v>
      </c>
      <c r="D206" s="110" t="s">
        <v>375</v>
      </c>
      <c r="E206" s="226"/>
      <c r="F206" s="64" t="s">
        <v>172</v>
      </c>
      <c r="G206" s="65" t="s">
        <v>172</v>
      </c>
      <c r="H206" s="97">
        <v>20</v>
      </c>
      <c r="I206" s="97">
        <v>0</v>
      </c>
      <c r="J206" s="72">
        <f t="shared" si="4"/>
        <v>0</v>
      </c>
      <c r="K206" s="91">
        <f>+I206+'ABRIL 2025'!K206</f>
        <v>2</v>
      </c>
      <c r="L206" s="96">
        <f t="shared" si="5"/>
        <v>0.1</v>
      </c>
      <c r="N206"/>
      <c r="O206" s="8"/>
      <c r="P206"/>
      <c r="Q206" s="8"/>
    </row>
    <row r="207" spans="2:17" x14ac:dyDescent="0.25">
      <c r="B207" s="88">
        <v>1</v>
      </c>
      <c r="C207" s="111" t="s">
        <v>230</v>
      </c>
      <c r="D207" s="112" t="s">
        <v>377</v>
      </c>
      <c r="E207" s="226" t="s">
        <v>608</v>
      </c>
      <c r="F207" s="59" t="s">
        <v>599</v>
      </c>
      <c r="G207" s="60" t="s">
        <v>600</v>
      </c>
      <c r="H207" s="66">
        <v>30</v>
      </c>
      <c r="I207" s="66">
        <v>3</v>
      </c>
      <c r="J207" s="69">
        <f t="shared" ref="J207:J268" si="6">IFERROR(I207/H207,0)</f>
        <v>0.1</v>
      </c>
      <c r="K207" s="103">
        <f>+I207+'ABRIL 2025'!K207</f>
        <v>11</v>
      </c>
      <c r="L207" s="94">
        <f t="shared" ref="L207:L268" si="7">IFERROR(K207/H207,0)</f>
        <v>0.36666666666666664</v>
      </c>
      <c r="N207"/>
      <c r="O207" s="8"/>
      <c r="P207"/>
      <c r="Q207" s="8"/>
    </row>
    <row r="208" spans="2:17" x14ac:dyDescent="0.25">
      <c r="B208" s="86">
        <v>1</v>
      </c>
      <c r="C208" s="107" t="s">
        <v>74</v>
      </c>
      <c r="D208" s="108" t="s">
        <v>226</v>
      </c>
      <c r="E208" s="226"/>
      <c r="F208" s="61" t="s">
        <v>601</v>
      </c>
      <c r="G208" s="62" t="s">
        <v>602</v>
      </c>
      <c r="H208" s="68">
        <v>30</v>
      </c>
      <c r="I208" s="55">
        <v>7</v>
      </c>
      <c r="J208" s="69">
        <f t="shared" si="6"/>
        <v>0.23333333333333334</v>
      </c>
      <c r="K208" s="90">
        <f>+I208+'ABRIL 2025'!K208</f>
        <v>12</v>
      </c>
      <c r="L208" s="94">
        <f t="shared" si="7"/>
        <v>0.4</v>
      </c>
      <c r="N208"/>
      <c r="O208" s="8"/>
      <c r="P208"/>
      <c r="Q208" s="8"/>
    </row>
    <row r="209" spans="2:17" x14ac:dyDescent="0.25">
      <c r="B209" s="86">
        <v>1</v>
      </c>
      <c r="C209" s="107" t="s">
        <v>77</v>
      </c>
      <c r="D209" s="108" t="s">
        <v>78</v>
      </c>
      <c r="E209" s="226"/>
      <c r="F209" s="61" t="s">
        <v>603</v>
      </c>
      <c r="G209" s="63" t="s">
        <v>604</v>
      </c>
      <c r="H209" s="55">
        <v>30</v>
      </c>
      <c r="I209" s="70">
        <v>3</v>
      </c>
      <c r="J209" s="69">
        <f t="shared" si="6"/>
        <v>0.1</v>
      </c>
      <c r="K209" s="90">
        <f>+I209+'ABRIL 2025'!K209</f>
        <v>6</v>
      </c>
      <c r="L209" s="94">
        <f t="shared" si="7"/>
        <v>0.2</v>
      </c>
      <c r="N209"/>
      <c r="O209" s="8"/>
      <c r="P209"/>
      <c r="Q209" s="8"/>
    </row>
    <row r="210" spans="2:17" x14ac:dyDescent="0.25">
      <c r="B210" s="86">
        <v>1</v>
      </c>
      <c r="C210" s="107" t="s">
        <v>89</v>
      </c>
      <c r="D210" s="108" t="s">
        <v>90</v>
      </c>
      <c r="E210" s="226"/>
      <c r="F210" s="61" t="s">
        <v>605</v>
      </c>
      <c r="G210" s="62" t="s">
        <v>600</v>
      </c>
      <c r="H210" s="55">
        <v>30</v>
      </c>
      <c r="I210" s="55">
        <v>3</v>
      </c>
      <c r="J210" s="69">
        <f t="shared" si="6"/>
        <v>0.1</v>
      </c>
      <c r="K210" s="90">
        <f>+I210+'ABRIL 2025'!K210</f>
        <v>6</v>
      </c>
      <c r="L210" s="94">
        <f t="shared" si="7"/>
        <v>0.2</v>
      </c>
      <c r="N210"/>
      <c r="O210" s="8"/>
      <c r="P210"/>
      <c r="Q210" s="8"/>
    </row>
    <row r="211" spans="2:17" x14ac:dyDescent="0.25">
      <c r="B211" s="86">
        <v>1</v>
      </c>
      <c r="C211" s="107" t="s">
        <v>379</v>
      </c>
      <c r="D211" s="108" t="s">
        <v>380</v>
      </c>
      <c r="E211" s="226"/>
      <c r="F211" s="61" t="s">
        <v>606</v>
      </c>
      <c r="G211" s="62" t="s">
        <v>600</v>
      </c>
      <c r="H211" s="55">
        <v>30</v>
      </c>
      <c r="I211" s="55">
        <v>7</v>
      </c>
      <c r="J211" s="69">
        <f t="shared" si="6"/>
        <v>0.23333333333333334</v>
      </c>
      <c r="K211" s="90">
        <f>+I211+'ABRIL 2025'!K211</f>
        <v>16</v>
      </c>
      <c r="L211" s="94">
        <f t="shared" si="7"/>
        <v>0.53333333333333333</v>
      </c>
      <c r="N211"/>
      <c r="O211" s="8"/>
      <c r="P211"/>
      <c r="Q211" s="8"/>
    </row>
    <row r="212" spans="2:17" x14ac:dyDescent="0.25">
      <c r="B212" s="87">
        <v>2</v>
      </c>
      <c r="C212" s="109" t="s">
        <v>360</v>
      </c>
      <c r="D212" s="110" t="s">
        <v>361</v>
      </c>
      <c r="E212" s="226"/>
      <c r="F212" s="64" t="s">
        <v>607</v>
      </c>
      <c r="G212" s="65" t="s">
        <v>600</v>
      </c>
      <c r="H212" s="56">
        <v>30</v>
      </c>
      <c r="I212" s="56">
        <v>7</v>
      </c>
      <c r="J212" s="72">
        <f t="shared" si="6"/>
        <v>0.23333333333333334</v>
      </c>
      <c r="K212" s="91">
        <f>+I212+'ABRIL 2025'!K212</f>
        <v>9</v>
      </c>
      <c r="L212" s="96">
        <f t="shared" si="7"/>
        <v>0.3</v>
      </c>
      <c r="N212"/>
      <c r="O212" s="8"/>
      <c r="P212"/>
      <c r="Q212" s="8"/>
    </row>
    <row r="213" spans="2:17" x14ac:dyDescent="0.25">
      <c r="B213" s="88">
        <v>3</v>
      </c>
      <c r="C213" s="111" t="s">
        <v>43</v>
      </c>
      <c r="D213" s="112" t="s">
        <v>44</v>
      </c>
      <c r="E213" s="232" t="s">
        <v>382</v>
      </c>
      <c r="F213" s="59" t="s">
        <v>609</v>
      </c>
      <c r="G213" s="60" t="s">
        <v>610</v>
      </c>
      <c r="H213" s="89">
        <v>28</v>
      </c>
      <c r="I213" s="89">
        <v>2</v>
      </c>
      <c r="J213" s="69">
        <f t="shared" si="6"/>
        <v>7.1428571428571425E-2</v>
      </c>
      <c r="K213" s="103">
        <f>+I213+'ABRIL 2025'!K213</f>
        <v>6</v>
      </c>
      <c r="L213" s="94">
        <f t="shared" si="7"/>
        <v>0.21428571428571427</v>
      </c>
      <c r="N213"/>
      <c r="O213" s="8"/>
      <c r="P213"/>
      <c r="Q213" s="8"/>
    </row>
    <row r="214" spans="2:17" x14ac:dyDescent="0.25">
      <c r="B214" s="86">
        <v>3</v>
      </c>
      <c r="C214" s="107" t="s">
        <v>46</v>
      </c>
      <c r="D214" s="108" t="s">
        <v>47</v>
      </c>
      <c r="E214" s="232"/>
      <c r="F214" s="61" t="s">
        <v>611</v>
      </c>
      <c r="G214" s="76" t="s">
        <v>564</v>
      </c>
      <c r="H214" s="2">
        <v>28</v>
      </c>
      <c r="I214" s="3">
        <v>3</v>
      </c>
      <c r="J214" s="69">
        <f t="shared" si="6"/>
        <v>0.10714285714285714</v>
      </c>
      <c r="K214" s="90">
        <f>+I214+'ABRIL 2025'!K214</f>
        <v>5</v>
      </c>
      <c r="L214" s="94">
        <f t="shared" si="7"/>
        <v>0.17857142857142858</v>
      </c>
      <c r="N214"/>
      <c r="O214" s="8"/>
      <c r="P214"/>
      <c r="Q214" s="8"/>
    </row>
    <row r="215" spans="2:17" x14ac:dyDescent="0.25">
      <c r="B215" s="86">
        <v>3</v>
      </c>
      <c r="C215" s="107" t="s">
        <v>98</v>
      </c>
      <c r="D215" s="108" t="s">
        <v>99</v>
      </c>
      <c r="E215" s="232"/>
      <c r="F215" s="61" t="s">
        <v>612</v>
      </c>
      <c r="G215" s="62" t="s">
        <v>613</v>
      </c>
      <c r="H215" s="3">
        <v>27</v>
      </c>
      <c r="I215" s="4">
        <v>3</v>
      </c>
      <c r="J215" s="69">
        <f t="shared" si="6"/>
        <v>0.1111111111111111</v>
      </c>
      <c r="K215" s="90">
        <f>+I215+'ABRIL 2025'!K215</f>
        <v>4</v>
      </c>
      <c r="L215" s="94">
        <f t="shared" si="7"/>
        <v>0.14814814814814814</v>
      </c>
      <c r="N215"/>
      <c r="O215" s="8"/>
      <c r="P215"/>
      <c r="Q215" s="8"/>
    </row>
    <row r="216" spans="2:17" x14ac:dyDescent="0.25">
      <c r="B216" s="86">
        <v>3</v>
      </c>
      <c r="C216" s="107" t="s">
        <v>49</v>
      </c>
      <c r="D216" s="108" t="s">
        <v>50</v>
      </c>
      <c r="E216" s="232"/>
      <c r="F216" s="61" t="s">
        <v>614</v>
      </c>
      <c r="G216" s="62" t="s">
        <v>613</v>
      </c>
      <c r="H216" s="3">
        <v>32</v>
      </c>
      <c r="I216" s="3">
        <v>2</v>
      </c>
      <c r="J216" s="69">
        <f t="shared" si="6"/>
        <v>6.25E-2</v>
      </c>
      <c r="K216" s="90">
        <f>+I216+'ABRIL 2025'!K216</f>
        <v>5</v>
      </c>
      <c r="L216" s="94">
        <f t="shared" si="7"/>
        <v>0.15625</v>
      </c>
      <c r="N216"/>
      <c r="O216" s="8"/>
      <c r="P216"/>
      <c r="Q216" s="8"/>
    </row>
    <row r="217" spans="2:17" x14ac:dyDescent="0.25">
      <c r="B217" s="86">
        <v>3</v>
      </c>
      <c r="C217" s="107" t="s">
        <v>52</v>
      </c>
      <c r="D217" s="108" t="s">
        <v>53</v>
      </c>
      <c r="E217" s="232"/>
      <c r="F217" s="62" t="s">
        <v>615</v>
      </c>
      <c r="G217" s="62" t="s">
        <v>397</v>
      </c>
      <c r="H217" s="3">
        <v>30</v>
      </c>
      <c r="I217" s="3">
        <v>4</v>
      </c>
      <c r="J217" s="69">
        <f t="shared" si="6"/>
        <v>0.13333333333333333</v>
      </c>
      <c r="K217" s="90">
        <f>+I217+'ABRIL 2025'!K217</f>
        <v>9</v>
      </c>
      <c r="L217" s="94">
        <f t="shared" si="7"/>
        <v>0.3</v>
      </c>
      <c r="N217"/>
      <c r="O217" s="8"/>
      <c r="P217"/>
      <c r="Q217" s="8"/>
    </row>
    <row r="218" spans="2:17" x14ac:dyDescent="0.25">
      <c r="B218" s="86">
        <v>3</v>
      </c>
      <c r="C218" s="107" t="s">
        <v>55</v>
      </c>
      <c r="D218" s="108" t="s">
        <v>56</v>
      </c>
      <c r="E218" s="232"/>
      <c r="F218" s="62" t="s">
        <v>616</v>
      </c>
      <c r="G218" s="62" t="s">
        <v>617</v>
      </c>
      <c r="H218" s="3">
        <v>30</v>
      </c>
      <c r="I218" s="3">
        <v>4</v>
      </c>
      <c r="J218" s="69">
        <f t="shared" si="6"/>
        <v>0.13333333333333333</v>
      </c>
      <c r="K218" s="90">
        <f>+I218+'ABRIL 2025'!K218</f>
        <v>7</v>
      </c>
      <c r="L218" s="94">
        <f t="shared" si="7"/>
        <v>0.23333333333333334</v>
      </c>
      <c r="N218"/>
      <c r="O218" s="8"/>
      <c r="P218"/>
      <c r="Q218" s="8"/>
    </row>
    <row r="219" spans="2:17" x14ac:dyDescent="0.25">
      <c r="B219" s="86">
        <v>5</v>
      </c>
      <c r="C219" s="107" t="s">
        <v>57</v>
      </c>
      <c r="D219" s="108" t="s">
        <v>58</v>
      </c>
      <c r="E219" s="232"/>
      <c r="F219" s="61" t="s">
        <v>618</v>
      </c>
      <c r="G219" s="62" t="s">
        <v>393</v>
      </c>
      <c r="H219" s="3">
        <v>30</v>
      </c>
      <c r="I219" s="3">
        <v>3</v>
      </c>
      <c r="J219" s="69">
        <f t="shared" si="6"/>
        <v>0.1</v>
      </c>
      <c r="K219" s="90">
        <f>+I219+'ABRIL 2025'!K219</f>
        <v>7</v>
      </c>
      <c r="L219" s="94">
        <f t="shared" si="7"/>
        <v>0.23333333333333334</v>
      </c>
      <c r="N219"/>
      <c r="O219" s="8"/>
      <c r="P219"/>
      <c r="Q219" s="8"/>
    </row>
    <row r="220" spans="2:17" x14ac:dyDescent="0.25">
      <c r="B220" s="86">
        <v>5</v>
      </c>
      <c r="C220" s="107" t="s">
        <v>59</v>
      </c>
      <c r="D220" s="108" t="s">
        <v>60</v>
      </c>
      <c r="E220" s="232"/>
      <c r="F220" s="62" t="s">
        <v>396</v>
      </c>
      <c r="G220" s="62" t="s">
        <v>397</v>
      </c>
      <c r="H220" s="3">
        <v>35</v>
      </c>
      <c r="I220" s="3">
        <v>5</v>
      </c>
      <c r="J220" s="69">
        <f t="shared" si="6"/>
        <v>0.14285714285714285</v>
      </c>
      <c r="K220" s="90">
        <f>+I220+'ABRIL 2025'!K220</f>
        <v>9</v>
      </c>
      <c r="L220" s="94">
        <f t="shared" si="7"/>
        <v>0.25714285714285712</v>
      </c>
      <c r="N220"/>
      <c r="O220" s="8"/>
      <c r="P220"/>
      <c r="Q220" s="8"/>
    </row>
    <row r="221" spans="2:17" x14ac:dyDescent="0.25">
      <c r="B221" s="104">
        <v>8</v>
      </c>
      <c r="C221" s="113" t="s">
        <v>61</v>
      </c>
      <c r="D221" s="114" t="s">
        <v>62</v>
      </c>
      <c r="E221" s="232"/>
      <c r="F221" s="64" t="s">
        <v>398</v>
      </c>
      <c r="G221" s="63" t="s">
        <v>397</v>
      </c>
      <c r="H221" s="97">
        <v>30</v>
      </c>
      <c r="I221" s="97">
        <v>4</v>
      </c>
      <c r="J221" s="72">
        <f t="shared" si="6"/>
        <v>0.13333333333333333</v>
      </c>
      <c r="K221" s="91">
        <f>+I221+'ABRIL 2025'!K221</f>
        <v>8</v>
      </c>
      <c r="L221" s="96">
        <f t="shared" si="7"/>
        <v>0.26666666666666666</v>
      </c>
      <c r="N221"/>
      <c r="O221" s="8"/>
      <c r="P221"/>
      <c r="Q221" s="8"/>
    </row>
    <row r="222" spans="2:17" x14ac:dyDescent="0.25">
      <c r="B222" s="85">
        <v>3</v>
      </c>
      <c r="C222" s="105" t="s">
        <v>43</v>
      </c>
      <c r="D222" s="106" t="s">
        <v>44</v>
      </c>
      <c r="E222" s="232" t="s">
        <v>400</v>
      </c>
      <c r="F222" s="59" t="s">
        <v>619</v>
      </c>
      <c r="G222" s="60" t="s">
        <v>620</v>
      </c>
      <c r="H222" s="89">
        <v>20</v>
      </c>
      <c r="I222" s="66">
        <v>4</v>
      </c>
      <c r="J222" s="69">
        <f t="shared" si="6"/>
        <v>0.2</v>
      </c>
      <c r="K222" s="103">
        <f>+I222+'ABRIL 2025'!K222</f>
        <v>7</v>
      </c>
      <c r="L222" s="94">
        <f t="shared" si="7"/>
        <v>0.35</v>
      </c>
      <c r="N222"/>
      <c r="O222" s="8"/>
      <c r="P222"/>
      <c r="Q222" s="8"/>
    </row>
    <row r="223" spans="2:17" x14ac:dyDescent="0.25">
      <c r="B223" s="86">
        <v>3</v>
      </c>
      <c r="C223" s="107" t="s">
        <v>46</v>
      </c>
      <c r="D223" s="108" t="s">
        <v>47</v>
      </c>
      <c r="E223" s="232"/>
      <c r="F223" s="61" t="s">
        <v>621</v>
      </c>
      <c r="G223" s="76" t="s">
        <v>620</v>
      </c>
      <c r="H223" s="2">
        <v>20</v>
      </c>
      <c r="I223" s="55">
        <v>3</v>
      </c>
      <c r="J223" s="69">
        <f t="shared" si="6"/>
        <v>0.15</v>
      </c>
      <c r="K223" s="90">
        <f>+I223+'ABRIL 2025'!K223</f>
        <v>6</v>
      </c>
      <c r="L223" s="94">
        <f t="shared" si="7"/>
        <v>0.3</v>
      </c>
      <c r="N223"/>
      <c r="O223" s="8"/>
      <c r="P223"/>
      <c r="Q223" s="8"/>
    </row>
    <row r="224" spans="2:17" x14ac:dyDescent="0.25">
      <c r="B224" s="86">
        <v>3</v>
      </c>
      <c r="C224" s="107" t="s">
        <v>98</v>
      </c>
      <c r="D224" s="108" t="s">
        <v>99</v>
      </c>
      <c r="E224" s="232"/>
      <c r="F224" s="61" t="s">
        <v>54</v>
      </c>
      <c r="G224" s="62" t="s">
        <v>620</v>
      </c>
      <c r="H224" s="3">
        <v>20</v>
      </c>
      <c r="I224" s="70">
        <v>3</v>
      </c>
      <c r="J224" s="69">
        <f t="shared" si="6"/>
        <v>0.15</v>
      </c>
      <c r="K224" s="90">
        <f>+I224+'ABRIL 2025'!K224</f>
        <v>7</v>
      </c>
      <c r="L224" s="94">
        <f t="shared" si="7"/>
        <v>0.35</v>
      </c>
      <c r="N224"/>
      <c r="O224" s="8"/>
      <c r="P224"/>
      <c r="Q224" s="8"/>
    </row>
    <row r="225" spans="2:17" x14ac:dyDescent="0.25">
      <c r="B225" s="86">
        <v>3</v>
      </c>
      <c r="C225" s="107" t="s">
        <v>49</v>
      </c>
      <c r="D225" s="108" t="s">
        <v>50</v>
      </c>
      <c r="E225" s="232"/>
      <c r="F225" s="61" t="s">
        <v>403</v>
      </c>
      <c r="G225" s="62" t="s">
        <v>620</v>
      </c>
      <c r="H225" s="3">
        <v>20</v>
      </c>
      <c r="I225" s="55">
        <v>3</v>
      </c>
      <c r="J225" s="69">
        <f t="shared" si="6"/>
        <v>0.15</v>
      </c>
      <c r="K225" s="90">
        <f>+I225+'ABRIL 2025'!K225</f>
        <v>7</v>
      </c>
      <c r="L225" s="94">
        <f t="shared" si="7"/>
        <v>0.35</v>
      </c>
      <c r="N225"/>
      <c r="O225" s="8"/>
      <c r="P225"/>
      <c r="Q225" s="8"/>
    </row>
    <row r="226" spans="2:17" x14ac:dyDescent="0.25">
      <c r="B226" s="86">
        <v>3</v>
      </c>
      <c r="C226" s="107" t="s">
        <v>52</v>
      </c>
      <c r="D226" s="108" t="s">
        <v>53</v>
      </c>
      <c r="E226" s="232"/>
      <c r="F226" s="62" t="s">
        <v>54</v>
      </c>
      <c r="G226" s="62" t="s">
        <v>620</v>
      </c>
      <c r="H226" s="3">
        <v>20</v>
      </c>
      <c r="I226" s="55">
        <v>3</v>
      </c>
      <c r="J226" s="69">
        <f t="shared" si="6"/>
        <v>0.15</v>
      </c>
      <c r="K226" s="90">
        <f>+I226+'ABRIL 2025'!K226</f>
        <v>6</v>
      </c>
      <c r="L226" s="94">
        <f t="shared" si="7"/>
        <v>0.3</v>
      </c>
      <c r="N226"/>
      <c r="O226" s="8"/>
      <c r="P226"/>
      <c r="Q226" s="8"/>
    </row>
    <row r="227" spans="2:17" x14ac:dyDescent="0.25">
      <c r="B227" s="86">
        <v>3</v>
      </c>
      <c r="C227" s="107" t="s">
        <v>55</v>
      </c>
      <c r="D227" s="108" t="s">
        <v>56</v>
      </c>
      <c r="E227" s="232"/>
      <c r="F227" s="62" t="s">
        <v>622</v>
      </c>
      <c r="G227" s="62" t="s">
        <v>620</v>
      </c>
      <c r="H227" s="3">
        <v>20</v>
      </c>
      <c r="I227" s="55">
        <v>4</v>
      </c>
      <c r="J227" s="69">
        <f t="shared" si="6"/>
        <v>0.2</v>
      </c>
      <c r="K227" s="90">
        <f>+I227+'ABRIL 2025'!K227</f>
        <v>8</v>
      </c>
      <c r="L227" s="94">
        <f t="shared" si="7"/>
        <v>0.4</v>
      </c>
      <c r="N227"/>
      <c r="O227" s="8"/>
      <c r="P227"/>
      <c r="Q227" s="8"/>
    </row>
    <row r="228" spans="2:17" x14ac:dyDescent="0.25">
      <c r="B228" s="86">
        <v>5</v>
      </c>
      <c r="C228" s="107" t="s">
        <v>57</v>
      </c>
      <c r="D228" s="108" t="s">
        <v>58</v>
      </c>
      <c r="E228" s="232"/>
      <c r="F228" s="61" t="s">
        <v>54</v>
      </c>
      <c r="G228" s="62" t="s">
        <v>620</v>
      </c>
      <c r="H228" s="3">
        <v>20</v>
      </c>
      <c r="I228" s="55">
        <v>3</v>
      </c>
      <c r="J228" s="69">
        <f t="shared" si="6"/>
        <v>0.15</v>
      </c>
      <c r="K228" s="90">
        <f>+I228+'ABRIL 2025'!K228</f>
        <v>6</v>
      </c>
      <c r="L228" s="94">
        <f t="shared" si="7"/>
        <v>0.3</v>
      </c>
      <c r="N228"/>
      <c r="O228" s="8"/>
      <c r="P228"/>
      <c r="Q228" s="8"/>
    </row>
    <row r="229" spans="2:17" x14ac:dyDescent="0.25">
      <c r="B229" s="86">
        <v>5</v>
      </c>
      <c r="C229" s="107" t="s">
        <v>59</v>
      </c>
      <c r="D229" s="108" t="s">
        <v>60</v>
      </c>
      <c r="E229" s="232"/>
      <c r="F229" s="62" t="s">
        <v>54</v>
      </c>
      <c r="G229" s="62" t="s">
        <v>620</v>
      </c>
      <c r="H229" s="3">
        <v>20</v>
      </c>
      <c r="I229" s="55">
        <v>3</v>
      </c>
      <c r="J229" s="69">
        <f t="shared" si="6"/>
        <v>0.15</v>
      </c>
      <c r="K229" s="90">
        <f>+I229+'ABRIL 2025'!K229</f>
        <v>6</v>
      </c>
      <c r="L229" s="94">
        <f t="shared" si="7"/>
        <v>0.3</v>
      </c>
      <c r="N229"/>
      <c r="O229" s="8"/>
      <c r="P229"/>
      <c r="Q229" s="8"/>
    </row>
    <row r="230" spans="2:17" x14ac:dyDescent="0.25">
      <c r="B230" s="87">
        <v>8</v>
      </c>
      <c r="C230" s="109" t="s">
        <v>61</v>
      </c>
      <c r="D230" s="110" t="s">
        <v>62</v>
      </c>
      <c r="E230" s="232"/>
      <c r="F230" s="64" t="s">
        <v>623</v>
      </c>
      <c r="G230" s="65" t="s">
        <v>620</v>
      </c>
      <c r="H230" s="97">
        <v>20</v>
      </c>
      <c r="I230" s="56">
        <v>4</v>
      </c>
      <c r="J230" s="72">
        <f t="shared" si="6"/>
        <v>0.2</v>
      </c>
      <c r="K230" s="91">
        <f>+I230+'ABRIL 2025'!K230</f>
        <v>7</v>
      </c>
      <c r="L230" s="96">
        <f t="shared" si="7"/>
        <v>0.35</v>
      </c>
      <c r="N230"/>
      <c r="O230" s="8"/>
      <c r="P230"/>
      <c r="Q230" s="8"/>
    </row>
    <row r="231" spans="2:17" x14ac:dyDescent="0.25">
      <c r="B231" s="85">
        <v>3</v>
      </c>
      <c r="C231" s="105" t="s">
        <v>43</v>
      </c>
      <c r="D231" s="106" t="s">
        <v>44</v>
      </c>
      <c r="E231" s="232" t="s">
        <v>407</v>
      </c>
      <c r="F231" s="115" t="s">
        <v>624</v>
      </c>
      <c r="G231" s="63" t="s">
        <v>625</v>
      </c>
      <c r="H231" s="66">
        <v>30</v>
      </c>
      <c r="I231" s="66">
        <v>4</v>
      </c>
      <c r="J231" s="69">
        <f t="shared" si="6"/>
        <v>0.13333333333333333</v>
      </c>
      <c r="K231" s="103">
        <f>+I231+'ABRIL 2025'!K231</f>
        <v>8</v>
      </c>
      <c r="L231" s="94">
        <f t="shared" si="7"/>
        <v>0.26666666666666666</v>
      </c>
      <c r="N231"/>
      <c r="O231" s="8"/>
      <c r="P231"/>
      <c r="Q231" s="8"/>
    </row>
    <row r="232" spans="2:17" x14ac:dyDescent="0.25">
      <c r="B232" s="86">
        <v>3</v>
      </c>
      <c r="C232" s="107" t="s">
        <v>46</v>
      </c>
      <c r="D232" s="108" t="s">
        <v>47</v>
      </c>
      <c r="E232" s="232"/>
      <c r="F232" s="116" t="s">
        <v>626</v>
      </c>
      <c r="G232" s="62" t="s">
        <v>627</v>
      </c>
      <c r="H232" s="68">
        <v>30</v>
      </c>
      <c r="I232" s="55">
        <v>3</v>
      </c>
      <c r="J232" s="69">
        <f t="shared" si="6"/>
        <v>0.1</v>
      </c>
      <c r="K232" s="90">
        <f>+I232+'ABRIL 2025'!K232</f>
        <v>5</v>
      </c>
      <c r="L232" s="94">
        <f t="shared" si="7"/>
        <v>0.16666666666666666</v>
      </c>
      <c r="N232"/>
      <c r="O232" s="8"/>
      <c r="P232"/>
      <c r="Q232" s="8"/>
    </row>
    <row r="233" spans="2:17" x14ac:dyDescent="0.25">
      <c r="B233" s="86">
        <v>3</v>
      </c>
      <c r="C233" s="107" t="s">
        <v>98</v>
      </c>
      <c r="D233" s="108" t="s">
        <v>99</v>
      </c>
      <c r="E233" s="232"/>
      <c r="F233" s="116" t="s">
        <v>628</v>
      </c>
      <c r="G233" s="63" t="s">
        <v>629</v>
      </c>
      <c r="H233" s="55">
        <v>30</v>
      </c>
      <c r="I233" s="70">
        <v>3</v>
      </c>
      <c r="J233" s="69">
        <f t="shared" si="6"/>
        <v>0.1</v>
      </c>
      <c r="K233" s="90">
        <f>+I233+'ABRIL 2025'!K233</f>
        <v>6</v>
      </c>
      <c r="L233" s="94">
        <f t="shared" si="7"/>
        <v>0.2</v>
      </c>
      <c r="N233"/>
      <c r="O233" s="8"/>
      <c r="P233"/>
      <c r="Q233" s="8"/>
    </row>
    <row r="234" spans="2:17" x14ac:dyDescent="0.25">
      <c r="B234" s="86">
        <v>3</v>
      </c>
      <c r="C234" s="107" t="s">
        <v>49</v>
      </c>
      <c r="D234" s="108" t="s">
        <v>50</v>
      </c>
      <c r="E234" s="232"/>
      <c r="F234" s="116" t="s">
        <v>630</v>
      </c>
      <c r="G234" s="62" t="s">
        <v>631</v>
      </c>
      <c r="H234" s="55">
        <v>30</v>
      </c>
      <c r="I234" s="55">
        <v>4</v>
      </c>
      <c r="J234" s="69">
        <f t="shared" si="6"/>
        <v>0.13333333333333333</v>
      </c>
      <c r="K234" s="90">
        <f>+I234+'ABRIL 2025'!K234</f>
        <v>6</v>
      </c>
      <c r="L234" s="94">
        <f t="shared" si="7"/>
        <v>0.2</v>
      </c>
      <c r="N234"/>
      <c r="O234" s="8"/>
      <c r="P234"/>
      <c r="Q234" s="8"/>
    </row>
    <row r="235" spans="2:17" x14ac:dyDescent="0.25">
      <c r="B235" s="86">
        <v>3</v>
      </c>
      <c r="C235" s="107" t="s">
        <v>52</v>
      </c>
      <c r="D235" s="108" t="s">
        <v>53</v>
      </c>
      <c r="E235" s="232"/>
      <c r="F235" s="116" t="s">
        <v>632</v>
      </c>
      <c r="G235" s="62" t="s">
        <v>633</v>
      </c>
      <c r="H235" s="55">
        <v>30</v>
      </c>
      <c r="I235" s="55">
        <v>1</v>
      </c>
      <c r="J235" s="69">
        <f t="shared" si="6"/>
        <v>3.3333333333333333E-2</v>
      </c>
      <c r="K235" s="90">
        <f>+I235+'ABRIL 2025'!K235</f>
        <v>8</v>
      </c>
      <c r="L235" s="94">
        <f t="shared" si="7"/>
        <v>0.26666666666666666</v>
      </c>
      <c r="N235"/>
      <c r="O235" s="8"/>
      <c r="P235"/>
      <c r="Q235" s="8"/>
    </row>
    <row r="236" spans="2:17" x14ac:dyDescent="0.25">
      <c r="B236" s="86">
        <v>3</v>
      </c>
      <c r="C236" s="107" t="s">
        <v>55</v>
      </c>
      <c r="D236" s="108" t="s">
        <v>56</v>
      </c>
      <c r="E236" s="232"/>
      <c r="F236" s="116" t="s">
        <v>634</v>
      </c>
      <c r="G236" s="62" t="s">
        <v>635</v>
      </c>
      <c r="H236" s="55">
        <v>30</v>
      </c>
      <c r="I236" s="55">
        <v>2</v>
      </c>
      <c r="J236" s="69">
        <f t="shared" si="6"/>
        <v>6.6666666666666666E-2</v>
      </c>
      <c r="K236" s="90">
        <f>+I236+'ABRIL 2025'!K236</f>
        <v>4</v>
      </c>
      <c r="L236" s="94">
        <f t="shared" si="7"/>
        <v>0.13333333333333333</v>
      </c>
      <c r="N236"/>
      <c r="O236" s="8"/>
      <c r="P236"/>
      <c r="Q236" s="8"/>
    </row>
    <row r="237" spans="2:17" x14ac:dyDescent="0.25">
      <c r="B237" s="86">
        <v>5</v>
      </c>
      <c r="C237" s="107" t="s">
        <v>57</v>
      </c>
      <c r="D237" s="108" t="s">
        <v>58</v>
      </c>
      <c r="E237" s="232"/>
      <c r="F237" s="132" t="s">
        <v>636</v>
      </c>
      <c r="G237" s="76" t="s">
        <v>637</v>
      </c>
      <c r="H237" s="55">
        <v>30</v>
      </c>
      <c r="I237" s="55">
        <v>8</v>
      </c>
      <c r="J237" s="69">
        <f t="shared" si="6"/>
        <v>0.26666666666666666</v>
      </c>
      <c r="K237" s="90">
        <f>+I237+'ABRIL 2025'!K237</f>
        <v>12</v>
      </c>
      <c r="L237" s="94">
        <f t="shared" si="7"/>
        <v>0.4</v>
      </c>
      <c r="N237"/>
      <c r="O237" s="8"/>
      <c r="P237"/>
      <c r="Q237" s="8"/>
    </row>
    <row r="238" spans="2:17" x14ac:dyDescent="0.25">
      <c r="B238" s="86">
        <v>5</v>
      </c>
      <c r="C238" s="107" t="s">
        <v>59</v>
      </c>
      <c r="D238" s="108" t="s">
        <v>60</v>
      </c>
      <c r="E238" s="233"/>
      <c r="F238" s="116" t="s">
        <v>638</v>
      </c>
      <c r="G238" s="62" t="s">
        <v>639</v>
      </c>
      <c r="H238" s="128">
        <v>30</v>
      </c>
      <c r="I238" s="55">
        <v>2</v>
      </c>
      <c r="J238" s="69">
        <f t="shared" si="6"/>
        <v>6.6666666666666666E-2</v>
      </c>
      <c r="K238" s="90">
        <f>+I238+'ABRIL 2025'!K238</f>
        <v>6</v>
      </c>
      <c r="L238" s="94">
        <f t="shared" si="7"/>
        <v>0.2</v>
      </c>
      <c r="N238"/>
      <c r="O238" s="8"/>
      <c r="P238"/>
      <c r="Q238" s="8"/>
    </row>
    <row r="239" spans="2:17" x14ac:dyDescent="0.25">
      <c r="B239" s="87">
        <v>8</v>
      </c>
      <c r="C239" s="109" t="s">
        <v>61</v>
      </c>
      <c r="D239" s="110" t="s">
        <v>62</v>
      </c>
      <c r="E239" s="234"/>
      <c r="F239" s="133" t="s">
        <v>640</v>
      </c>
      <c r="G239" s="63" t="s">
        <v>641</v>
      </c>
      <c r="H239" s="56">
        <v>30</v>
      </c>
      <c r="I239" s="56">
        <v>3</v>
      </c>
      <c r="J239" s="72">
        <f t="shared" si="6"/>
        <v>0.1</v>
      </c>
      <c r="K239" s="91">
        <f>+I239+'ABRIL 2025'!K239</f>
        <v>5</v>
      </c>
      <c r="L239" s="96">
        <f t="shared" si="7"/>
        <v>0.16666666666666666</v>
      </c>
      <c r="N239"/>
      <c r="O239" s="8"/>
      <c r="P239"/>
      <c r="Q239" s="8"/>
    </row>
    <row r="240" spans="2:17" x14ac:dyDescent="0.25">
      <c r="B240" s="85">
        <v>3</v>
      </c>
      <c r="C240" s="105" t="s">
        <v>46</v>
      </c>
      <c r="D240" s="106" t="s">
        <v>47</v>
      </c>
      <c r="E240" s="226" t="s">
        <v>426</v>
      </c>
      <c r="F240" s="59" t="s">
        <v>425</v>
      </c>
      <c r="G240" s="60" t="s">
        <v>642</v>
      </c>
      <c r="H240" s="66">
        <v>45</v>
      </c>
      <c r="I240" s="66">
        <v>6</v>
      </c>
      <c r="J240" s="69">
        <f t="shared" si="6"/>
        <v>0.13333333333333333</v>
      </c>
      <c r="K240" s="103">
        <f>+I240+'ABRIL 2025'!K240</f>
        <v>11</v>
      </c>
      <c r="L240" s="94">
        <f t="shared" si="7"/>
        <v>0.24444444444444444</v>
      </c>
      <c r="N240"/>
      <c r="O240" s="8"/>
      <c r="P240"/>
      <c r="Q240" s="8"/>
    </row>
    <row r="241" spans="1:17" x14ac:dyDescent="0.25">
      <c r="B241" s="86">
        <v>3</v>
      </c>
      <c r="C241" s="107" t="s">
        <v>98</v>
      </c>
      <c r="D241" s="108" t="s">
        <v>99</v>
      </c>
      <c r="E241" s="226"/>
      <c r="F241" s="61" t="s">
        <v>428</v>
      </c>
      <c r="G241" s="62" t="s">
        <v>429</v>
      </c>
      <c r="H241" s="68">
        <v>45</v>
      </c>
      <c r="I241" s="55">
        <v>6</v>
      </c>
      <c r="J241" s="69">
        <f t="shared" si="6"/>
        <v>0.13333333333333333</v>
      </c>
      <c r="K241" s="90">
        <f>+I241+'ABRIL 2025'!K241</f>
        <v>10</v>
      </c>
      <c r="L241" s="94">
        <f t="shared" si="7"/>
        <v>0.22222222222222221</v>
      </c>
      <c r="N241"/>
      <c r="O241" s="8"/>
      <c r="P241"/>
      <c r="Q241" s="8"/>
    </row>
    <row r="242" spans="1:17" x14ac:dyDescent="0.25">
      <c r="B242" s="86">
        <v>3</v>
      </c>
      <c r="C242" s="107" t="s">
        <v>49</v>
      </c>
      <c r="D242" s="108" t="s">
        <v>50</v>
      </c>
      <c r="E242" s="226"/>
      <c r="F242" s="61" t="s">
        <v>430</v>
      </c>
      <c r="G242" s="63" t="s">
        <v>431</v>
      </c>
      <c r="H242" s="55">
        <v>45</v>
      </c>
      <c r="I242" s="70">
        <v>6</v>
      </c>
      <c r="J242" s="69">
        <f t="shared" si="6"/>
        <v>0.13333333333333333</v>
      </c>
      <c r="K242" s="90">
        <f>+I242+'ABRIL 2025'!K242</f>
        <v>10</v>
      </c>
      <c r="L242" s="94">
        <f t="shared" si="7"/>
        <v>0.22222222222222221</v>
      </c>
    </row>
    <row r="243" spans="1:17" s="16" customFormat="1" x14ac:dyDescent="0.25">
      <c r="B243" s="86">
        <v>3</v>
      </c>
      <c r="C243" s="107" t="s">
        <v>52</v>
      </c>
      <c r="D243" s="108" t="s">
        <v>53</v>
      </c>
      <c r="E243" s="226"/>
      <c r="F243" s="61" t="s">
        <v>432</v>
      </c>
      <c r="G243" s="62" t="s">
        <v>296</v>
      </c>
      <c r="H243" s="55">
        <v>45</v>
      </c>
      <c r="I243" s="55">
        <v>3</v>
      </c>
      <c r="J243" s="69">
        <f t="shared" si="6"/>
        <v>6.6666666666666666E-2</v>
      </c>
      <c r="K243" s="90">
        <f>+I243+'ABRIL 2025'!K243</f>
        <v>10</v>
      </c>
      <c r="L243" s="94">
        <f t="shared" si="7"/>
        <v>0.22222222222222221</v>
      </c>
      <c r="O243"/>
      <c r="Q243"/>
    </row>
    <row r="244" spans="1:17" x14ac:dyDescent="0.25">
      <c r="B244" s="86">
        <v>5</v>
      </c>
      <c r="C244" s="107" t="s">
        <v>59</v>
      </c>
      <c r="D244" s="108" t="s">
        <v>60</v>
      </c>
      <c r="E244" s="226"/>
      <c r="F244" s="61" t="s">
        <v>433</v>
      </c>
      <c r="G244" s="62" t="s">
        <v>434</v>
      </c>
      <c r="H244" s="55">
        <v>45</v>
      </c>
      <c r="I244" s="55">
        <v>4</v>
      </c>
      <c r="J244" s="69">
        <f t="shared" si="6"/>
        <v>8.8888888888888892E-2</v>
      </c>
      <c r="K244" s="90">
        <f>+I244+'ABRIL 2025'!K244</f>
        <v>8</v>
      </c>
      <c r="L244" s="94">
        <f t="shared" si="7"/>
        <v>0.17777777777777778</v>
      </c>
    </row>
    <row r="245" spans="1:17" ht="14.45" customHeight="1" x14ac:dyDescent="0.25">
      <c r="B245" s="86">
        <v>8</v>
      </c>
      <c r="C245" s="107" t="s">
        <v>61</v>
      </c>
      <c r="D245" s="108" t="s">
        <v>62</v>
      </c>
      <c r="E245" s="226"/>
      <c r="F245" s="64" t="s">
        <v>435</v>
      </c>
      <c r="G245" s="65" t="s">
        <v>436</v>
      </c>
      <c r="H245" s="56">
        <v>45</v>
      </c>
      <c r="I245" s="56">
        <v>5</v>
      </c>
      <c r="J245" s="72">
        <f t="shared" si="6"/>
        <v>0.1111111111111111</v>
      </c>
      <c r="K245" s="91">
        <f>+I245+'ABRIL 2025'!K245</f>
        <v>11</v>
      </c>
      <c r="L245" s="96">
        <f t="shared" si="7"/>
        <v>0.24444444444444444</v>
      </c>
    </row>
    <row r="246" spans="1:17" ht="14.45" customHeight="1" x14ac:dyDescent="0.25">
      <c r="A246" s="5"/>
      <c r="B246" s="85">
        <v>3</v>
      </c>
      <c r="C246" s="105" t="s">
        <v>52</v>
      </c>
      <c r="D246" s="106" t="s">
        <v>53</v>
      </c>
      <c r="E246" s="227" t="s">
        <v>438</v>
      </c>
      <c r="F246" s="59" t="s">
        <v>437</v>
      </c>
      <c r="G246" s="60" t="s">
        <v>439</v>
      </c>
      <c r="H246" s="66">
        <v>15</v>
      </c>
      <c r="I246" s="66">
        <v>2</v>
      </c>
      <c r="J246" s="69">
        <f t="shared" si="6"/>
        <v>0.13333333333333333</v>
      </c>
      <c r="K246" s="103">
        <f>+I246+'ABRIL 2025'!K246</f>
        <v>11</v>
      </c>
      <c r="L246" s="94">
        <f t="shared" si="7"/>
        <v>0.73333333333333328</v>
      </c>
    </row>
    <row r="247" spans="1:17" x14ac:dyDescent="0.25">
      <c r="A247" s="5"/>
      <c r="B247" s="86">
        <v>3</v>
      </c>
      <c r="C247" s="107" t="s">
        <v>55</v>
      </c>
      <c r="D247" s="108" t="s">
        <v>56</v>
      </c>
      <c r="E247" s="226"/>
      <c r="F247" s="61" t="s">
        <v>440</v>
      </c>
      <c r="G247" s="62" t="s">
        <v>439</v>
      </c>
      <c r="H247" s="68">
        <v>15</v>
      </c>
      <c r="I247" s="55">
        <v>2</v>
      </c>
      <c r="J247" s="69">
        <f t="shared" si="6"/>
        <v>0.13333333333333333</v>
      </c>
      <c r="K247" s="90">
        <f>+I247+'ABRIL 2025'!K247</f>
        <v>11</v>
      </c>
      <c r="L247" s="94">
        <f t="shared" si="7"/>
        <v>0.73333333333333328</v>
      </c>
    </row>
    <row r="248" spans="1:17" x14ac:dyDescent="0.25">
      <c r="A248" s="5"/>
      <c r="B248" s="86">
        <v>4</v>
      </c>
      <c r="C248" s="107" t="s">
        <v>441</v>
      </c>
      <c r="D248" s="108" t="s">
        <v>442</v>
      </c>
      <c r="E248" s="226"/>
      <c r="F248" s="61" t="s">
        <v>644</v>
      </c>
      <c r="G248" s="63" t="s">
        <v>444</v>
      </c>
      <c r="H248" s="55">
        <v>15</v>
      </c>
      <c r="I248" s="70">
        <v>5</v>
      </c>
      <c r="J248" s="69">
        <f t="shared" si="6"/>
        <v>0.33333333333333331</v>
      </c>
      <c r="K248" s="90">
        <f>+I248+'ABRIL 2025'!K248</f>
        <v>8</v>
      </c>
      <c r="L248" s="94">
        <f t="shared" si="7"/>
        <v>0.53333333333333333</v>
      </c>
    </row>
    <row r="249" spans="1:17" ht="14.45" customHeight="1" x14ac:dyDescent="0.25">
      <c r="A249" s="5"/>
      <c r="B249" s="86">
        <v>5</v>
      </c>
      <c r="C249" s="107" t="s">
        <v>57</v>
      </c>
      <c r="D249" s="108" t="s">
        <v>58</v>
      </c>
      <c r="E249" s="226"/>
      <c r="F249" s="61" t="s">
        <v>445</v>
      </c>
      <c r="G249" s="62" t="s">
        <v>439</v>
      </c>
      <c r="H249" s="55">
        <v>15</v>
      </c>
      <c r="I249" s="55">
        <v>5</v>
      </c>
      <c r="J249" s="69">
        <f t="shared" si="6"/>
        <v>0.33333333333333331</v>
      </c>
      <c r="K249" s="90">
        <f>+I249+'ABRIL 2025'!K249</f>
        <v>10</v>
      </c>
      <c r="L249" s="94">
        <f t="shared" si="7"/>
        <v>0.66666666666666663</v>
      </c>
    </row>
    <row r="250" spans="1:17" ht="14.45" customHeight="1" x14ac:dyDescent="0.25">
      <c r="A250" s="5"/>
      <c r="B250" s="86">
        <v>5</v>
      </c>
      <c r="C250" s="107" t="s">
        <v>59</v>
      </c>
      <c r="D250" s="108" t="s">
        <v>60</v>
      </c>
      <c r="E250" s="226"/>
      <c r="F250" s="61" t="s">
        <v>446</v>
      </c>
      <c r="G250" s="62" t="s">
        <v>447</v>
      </c>
      <c r="H250" s="55">
        <v>15</v>
      </c>
      <c r="I250" s="55">
        <v>10</v>
      </c>
      <c r="J250" s="69">
        <f t="shared" si="6"/>
        <v>0.66666666666666663</v>
      </c>
      <c r="K250" s="90">
        <f>+I250+'ABRIL 2025'!K250</f>
        <v>12</v>
      </c>
      <c r="L250" s="94">
        <f t="shared" si="7"/>
        <v>0.8</v>
      </c>
    </row>
    <row r="251" spans="1:17" ht="14.45" customHeight="1" x14ac:dyDescent="0.25">
      <c r="A251" s="5"/>
      <c r="B251" s="87">
        <v>8</v>
      </c>
      <c r="C251" s="109" t="s">
        <v>61</v>
      </c>
      <c r="D251" s="110" t="s">
        <v>62</v>
      </c>
      <c r="E251" s="226"/>
      <c r="F251" s="64" t="s">
        <v>448</v>
      </c>
      <c r="G251" s="65" t="s">
        <v>439</v>
      </c>
      <c r="H251" s="56">
        <v>15</v>
      </c>
      <c r="I251" s="56">
        <v>6</v>
      </c>
      <c r="J251" s="72">
        <f t="shared" si="6"/>
        <v>0.4</v>
      </c>
      <c r="K251" s="91">
        <f>+I251+'ABRIL 2025'!K251</f>
        <v>8</v>
      </c>
      <c r="L251" s="96">
        <f t="shared" si="7"/>
        <v>0.53333333333333333</v>
      </c>
    </row>
    <row r="252" spans="1:17" x14ac:dyDescent="0.25">
      <c r="A252" s="5"/>
      <c r="B252" s="85">
        <v>3</v>
      </c>
      <c r="C252" s="105" t="s">
        <v>43</v>
      </c>
      <c r="D252" s="106" t="s">
        <v>44</v>
      </c>
      <c r="E252" s="226" t="s">
        <v>450</v>
      </c>
      <c r="F252" s="60" t="s">
        <v>645</v>
      </c>
      <c r="G252" s="60" t="s">
        <v>646</v>
      </c>
      <c r="H252" s="66">
        <v>34</v>
      </c>
      <c r="I252" s="66">
        <v>4</v>
      </c>
      <c r="J252" s="69">
        <f t="shared" si="6"/>
        <v>0.11764705882352941</v>
      </c>
      <c r="K252" s="103">
        <f>+I252+'ABRIL 2025'!K252</f>
        <v>8</v>
      </c>
      <c r="L252" s="94">
        <f t="shared" si="7"/>
        <v>0.23529411764705882</v>
      </c>
    </row>
    <row r="253" spans="1:17" x14ac:dyDescent="0.25">
      <c r="A253" s="5"/>
      <c r="B253" s="86">
        <v>3</v>
      </c>
      <c r="C253" s="107" t="s">
        <v>46</v>
      </c>
      <c r="D253" s="108" t="s">
        <v>47</v>
      </c>
      <c r="E253" s="226"/>
      <c r="F253" s="74" t="s">
        <v>452</v>
      </c>
      <c r="G253" s="62" t="s">
        <v>647</v>
      </c>
      <c r="H253" s="68">
        <v>34</v>
      </c>
      <c r="I253" s="55">
        <v>4</v>
      </c>
      <c r="J253" s="69">
        <f t="shared" si="6"/>
        <v>0.11764705882352941</v>
      </c>
      <c r="K253" s="90">
        <f>+I253+'ABRIL 2025'!K253</f>
        <v>8</v>
      </c>
      <c r="L253" s="94">
        <f t="shared" si="7"/>
        <v>0.23529411764705882</v>
      </c>
    </row>
    <row r="254" spans="1:17" ht="14.45" customHeight="1" x14ac:dyDescent="0.25">
      <c r="B254" s="86">
        <v>3</v>
      </c>
      <c r="C254" s="107" t="s">
        <v>49</v>
      </c>
      <c r="D254" s="108" t="s">
        <v>50</v>
      </c>
      <c r="E254" s="226"/>
      <c r="F254" s="62" t="s">
        <v>648</v>
      </c>
      <c r="G254" s="63" t="s">
        <v>649</v>
      </c>
      <c r="H254" s="55">
        <v>34</v>
      </c>
      <c r="I254" s="70">
        <v>4</v>
      </c>
      <c r="J254" s="69">
        <f t="shared" si="6"/>
        <v>0.11764705882352941</v>
      </c>
      <c r="K254" s="90">
        <f>+I254+'ABRIL 2025'!K254</f>
        <v>8</v>
      </c>
      <c r="L254" s="94">
        <f t="shared" si="7"/>
        <v>0.23529411764705882</v>
      </c>
    </row>
    <row r="255" spans="1:17" ht="14.45" customHeight="1" x14ac:dyDescent="0.25">
      <c r="B255" s="86">
        <v>3</v>
      </c>
      <c r="C255" s="107" t="s">
        <v>52</v>
      </c>
      <c r="D255" s="108" t="s">
        <v>53</v>
      </c>
      <c r="E255" s="226"/>
      <c r="F255" s="62" t="s">
        <v>650</v>
      </c>
      <c r="G255" s="62" t="s">
        <v>651</v>
      </c>
      <c r="H255" s="55">
        <v>34</v>
      </c>
      <c r="I255" s="55">
        <v>4</v>
      </c>
      <c r="J255" s="69">
        <f t="shared" si="6"/>
        <v>0.11764705882352941</v>
      </c>
      <c r="K255" s="90">
        <f>+I255+'ABRIL 2025'!K255</f>
        <v>8</v>
      </c>
      <c r="L255" s="94">
        <f t="shared" si="7"/>
        <v>0.23529411764705882</v>
      </c>
    </row>
    <row r="256" spans="1:17" x14ac:dyDescent="0.25">
      <c r="B256" s="86">
        <v>3</v>
      </c>
      <c r="C256" s="107" t="s">
        <v>55</v>
      </c>
      <c r="D256" s="108" t="s">
        <v>56</v>
      </c>
      <c r="E256" s="226"/>
      <c r="F256" s="62" t="s">
        <v>652</v>
      </c>
      <c r="G256" s="62" t="s">
        <v>653</v>
      </c>
      <c r="H256" s="55">
        <v>34</v>
      </c>
      <c r="I256" s="55">
        <v>4</v>
      </c>
      <c r="J256" s="69">
        <f t="shared" si="6"/>
        <v>0.11764705882352941</v>
      </c>
      <c r="K256" s="90">
        <f>+I256+'ABRIL 2025'!K256</f>
        <v>8</v>
      </c>
      <c r="L256" s="94">
        <f t="shared" si="7"/>
        <v>0.23529411764705882</v>
      </c>
    </row>
    <row r="257" spans="1:18" x14ac:dyDescent="0.25">
      <c r="B257" s="86">
        <v>5</v>
      </c>
      <c r="C257" s="107" t="s">
        <v>57</v>
      </c>
      <c r="D257" s="108" t="s">
        <v>58</v>
      </c>
      <c r="E257" s="226"/>
      <c r="F257" s="74" t="s">
        <v>654</v>
      </c>
      <c r="G257" s="62" t="s">
        <v>655</v>
      </c>
      <c r="H257" s="55">
        <v>34</v>
      </c>
      <c r="I257" s="55">
        <v>4</v>
      </c>
      <c r="J257" s="69">
        <f t="shared" si="6"/>
        <v>0.11764705882352941</v>
      </c>
      <c r="K257" s="90">
        <f>+I257+'ABRIL 2025'!K257</f>
        <v>8</v>
      </c>
      <c r="L257" s="94">
        <f t="shared" si="7"/>
        <v>0.23529411764705882</v>
      </c>
    </row>
    <row r="258" spans="1:18" s="6" customFormat="1" ht="14.45" customHeight="1" x14ac:dyDescent="0.25">
      <c r="A258" s="8"/>
      <c r="B258" s="86">
        <v>5</v>
      </c>
      <c r="C258" s="107" t="s">
        <v>59</v>
      </c>
      <c r="D258" s="108" t="s">
        <v>60</v>
      </c>
      <c r="E258" s="226"/>
      <c r="F258" s="62" t="s">
        <v>656</v>
      </c>
      <c r="G258" s="62" t="s">
        <v>653</v>
      </c>
      <c r="H258" s="55">
        <v>33</v>
      </c>
      <c r="I258" s="55">
        <v>3</v>
      </c>
      <c r="J258" s="69">
        <f t="shared" si="6"/>
        <v>9.0909090909090912E-2</v>
      </c>
      <c r="K258" s="90">
        <f>+I258+'ABRIL 2025'!K258</f>
        <v>6</v>
      </c>
      <c r="L258" s="94">
        <f t="shared" si="7"/>
        <v>0.18181818181818182</v>
      </c>
      <c r="M258" s="8"/>
      <c r="N258" s="8"/>
      <c r="O258"/>
      <c r="P258" s="8"/>
      <c r="Q258"/>
      <c r="R258" s="8"/>
    </row>
    <row r="259" spans="1:18" s="6" customFormat="1" ht="14.45" customHeight="1" x14ac:dyDescent="0.25">
      <c r="A259" s="8"/>
      <c r="B259" s="86">
        <v>8</v>
      </c>
      <c r="C259" s="107" t="s">
        <v>61</v>
      </c>
      <c r="D259" s="108" t="s">
        <v>62</v>
      </c>
      <c r="E259" s="226"/>
      <c r="F259" s="65" t="s">
        <v>463</v>
      </c>
      <c r="G259" s="65" t="s">
        <v>464</v>
      </c>
      <c r="H259" s="56">
        <v>33</v>
      </c>
      <c r="I259" s="56">
        <v>3</v>
      </c>
      <c r="J259" s="72">
        <f t="shared" si="6"/>
        <v>9.0909090909090912E-2</v>
      </c>
      <c r="K259" s="91">
        <f>+I259+'ABRIL 2025'!K259</f>
        <v>6</v>
      </c>
      <c r="L259" s="96">
        <f t="shared" si="7"/>
        <v>0.18181818181818182</v>
      </c>
      <c r="M259" s="8"/>
      <c r="N259" s="8"/>
      <c r="O259"/>
      <c r="P259" s="8"/>
      <c r="Q259"/>
      <c r="R259" s="8"/>
    </row>
    <row r="260" spans="1:18" x14ac:dyDescent="0.25">
      <c r="B260" s="85">
        <v>3</v>
      </c>
      <c r="C260" s="105" t="s">
        <v>43</v>
      </c>
      <c r="D260" s="106" t="s">
        <v>44</v>
      </c>
      <c r="E260" s="238" t="s">
        <v>466</v>
      </c>
      <c r="F260" s="117" t="s">
        <v>465</v>
      </c>
      <c r="G260" s="60" t="s">
        <v>657</v>
      </c>
      <c r="H260" s="66">
        <v>20</v>
      </c>
      <c r="I260" s="66">
        <v>3</v>
      </c>
      <c r="J260" s="69">
        <f t="shared" si="6"/>
        <v>0.15</v>
      </c>
      <c r="K260" s="103">
        <f>+I260+'ABRIL 2025'!K260</f>
        <v>7</v>
      </c>
      <c r="L260" s="94">
        <f t="shared" si="7"/>
        <v>0.35</v>
      </c>
    </row>
    <row r="261" spans="1:18" x14ac:dyDescent="0.25">
      <c r="B261" s="86">
        <v>3</v>
      </c>
      <c r="C261" s="107" t="s">
        <v>46</v>
      </c>
      <c r="D261" s="108" t="s">
        <v>47</v>
      </c>
      <c r="E261" s="239"/>
      <c r="F261" s="116" t="s">
        <v>48</v>
      </c>
      <c r="G261" s="62" t="s">
        <v>32</v>
      </c>
      <c r="H261" s="68">
        <v>20</v>
      </c>
      <c r="I261" s="55">
        <v>3</v>
      </c>
      <c r="J261" s="69">
        <f t="shared" si="6"/>
        <v>0.15</v>
      </c>
      <c r="K261" s="90">
        <f>+I261+'ABRIL 2025'!K261</f>
        <v>6</v>
      </c>
      <c r="L261" s="94">
        <f t="shared" si="7"/>
        <v>0.3</v>
      </c>
    </row>
    <row r="262" spans="1:18" x14ac:dyDescent="0.25">
      <c r="B262" s="86">
        <v>3</v>
      </c>
      <c r="C262" s="107" t="s">
        <v>98</v>
      </c>
      <c r="D262" s="108" t="s">
        <v>99</v>
      </c>
      <c r="E262" s="239"/>
      <c r="F262" s="116" t="s">
        <v>48</v>
      </c>
      <c r="G262" s="63" t="s">
        <v>32</v>
      </c>
      <c r="H262" s="55">
        <v>20</v>
      </c>
      <c r="I262" s="70">
        <v>3</v>
      </c>
      <c r="J262" s="69">
        <f t="shared" si="6"/>
        <v>0.15</v>
      </c>
      <c r="K262" s="90">
        <f>+I262+'ABRIL 2025'!K262</f>
        <v>6</v>
      </c>
      <c r="L262" s="94">
        <f t="shared" si="7"/>
        <v>0.3</v>
      </c>
    </row>
    <row r="263" spans="1:18" x14ac:dyDescent="0.25">
      <c r="B263" s="86">
        <v>3</v>
      </c>
      <c r="C263" s="107" t="s">
        <v>49</v>
      </c>
      <c r="D263" s="108" t="s">
        <v>50</v>
      </c>
      <c r="E263" s="239"/>
      <c r="F263" s="116" t="s">
        <v>468</v>
      </c>
      <c r="G263" s="62" t="s">
        <v>469</v>
      </c>
      <c r="H263" s="55">
        <v>20</v>
      </c>
      <c r="I263" s="55">
        <v>3</v>
      </c>
      <c r="J263" s="69">
        <f t="shared" si="6"/>
        <v>0.15</v>
      </c>
      <c r="K263" s="90">
        <f>+I263+'ABRIL 2025'!K263</f>
        <v>6</v>
      </c>
      <c r="L263" s="94">
        <f t="shared" si="7"/>
        <v>0.3</v>
      </c>
    </row>
    <row r="264" spans="1:18" x14ac:dyDescent="0.25">
      <c r="B264" s="86">
        <v>3</v>
      </c>
      <c r="C264" s="107" t="s">
        <v>52</v>
      </c>
      <c r="D264" s="108" t="s">
        <v>53</v>
      </c>
      <c r="E264" s="239"/>
      <c r="F264" s="116" t="s">
        <v>470</v>
      </c>
      <c r="G264" s="62" t="s">
        <v>471</v>
      </c>
      <c r="H264" s="55">
        <v>20</v>
      </c>
      <c r="I264" s="55">
        <v>4</v>
      </c>
      <c r="J264" s="69">
        <f t="shared" si="6"/>
        <v>0.2</v>
      </c>
      <c r="K264" s="90">
        <f>+I264+'ABRIL 2025'!K264</f>
        <v>8</v>
      </c>
      <c r="L264" s="94">
        <f t="shared" si="7"/>
        <v>0.4</v>
      </c>
    </row>
    <row r="265" spans="1:18" x14ac:dyDescent="0.25">
      <c r="B265" s="86">
        <v>3</v>
      </c>
      <c r="C265" s="107" t="s">
        <v>55</v>
      </c>
      <c r="D265" s="108" t="s">
        <v>56</v>
      </c>
      <c r="E265" s="239"/>
      <c r="F265" s="116" t="s">
        <v>472</v>
      </c>
      <c r="G265" s="62" t="s">
        <v>658</v>
      </c>
      <c r="H265" s="55">
        <v>20</v>
      </c>
      <c r="I265" s="55">
        <v>4</v>
      </c>
      <c r="J265" s="69">
        <f t="shared" si="6"/>
        <v>0.2</v>
      </c>
      <c r="K265" s="90">
        <f>+I265+'ABRIL 2025'!K265</f>
        <v>8</v>
      </c>
      <c r="L265" s="94">
        <f t="shared" si="7"/>
        <v>0.4</v>
      </c>
    </row>
    <row r="266" spans="1:18" x14ac:dyDescent="0.25">
      <c r="B266" s="86">
        <v>5</v>
      </c>
      <c r="C266" s="107" t="s">
        <v>57</v>
      </c>
      <c r="D266" s="108" t="s">
        <v>58</v>
      </c>
      <c r="E266" s="239"/>
      <c r="F266" s="132" t="s">
        <v>238</v>
      </c>
      <c r="G266" s="76" t="s">
        <v>32</v>
      </c>
      <c r="H266" s="55">
        <v>20</v>
      </c>
      <c r="I266" s="55">
        <v>3</v>
      </c>
      <c r="J266" s="69">
        <f t="shared" si="6"/>
        <v>0.15</v>
      </c>
      <c r="K266" s="90">
        <f>+I266+'ABRIL 2025'!K266</f>
        <v>6</v>
      </c>
      <c r="L266" s="94">
        <f t="shared" si="7"/>
        <v>0.3</v>
      </c>
    </row>
    <row r="267" spans="1:18" x14ac:dyDescent="0.25">
      <c r="B267" s="86">
        <v>5</v>
      </c>
      <c r="C267" s="107" t="s">
        <v>59</v>
      </c>
      <c r="D267" s="108" t="s">
        <v>60</v>
      </c>
      <c r="E267" s="239"/>
      <c r="F267" s="116" t="s">
        <v>474</v>
      </c>
      <c r="G267" s="62" t="s">
        <v>32</v>
      </c>
      <c r="H267" s="128">
        <v>20</v>
      </c>
      <c r="I267" s="55">
        <v>4</v>
      </c>
      <c r="J267" s="69">
        <f t="shared" si="6"/>
        <v>0.2</v>
      </c>
      <c r="K267" s="90">
        <f>+I267+'ABRIL 2025'!K267</f>
        <v>7</v>
      </c>
      <c r="L267" s="94">
        <f t="shared" si="7"/>
        <v>0.35</v>
      </c>
    </row>
    <row r="268" spans="1:18" x14ac:dyDescent="0.25">
      <c r="B268" s="87">
        <v>8</v>
      </c>
      <c r="C268" s="109" t="s">
        <v>61</v>
      </c>
      <c r="D268" s="110" t="s">
        <v>62</v>
      </c>
      <c r="E268" s="227"/>
      <c r="F268" s="134" t="s">
        <v>63</v>
      </c>
      <c r="G268" s="135" t="s">
        <v>32</v>
      </c>
      <c r="H268" s="56">
        <v>20</v>
      </c>
      <c r="I268" s="56">
        <v>3</v>
      </c>
      <c r="J268" s="72">
        <f t="shared" si="6"/>
        <v>0.15</v>
      </c>
      <c r="K268" s="91">
        <f>+I268+'ABRIL 2025'!K268</f>
        <v>6</v>
      </c>
      <c r="L268" s="96">
        <f t="shared" si="7"/>
        <v>0.3</v>
      </c>
    </row>
    <row r="269" spans="1:18" x14ac:dyDescent="0.25">
      <c r="D269" s="18"/>
      <c r="E269" s="5"/>
      <c r="F269" s="14"/>
      <c r="G269" s="5"/>
      <c r="H269" s="240" t="str">
        <f>+CONCATENATE("TOTAL A ",D7)</f>
        <v>TOTAL A MAYO</v>
      </c>
      <c r="I269" s="241"/>
      <c r="J269" s="242"/>
      <c r="K269" s="240" t="s">
        <v>33</v>
      </c>
      <c r="L269" s="242"/>
    </row>
    <row r="270" spans="1:18" x14ac:dyDescent="0.25">
      <c r="D270" s="48"/>
      <c r="E270" s="54"/>
      <c r="F270" s="16"/>
      <c r="G270" s="54"/>
      <c r="H270" s="49">
        <f>+SUM(H13:H268)</f>
        <v>5220</v>
      </c>
      <c r="I270" s="50">
        <f>SUM(I13:I268)</f>
        <v>870</v>
      </c>
      <c r="J270" s="51">
        <f>IFERROR(I270/H270,0)</f>
        <v>0.16666666666666666</v>
      </c>
      <c r="K270" s="50">
        <f>+SUM(K13:K268)</f>
        <v>1740</v>
      </c>
      <c r="L270" s="51">
        <f>IFERROR(K270/H270,0)</f>
        <v>0.33333333333333331</v>
      </c>
    </row>
    <row r="271" spans="1:18" x14ac:dyDescent="0.25">
      <c r="D271" s="48"/>
      <c r="E271" s="54"/>
      <c r="F271" s="16"/>
      <c r="G271" s="54"/>
      <c r="H271" s="118"/>
      <c r="I271" s="119"/>
      <c r="J271" s="120"/>
      <c r="K271" s="119"/>
      <c r="L271" s="120"/>
    </row>
    <row r="272" spans="1:18" ht="409.35" customHeight="1" x14ac:dyDescent="0.25">
      <c r="B272" s="243" t="s">
        <v>34</v>
      </c>
      <c r="C272" s="244"/>
      <c r="D272" s="245" t="s">
        <v>643</v>
      </c>
      <c r="E272" s="246"/>
      <c r="F272" s="246"/>
      <c r="G272" s="246"/>
      <c r="H272" s="246"/>
      <c r="I272" s="246"/>
      <c r="J272" s="246"/>
      <c r="K272" s="246"/>
      <c r="L272" s="247"/>
    </row>
    <row r="273" spans="1:18" x14ac:dyDescent="0.25">
      <c r="B273" s="248" t="s">
        <v>36</v>
      </c>
      <c r="C273" s="249"/>
      <c r="D273" s="249"/>
      <c r="E273" s="249"/>
      <c r="F273" s="249"/>
      <c r="G273" s="249"/>
      <c r="H273" s="249"/>
      <c r="I273" s="249"/>
      <c r="J273" s="249"/>
      <c r="K273" s="249"/>
      <c r="L273" s="250"/>
    </row>
    <row r="274" spans="1:18" x14ac:dyDescent="0.25">
      <c r="B274" s="251"/>
      <c r="C274" s="252"/>
      <c r="D274" s="252"/>
      <c r="E274" s="252"/>
      <c r="F274" s="252"/>
      <c r="G274" s="252"/>
      <c r="H274" s="252"/>
      <c r="I274" s="252"/>
      <c r="J274" s="252"/>
      <c r="K274" s="252"/>
      <c r="L274" s="253"/>
    </row>
    <row r="275" spans="1:18" x14ac:dyDescent="0.25">
      <c r="B275" s="254" t="s">
        <v>37</v>
      </c>
      <c r="C275" s="255"/>
      <c r="D275" s="255"/>
      <c r="E275" s="255"/>
      <c r="F275" s="255"/>
      <c r="G275" s="255"/>
      <c r="H275" s="255"/>
      <c r="I275" s="255"/>
      <c r="J275" s="255"/>
      <c r="K275" s="255"/>
      <c r="L275" s="256"/>
    </row>
    <row r="276" spans="1:18" ht="24.75" x14ac:dyDescent="0.3">
      <c r="B276" s="52" t="s">
        <v>38</v>
      </c>
      <c r="C276" s="121"/>
      <c r="D276" s="257" t="s">
        <v>35</v>
      </c>
      <c r="E276" s="258"/>
      <c r="F276" s="258"/>
      <c r="G276" s="258"/>
      <c r="H276" s="258"/>
      <c r="I276" s="258"/>
      <c r="J276" s="258"/>
      <c r="K276" s="258"/>
      <c r="L276" s="259"/>
    </row>
    <row r="277" spans="1:18" ht="24.75" x14ac:dyDescent="0.3">
      <c r="B277" s="52" t="s">
        <v>39</v>
      </c>
      <c r="C277" s="121"/>
      <c r="D277" s="260"/>
      <c r="E277" s="261"/>
      <c r="F277" s="261"/>
      <c r="G277" s="261"/>
      <c r="H277" s="261"/>
      <c r="I277" s="261"/>
      <c r="J277" s="261"/>
      <c r="K277" s="261"/>
      <c r="L277" s="262"/>
    </row>
    <row r="278" spans="1:18" x14ac:dyDescent="0.25">
      <c r="B278" s="263" t="s">
        <v>36</v>
      </c>
      <c r="C278" s="264"/>
      <c r="D278" s="264"/>
      <c r="E278" s="264"/>
      <c r="F278" s="264"/>
      <c r="G278" s="264"/>
      <c r="H278" s="264"/>
      <c r="I278" s="264"/>
      <c r="J278" s="264"/>
      <c r="K278" s="264"/>
      <c r="L278" s="265"/>
    </row>
    <row r="279" spans="1:18" s="6" customFormat="1" ht="14.45" hidden="1" customHeight="1" x14ac:dyDescent="0.25">
      <c r="A279" t="s">
        <v>0</v>
      </c>
      <c r="B279" s="266"/>
      <c r="C279" s="267"/>
      <c r="D279" s="267"/>
      <c r="E279" s="267"/>
      <c r="F279" s="267"/>
      <c r="G279" s="267"/>
      <c r="H279" s="267"/>
      <c r="I279" s="267"/>
      <c r="J279" s="267"/>
      <c r="K279" s="267"/>
      <c r="L279" s="268"/>
      <c r="M279" s="8"/>
      <c r="N279" s="8"/>
      <c r="O279"/>
      <c r="P279" s="8"/>
      <c r="Q279"/>
      <c r="R279" s="8"/>
    </row>
    <row r="280" spans="1:18" s="6" customFormat="1" ht="14.45" hidden="1" customHeight="1" x14ac:dyDescent="0.25">
      <c r="A280" t="s">
        <v>2</v>
      </c>
      <c r="B280" s="254" t="s">
        <v>40</v>
      </c>
      <c r="C280" s="255"/>
      <c r="D280" s="255"/>
      <c r="E280" s="255"/>
      <c r="F280" s="255"/>
      <c r="G280" s="255"/>
      <c r="H280" s="255"/>
      <c r="I280" s="255"/>
      <c r="J280" s="255"/>
      <c r="K280" s="255"/>
      <c r="L280" s="256"/>
      <c r="M280" s="8"/>
      <c r="N280" s="8"/>
      <c r="O280"/>
      <c r="P280" s="8"/>
      <c r="Q280"/>
      <c r="R280" s="8"/>
    </row>
    <row r="281" spans="1:18" s="6" customFormat="1" ht="14.45" hidden="1" customHeight="1" x14ac:dyDescent="0.3">
      <c r="A281" t="s">
        <v>6</v>
      </c>
      <c r="B281" s="52" t="s">
        <v>38</v>
      </c>
      <c r="C281" s="121"/>
      <c r="D281" s="257" t="s">
        <v>35</v>
      </c>
      <c r="E281" s="258"/>
      <c r="F281" s="258"/>
      <c r="G281" s="258"/>
      <c r="H281" s="258"/>
      <c r="I281" s="258"/>
      <c r="J281" s="258"/>
      <c r="K281" s="258"/>
      <c r="L281" s="259"/>
      <c r="M281" s="8"/>
      <c r="N281" s="8"/>
      <c r="O281"/>
      <c r="P281" s="8"/>
      <c r="Q281"/>
      <c r="R281" s="8"/>
    </row>
    <row r="282" spans="1:18" s="6" customFormat="1" ht="14.45" hidden="1" customHeight="1" x14ac:dyDescent="0.3">
      <c r="A282" t="s">
        <v>8</v>
      </c>
      <c r="B282" s="52" t="s">
        <v>39</v>
      </c>
      <c r="C282" s="121"/>
      <c r="D282" s="260"/>
      <c r="E282" s="261"/>
      <c r="F282" s="261"/>
      <c r="G282" s="261"/>
      <c r="H282" s="261"/>
      <c r="I282" s="261"/>
      <c r="J282" s="261"/>
      <c r="K282" s="261"/>
      <c r="L282" s="262"/>
      <c r="M282" s="8"/>
      <c r="N282" s="8"/>
      <c r="O282"/>
      <c r="P282" s="8"/>
      <c r="Q282"/>
      <c r="R282" s="8"/>
    </row>
    <row r="283" spans="1:18" s="6" customFormat="1" ht="14.45" hidden="1" customHeight="1" x14ac:dyDescent="0.25">
      <c r="A283" t="s">
        <v>9</v>
      </c>
      <c r="B283" s="53"/>
      <c r="C283" s="53"/>
      <c r="D283" s="18"/>
      <c r="E283" s="5"/>
      <c r="G283" s="5"/>
      <c r="H283" s="53"/>
      <c r="I283" s="122"/>
      <c r="M283" s="8"/>
      <c r="N283" s="8"/>
      <c r="O283"/>
      <c r="P283" s="8"/>
      <c r="Q283"/>
      <c r="R283" s="8"/>
    </row>
    <row r="284" spans="1:18" s="6" customFormat="1" ht="14.45" hidden="1" customHeight="1" x14ac:dyDescent="0.25">
      <c r="A284" t="s">
        <v>10</v>
      </c>
      <c r="B284" s="53"/>
      <c r="C284" s="53"/>
      <c r="D284" s="18"/>
      <c r="E284" s="5"/>
      <c r="G284" s="5"/>
      <c r="H284" s="53"/>
      <c r="I284" s="122"/>
      <c r="M284" s="8"/>
      <c r="N284" s="8"/>
      <c r="O284"/>
      <c r="P284" s="8"/>
      <c r="Q284"/>
      <c r="R284" s="8"/>
    </row>
    <row r="285" spans="1:18" s="6" customFormat="1" ht="14.45" hidden="1" customHeight="1" x14ac:dyDescent="0.25">
      <c r="A285" t="s">
        <v>11</v>
      </c>
      <c r="B285" s="269"/>
      <c r="C285" s="269"/>
      <c r="D285" s="269"/>
      <c r="E285" s="5"/>
      <c r="G285" s="5"/>
      <c r="H285" s="269"/>
      <c r="I285" s="269"/>
      <c r="J285" s="269"/>
      <c r="K285" s="269"/>
      <c r="M285" s="8"/>
      <c r="N285" s="8"/>
      <c r="O285"/>
      <c r="P285" s="8"/>
      <c r="Q285"/>
      <c r="R285" s="8"/>
    </row>
    <row r="286" spans="1:18" s="6" customFormat="1" ht="14.45" hidden="1" customHeight="1" x14ac:dyDescent="0.25">
      <c r="A286" t="s">
        <v>13</v>
      </c>
      <c r="B286" s="5" t="s">
        <v>41</v>
      </c>
      <c r="C286" s="270"/>
      <c r="D286" s="270"/>
      <c r="E286" s="5"/>
      <c r="G286" s="5"/>
      <c r="H286" s="5" t="s">
        <v>42</v>
      </c>
      <c r="I286" s="270" t="s">
        <v>222</v>
      </c>
      <c r="J286" s="270"/>
      <c r="K286" s="270"/>
      <c r="M286" s="8"/>
      <c r="N286" s="8"/>
      <c r="O286"/>
      <c r="P286" s="8"/>
      <c r="Q286"/>
      <c r="R286" s="8"/>
    </row>
    <row r="287" spans="1:18" s="6" customFormat="1" hidden="1" x14ac:dyDescent="0.25">
      <c r="A287" t="s">
        <v>14</v>
      </c>
      <c r="B287" s="54"/>
      <c r="C287" s="5"/>
      <c r="F287" s="7"/>
      <c r="M287" s="8"/>
      <c r="N287" s="8"/>
      <c r="O287"/>
      <c r="P287" s="8"/>
      <c r="Q287"/>
      <c r="R287" s="8"/>
    </row>
    <row r="288" spans="1:18" s="6" customFormat="1" hidden="1" x14ac:dyDescent="0.25">
      <c r="A288" t="s">
        <v>16</v>
      </c>
      <c r="B288" s="54"/>
      <c r="C288" s="5"/>
      <c r="F288" s="7"/>
      <c r="M288" s="8"/>
      <c r="N288" s="8"/>
      <c r="O288"/>
      <c r="P288" s="8"/>
      <c r="Q288"/>
      <c r="R288" s="8"/>
    </row>
    <row r="289" spans="1:18" s="6" customFormat="1" hidden="1" x14ac:dyDescent="0.25">
      <c r="A289" t="s">
        <v>17</v>
      </c>
      <c r="B289" s="54"/>
      <c r="C289" s="5"/>
      <c r="F289" s="7"/>
      <c r="M289" s="8"/>
      <c r="N289" s="8"/>
      <c r="O289"/>
      <c r="P289" s="8"/>
      <c r="Q289"/>
      <c r="R289" s="8"/>
    </row>
    <row r="290" spans="1:18" s="6" customFormat="1" hidden="1" x14ac:dyDescent="0.25">
      <c r="A290" t="s">
        <v>21</v>
      </c>
      <c r="B290" s="54"/>
      <c r="C290" s="5"/>
      <c r="F290" s="7"/>
      <c r="M290" s="8"/>
      <c r="N290" s="8"/>
      <c r="O290"/>
      <c r="P290" s="8"/>
      <c r="Q290"/>
      <c r="R290" s="8"/>
    </row>
    <row r="291" spans="1:18" s="6" customFormat="1" hidden="1" x14ac:dyDescent="0.25">
      <c r="A291" t="s">
        <v>31</v>
      </c>
      <c r="B291" s="54"/>
      <c r="C291" s="5"/>
      <c r="F291" s="7"/>
      <c r="M291" s="8"/>
      <c r="N291" s="8"/>
      <c r="O291"/>
      <c r="P291" s="8"/>
      <c r="Q291"/>
      <c r="R291" s="8"/>
    </row>
    <row r="292" spans="1:18" x14ac:dyDescent="0.25">
      <c r="B292" s="254" t="s">
        <v>40</v>
      </c>
      <c r="C292" s="255"/>
      <c r="D292" s="255"/>
      <c r="E292" s="255"/>
      <c r="F292" s="255"/>
      <c r="G292" s="255"/>
      <c r="H292" s="255"/>
      <c r="I292" s="255"/>
      <c r="J292" s="255"/>
      <c r="K292" s="255"/>
      <c r="L292" s="256"/>
    </row>
    <row r="293" spans="1:18" ht="24.75" x14ac:dyDescent="0.3">
      <c r="B293" s="52" t="s">
        <v>38</v>
      </c>
      <c r="C293" s="121"/>
      <c r="D293" s="257" t="s">
        <v>35</v>
      </c>
      <c r="E293" s="258"/>
      <c r="F293" s="258"/>
      <c r="G293" s="258"/>
      <c r="H293" s="258"/>
      <c r="I293" s="258"/>
      <c r="J293" s="258"/>
      <c r="K293" s="258"/>
      <c r="L293" s="259"/>
    </row>
    <row r="294" spans="1:18" ht="24.75" x14ac:dyDescent="0.3">
      <c r="B294" s="52" t="s">
        <v>39</v>
      </c>
      <c r="C294" s="121"/>
      <c r="D294" s="260"/>
      <c r="E294" s="261"/>
      <c r="F294" s="261"/>
      <c r="G294" s="261"/>
      <c r="H294" s="261"/>
      <c r="I294" s="261"/>
      <c r="J294" s="261"/>
      <c r="K294" s="261"/>
      <c r="L294" s="262"/>
    </row>
    <row r="295" spans="1:18" x14ac:dyDescent="0.25">
      <c r="B295" s="53"/>
      <c r="C295" s="53"/>
      <c r="D295" s="18"/>
      <c r="E295" s="5"/>
      <c r="F295" s="6"/>
      <c r="G295" s="5"/>
      <c r="H295" s="53"/>
      <c r="I295" s="122"/>
    </row>
    <row r="296" spans="1:18" x14ac:dyDescent="0.25">
      <c r="B296" s="53"/>
      <c r="C296" s="53"/>
      <c r="D296" s="18"/>
      <c r="E296" s="5"/>
      <c r="F296" s="6"/>
      <c r="G296" s="5"/>
      <c r="H296" s="53"/>
      <c r="I296" s="122"/>
    </row>
    <row r="297" spans="1:18" x14ac:dyDescent="0.25">
      <c r="B297" s="269"/>
      <c r="C297" s="269"/>
      <c r="D297" s="269"/>
      <c r="E297" s="5"/>
      <c r="F297" s="6"/>
      <c r="G297" s="5"/>
      <c r="H297" s="269"/>
      <c r="I297" s="269"/>
      <c r="J297" s="269"/>
      <c r="K297" s="269"/>
    </row>
    <row r="298" spans="1:18" x14ac:dyDescent="0.25">
      <c r="B298" s="5" t="s">
        <v>41</v>
      </c>
      <c r="C298" s="270"/>
      <c r="D298" s="270"/>
      <c r="E298" s="5"/>
      <c r="F298" s="6"/>
      <c r="G298" s="5"/>
      <c r="H298" s="5" t="s">
        <v>42</v>
      </c>
      <c r="I298" s="270" t="s">
        <v>222</v>
      </c>
      <c r="J298" s="270"/>
      <c r="K298" s="270"/>
    </row>
  </sheetData>
  <sheetProtection formatCells="0" formatColumns="0" formatRows="0" insertColumns="0" insertRows="0" insertHyperlinks="0" deleteColumns="0" deleteRows="0" sort="0" autoFilter="0" pivotTables="0"/>
  <mergeCells count="59">
    <mergeCell ref="B7:C7"/>
    <mergeCell ref="B2:L2"/>
    <mergeCell ref="B3:D3"/>
    <mergeCell ref="F3:I3"/>
    <mergeCell ref="J3:L3"/>
    <mergeCell ref="B5:C5"/>
    <mergeCell ref="I11:J11"/>
    <mergeCell ref="K11:L11"/>
    <mergeCell ref="E13:E20"/>
    <mergeCell ref="E21:E29"/>
    <mergeCell ref="E30:E38"/>
    <mergeCell ref="E199:E206"/>
    <mergeCell ref="E207:E212"/>
    <mergeCell ref="E213:E221"/>
    <mergeCell ref="E74:E82"/>
    <mergeCell ref="B9:C9"/>
    <mergeCell ref="B11:H11"/>
    <mergeCell ref="E39:E46"/>
    <mergeCell ref="E47:E55"/>
    <mergeCell ref="E56:E64"/>
    <mergeCell ref="E65:E73"/>
    <mergeCell ref="E191:E198"/>
    <mergeCell ref="E83:E91"/>
    <mergeCell ref="E92:E102"/>
    <mergeCell ref="E103:E113"/>
    <mergeCell ref="E114:E122"/>
    <mergeCell ref="E123:E133"/>
    <mergeCell ref="E134:E145"/>
    <mergeCell ref="E146:E156"/>
    <mergeCell ref="E157:E166"/>
    <mergeCell ref="E167:E176"/>
    <mergeCell ref="E177:E181"/>
    <mergeCell ref="E182:E190"/>
    <mergeCell ref="E222:E230"/>
    <mergeCell ref="E231:E239"/>
    <mergeCell ref="D281:L282"/>
    <mergeCell ref="E246:E251"/>
    <mergeCell ref="E252:E259"/>
    <mergeCell ref="E260:E268"/>
    <mergeCell ref="H269:J269"/>
    <mergeCell ref="K269:L269"/>
    <mergeCell ref="B273:L274"/>
    <mergeCell ref="B275:L275"/>
    <mergeCell ref="D276:L277"/>
    <mergeCell ref="B278:L279"/>
    <mergeCell ref="B280:L280"/>
    <mergeCell ref="B272:C272"/>
    <mergeCell ref="D272:L272"/>
    <mergeCell ref="E240:E245"/>
    <mergeCell ref="B297:D297"/>
    <mergeCell ref="H297:K297"/>
    <mergeCell ref="C298:D298"/>
    <mergeCell ref="I298:K298"/>
    <mergeCell ref="B285:D285"/>
    <mergeCell ref="H285:K285"/>
    <mergeCell ref="C286:D286"/>
    <mergeCell ref="I286:K286"/>
    <mergeCell ref="B292:L292"/>
    <mergeCell ref="D293:L294"/>
  </mergeCells>
  <conditionalFormatting sqref="L13:L268">
    <cfRule type="cellIs" dxfId="18" priority="26" operator="greaterThan">
      <formula>1</formula>
    </cfRule>
  </conditionalFormatting>
  <dataValidations xWindow="1312" yWindow="469" count="4">
    <dataValidation type="whole" allowBlank="1" showInputMessage="1" showErrorMessage="1" errorTitle="¡Error!" error="Introduzca un número válido." promptTitle="¡Atención!" prompt="Introduzca un número entre 0 y 30" sqref="I13:I268">
      <formula1>0</formula1>
      <formula2>30</formula2>
    </dataValidation>
    <dataValidation type="whole" allowBlank="1" showInputMessage="1" showErrorMessage="1" errorTitle="¡Error!" error="Introduzca un número válido." promptTitle="¡Atención!" prompt="Introduzca un número entre 0 y 366" sqref="H271 H13:H268">
      <formula1>0</formula1>
      <formula2>366</formula2>
    </dataValidation>
    <dataValidation type="list" allowBlank="1" showInputMessage="1" showErrorMessage="1" sqref="F7:G8 D8">
      <formula1>#REF!</formula1>
    </dataValidation>
    <dataValidation type="list" allowBlank="1" showInputMessage="1" showErrorMessage="1" sqref="D7">
      <formula1>$A$280:$A$291</formula1>
    </dataValidation>
  </dataValidations>
  <hyperlinks>
    <hyperlink ref="G50" r:id="rId1"/>
    <hyperlink ref="G56" r:id="rId2"/>
    <hyperlink ref="G57" r:id="rId3" display="\\10.100.25.60\sya\gec\Castilla\39. Proyecto_Inyeccion_de_Agua\SAHARA_x000a_"/>
    <hyperlink ref="G58" r:id="rId4"/>
    <hyperlink ref="G64" r:id="rId5"/>
    <hyperlink ref="G60" r:id="rId6"/>
    <hyperlink ref="G62" r:id="rId7"/>
    <hyperlink ref="G65" r:id="rId8" display="https://ecopetrol-my.sharepoint.com/:p:/g/personal/fabian_torres_ecopetrol_com_co1/EVDU7dil0AZKuEEvwl_wYUMBz5-ITb1XKJgfJvcLtCKwyg?email=geisson.zafra%40ecopetrol.com.co&amp;e=wAKzzZ&amp;wdOrigin=TEAMS-MAGLEV.p2p_ns.rwc&amp;wdExp=TEAMS-TREATMENT&amp;wdhostclicktime=1741892843119&amp;web=1&amp;previoussessionid=2053db84-be0f-ec5a-3ed2-fe60df430c3f"/>
    <hyperlink ref="G67" r:id="rId9" display="https://ecopetrol.sharepoint.com/sites/SeguimientoIAChichimeneECP/Documentos%20compartidos/Forms/AllItems.aspx?id=%2Fsites%2FSeguimientoIAChichimeneECP%2FDocumentos%20compartidos%2F17%2E%20IMR%2F2024%2F10%2E%20Octubre&amp;viewid=72844968%2Df801%2D450d%2D81d2%2D32c578273e17"/>
    <hyperlink ref="G69" r:id="rId10" display="https://ecopetrol.sharepoint.com/sites/SeguimientoIAChichimeneECP/Documentos%20compartidos/Forms/AllItems.aspx?id=%2Fsites%2FSeguimientoIAChichimeneECP%2FDocumentos%20compartidos%2F11%2E%20Desviaciones%20Prod%5FIny%20Real%20vs%20P50%20vs%20Auditoria%20vs%20PDI%20vs%20GOP%20vs%20POP%2F2025&amp;viewid=72844968%2Df801%2D450d%2D81d2%2D32c578273e17"/>
    <hyperlink ref="G70" r:id="rId11" display="https://ecopetrol.sharepoint.com/sites/SeguimientoIAChichimeneECP/Documentos%20compartidos/Forms/AllItems.aspx?id=%2Fsites%2FSeguimientoIAChichimeneECP%2FDocumentos%20compartidos%2F45%2E%20WorkOvers%20GCH%202024%2D2026%2D2027&amp;viewid=72844968%2Df801%2D450d%2D81d2%2D32c578273e17"/>
    <hyperlink ref="G71" r:id="rId12" display="https://ecopetrol.sharepoint.com/sites/SeguimientoIAChichimeneECP/Documentos%20compartidos/Forms/AllItems.aspx?id=%2Fsites%2FSeguimientoIAChichimeneECP%2FDocumentos%20compartidos%2F45%2E%20WorkOvers%20GCH%202024%2D2026%2D2027&amp;viewid=72844968%2Df801%2D450d%2D81d2%2D32c578273e17"/>
    <hyperlink ref="G72" r:id="rId13" display="https://ecopetrol.sharepoint.com/sites/gcres/conso/Forms/AllItems.aspx?id=%2Fsites%2Fgcres%2Fconso%2F02%2E%20Informaci%C3%B3n%20ANH%2F06%2E%20ANH%202024%2FVRO%2FCHICHIMENE%2FINFORME&amp;viewid=d5d52ee2%2D5e05%2D45ee%2D9b29%2D8f34fb00a583"/>
    <hyperlink ref="G75" r:id="rId14"/>
    <hyperlink ref="G76" r:id="rId15" display="\\10.100.25.60\sya\gec\Castilla\39. Proyecto_Inyeccion_de_Agua"/>
    <hyperlink ref="G77" r:id="rId16"/>
    <hyperlink ref="G78" r:id="rId17"/>
    <hyperlink ref="G79" r:id="rId18"/>
    <hyperlink ref="G80" r:id="rId19" display="https://wellmeeting.ecopetrol.com.co/login_x000a_Sharepoint DTWF"/>
    <hyperlink ref="G81" r:id="rId20" display="\\10.100.25.60\sya\gec\Castilla\39. Proyecto_Inyeccion_de_Agua"/>
    <hyperlink ref="G74" r:id="rId21"/>
    <hyperlink ref="G90" r:id="rId22"/>
    <hyperlink ref="G97" r:id="rId23" display="https://ecopetrol.sharepoint.com/sites/CastillaWOs2022/Documentos%20compartidos/Forms/AllItems.aspx?id=%2Fsites%2FCastillaWOs2022%2FDocumentos%20compartidos%2FJustificaciones&amp;viewid=9ecb22f4%2D2d68%2D4a78%2Db78d%2Df5ff342528b5"/>
    <hyperlink ref="G104" r:id="rId24" display="\\10.100.25.60\sya\gec\Castilla\39. Proyecto_Inyeccion_de_Agua\SAHARA_x000a_"/>
    <hyperlink ref="G105" r:id="rId25" display="\\10.100.25.60\sya\gec\Castilla\39. Proyecto_Inyeccion_de_Agua"/>
    <hyperlink ref="G106" r:id="rId26" display="\\10.100.25.60\sya\gec\Castilla\39. Proyecto_Inyeccion_de_Agua\SAHARA\BD Sahara"/>
    <hyperlink ref="G107" r:id="rId27" display="https://wellmeeting.ecopetrol.com.co/login"/>
    <hyperlink ref="G108" r:id="rId28" display="https://wellmeeting.ecopetrol.com.co/login_x000a_GDT Plus (El V.A.R.) - General - Todos los documentos"/>
    <hyperlink ref="G109" r:id="rId29" display="https://wellmeeting.ecopetrol.com.co/login_x000a_Sharepoint DTWF"/>
    <hyperlink ref="G110" r:id="rId30" display="\\10.100.25.60\sya\gec\Castilla\39. Proyecto_Inyeccion_de_Agua"/>
    <hyperlink ref="G103" r:id="rId31" display="\\10.100.25.60\sya\gec\Castilla\39. Proyecto_Inyeccion_de_Agua\SAHARA) y en las notas de wellmeeting"/>
    <hyperlink ref="G161" r:id="rId32"/>
    <hyperlink ref="G163" r:id="rId33" display="https://ecopetrol-my.sharepoint.com/:w:/r/personal/nayath_rodriguez_ecopetrol_com_co1/_layouts/15/Doc.aspx?sourcedoc=%7B16E8FA1B-CAFC-400A-9F16-5A2CECCADCD1%7D&amp;file=20240822_Documento%20soporte%20Reservas_GCH.docx&amp;nav=eyJjIjo4NzkxMjAwMDZ9&amp;action=default&amp;mobileredirect=true"/>
    <hyperlink ref="G164" r:id="rId34"/>
    <hyperlink ref="G166" r:id="rId35" display="https://ecopetrol-my.sharepoint.com/:x:/r/personal/cesar_garnica_ecopetrol_com_co/_layouts/15/Doc.aspx?sourcedoc=%7BAA7899F4-3C92-43E6-A801-E6AC46835FA0%7D&amp;file=Pronosticos%20WF%20ExpK%20(3).xlsx&amp;action=default&amp;mobileredirect=true&amp;wdOrigin=OUTLOOK-METAOS.FILEBROWSER.FILES-HOME"/>
    <hyperlink ref="G159" r:id="rId36"/>
    <hyperlink ref="G158" r:id="rId37" display="https://ecopetrol.sharepoint.com/:f:/r/sites/CHICHIMENE-GDO/Documentos compartidos/L-Plazo No Termico/04-Proyectos/04-Etapa 6 WF Nueva Generaci%C3%B3n/DATA SHEET POZOS/DATA SHEET-CAMPA%C3%91A 2?csf=1&amp;web=1&amp;e=aLP3ml"/>
    <hyperlink ref="G172" r:id="rId38" display="https://ecopetrol-my.sharepoint.com/:x:/g/personal/juanca_lizcanoni_ecopetrol_com_co/EWqfc085W9lAj4yjgqy9518BDoJy91LaAvYwT4ztKDLgrw?wdOrigin=TEAMS-MAGLEV.p2p_ns.rwc&amp;wdExp=TEAMS-TREATMENT&amp;wdhostclicktime=1745952824168&amp;web=1"/>
    <hyperlink ref="G171" r:id="rId39" display="https://ecopetrol-my.sharepoint.com/:x:/g/personal/briggite_camacho_ecopetrol_com_co1/EY2Fvm9mclJEk0Akeq_UFRgBvsWpTTrzeRC2T3GFx4EuFA?wdOrigin=TEAMS-MAGLEV.p2p_ns.rwc&amp;wdExp=TEAMS-TREATMENT&amp;wdhostclicktime=1745952910488&amp;web=1"/>
    <hyperlink ref="G173" r:id="rId40" display="https://ecopetrol.sharepoint.com/:u:/r/sites/MonitoreoVRO/Documentos compartidos/Tableros/Tablero 2.1/2.1_Monitoreo_Proyectos_VRO.pbix?csf=1&amp;web=1&amp;e=MbX5sa"/>
    <hyperlink ref="G177" r:id="rId41" display="https://ecopetrol.sharepoint.com/:f:/r/sites/INTERVENCIONESGDA/Documentos%20compartidos/Monica%20Martinez/Entregables/Abril%202025?csf=1&amp;web=1&amp;e=uzdEiE"/>
    <hyperlink ref="G178" r:id="rId42" display="https://ecopetrol.sharepoint.com/:f:/r/sites/INTERVENCIONESGDA/Documentos%20compartidos/Monica%20Martinez/Entregables/Abril%202025?csf=1&amp;web=1&amp;e=v6w200"/>
    <hyperlink ref="G14" r:id="rId43" display="https://ecopetrol.sharepoint.com/sites/EquipoDesarrolloCPO-9/Documentos%20compartidos/Forms/AllItems.aspx?id=%2Fsites%2FEquipoDesarrolloCPO%2D9%2FDocumentos%20compartidos%2FGeneral%2F04%2DExploratorio%2FExploratorios%20CPO%2D9&amp;viewid=0e96c994%2D47e1%2D4e99%2D93c0%2D37826753815c"/>
    <hyperlink ref="G13" r:id="rId44" display="https://ecopetrol.sharepoint.com/sites/ACCESS/Documentos compartidos/Forms/AllItems.aspx?id=%2Fsites%2FACCESS%2FDocumentos%20compartidos%2FPLP%202024&amp;viewid=84208958%2Dec67%2D431a%2D9db0%2D33a6806f19c8"/>
    <hyperlink ref="G15" r:id="rId45" display="https://ecopetrol.sharepoint.com/sites/ACCESS/Documentos compartidos/Forms/AllItems.aspx?id=%2Fsites%2FACCESS%2FDocumentos%20compartidos%2FPLP%202024&amp;viewid=84208958%2Dec67%2D431a%2D9db0%2D33a6806f19c8"/>
    <hyperlink ref="G17" r:id="rId46" display="https://ecopetrol.sharepoint.com/sites/ACCESS/Documentos compartidos/Forms/AllItems.aspx?id=%2Fsites%2FACCESS%2FDocumentos%20compartidos%2FPLP%202024&amp;viewid=84208958%2Dec67%2D431a%2D9db0%2D33a6806f19c8"/>
    <hyperlink ref="G16" r:id="rId47" display="https://ecopetrol.sharepoint.com/sites/ACCESS/Documentos compartidos/Forms/AllItems.aspx?id=%2Fsites%2FACCESS%2FDocumentos%20compartidos%2FPLP%202024&amp;viewid=84208958%2Dec67%2D431a%2D9db0%2D33a6806f19c8"/>
    <hyperlink ref="G20" r:id="rId48" display="https://ecopetrol.sharepoint.com/sites/InformedereservasCampoAkacias2022"/>
    <hyperlink ref="G18" r:id="rId49" display="https://ecopetrol.sharepoint.com/sites/ACCESS/Documentos compartidos/Forms/AllItems.aspx?id=%2Fsites%2FACCESS%2FDocumentos%20compartidos%2FFrontera&amp;viewid=84208958%2Dec67%2D431a%2D9db0%2D33a6806f19c8"/>
    <hyperlink ref="G19" r:id="rId50" display="https://ecopetrol.sharepoint.com/sites/ACCESS/Documentos compartidos/Forms/AllItems.aspx?id=%2Fsites%2FACCESS%2FDocumentos%20compartidos%2FTinamu&amp;viewid=84208958%2Dec67%2D431a%2D9db0%2D33a6806f19c8"/>
    <hyperlink ref="G182" r:id="rId51"/>
    <hyperlink ref="G183" r:id="rId52" display="https://ecopetrol-my.sharepoint.com/:x:/r/personal/carlos_olmos_ecopetrol_com_co/Documents/Archivos de chat de Microsoft Teams/Qwi_Obj_180325.xlsx?d=wb7975fcf436a458bbdfcf901c154ac2f&amp;csf=1&amp;web=1&amp;e=bT3mes"/>
    <hyperlink ref="G185" r:id="rId53" display="https://ecopetrol.sharepoint.com/:u:/r/sites/DTWFCASTILLA/Documentos compartidos/General/Capacidad_de_flujo_Castilla_WF_Ene2025.pbix?csf=1&amp;web=1&amp;e=rdqOBO"/>
    <hyperlink ref="G187" r:id="rId54" display="https://ecopetrol.sharepoint.com/:u:/r/sites/BDSaharaCastilla/Documentos compartidos/Tablero P50/P50 CASTILLA_2024_V19.pbix?csf=1&amp;web=1&amp;e=CrebOA"/>
    <hyperlink ref="G191" r:id="rId55" display="\\10.100.25.60\sya\GEC\Ariari\67. ENTREGAS DE CARGO\ING. DE PORTAFOLIO\CMPC\Christian Pardo\ENTREGABLES 2025\04. ABRIL"/>
    <hyperlink ref="G192:G198" r:id="rId56" display="\\10.100.25.60\sya\GEC\Ariari\67. ENTREGAS DE CARGO\ING. DE PORTAFOLIO\CMPC\Christian Pardo\ENTREGABLES 2025\04. ABRIL"/>
    <hyperlink ref="G214" r:id="rId57" display="https://ecopetrol.sharepoint.com/:f:/r/sites/SeguimientoIAChichimeneECP/Documentos compartidos/01. Revisi%C3%B3n Caudales Objetivo?csf=1&amp;web=1&amp;e=HMOlD6"/>
    <hyperlink ref="G215" r:id="rId58" display="https://ecopetrol.sharepoint.com/:f:/r/sites/SeguimientoIAChichimeneECP/Documentos compartidos/28. Molinos de Viento?csf=1&amp;web=1&amp;e=Sfg2nD"/>
    <hyperlink ref="G216" r:id="rId59" display="https://ecopetrol.sharepoint.com/:f:/r/sites/SeguimientoIAChichimeneECP/Documentos compartidos/28. Molinos de Viento/Cargue por Tecnologia?csf=1&amp;web=1&amp;e=Zd14xn"/>
    <hyperlink ref="G217" r:id="rId60" display="https://ecopetrol.sharepoint.com/:f:/r/sites/SeguimientoIAChichimeneECP/Documentos compartidos/15. RWA/Visualizadores?csf=1&amp;web=1&amp;e=cWNCbZ"/>
    <hyperlink ref="G218" r:id="rId61" display="https://ecopetrol.sharepoint.com/:f:/r/sites/SeguimientoIAChichimeneECP/Documentos compartidos/04. Pwf Chichimene?csf=1&amp;web=1&amp;e=bchtw6"/>
    <hyperlink ref="G219" r:id="rId62" display="https://ecopetrol.sharepoint.com/:f:/r/sites/SeguimientoIAChichimeneECP/Documentos compartidos/22. PBU/Formas 8CR?csf=1&amp;web=1&amp;e=3PEoe6"/>
    <hyperlink ref="G220" r:id="rId63" display="https://ecopetrol.sharepoint.com/:f:/r/sites/SeguimientoIAChichimeneECP/Documentos compartidos/09. Gerenciamiento Chichimene?csf=1&amp;web=1&amp;e=AleeXi"/>
    <hyperlink ref="G221" r:id="rId64" display="https://ecopetrol.sharepoint.com/:f:/r/sites/SeguimientoIAChichimeneECP/Documentos compartidos/09. Gerenciamiento Chichimene?csf=1&amp;web=1&amp;e=AleeXi"/>
    <hyperlink ref="G222" r:id="rId65" display="\\10.100.25.60\sya\gec\JOSE GABRIEL NASSAR - PORTAFOLIO CASTILLA\0. ENTREGABLES\15. ABRIL_2025"/>
    <hyperlink ref="G223:G230" r:id="rId66" display="\\10.100.25.60\sya\gec\JOSE GABRIEL NASSAR - PORTAFOLIO CASTILLA\0. ENTREGABLES\15. ABRIL_2025"/>
    <hyperlink ref="G241" r:id="rId67" display="https://ecopetrol.sharepoint.com/:u:/r/sites/MonitoreoVRO/Documentos compartidos/Tableros/Tablero 2.2/2.2_Monitoreo_Prod_P50.pbix?csf=1&amp;web=1&amp;e=solEfC"/>
    <hyperlink ref="G243" r:id="rId68" display="https://ecopetrol.sharepoint.com/:u:/r/sites/MonitoreoVRO/Documentos compartidos/Tableros/Tablero 2.1/2.1_Monitoreo_Proyectos_VRO.pbix?csf=1&amp;web=1&amp;e=Rbxt9l"/>
    <hyperlink ref="G242" r:id="rId69" display="https://ecopetrol.sharepoint.com/:u:/r/sites/MonitoreoVRO/Documentos compartidos/Tableros/Tablero 2.6/2.61_SeguimientoProducci%C3%B3nChiak.pbix?csf=1&amp;web=1&amp;e=tyE96t"/>
    <hyperlink ref="G240" r:id="rId70" display="https://ecopetrol.sharepoint.com/:u:/r/sites/MonitoreoVRO/Documentos compartidos/Tableros/Tablero 2.6/2.62_SeguimientoProducci%C3%B3nCastilla.pbix?csf=1&amp;web=1&amp;e=H94eQs"/>
    <hyperlink ref="G244" r:id="rId71" display="https://ecopetrol.sharepoint.com/:u:/r/sites/MonitoreoVRO/Documentos compartidos/Tableros/Tablero Calidad de agua/2.9_Seguimiento_Calidad_de_agua_VRO.pbix?csf=1&amp;web=1&amp;e=yzre4a"/>
    <hyperlink ref="G245" r:id="rId72" display="https://ecopetrol.sharepoint.com/:u:/r/sites/MonitoreoVRO/Documentos compartidos/Tableros/Tablero 2.3/2.3_Monitoreo_Secundaria_VRO.pbix?csf=1&amp;web=1&amp;e=7rDpbG"/>
    <hyperlink ref="G256" r:id="rId73" display="https://ecopetrol-my.sharepoint.com/:x:/r/personal/leidyla_alvarez_ecopetrol_com_co/Documents/Archivos%20de%20chat%20de%20Microsoft%20Teams/Proyecci%C3%B3n%20agua%202025%20Chiak.xlsx?d=w81d6ff629f4b45c5a01c30412f609e03&amp;csf=1&amp;web=1&amp;e=5my6Hd"/>
    <hyperlink ref="G257" r:id="rId74" display="https://ecopetrol.sharepoint.com/:x:/r/sites/IAAKACIAS/Documentos%20compartidos/34.%20POP%202024-2025/2025/ACT%20-%2011%2004%202025/POP_Vs_P50_RETO_11042025.xlsx?d=w0dc02f860ec24a6087e089a015726a66&amp;csf=1&amp;web=1&amp;e=euKNpw"/>
    <hyperlink ref="G258" r:id="rId75" display="https://ecopetrol.sharepoint.com/:x:/r/sites/IAAKACIAS/Documentos%20compartidos/34.%20POP%202024-2025/2025/ACT%20-%2011%2004%202025/POP_Vs_P50_RETO_11042025.xlsx?d=w0dc02f860ec24a6087e089a015726a66&amp;csf=1&amp;web=1&amp;e=euKNpw"/>
    <hyperlink ref="G259" r:id="rId76" display="https://ecopetrol.sharepoint.com/:f:/r/sites/IAAKACIAS/Documentos compartidos/04. Tableros/01. Molinos?csf=1&amp;web=1&amp;e=ytTQ84"/>
    <hyperlink ref="G260" r:id="rId77" display="https://teams.microsoft.com/l/message/19:7b4c8586-d99b-4bd1-829f-dd3c0e5f277d_a4a12518-fd98-491f-8a3b-3cf43d597ded@unq.gbl.spaces/1728591074500?context=%7B%22contextType%22%3A%22chat%22%7D"/>
    <hyperlink ref="G264" r:id="rId78" display="https://ecopetrol-my.sharepoint.com/:x:/r/personal/jaimejo_martinez_ecopetrol_com_co1/Documents/Archivos de chat de Microsoft Teams/EUR vs hpay 2024 Suria.xlsx?d=w278e9bed0a28460daa0ecdf703b9195f&amp;csf=1&amp;web=1&amp;e=YXoRy4"/>
    <hyperlink ref="G263" r:id="rId79" display="https://ecopetrol-my.sharepoint.com/:x:/g/personal/julio_gonzalez_ecopetrol_com_co1/EcqvhrNqXRlIo3fx0toBjC8Basv1HvSygMZn1OymPdSyyg?e=L16uNV"/>
    <hyperlink ref="G265" r:id="rId80" display="https://ecopetrol.sharepoint.com/:x:/s/YACIMIENTOS-APIAY/EbmwQUUu8J5Jp5h1Urc4VHsBWIKkIMiuHgBVlbu1alVQuw?e=fPWH7k"/>
    <hyperlink ref="G266" r:id="rId81" display="https://ecopetrol-my.sharepoint.com/:x:/r/personal/jaimejo_martinez_ecopetrol_com_co1/Documents/Archivos%20de%20chat%20de%20Microsoft%20Teams/Vintage%20Produccion%20Suria%20T2.xlsx?d=wf83e0d33cd724068af98820017aff361&amp;csf=1&amp;web=1&amp;e=edJsN2"/>
    <hyperlink ref="G98" r:id="rId82" display="https://ecopetrol.sharepoint.com/sites/CastillaWOs2022/Documentos%20compartidos/Forms/AllItems.aspx?id=%2Fsites%2FCastillaWOs2022%2FDocumentos%20compartidos%2FJustificaciones&amp;viewid=9ecb22f4%2D2d68%2D4a78%2Db78d%2Df5ff342528b5"/>
    <hyperlink ref="G179:G181" r:id="rId83" display="https://ecopetrol.sharepoint.com/:f:/r/sites/INTERVENCIONESGDA/Documentos%20compartidos/Monica%20Martinez/Entregables/Abril%202025?csf=1&amp;web=1&amp;e=v6w200"/>
  </hyperlinks>
  <pageMargins left="0.7" right="0.7" top="0.75" bottom="0.75" header="0.3" footer="0.3"/>
  <pageSetup scale="12" orientation="portrait" r:id="rId84"/>
  <drawing r:id="rId85"/>
  <legacyDrawing r:id="rId8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298"/>
  <sheetViews>
    <sheetView showGridLines="0" view="pageBreakPreview" topLeftCell="B70" zoomScaleNormal="100" zoomScaleSheetLayoutView="100" workbookViewId="0">
      <selection activeCell="F83" sqref="F83:I91"/>
    </sheetView>
  </sheetViews>
  <sheetFormatPr baseColWidth="10" defaultColWidth="8.5703125" defaultRowHeight="15" x14ac:dyDescent="0.25"/>
  <cols>
    <col min="1" max="1" width="7.42578125" style="8" customWidth="1"/>
    <col min="2" max="2" width="15.5703125" style="5" customWidth="1"/>
    <col min="3" max="3" width="8.5703125" style="5" customWidth="1"/>
    <col min="4" max="4" width="43.42578125" style="6" customWidth="1"/>
    <col min="5" max="5" width="16.85546875" style="6" bestFit="1" customWidth="1"/>
    <col min="6" max="6" width="31" style="7" customWidth="1"/>
    <col min="7" max="7" width="30.140625" style="6" customWidth="1"/>
    <col min="8" max="8" width="13.5703125" style="6" customWidth="1"/>
    <col min="9" max="9" width="13.42578125" style="6" customWidth="1"/>
    <col min="10" max="10" width="10.42578125" style="6" customWidth="1"/>
    <col min="11" max="12" width="12.42578125" style="6" customWidth="1"/>
    <col min="13" max="13" width="6.5703125" style="8" customWidth="1"/>
    <col min="14" max="14" width="16.42578125" style="8" customWidth="1"/>
    <col min="16" max="16" width="16.42578125" style="8" customWidth="1"/>
    <col min="17" max="17" width="0" hidden="1" customWidth="1"/>
    <col min="18" max="18" width="16.42578125" style="8" customWidth="1"/>
    <col min="19" max="16384" width="8.5703125" style="8"/>
  </cols>
  <sheetData>
    <row r="1" spans="2:17" x14ac:dyDescent="0.25">
      <c r="Q1" t="s">
        <v>0</v>
      </c>
    </row>
    <row r="2" spans="2:17" ht="49.5" customHeight="1" x14ac:dyDescent="0.25">
      <c r="B2" s="221" t="s">
        <v>1</v>
      </c>
      <c r="C2" s="221"/>
      <c r="D2" s="221"/>
      <c r="E2" s="221"/>
      <c r="F2" s="221"/>
      <c r="G2" s="221"/>
      <c r="H2" s="221"/>
      <c r="I2" s="221"/>
      <c r="J2" s="221"/>
      <c r="K2" s="221"/>
      <c r="L2" s="221"/>
      <c r="Q2" t="s">
        <v>2</v>
      </c>
    </row>
    <row r="3" spans="2:17" ht="18.75" customHeight="1" x14ac:dyDescent="0.25">
      <c r="B3" s="222" t="s">
        <v>3</v>
      </c>
      <c r="C3" s="223"/>
      <c r="D3" s="223"/>
      <c r="E3" s="58"/>
      <c r="F3" s="223" t="s">
        <v>4</v>
      </c>
      <c r="G3" s="223"/>
      <c r="H3" s="223"/>
      <c r="I3" s="223"/>
      <c r="J3" s="223" t="s">
        <v>5</v>
      </c>
      <c r="K3" s="223"/>
      <c r="L3" s="224"/>
    </row>
    <row r="4" spans="2:17" x14ac:dyDescent="0.25">
      <c r="B4" s="9"/>
      <c r="C4" s="57"/>
      <c r="L4" s="10"/>
      <c r="Q4" t="s">
        <v>6</v>
      </c>
    </row>
    <row r="5" spans="2:17" s="16" customFormat="1" ht="27.6" customHeight="1" x14ac:dyDescent="0.25">
      <c r="B5" s="225" t="s">
        <v>7</v>
      </c>
      <c r="C5" s="225"/>
      <c r="D5" s="11">
        <v>90141005</v>
      </c>
      <c r="E5"/>
      <c r="F5" s="12"/>
      <c r="G5" s="13"/>
      <c r="H5" s="14"/>
      <c r="I5" s="14"/>
      <c r="J5" s="14"/>
      <c r="K5" s="14"/>
      <c r="L5" s="15"/>
      <c r="O5"/>
      <c r="Q5" t="s">
        <v>8</v>
      </c>
    </row>
    <row r="6" spans="2:17" s="16" customFormat="1" x14ac:dyDescent="0.25">
      <c r="B6" s="17"/>
      <c r="C6" s="5"/>
      <c r="D6" s="14"/>
      <c r="E6"/>
      <c r="F6" s="18"/>
      <c r="G6" s="14"/>
      <c r="H6" s="14"/>
      <c r="I6" s="14"/>
      <c r="J6" s="14"/>
      <c r="K6" s="14"/>
      <c r="L6" s="15"/>
      <c r="O6"/>
      <c r="Q6" t="s">
        <v>11</v>
      </c>
    </row>
    <row r="7" spans="2:17" s="16" customFormat="1" x14ac:dyDescent="0.25">
      <c r="B7" s="225" t="s">
        <v>12</v>
      </c>
      <c r="C7" s="225"/>
      <c r="D7" s="19" t="s">
        <v>11</v>
      </c>
      <c r="E7"/>
      <c r="F7" s="20"/>
      <c r="G7" s="21"/>
      <c r="H7" s="14"/>
      <c r="I7" s="14"/>
      <c r="J7" s="14"/>
      <c r="K7" s="14"/>
      <c r="L7" s="15"/>
      <c r="O7"/>
      <c r="Q7" t="s">
        <v>13</v>
      </c>
    </row>
    <row r="8" spans="2:17" s="16" customFormat="1" x14ac:dyDescent="0.25">
      <c r="B8" s="22"/>
      <c r="C8" s="23"/>
      <c r="D8" s="24"/>
      <c r="E8"/>
      <c r="F8" s="20"/>
      <c r="G8" s="21"/>
      <c r="H8" s="14"/>
      <c r="I8" s="14"/>
      <c r="J8" s="14"/>
      <c r="K8" s="14"/>
      <c r="L8" s="15"/>
      <c r="O8"/>
      <c r="Q8" t="s">
        <v>14</v>
      </c>
    </row>
    <row r="9" spans="2:17" s="16" customFormat="1" x14ac:dyDescent="0.25">
      <c r="B9" s="225" t="s">
        <v>15</v>
      </c>
      <c r="C9" s="225"/>
      <c r="D9" s="25">
        <v>45838</v>
      </c>
      <c r="E9"/>
      <c r="F9" s="26"/>
      <c r="G9" s="27"/>
      <c r="H9" s="14"/>
      <c r="I9" s="14"/>
      <c r="J9" s="14"/>
      <c r="K9" s="14"/>
      <c r="L9" s="15"/>
      <c r="O9"/>
      <c r="Q9" t="s">
        <v>16</v>
      </c>
    </row>
    <row r="10" spans="2:17" x14ac:dyDescent="0.25">
      <c r="B10" s="28"/>
      <c r="C10" s="29"/>
      <c r="L10" s="30"/>
      <c r="Q10" t="s">
        <v>17</v>
      </c>
    </row>
    <row r="11" spans="2:17" s="31" customFormat="1" ht="26.85" customHeight="1" x14ac:dyDescent="0.25">
      <c r="B11" s="225" t="s">
        <v>18</v>
      </c>
      <c r="C11" s="225"/>
      <c r="D11" s="225"/>
      <c r="E11" s="225"/>
      <c r="F11" s="225"/>
      <c r="G11" s="225"/>
      <c r="H11" s="225"/>
      <c r="I11" s="225" t="s">
        <v>19</v>
      </c>
      <c r="J11" s="225"/>
      <c r="K11" s="225" t="s">
        <v>20</v>
      </c>
      <c r="L11" s="225"/>
      <c r="O11" s="32"/>
      <c r="Q11" s="32" t="s">
        <v>21</v>
      </c>
    </row>
    <row r="12" spans="2:17" s="31" customFormat="1" ht="57.6" customHeight="1" x14ac:dyDescent="0.25">
      <c r="B12" s="33" t="s">
        <v>22</v>
      </c>
      <c r="C12" s="33" t="s">
        <v>23</v>
      </c>
      <c r="D12" s="33" t="s">
        <v>24</v>
      </c>
      <c r="E12" s="33" t="s">
        <v>72</v>
      </c>
      <c r="F12" s="34" t="s">
        <v>25</v>
      </c>
      <c r="G12" s="33" t="s">
        <v>26</v>
      </c>
      <c r="H12" s="33" t="s">
        <v>27</v>
      </c>
      <c r="I12" s="33" t="s">
        <v>28</v>
      </c>
      <c r="J12" s="33" t="s">
        <v>29</v>
      </c>
      <c r="K12" s="33" t="s">
        <v>30</v>
      </c>
      <c r="L12" s="33" t="s">
        <v>29</v>
      </c>
      <c r="O12" s="32"/>
      <c r="Q12" s="32" t="s">
        <v>31</v>
      </c>
    </row>
    <row r="13" spans="2:17" x14ac:dyDescent="0.25">
      <c r="B13" s="35">
        <v>3</v>
      </c>
      <c r="C13" s="36" t="s">
        <v>43</v>
      </c>
      <c r="D13" s="37" t="s">
        <v>44</v>
      </c>
      <c r="E13" s="218" t="s">
        <v>73</v>
      </c>
      <c r="F13" s="59" t="s">
        <v>64</v>
      </c>
      <c r="G13" s="60" t="s">
        <v>65</v>
      </c>
      <c r="H13" s="89">
        <v>33</v>
      </c>
      <c r="I13" s="89">
        <v>6</v>
      </c>
      <c r="J13" s="67">
        <f>IFERROR(I13/H13,0)</f>
        <v>0.18181818181818182</v>
      </c>
      <c r="K13" s="93">
        <f>+I13+'MAYO 2025'!K13</f>
        <v>20</v>
      </c>
      <c r="L13" s="92">
        <f>IFERROR(K13/H13,0)</f>
        <v>0.60606060606060608</v>
      </c>
    </row>
    <row r="14" spans="2:17" x14ac:dyDescent="0.25">
      <c r="B14" s="38">
        <v>3</v>
      </c>
      <c r="C14" s="39" t="s">
        <v>46</v>
      </c>
      <c r="D14" s="40" t="s">
        <v>47</v>
      </c>
      <c r="E14" s="219"/>
      <c r="F14" s="61" t="s">
        <v>172</v>
      </c>
      <c r="G14" s="63" t="s">
        <v>172</v>
      </c>
      <c r="H14" s="2">
        <v>39</v>
      </c>
      <c r="I14" s="3">
        <v>0</v>
      </c>
      <c r="J14" s="69">
        <f>IFERROR(I14/H14,0)</f>
        <v>0</v>
      </c>
      <c r="K14" s="90">
        <f>+I14+'MAYO 2025'!K14</f>
        <v>10</v>
      </c>
      <c r="L14" s="94">
        <f>IFERROR(K14/H14,0)</f>
        <v>0.25641025641025639</v>
      </c>
    </row>
    <row r="15" spans="2:17" x14ac:dyDescent="0.25">
      <c r="B15" s="38">
        <v>3</v>
      </c>
      <c r="C15" s="39" t="s">
        <v>49</v>
      </c>
      <c r="D15" s="40" t="s">
        <v>50</v>
      </c>
      <c r="E15" s="219"/>
      <c r="F15" s="61" t="s">
        <v>68</v>
      </c>
      <c r="G15" s="62" t="s">
        <v>65</v>
      </c>
      <c r="H15" s="3">
        <v>33</v>
      </c>
      <c r="I15" s="4">
        <v>6</v>
      </c>
      <c r="J15" s="69">
        <f t="shared" ref="J15:J78" si="0">IFERROR(I15/H15,0)</f>
        <v>0.18181818181818182</v>
      </c>
      <c r="K15" s="90">
        <f>+I15+'MAYO 2025'!K15</f>
        <v>10</v>
      </c>
      <c r="L15" s="94">
        <f t="shared" ref="L15:L78" si="1">IFERROR(K15/H15,0)</f>
        <v>0.30303030303030304</v>
      </c>
    </row>
    <row r="16" spans="2:17" x14ac:dyDescent="0.25">
      <c r="B16" s="38">
        <v>3</v>
      </c>
      <c r="C16" s="39" t="s">
        <v>52</v>
      </c>
      <c r="D16" s="40" t="s">
        <v>53</v>
      </c>
      <c r="E16" s="219"/>
      <c r="F16" s="61" t="s">
        <v>54</v>
      </c>
      <c r="G16" s="62" t="s">
        <v>65</v>
      </c>
      <c r="H16" s="3">
        <v>33</v>
      </c>
      <c r="I16" s="3">
        <v>2</v>
      </c>
      <c r="J16" s="69">
        <f t="shared" si="0"/>
        <v>6.0606060606060608E-2</v>
      </c>
      <c r="K16" s="90">
        <f>+I16+'MAYO 2025'!K16</f>
        <v>10</v>
      </c>
      <c r="L16" s="94">
        <f t="shared" si="1"/>
        <v>0.30303030303030304</v>
      </c>
    </row>
    <row r="17" spans="2:17" s="16" customFormat="1" x14ac:dyDescent="0.25">
      <c r="B17" s="38">
        <v>3</v>
      </c>
      <c r="C17" s="39" t="s">
        <v>55</v>
      </c>
      <c r="D17" s="40" t="s">
        <v>56</v>
      </c>
      <c r="E17" s="219"/>
      <c r="F17" s="61" t="s">
        <v>69</v>
      </c>
      <c r="G17" s="62" t="s">
        <v>65</v>
      </c>
      <c r="H17" s="3">
        <v>33</v>
      </c>
      <c r="I17" s="3">
        <v>6</v>
      </c>
      <c r="J17" s="69">
        <f t="shared" si="0"/>
        <v>0.18181818181818182</v>
      </c>
      <c r="K17" s="90">
        <f>+I17+'MAYO 2025'!K17</f>
        <v>10</v>
      </c>
      <c r="L17" s="94">
        <f t="shared" si="1"/>
        <v>0.30303030303030304</v>
      </c>
      <c r="O17" s="41"/>
      <c r="Q17" s="41"/>
    </row>
    <row r="18" spans="2:17" x14ac:dyDescent="0.25">
      <c r="B18" s="38">
        <v>5</v>
      </c>
      <c r="C18" s="39" t="s">
        <v>57</v>
      </c>
      <c r="D18" s="40" t="s">
        <v>58</v>
      </c>
      <c r="E18" s="219"/>
      <c r="F18" s="61" t="s">
        <v>54</v>
      </c>
      <c r="G18" s="62" t="s">
        <v>203</v>
      </c>
      <c r="H18" s="3">
        <v>33</v>
      </c>
      <c r="I18" s="3">
        <v>4</v>
      </c>
      <c r="J18" s="69">
        <f t="shared" si="0"/>
        <v>0.12121212121212122</v>
      </c>
      <c r="K18" s="90">
        <f>+I18+'MAYO 2025'!K18</f>
        <v>10</v>
      </c>
      <c r="L18" s="94">
        <f t="shared" si="1"/>
        <v>0.30303030303030304</v>
      </c>
    </row>
    <row r="19" spans="2:17" x14ac:dyDescent="0.25">
      <c r="B19" s="38">
        <v>5</v>
      </c>
      <c r="C19" s="39" t="s">
        <v>59</v>
      </c>
      <c r="D19" s="40" t="s">
        <v>60</v>
      </c>
      <c r="E19" s="219"/>
      <c r="F19" s="61" t="s">
        <v>70</v>
      </c>
      <c r="G19" s="62" t="s">
        <v>204</v>
      </c>
      <c r="H19" s="3">
        <v>33</v>
      </c>
      <c r="I19" s="3">
        <v>5</v>
      </c>
      <c r="J19" s="69">
        <f t="shared" si="0"/>
        <v>0.15151515151515152</v>
      </c>
      <c r="K19" s="90">
        <f>+I19+'MAYO 2025'!K19</f>
        <v>10</v>
      </c>
      <c r="L19" s="94">
        <f t="shared" si="1"/>
        <v>0.30303030303030304</v>
      </c>
    </row>
    <row r="20" spans="2:17" x14ac:dyDescent="0.25">
      <c r="B20" s="42">
        <v>8</v>
      </c>
      <c r="C20" s="43" t="s">
        <v>61</v>
      </c>
      <c r="D20" s="44" t="s">
        <v>62</v>
      </c>
      <c r="E20" s="220"/>
      <c r="F20" s="64" t="s">
        <v>63</v>
      </c>
      <c r="G20" s="65" t="s">
        <v>71</v>
      </c>
      <c r="H20" s="97">
        <v>33</v>
      </c>
      <c r="I20" s="97">
        <v>1</v>
      </c>
      <c r="J20" s="72">
        <f t="shared" si="0"/>
        <v>3.0303030303030304E-2</v>
      </c>
      <c r="K20" s="91">
        <f>+I20+'MAYO 2025'!K20</f>
        <v>10</v>
      </c>
      <c r="L20" s="96">
        <f t="shared" si="1"/>
        <v>0.30303030303030304</v>
      </c>
    </row>
    <row r="21" spans="2:17" x14ac:dyDescent="0.25">
      <c r="B21" s="35">
        <v>3</v>
      </c>
      <c r="C21" s="36" t="s">
        <v>43</v>
      </c>
      <c r="D21" s="37" t="s">
        <v>44</v>
      </c>
      <c r="E21" s="218" t="s">
        <v>100</v>
      </c>
      <c r="F21" s="59" t="s">
        <v>666</v>
      </c>
      <c r="G21" s="60" t="s">
        <v>667</v>
      </c>
      <c r="H21" s="89">
        <v>30</v>
      </c>
      <c r="I21" s="89">
        <v>3</v>
      </c>
      <c r="J21" s="69">
        <f t="shared" si="0"/>
        <v>0.1</v>
      </c>
      <c r="K21" s="103">
        <f>+I21+'MAYO 2025'!K21</f>
        <v>10</v>
      </c>
      <c r="L21" s="94">
        <f t="shared" si="1"/>
        <v>0.33333333333333331</v>
      </c>
      <c r="N21"/>
      <c r="O21" s="8"/>
      <c r="P21"/>
      <c r="Q21" s="8"/>
    </row>
    <row r="22" spans="2:17" x14ac:dyDescent="0.25">
      <c r="B22" s="38">
        <v>3</v>
      </c>
      <c r="C22" s="39" t="s">
        <v>46</v>
      </c>
      <c r="D22" s="40" t="s">
        <v>47</v>
      </c>
      <c r="E22" s="219"/>
      <c r="F22" s="61" t="s">
        <v>668</v>
      </c>
      <c r="G22" s="62" t="s">
        <v>669</v>
      </c>
      <c r="H22" s="2">
        <v>30</v>
      </c>
      <c r="I22" s="3">
        <v>4</v>
      </c>
      <c r="J22" s="69">
        <f t="shared" si="0"/>
        <v>0.13333333333333333</v>
      </c>
      <c r="K22" s="90">
        <f>+I22+'MAYO 2025'!K22</f>
        <v>10</v>
      </c>
      <c r="L22" s="94">
        <f t="shared" si="1"/>
        <v>0.33333333333333331</v>
      </c>
      <c r="N22"/>
      <c r="O22" s="8"/>
      <c r="P22"/>
      <c r="Q22" s="8"/>
    </row>
    <row r="23" spans="2:17" x14ac:dyDescent="0.25">
      <c r="B23" s="38">
        <v>3</v>
      </c>
      <c r="C23" s="39" t="s">
        <v>98</v>
      </c>
      <c r="D23" s="40" t="s">
        <v>99</v>
      </c>
      <c r="E23" s="219"/>
      <c r="F23" s="61" t="s">
        <v>670</v>
      </c>
      <c r="G23" s="63" t="s">
        <v>671</v>
      </c>
      <c r="H23" s="3">
        <v>30</v>
      </c>
      <c r="I23" s="4">
        <v>4</v>
      </c>
      <c r="J23" s="69">
        <f t="shared" si="0"/>
        <v>0.13333333333333333</v>
      </c>
      <c r="K23" s="90">
        <f>+I23+'MAYO 2025'!K23</f>
        <v>10</v>
      </c>
      <c r="L23" s="94">
        <f t="shared" si="1"/>
        <v>0.33333333333333331</v>
      </c>
      <c r="N23"/>
      <c r="O23" s="8"/>
      <c r="P23"/>
      <c r="Q23" s="8"/>
    </row>
    <row r="24" spans="2:17" x14ac:dyDescent="0.25">
      <c r="B24" s="38">
        <v>3</v>
      </c>
      <c r="C24" s="39" t="s">
        <v>49</v>
      </c>
      <c r="D24" s="40" t="s">
        <v>50</v>
      </c>
      <c r="E24" s="219"/>
      <c r="F24" s="61" t="s">
        <v>672</v>
      </c>
      <c r="G24" s="62" t="s">
        <v>673</v>
      </c>
      <c r="H24" s="3">
        <v>30</v>
      </c>
      <c r="I24" s="3">
        <v>3</v>
      </c>
      <c r="J24" s="69">
        <f t="shared" si="0"/>
        <v>0.1</v>
      </c>
      <c r="K24" s="90">
        <f>+I24+'MAYO 2025'!K24</f>
        <v>10</v>
      </c>
      <c r="L24" s="94">
        <f t="shared" si="1"/>
        <v>0.33333333333333331</v>
      </c>
      <c r="N24"/>
      <c r="O24" s="8"/>
      <c r="P24"/>
      <c r="Q24" s="8"/>
    </row>
    <row r="25" spans="2:17" x14ac:dyDescent="0.25">
      <c r="B25" s="38">
        <v>3</v>
      </c>
      <c r="C25" s="39" t="s">
        <v>52</v>
      </c>
      <c r="D25" s="40" t="s">
        <v>53</v>
      </c>
      <c r="E25" s="219"/>
      <c r="F25" s="61" t="s">
        <v>674</v>
      </c>
      <c r="G25" s="62" t="s">
        <v>675</v>
      </c>
      <c r="H25" s="3">
        <v>30</v>
      </c>
      <c r="I25" s="3">
        <v>4</v>
      </c>
      <c r="J25" s="69">
        <f t="shared" si="0"/>
        <v>0.13333333333333333</v>
      </c>
      <c r="K25" s="90">
        <f>+I25+'MAYO 2025'!K25</f>
        <v>10</v>
      </c>
      <c r="L25" s="94">
        <f t="shared" si="1"/>
        <v>0.33333333333333331</v>
      </c>
      <c r="N25"/>
      <c r="O25" s="8"/>
      <c r="P25"/>
      <c r="Q25" s="8"/>
    </row>
    <row r="26" spans="2:17" s="16" customFormat="1" x14ac:dyDescent="0.25">
      <c r="B26" s="38">
        <v>3</v>
      </c>
      <c r="C26" s="39" t="s">
        <v>55</v>
      </c>
      <c r="D26" s="40" t="s">
        <v>56</v>
      </c>
      <c r="E26" s="219"/>
      <c r="F26" s="61" t="s">
        <v>676</v>
      </c>
      <c r="G26" s="62" t="s">
        <v>677</v>
      </c>
      <c r="H26" s="3">
        <v>30</v>
      </c>
      <c r="I26" s="3">
        <v>3</v>
      </c>
      <c r="J26" s="69">
        <f t="shared" si="0"/>
        <v>0.1</v>
      </c>
      <c r="K26" s="90">
        <f>+I26+'MAYO 2025'!K26</f>
        <v>10</v>
      </c>
      <c r="L26" s="94">
        <f t="shared" si="1"/>
        <v>0.33333333333333331</v>
      </c>
      <c r="N26" s="41"/>
      <c r="P26" s="41"/>
    </row>
    <row r="27" spans="2:17" x14ac:dyDescent="0.25">
      <c r="B27" s="38">
        <v>5</v>
      </c>
      <c r="C27" s="39" t="s">
        <v>57</v>
      </c>
      <c r="D27" s="40" t="s">
        <v>58</v>
      </c>
      <c r="E27" s="219"/>
      <c r="F27" s="61" t="s">
        <v>678</v>
      </c>
      <c r="G27" s="62" t="s">
        <v>679</v>
      </c>
      <c r="H27" s="3">
        <v>30</v>
      </c>
      <c r="I27" s="3">
        <v>2</v>
      </c>
      <c r="J27" s="69">
        <f t="shared" si="0"/>
        <v>6.6666666666666666E-2</v>
      </c>
      <c r="K27" s="90">
        <f>+I27+'MAYO 2025'!K27</f>
        <v>10</v>
      </c>
      <c r="L27" s="94">
        <f t="shared" si="1"/>
        <v>0.33333333333333331</v>
      </c>
      <c r="N27"/>
      <c r="O27" s="8"/>
      <c r="P27"/>
      <c r="Q27" s="8"/>
    </row>
    <row r="28" spans="2:17" x14ac:dyDescent="0.25">
      <c r="B28" s="38">
        <v>5</v>
      </c>
      <c r="C28" s="39" t="s">
        <v>59</v>
      </c>
      <c r="D28" s="40" t="s">
        <v>60</v>
      </c>
      <c r="E28" s="219"/>
      <c r="F28" s="61" t="s">
        <v>680</v>
      </c>
      <c r="G28" s="62" t="s">
        <v>677</v>
      </c>
      <c r="H28" s="3">
        <v>30</v>
      </c>
      <c r="I28" s="3">
        <v>4</v>
      </c>
      <c r="J28" s="69">
        <f t="shared" si="0"/>
        <v>0.13333333333333333</v>
      </c>
      <c r="K28" s="90">
        <f>+I28+'MAYO 2025'!K28</f>
        <v>10</v>
      </c>
      <c r="L28" s="94">
        <f t="shared" si="1"/>
        <v>0.33333333333333331</v>
      </c>
      <c r="N28"/>
      <c r="O28" s="8"/>
      <c r="P28"/>
      <c r="Q28" s="8"/>
    </row>
    <row r="29" spans="2:17" x14ac:dyDescent="0.25">
      <c r="B29" s="42">
        <v>8</v>
      </c>
      <c r="C29" s="43" t="s">
        <v>61</v>
      </c>
      <c r="D29" s="44" t="s">
        <v>62</v>
      </c>
      <c r="E29" s="220"/>
      <c r="F29" s="64" t="s">
        <v>681</v>
      </c>
      <c r="G29" s="65" t="s">
        <v>682</v>
      </c>
      <c r="H29" s="97">
        <v>30</v>
      </c>
      <c r="I29" s="97">
        <v>3</v>
      </c>
      <c r="J29" s="72">
        <f t="shared" si="0"/>
        <v>0.1</v>
      </c>
      <c r="K29" s="91">
        <f>+I29+'MAYO 2025'!K29</f>
        <v>10</v>
      </c>
      <c r="L29" s="96">
        <f t="shared" si="1"/>
        <v>0.33333333333333331</v>
      </c>
      <c r="N29"/>
      <c r="O29" s="8"/>
      <c r="P29"/>
      <c r="Q29" s="8"/>
    </row>
    <row r="30" spans="2:17" x14ac:dyDescent="0.25">
      <c r="B30" s="35">
        <v>1</v>
      </c>
      <c r="C30" s="36" t="s">
        <v>74</v>
      </c>
      <c r="D30" s="37" t="s">
        <v>75</v>
      </c>
      <c r="E30" s="218" t="s">
        <v>97</v>
      </c>
      <c r="F30" s="59" t="s">
        <v>683</v>
      </c>
      <c r="G30" s="60" t="s">
        <v>76</v>
      </c>
      <c r="H30" s="98">
        <v>55</v>
      </c>
      <c r="I30" s="98">
        <v>6</v>
      </c>
      <c r="J30" s="69">
        <f t="shared" si="0"/>
        <v>0.10909090909090909</v>
      </c>
      <c r="K30" s="103">
        <f>+I30+'MAYO 2025'!K30</f>
        <v>15</v>
      </c>
      <c r="L30" s="94">
        <f t="shared" si="1"/>
        <v>0.27272727272727271</v>
      </c>
      <c r="N30"/>
      <c r="O30" s="8"/>
      <c r="P30"/>
      <c r="Q30" s="8"/>
    </row>
    <row r="31" spans="2:17" x14ac:dyDescent="0.25">
      <c r="B31" s="38">
        <v>1</v>
      </c>
      <c r="C31" s="39" t="s">
        <v>77</v>
      </c>
      <c r="D31" s="40" t="s">
        <v>78</v>
      </c>
      <c r="E31" s="219"/>
      <c r="F31" s="61" t="s">
        <v>322</v>
      </c>
      <c r="G31" s="76" t="s">
        <v>684</v>
      </c>
      <c r="H31" s="99">
        <v>20</v>
      </c>
      <c r="I31" s="100">
        <v>3</v>
      </c>
      <c r="J31" s="69">
        <f t="shared" si="0"/>
        <v>0.15</v>
      </c>
      <c r="K31" s="90">
        <f>+I31+'MAYO 2025'!K31</f>
        <v>8</v>
      </c>
      <c r="L31" s="94">
        <f t="shared" si="1"/>
        <v>0.4</v>
      </c>
      <c r="N31"/>
      <c r="O31" s="8"/>
      <c r="P31"/>
      <c r="Q31" s="8"/>
    </row>
    <row r="32" spans="2:17" x14ac:dyDescent="0.25">
      <c r="B32" s="38">
        <v>1</v>
      </c>
      <c r="C32" s="39" t="s">
        <v>79</v>
      </c>
      <c r="D32" s="40" t="s">
        <v>80</v>
      </c>
      <c r="E32" s="219"/>
      <c r="F32" s="61" t="s">
        <v>685</v>
      </c>
      <c r="G32" s="62" t="s">
        <v>81</v>
      </c>
      <c r="H32" s="100">
        <v>30</v>
      </c>
      <c r="I32" s="101">
        <v>5</v>
      </c>
      <c r="J32" s="69">
        <f t="shared" si="0"/>
        <v>0.16666666666666666</v>
      </c>
      <c r="K32" s="90">
        <f>+I32+'MAYO 2025'!K32</f>
        <v>10</v>
      </c>
      <c r="L32" s="94">
        <f t="shared" si="1"/>
        <v>0.33333333333333331</v>
      </c>
      <c r="N32"/>
      <c r="O32" s="8"/>
      <c r="P32"/>
      <c r="Q32" s="8"/>
    </row>
    <row r="33" spans="2:17" x14ac:dyDescent="0.25">
      <c r="B33" s="38">
        <v>1</v>
      </c>
      <c r="C33" s="39" t="s">
        <v>82</v>
      </c>
      <c r="D33" s="40" t="s">
        <v>83</v>
      </c>
      <c r="E33" s="219"/>
      <c r="F33" s="61" t="s">
        <v>662</v>
      </c>
      <c r="G33" s="62" t="s">
        <v>81</v>
      </c>
      <c r="H33" s="100">
        <v>25</v>
      </c>
      <c r="I33" s="100">
        <v>3</v>
      </c>
      <c r="J33" s="69">
        <f t="shared" si="0"/>
        <v>0.12</v>
      </c>
      <c r="K33" s="90">
        <f>+I33+'MAYO 2025'!K33</f>
        <v>8</v>
      </c>
      <c r="L33" s="94">
        <f t="shared" si="1"/>
        <v>0.32</v>
      </c>
      <c r="N33"/>
      <c r="O33" s="8"/>
      <c r="P33"/>
      <c r="Q33" s="8"/>
    </row>
    <row r="34" spans="2:17" x14ac:dyDescent="0.25">
      <c r="B34" s="38">
        <v>1</v>
      </c>
      <c r="C34" s="39" t="s">
        <v>84</v>
      </c>
      <c r="D34" s="40" t="s">
        <v>85</v>
      </c>
      <c r="E34" s="219"/>
      <c r="F34" s="61" t="s">
        <v>663</v>
      </c>
      <c r="G34" s="76" t="s">
        <v>684</v>
      </c>
      <c r="H34" s="100">
        <v>30</v>
      </c>
      <c r="I34" s="100">
        <v>2</v>
      </c>
      <c r="J34" s="69">
        <f t="shared" si="0"/>
        <v>6.6666666666666666E-2</v>
      </c>
      <c r="K34" s="90">
        <f>+I34+'MAYO 2025'!K34</f>
        <v>10</v>
      </c>
      <c r="L34" s="94">
        <f t="shared" si="1"/>
        <v>0.33333333333333331</v>
      </c>
      <c r="N34"/>
      <c r="O34" s="8"/>
      <c r="P34"/>
      <c r="Q34" s="8"/>
    </row>
    <row r="35" spans="2:17" s="16" customFormat="1" x14ac:dyDescent="0.25">
      <c r="B35" s="38">
        <v>1</v>
      </c>
      <c r="C35" s="39" t="s">
        <v>86</v>
      </c>
      <c r="D35" s="40" t="s">
        <v>87</v>
      </c>
      <c r="E35" s="219"/>
      <c r="F35" s="61" t="s">
        <v>686</v>
      </c>
      <c r="G35" s="62" t="s">
        <v>88</v>
      </c>
      <c r="H35" s="100">
        <v>20</v>
      </c>
      <c r="I35" s="100">
        <v>2</v>
      </c>
      <c r="J35" s="69">
        <f t="shared" si="0"/>
        <v>0.1</v>
      </c>
      <c r="K35" s="90">
        <f>+I35+'MAYO 2025'!K35</f>
        <v>8</v>
      </c>
      <c r="L35" s="94">
        <f t="shared" si="1"/>
        <v>0.4</v>
      </c>
      <c r="N35" s="41"/>
      <c r="P35" s="41"/>
    </row>
    <row r="36" spans="2:17" x14ac:dyDescent="0.25">
      <c r="B36" s="38">
        <v>1</v>
      </c>
      <c r="C36" s="39" t="s">
        <v>89</v>
      </c>
      <c r="D36" s="40" t="s">
        <v>90</v>
      </c>
      <c r="E36" s="219"/>
      <c r="F36" s="61" t="s">
        <v>328</v>
      </c>
      <c r="G36" s="62" t="s">
        <v>91</v>
      </c>
      <c r="H36" s="100">
        <v>20</v>
      </c>
      <c r="I36" s="100">
        <v>3</v>
      </c>
      <c r="J36" s="69">
        <f t="shared" si="0"/>
        <v>0.15</v>
      </c>
      <c r="K36" s="90">
        <f>+I36+'MAYO 2025'!K36</f>
        <v>8</v>
      </c>
      <c r="L36" s="94">
        <f t="shared" si="1"/>
        <v>0.4</v>
      </c>
      <c r="N36"/>
      <c r="O36" s="8"/>
      <c r="P36"/>
      <c r="Q36" s="8"/>
    </row>
    <row r="37" spans="2:17" x14ac:dyDescent="0.25">
      <c r="B37" s="38">
        <v>1</v>
      </c>
      <c r="C37" s="39" t="s">
        <v>92</v>
      </c>
      <c r="D37" s="40" t="s">
        <v>93</v>
      </c>
      <c r="E37" s="219"/>
      <c r="F37" s="61" t="s">
        <v>687</v>
      </c>
      <c r="G37" s="62" t="s">
        <v>94</v>
      </c>
      <c r="H37" s="100">
        <v>50</v>
      </c>
      <c r="I37" s="100">
        <v>6</v>
      </c>
      <c r="J37" s="69">
        <f t="shared" si="0"/>
        <v>0.12</v>
      </c>
      <c r="K37" s="90">
        <f>+I37+'MAYO 2025'!K37</f>
        <v>15</v>
      </c>
      <c r="L37" s="94">
        <f t="shared" si="1"/>
        <v>0.3</v>
      </c>
      <c r="N37"/>
      <c r="O37" s="8"/>
      <c r="P37"/>
      <c r="Q37" s="8"/>
    </row>
    <row r="38" spans="2:17" x14ac:dyDescent="0.25">
      <c r="B38" s="42">
        <v>1</v>
      </c>
      <c r="C38" s="43" t="s">
        <v>95</v>
      </c>
      <c r="D38" s="44" t="s">
        <v>96</v>
      </c>
      <c r="E38" s="220"/>
      <c r="F38" s="64" t="s">
        <v>172</v>
      </c>
      <c r="G38" s="65" t="s">
        <v>172</v>
      </c>
      <c r="H38" s="102">
        <v>20</v>
      </c>
      <c r="I38" s="102">
        <v>0</v>
      </c>
      <c r="J38" s="72">
        <f t="shared" si="0"/>
        <v>0</v>
      </c>
      <c r="K38" s="91">
        <f>+I38+'MAYO 2025'!K38</f>
        <v>8</v>
      </c>
      <c r="L38" s="96">
        <f t="shared" si="1"/>
        <v>0.4</v>
      </c>
      <c r="N38"/>
      <c r="O38" s="8"/>
      <c r="P38"/>
      <c r="Q38" s="8"/>
    </row>
    <row r="39" spans="2:17" x14ac:dyDescent="0.25">
      <c r="B39" s="35">
        <v>3</v>
      </c>
      <c r="C39" s="36" t="s">
        <v>43</v>
      </c>
      <c r="D39" s="37" t="s">
        <v>44</v>
      </c>
      <c r="E39" s="218" t="s">
        <v>103</v>
      </c>
      <c r="F39" s="59" t="s">
        <v>688</v>
      </c>
      <c r="G39" s="60" t="s">
        <v>101</v>
      </c>
      <c r="H39" s="89">
        <v>35</v>
      </c>
      <c r="I39" s="89">
        <v>4</v>
      </c>
      <c r="J39" s="69">
        <f t="shared" si="0"/>
        <v>0.11428571428571428</v>
      </c>
      <c r="K39" s="103">
        <f>+I39+'MAYO 2025'!K39</f>
        <v>12</v>
      </c>
      <c r="L39" s="94">
        <f t="shared" si="1"/>
        <v>0.34285714285714286</v>
      </c>
      <c r="N39"/>
      <c r="O39" s="8"/>
      <c r="P39"/>
      <c r="Q39" s="8"/>
    </row>
    <row r="40" spans="2:17" x14ac:dyDescent="0.25">
      <c r="B40" s="38">
        <v>3</v>
      </c>
      <c r="C40" s="39" t="s">
        <v>46</v>
      </c>
      <c r="D40" s="40" t="s">
        <v>47</v>
      </c>
      <c r="E40" s="219"/>
      <c r="F40" s="61" t="s">
        <v>689</v>
      </c>
      <c r="G40" s="76" t="s">
        <v>101</v>
      </c>
      <c r="H40" s="2">
        <v>33</v>
      </c>
      <c r="I40" s="3">
        <v>4</v>
      </c>
      <c r="J40" s="69">
        <f t="shared" si="0"/>
        <v>0.12121212121212122</v>
      </c>
      <c r="K40" s="90">
        <f>+I40+'MAYO 2025'!K40</f>
        <v>11</v>
      </c>
      <c r="L40" s="94">
        <f t="shared" si="1"/>
        <v>0.33333333333333331</v>
      </c>
      <c r="N40"/>
      <c r="O40" s="8"/>
      <c r="P40"/>
      <c r="Q40" s="8"/>
    </row>
    <row r="41" spans="2:17" x14ac:dyDescent="0.25">
      <c r="B41" s="38">
        <v>3</v>
      </c>
      <c r="C41" s="39" t="s">
        <v>49</v>
      </c>
      <c r="D41" s="40" t="s">
        <v>50</v>
      </c>
      <c r="E41" s="219"/>
      <c r="F41" s="61" t="s">
        <v>240</v>
      </c>
      <c r="G41" s="62" t="s">
        <v>101</v>
      </c>
      <c r="H41" s="3">
        <v>33</v>
      </c>
      <c r="I41" s="4">
        <v>4</v>
      </c>
      <c r="J41" s="69">
        <f t="shared" si="0"/>
        <v>0.12121212121212122</v>
      </c>
      <c r="K41" s="90">
        <f>+I41+'MAYO 2025'!K41</f>
        <v>11</v>
      </c>
      <c r="L41" s="94">
        <f t="shared" si="1"/>
        <v>0.33333333333333331</v>
      </c>
      <c r="N41"/>
      <c r="O41" s="8"/>
      <c r="P41"/>
      <c r="Q41" s="8"/>
    </row>
    <row r="42" spans="2:17" x14ac:dyDescent="0.25">
      <c r="B42" s="38">
        <v>3</v>
      </c>
      <c r="C42" s="39" t="s">
        <v>52</v>
      </c>
      <c r="D42" s="40" t="s">
        <v>53</v>
      </c>
      <c r="E42" s="219"/>
      <c r="F42" s="61" t="s">
        <v>170</v>
      </c>
      <c r="G42" s="62" t="s">
        <v>101</v>
      </c>
      <c r="H42" s="3">
        <v>33</v>
      </c>
      <c r="I42" s="3">
        <v>3</v>
      </c>
      <c r="J42" s="69">
        <f t="shared" si="0"/>
        <v>9.0909090909090912E-2</v>
      </c>
      <c r="K42" s="90">
        <f>+I42+'MAYO 2025'!K42</f>
        <v>11</v>
      </c>
      <c r="L42" s="94">
        <f t="shared" si="1"/>
        <v>0.33333333333333331</v>
      </c>
      <c r="N42"/>
      <c r="O42" s="8"/>
      <c r="P42"/>
      <c r="Q42" s="8"/>
    </row>
    <row r="43" spans="2:17" s="16" customFormat="1" x14ac:dyDescent="0.25">
      <c r="B43" s="38">
        <v>3</v>
      </c>
      <c r="C43" s="39" t="s">
        <v>55</v>
      </c>
      <c r="D43" s="40" t="s">
        <v>56</v>
      </c>
      <c r="E43" s="219"/>
      <c r="F43" s="61" t="s">
        <v>690</v>
      </c>
      <c r="G43" s="76" t="s">
        <v>101</v>
      </c>
      <c r="H43" s="3">
        <v>35</v>
      </c>
      <c r="I43" s="3">
        <v>4</v>
      </c>
      <c r="J43" s="69">
        <f t="shared" si="0"/>
        <v>0.11428571428571428</v>
      </c>
      <c r="K43" s="90">
        <f>+I43+'MAYO 2025'!K43</f>
        <v>11</v>
      </c>
      <c r="L43" s="94">
        <f t="shared" si="1"/>
        <v>0.31428571428571428</v>
      </c>
      <c r="N43" s="41"/>
      <c r="P43" s="41"/>
    </row>
    <row r="44" spans="2:17" x14ac:dyDescent="0.25">
      <c r="B44" s="38">
        <v>5</v>
      </c>
      <c r="C44" s="39" t="s">
        <v>57</v>
      </c>
      <c r="D44" s="40" t="s">
        <v>58</v>
      </c>
      <c r="E44" s="219"/>
      <c r="F44" s="61" t="s">
        <v>241</v>
      </c>
      <c r="G44" s="62" t="s">
        <v>101</v>
      </c>
      <c r="H44" s="3">
        <v>33</v>
      </c>
      <c r="I44" s="3">
        <v>4</v>
      </c>
      <c r="J44" s="69">
        <f t="shared" si="0"/>
        <v>0.12121212121212122</v>
      </c>
      <c r="K44" s="90">
        <f>+I44+'MAYO 2025'!K44</f>
        <v>11</v>
      </c>
      <c r="L44" s="94">
        <f t="shared" si="1"/>
        <v>0.33333333333333331</v>
      </c>
      <c r="N44"/>
      <c r="O44" s="8"/>
      <c r="P44"/>
      <c r="Q44" s="8"/>
    </row>
    <row r="45" spans="2:17" x14ac:dyDescent="0.25">
      <c r="B45" s="38">
        <v>5</v>
      </c>
      <c r="C45" s="39" t="s">
        <v>59</v>
      </c>
      <c r="D45" s="40" t="s">
        <v>60</v>
      </c>
      <c r="E45" s="219"/>
      <c r="F45" s="61" t="s">
        <v>102</v>
      </c>
      <c r="G45" s="62" t="s">
        <v>101</v>
      </c>
      <c r="H45" s="3">
        <v>35</v>
      </c>
      <c r="I45" s="3">
        <v>4</v>
      </c>
      <c r="J45" s="69">
        <f t="shared" si="0"/>
        <v>0.11428571428571428</v>
      </c>
      <c r="K45" s="90">
        <f>+I45+'MAYO 2025'!K45</f>
        <v>12</v>
      </c>
      <c r="L45" s="94">
        <f t="shared" si="1"/>
        <v>0.34285714285714286</v>
      </c>
      <c r="N45"/>
      <c r="O45" s="8"/>
      <c r="P45"/>
      <c r="Q45" s="8"/>
    </row>
    <row r="46" spans="2:17" x14ac:dyDescent="0.25">
      <c r="B46" s="42">
        <v>8</v>
      </c>
      <c r="C46" s="43" t="s">
        <v>61</v>
      </c>
      <c r="D46" s="44" t="s">
        <v>62</v>
      </c>
      <c r="E46" s="220"/>
      <c r="F46" s="64" t="s">
        <v>212</v>
      </c>
      <c r="G46" s="62" t="s">
        <v>101</v>
      </c>
      <c r="H46" s="97">
        <v>33</v>
      </c>
      <c r="I46" s="97">
        <v>3</v>
      </c>
      <c r="J46" s="72">
        <f t="shared" si="0"/>
        <v>9.0909090909090912E-2</v>
      </c>
      <c r="K46" s="91">
        <f>+I46+'MAYO 2025'!K46</f>
        <v>11</v>
      </c>
      <c r="L46" s="96">
        <f t="shared" si="1"/>
        <v>0.33333333333333331</v>
      </c>
      <c r="N46"/>
      <c r="O46" s="8"/>
      <c r="P46"/>
      <c r="Q46" s="8"/>
    </row>
    <row r="47" spans="2:17" x14ac:dyDescent="0.25">
      <c r="B47" s="35">
        <v>3</v>
      </c>
      <c r="C47" s="36" t="s">
        <v>43</v>
      </c>
      <c r="D47" s="37" t="s">
        <v>44</v>
      </c>
      <c r="E47" s="218" t="s">
        <v>108</v>
      </c>
      <c r="F47" s="59" t="s">
        <v>45</v>
      </c>
      <c r="G47" s="60" t="s">
        <v>104</v>
      </c>
      <c r="H47" s="89">
        <v>20</v>
      </c>
      <c r="I47" s="89">
        <v>3</v>
      </c>
      <c r="J47" s="69">
        <f t="shared" si="0"/>
        <v>0.15</v>
      </c>
      <c r="K47" s="103">
        <f>+I47+'MAYO 2025'!K47</f>
        <v>9</v>
      </c>
      <c r="L47" s="94">
        <f t="shared" si="1"/>
        <v>0.45</v>
      </c>
      <c r="N47"/>
      <c r="O47" s="8"/>
      <c r="P47"/>
      <c r="Q47" s="8"/>
    </row>
    <row r="48" spans="2:17" x14ac:dyDescent="0.25">
      <c r="B48" s="38">
        <v>3</v>
      </c>
      <c r="C48" s="39" t="s">
        <v>46</v>
      </c>
      <c r="D48" s="40" t="s">
        <v>47</v>
      </c>
      <c r="E48" s="219"/>
      <c r="F48" s="61" t="s">
        <v>48</v>
      </c>
      <c r="G48" s="62" t="s">
        <v>104</v>
      </c>
      <c r="H48" s="2">
        <v>20</v>
      </c>
      <c r="I48" s="3">
        <v>3</v>
      </c>
      <c r="J48" s="69">
        <f t="shared" si="0"/>
        <v>0.15</v>
      </c>
      <c r="K48" s="90">
        <f>+I48+'MAYO 2025'!K48</f>
        <v>9</v>
      </c>
      <c r="L48" s="94">
        <f t="shared" si="1"/>
        <v>0.45</v>
      </c>
      <c r="N48"/>
      <c r="O48" s="8"/>
      <c r="P48"/>
      <c r="Q48" s="8"/>
    </row>
    <row r="49" spans="2:17" x14ac:dyDescent="0.25">
      <c r="B49" s="38">
        <v>3</v>
      </c>
      <c r="C49" s="39" t="s">
        <v>98</v>
      </c>
      <c r="D49" s="40" t="s">
        <v>99</v>
      </c>
      <c r="E49" s="219"/>
      <c r="F49" s="61" t="s">
        <v>48</v>
      </c>
      <c r="G49" s="63" t="s">
        <v>104</v>
      </c>
      <c r="H49" s="3">
        <v>20</v>
      </c>
      <c r="I49" s="4">
        <v>4</v>
      </c>
      <c r="J49" s="69">
        <f t="shared" si="0"/>
        <v>0.2</v>
      </c>
      <c r="K49" s="90">
        <f>+I49+'MAYO 2025'!K49</f>
        <v>12</v>
      </c>
      <c r="L49" s="94">
        <f t="shared" si="1"/>
        <v>0.6</v>
      </c>
      <c r="N49"/>
      <c r="O49" s="8"/>
      <c r="P49"/>
      <c r="Q49" s="8"/>
    </row>
    <row r="50" spans="2:17" x14ac:dyDescent="0.25">
      <c r="B50" s="38">
        <v>3</v>
      </c>
      <c r="C50" s="39" t="s">
        <v>49</v>
      </c>
      <c r="D50" s="40" t="s">
        <v>50</v>
      </c>
      <c r="E50" s="219"/>
      <c r="F50" s="61" t="s">
        <v>51</v>
      </c>
      <c r="G50" s="63" t="s">
        <v>252</v>
      </c>
      <c r="H50" s="3">
        <v>20</v>
      </c>
      <c r="I50" s="3">
        <v>3</v>
      </c>
      <c r="J50" s="69">
        <f t="shared" si="0"/>
        <v>0.15</v>
      </c>
      <c r="K50" s="90">
        <f>+I50+'MAYO 2025'!K50</f>
        <v>9</v>
      </c>
      <c r="L50" s="94">
        <f t="shared" si="1"/>
        <v>0.45</v>
      </c>
      <c r="N50"/>
      <c r="O50" s="8"/>
      <c r="P50"/>
      <c r="Q50" s="8"/>
    </row>
    <row r="51" spans="2:17" x14ac:dyDescent="0.25">
      <c r="B51" s="38">
        <v>3</v>
      </c>
      <c r="C51" s="39" t="s">
        <v>52</v>
      </c>
      <c r="D51" s="40" t="s">
        <v>53</v>
      </c>
      <c r="E51" s="219"/>
      <c r="F51" s="61" t="s">
        <v>54</v>
      </c>
      <c r="G51" s="62" t="s">
        <v>104</v>
      </c>
      <c r="H51" s="3">
        <v>20</v>
      </c>
      <c r="I51" s="3">
        <v>4</v>
      </c>
      <c r="J51" s="69">
        <f t="shared" si="0"/>
        <v>0.2</v>
      </c>
      <c r="K51" s="90">
        <f>+I51+'MAYO 2025'!K51</f>
        <v>12</v>
      </c>
      <c r="L51" s="94">
        <f t="shared" si="1"/>
        <v>0.6</v>
      </c>
      <c r="N51"/>
      <c r="O51" s="8"/>
      <c r="P51"/>
      <c r="Q51" s="8"/>
    </row>
    <row r="52" spans="2:17" s="16" customFormat="1" x14ac:dyDescent="0.25">
      <c r="B52" s="38">
        <v>3</v>
      </c>
      <c r="C52" s="39" t="s">
        <v>55</v>
      </c>
      <c r="D52" s="40" t="s">
        <v>56</v>
      </c>
      <c r="E52" s="219"/>
      <c r="F52" s="61" t="s">
        <v>54</v>
      </c>
      <c r="G52" s="62" t="s">
        <v>105</v>
      </c>
      <c r="H52" s="3">
        <v>20</v>
      </c>
      <c r="I52" s="3">
        <v>3</v>
      </c>
      <c r="J52" s="69">
        <f t="shared" si="0"/>
        <v>0.15</v>
      </c>
      <c r="K52" s="90">
        <f>+I52+'MAYO 2025'!K52</f>
        <v>9</v>
      </c>
      <c r="L52" s="94">
        <f t="shared" si="1"/>
        <v>0.45</v>
      </c>
      <c r="N52" s="41"/>
      <c r="P52" s="41"/>
    </row>
    <row r="53" spans="2:17" x14ac:dyDescent="0.25">
      <c r="B53" s="38">
        <v>5</v>
      </c>
      <c r="C53" s="39" t="s">
        <v>57</v>
      </c>
      <c r="D53" s="40" t="s">
        <v>58</v>
      </c>
      <c r="E53" s="219"/>
      <c r="F53" s="61" t="s">
        <v>54</v>
      </c>
      <c r="G53" s="62" t="s">
        <v>106</v>
      </c>
      <c r="H53" s="3">
        <v>20</v>
      </c>
      <c r="I53" s="3">
        <v>3</v>
      </c>
      <c r="J53" s="69">
        <f t="shared" si="0"/>
        <v>0.15</v>
      </c>
      <c r="K53" s="90">
        <f>+I53+'MAYO 2025'!K53</f>
        <v>9</v>
      </c>
      <c r="L53" s="94">
        <f t="shared" si="1"/>
        <v>0.45</v>
      </c>
      <c r="N53"/>
      <c r="O53" s="8"/>
      <c r="P53"/>
      <c r="Q53" s="8"/>
    </row>
    <row r="54" spans="2:17" x14ac:dyDescent="0.25">
      <c r="B54" s="38">
        <v>5</v>
      </c>
      <c r="C54" s="39" t="s">
        <v>59</v>
      </c>
      <c r="D54" s="40" t="s">
        <v>60</v>
      </c>
      <c r="E54" s="219"/>
      <c r="F54" s="61" t="s">
        <v>54</v>
      </c>
      <c r="G54" s="62" t="s">
        <v>253</v>
      </c>
      <c r="H54" s="3">
        <v>20</v>
      </c>
      <c r="I54" s="3">
        <v>4</v>
      </c>
      <c r="J54" s="69">
        <f t="shared" si="0"/>
        <v>0.2</v>
      </c>
      <c r="K54" s="90">
        <f>+I54+'MAYO 2025'!K54</f>
        <v>12</v>
      </c>
      <c r="L54" s="94">
        <f t="shared" si="1"/>
        <v>0.6</v>
      </c>
      <c r="N54"/>
      <c r="O54" s="8"/>
      <c r="P54"/>
      <c r="Q54" s="8"/>
    </row>
    <row r="55" spans="2:17" x14ac:dyDescent="0.25">
      <c r="B55" s="42">
        <v>8</v>
      </c>
      <c r="C55" s="43" t="s">
        <v>61</v>
      </c>
      <c r="D55" s="44" t="s">
        <v>62</v>
      </c>
      <c r="E55" s="220"/>
      <c r="F55" s="64" t="s">
        <v>63</v>
      </c>
      <c r="G55" s="65" t="s">
        <v>107</v>
      </c>
      <c r="H55" s="97">
        <v>20</v>
      </c>
      <c r="I55" s="97">
        <v>3</v>
      </c>
      <c r="J55" s="72">
        <f t="shared" si="0"/>
        <v>0.15</v>
      </c>
      <c r="K55" s="91">
        <f>+I55+'MAYO 2025'!K55</f>
        <v>9</v>
      </c>
      <c r="L55" s="96">
        <f t="shared" si="1"/>
        <v>0.45</v>
      </c>
      <c r="N55"/>
      <c r="O55" s="8"/>
      <c r="P55"/>
      <c r="Q55" s="8"/>
    </row>
    <row r="56" spans="2:17" x14ac:dyDescent="0.25">
      <c r="B56" s="35">
        <v>3</v>
      </c>
      <c r="C56" s="36" t="s">
        <v>43</v>
      </c>
      <c r="D56" s="37" t="s">
        <v>44</v>
      </c>
      <c r="E56" s="218" t="s">
        <v>171</v>
      </c>
      <c r="F56" s="59" t="s">
        <v>691</v>
      </c>
      <c r="G56" s="60" t="s">
        <v>109</v>
      </c>
      <c r="H56" s="123">
        <v>18</v>
      </c>
      <c r="I56" s="66">
        <v>3</v>
      </c>
      <c r="J56" s="69">
        <f t="shared" si="0"/>
        <v>0.16666666666666666</v>
      </c>
      <c r="K56" s="103">
        <f>+I56+'MAYO 2025'!K56</f>
        <v>9</v>
      </c>
      <c r="L56" s="94">
        <f t="shared" si="1"/>
        <v>0.5</v>
      </c>
      <c r="N56"/>
      <c r="O56" s="8"/>
      <c r="P56"/>
      <c r="Q56" s="8"/>
    </row>
    <row r="57" spans="2:17" x14ac:dyDescent="0.25">
      <c r="B57" s="38">
        <v>3</v>
      </c>
      <c r="C57" s="39" t="s">
        <v>46</v>
      </c>
      <c r="D57" s="40" t="s">
        <v>47</v>
      </c>
      <c r="E57" s="219"/>
      <c r="F57" s="61" t="s">
        <v>692</v>
      </c>
      <c r="G57" s="62" t="s">
        <v>184</v>
      </c>
      <c r="H57" s="124">
        <v>36</v>
      </c>
      <c r="I57" s="55">
        <v>6</v>
      </c>
      <c r="J57" s="69">
        <f t="shared" si="0"/>
        <v>0.16666666666666666</v>
      </c>
      <c r="K57" s="90">
        <f>+I57+'MAYO 2025'!K57</f>
        <v>18</v>
      </c>
      <c r="L57" s="94">
        <f t="shared" si="1"/>
        <v>0.5</v>
      </c>
      <c r="N57"/>
      <c r="O57" s="8"/>
      <c r="P57"/>
      <c r="Q57" s="8"/>
    </row>
    <row r="58" spans="2:17" x14ac:dyDescent="0.25">
      <c r="B58" s="38">
        <v>3</v>
      </c>
      <c r="C58" s="39" t="s">
        <v>98</v>
      </c>
      <c r="D58" s="40" t="s">
        <v>99</v>
      </c>
      <c r="E58" s="219"/>
      <c r="F58" s="61" t="s">
        <v>693</v>
      </c>
      <c r="G58" s="63" t="s">
        <v>173</v>
      </c>
      <c r="H58" s="125">
        <v>12</v>
      </c>
      <c r="I58" s="70">
        <v>2</v>
      </c>
      <c r="J58" s="69">
        <f t="shared" si="0"/>
        <v>0.16666666666666666</v>
      </c>
      <c r="K58" s="90">
        <f>+I58+'MAYO 2025'!K58</f>
        <v>6</v>
      </c>
      <c r="L58" s="94">
        <f t="shared" si="1"/>
        <v>0.5</v>
      </c>
      <c r="N58"/>
      <c r="O58" s="8"/>
      <c r="P58"/>
      <c r="Q58" s="8"/>
    </row>
    <row r="59" spans="2:17" x14ac:dyDescent="0.25">
      <c r="B59" s="38">
        <v>3</v>
      </c>
      <c r="C59" s="39" t="s">
        <v>49</v>
      </c>
      <c r="D59" s="40" t="s">
        <v>50</v>
      </c>
      <c r="E59" s="219"/>
      <c r="F59" s="61" t="s">
        <v>694</v>
      </c>
      <c r="G59" s="63" t="s">
        <v>516</v>
      </c>
      <c r="H59" s="125">
        <v>36</v>
      </c>
      <c r="I59" s="55">
        <v>6</v>
      </c>
      <c r="J59" s="69">
        <f t="shared" si="0"/>
        <v>0.16666666666666666</v>
      </c>
      <c r="K59" s="90">
        <f>+I59+'MAYO 2025'!K59</f>
        <v>18</v>
      </c>
      <c r="L59" s="94">
        <f t="shared" si="1"/>
        <v>0.5</v>
      </c>
      <c r="N59"/>
      <c r="O59" s="8"/>
      <c r="P59"/>
      <c r="Q59" s="8"/>
    </row>
    <row r="60" spans="2:17" x14ac:dyDescent="0.25">
      <c r="B60" s="38">
        <v>3</v>
      </c>
      <c r="C60" s="39" t="s">
        <v>52</v>
      </c>
      <c r="D60" s="40" t="s">
        <v>53</v>
      </c>
      <c r="E60" s="219"/>
      <c r="F60" s="61" t="s">
        <v>250</v>
      </c>
      <c r="G60" s="62" t="s">
        <v>185</v>
      </c>
      <c r="H60" s="125">
        <v>18</v>
      </c>
      <c r="I60" s="55">
        <v>3</v>
      </c>
      <c r="J60" s="69">
        <f t="shared" si="0"/>
        <v>0.16666666666666666</v>
      </c>
      <c r="K60" s="90">
        <f>+I60+'MAYO 2025'!K60</f>
        <v>9</v>
      </c>
      <c r="L60" s="94">
        <f t="shared" si="1"/>
        <v>0.5</v>
      </c>
      <c r="N60"/>
      <c r="O60" s="8"/>
      <c r="P60"/>
      <c r="Q60" s="8"/>
    </row>
    <row r="61" spans="2:17" s="16" customFormat="1" x14ac:dyDescent="0.25">
      <c r="B61" s="38">
        <v>3</v>
      </c>
      <c r="C61" s="39" t="s">
        <v>55</v>
      </c>
      <c r="D61" s="40" t="s">
        <v>56</v>
      </c>
      <c r="E61" s="219"/>
      <c r="F61" s="61" t="s">
        <v>695</v>
      </c>
      <c r="G61" s="62" t="s">
        <v>186</v>
      </c>
      <c r="H61" s="125">
        <v>18</v>
      </c>
      <c r="I61" s="55">
        <v>3</v>
      </c>
      <c r="J61" s="69">
        <f t="shared" si="0"/>
        <v>0.16666666666666666</v>
      </c>
      <c r="K61" s="90">
        <f>+I61+'MAYO 2025'!K61</f>
        <v>9</v>
      </c>
      <c r="L61" s="94">
        <f t="shared" si="1"/>
        <v>0.5</v>
      </c>
      <c r="N61" s="41"/>
      <c r="P61" s="41"/>
    </row>
    <row r="62" spans="2:17" x14ac:dyDescent="0.25">
      <c r="B62" s="38">
        <v>5</v>
      </c>
      <c r="C62" s="39" t="s">
        <v>57</v>
      </c>
      <c r="D62" s="40" t="s">
        <v>58</v>
      </c>
      <c r="E62" s="219"/>
      <c r="F62" s="61" t="s">
        <v>696</v>
      </c>
      <c r="G62" s="62" t="s">
        <v>175</v>
      </c>
      <c r="H62" s="125">
        <v>12</v>
      </c>
      <c r="I62" s="55">
        <v>2</v>
      </c>
      <c r="J62" s="69">
        <f t="shared" si="0"/>
        <v>0.16666666666666666</v>
      </c>
      <c r="K62" s="90">
        <f>+I62+'MAYO 2025'!K62</f>
        <v>6</v>
      </c>
      <c r="L62" s="94">
        <f t="shared" si="1"/>
        <v>0.5</v>
      </c>
      <c r="N62"/>
      <c r="O62" s="8"/>
      <c r="P62"/>
      <c r="Q62" s="8"/>
    </row>
    <row r="63" spans="2:17" x14ac:dyDescent="0.25">
      <c r="B63" s="38">
        <v>5</v>
      </c>
      <c r="C63" s="39" t="s">
        <v>59</v>
      </c>
      <c r="D63" s="40" t="s">
        <v>60</v>
      </c>
      <c r="E63" s="219"/>
      <c r="F63" s="61" t="s">
        <v>697</v>
      </c>
      <c r="G63" s="62" t="s">
        <v>516</v>
      </c>
      <c r="H63" s="125">
        <v>18</v>
      </c>
      <c r="I63" s="55">
        <v>3</v>
      </c>
      <c r="J63" s="69">
        <f t="shared" si="0"/>
        <v>0.16666666666666666</v>
      </c>
      <c r="K63" s="90">
        <f>+I63+'MAYO 2025'!K63</f>
        <v>9</v>
      </c>
      <c r="L63" s="94">
        <f t="shared" si="1"/>
        <v>0.5</v>
      </c>
      <c r="N63"/>
      <c r="O63" s="8"/>
      <c r="P63"/>
      <c r="Q63" s="8"/>
    </row>
    <row r="64" spans="2:17" x14ac:dyDescent="0.25">
      <c r="B64" s="42">
        <v>8</v>
      </c>
      <c r="C64" s="43" t="s">
        <v>61</v>
      </c>
      <c r="D64" s="44" t="s">
        <v>62</v>
      </c>
      <c r="E64" s="220"/>
      <c r="F64" s="64" t="s">
        <v>698</v>
      </c>
      <c r="G64" s="65" t="s">
        <v>109</v>
      </c>
      <c r="H64" s="126">
        <v>12</v>
      </c>
      <c r="I64" s="56">
        <v>2</v>
      </c>
      <c r="J64" s="72">
        <f t="shared" si="0"/>
        <v>0.16666666666666666</v>
      </c>
      <c r="K64" s="91">
        <f>+I64+'MAYO 2025'!K64</f>
        <v>6</v>
      </c>
      <c r="L64" s="96">
        <f t="shared" si="1"/>
        <v>0.5</v>
      </c>
      <c r="N64"/>
      <c r="O64" s="8"/>
      <c r="P64"/>
      <c r="Q64" s="8"/>
    </row>
    <row r="65" spans="2:17" x14ac:dyDescent="0.25">
      <c r="B65" s="35">
        <v>3</v>
      </c>
      <c r="C65" s="36" t="s">
        <v>43</v>
      </c>
      <c r="D65" s="37" t="s">
        <v>44</v>
      </c>
      <c r="E65" s="218" t="s">
        <v>115</v>
      </c>
      <c r="F65" s="59" t="s">
        <v>699</v>
      </c>
      <c r="G65" s="60" t="s">
        <v>700</v>
      </c>
      <c r="H65" s="66">
        <v>30</v>
      </c>
      <c r="I65" s="66">
        <v>4</v>
      </c>
      <c r="J65" s="69">
        <f t="shared" si="0"/>
        <v>0.13333333333333333</v>
      </c>
      <c r="K65" s="103">
        <f>+I65+'MAYO 2025'!K65</f>
        <v>13</v>
      </c>
      <c r="L65" s="94">
        <f t="shared" si="1"/>
        <v>0.43333333333333335</v>
      </c>
      <c r="N65"/>
      <c r="O65" s="8"/>
      <c r="P65"/>
      <c r="Q65" s="8"/>
    </row>
    <row r="66" spans="2:17" x14ac:dyDescent="0.25">
      <c r="B66" s="38">
        <v>3</v>
      </c>
      <c r="C66" s="39" t="s">
        <v>46</v>
      </c>
      <c r="D66" s="40" t="s">
        <v>47</v>
      </c>
      <c r="E66" s="219"/>
      <c r="F66" s="61" t="s">
        <v>701</v>
      </c>
      <c r="G66" s="61" t="s">
        <v>700</v>
      </c>
      <c r="H66" s="68">
        <v>30</v>
      </c>
      <c r="I66" s="55">
        <v>4</v>
      </c>
      <c r="J66" s="69">
        <f t="shared" si="0"/>
        <v>0.13333333333333333</v>
      </c>
      <c r="K66" s="90">
        <f>+I66+'MAYO 2025'!K66</f>
        <v>12</v>
      </c>
      <c r="L66" s="94">
        <f t="shared" si="1"/>
        <v>0.4</v>
      </c>
      <c r="N66"/>
      <c r="O66" s="8"/>
      <c r="P66"/>
      <c r="Q66" s="8"/>
    </row>
    <row r="67" spans="2:17" x14ac:dyDescent="0.25">
      <c r="B67" s="38">
        <v>3</v>
      </c>
      <c r="C67" s="39" t="s">
        <v>98</v>
      </c>
      <c r="D67" s="40" t="s">
        <v>99</v>
      </c>
      <c r="E67" s="219"/>
      <c r="F67" s="61" t="s">
        <v>702</v>
      </c>
      <c r="G67" s="63" t="s">
        <v>700</v>
      </c>
      <c r="H67" s="55">
        <v>30</v>
      </c>
      <c r="I67" s="70">
        <v>4</v>
      </c>
      <c r="J67" s="69">
        <f t="shared" si="0"/>
        <v>0.13333333333333333</v>
      </c>
      <c r="K67" s="90">
        <f>+I67+'MAYO 2025'!K67</f>
        <v>11</v>
      </c>
      <c r="L67" s="94">
        <f t="shared" si="1"/>
        <v>0.36666666666666664</v>
      </c>
      <c r="N67"/>
      <c r="O67" s="8"/>
      <c r="P67"/>
      <c r="Q67" s="8"/>
    </row>
    <row r="68" spans="2:17" x14ac:dyDescent="0.25">
      <c r="B68" s="38">
        <v>3</v>
      </c>
      <c r="C68" s="39" t="s">
        <v>49</v>
      </c>
      <c r="D68" s="40" t="s">
        <v>50</v>
      </c>
      <c r="E68" s="219"/>
      <c r="F68" s="61" t="s">
        <v>703</v>
      </c>
      <c r="G68" s="63" t="s">
        <v>114</v>
      </c>
      <c r="H68" s="55">
        <v>30</v>
      </c>
      <c r="I68" s="55">
        <v>3</v>
      </c>
      <c r="J68" s="69">
        <f t="shared" si="0"/>
        <v>0.1</v>
      </c>
      <c r="K68" s="90">
        <f>+I68+'MAYO 2025'!K68</f>
        <v>11</v>
      </c>
      <c r="L68" s="94">
        <f t="shared" si="1"/>
        <v>0.36666666666666664</v>
      </c>
      <c r="N68"/>
      <c r="O68" s="8"/>
      <c r="P68"/>
      <c r="Q68" s="8"/>
    </row>
    <row r="69" spans="2:17" x14ac:dyDescent="0.25">
      <c r="B69" s="38">
        <v>3</v>
      </c>
      <c r="C69" s="39" t="s">
        <v>52</v>
      </c>
      <c r="D69" s="40" t="s">
        <v>53</v>
      </c>
      <c r="E69" s="219"/>
      <c r="F69" s="61" t="s">
        <v>704</v>
      </c>
      <c r="G69" s="62" t="s">
        <v>235</v>
      </c>
      <c r="H69" s="55">
        <v>30</v>
      </c>
      <c r="I69" s="55">
        <v>3</v>
      </c>
      <c r="J69" s="69">
        <f t="shared" si="0"/>
        <v>0.1</v>
      </c>
      <c r="K69" s="90">
        <f>+I69+'MAYO 2025'!K69</f>
        <v>8</v>
      </c>
      <c r="L69" s="94">
        <f t="shared" si="1"/>
        <v>0.26666666666666666</v>
      </c>
      <c r="N69"/>
      <c r="O69" s="8"/>
      <c r="P69"/>
      <c r="Q69" s="8"/>
    </row>
    <row r="70" spans="2:17" s="16" customFormat="1" x14ac:dyDescent="0.25">
      <c r="B70" s="38">
        <v>3</v>
      </c>
      <c r="C70" s="39" t="s">
        <v>55</v>
      </c>
      <c r="D70" s="40" t="s">
        <v>56</v>
      </c>
      <c r="E70" s="219"/>
      <c r="F70" s="61" t="s">
        <v>526</v>
      </c>
      <c r="G70" s="62" t="s">
        <v>114</v>
      </c>
      <c r="H70" s="55">
        <v>30</v>
      </c>
      <c r="I70" s="55">
        <v>3</v>
      </c>
      <c r="J70" s="69">
        <f t="shared" si="0"/>
        <v>0.1</v>
      </c>
      <c r="K70" s="90">
        <f>+I70+'MAYO 2025'!K70</f>
        <v>8</v>
      </c>
      <c r="L70" s="94">
        <f t="shared" si="1"/>
        <v>0.26666666666666666</v>
      </c>
      <c r="N70" s="41"/>
      <c r="P70" s="41"/>
    </row>
    <row r="71" spans="2:17" x14ac:dyDescent="0.25">
      <c r="B71" s="38">
        <v>5</v>
      </c>
      <c r="C71" s="39" t="s">
        <v>57</v>
      </c>
      <c r="D71" s="40" t="s">
        <v>58</v>
      </c>
      <c r="E71" s="219"/>
      <c r="F71" s="61" t="s">
        <v>262</v>
      </c>
      <c r="G71" s="62" t="s">
        <v>208</v>
      </c>
      <c r="H71" s="55">
        <v>30</v>
      </c>
      <c r="I71" s="55">
        <v>3</v>
      </c>
      <c r="J71" s="69">
        <f t="shared" si="0"/>
        <v>0.1</v>
      </c>
      <c r="K71" s="90">
        <f>+I71+'MAYO 2025'!K71</f>
        <v>9</v>
      </c>
      <c r="L71" s="94">
        <f t="shared" si="1"/>
        <v>0.3</v>
      </c>
      <c r="N71"/>
      <c r="O71" s="8"/>
      <c r="P71"/>
      <c r="Q71" s="8"/>
    </row>
    <row r="72" spans="2:17" x14ac:dyDescent="0.25">
      <c r="B72" s="38">
        <v>5</v>
      </c>
      <c r="C72" s="39" t="s">
        <v>59</v>
      </c>
      <c r="D72" s="40" t="s">
        <v>60</v>
      </c>
      <c r="E72" s="219"/>
      <c r="F72" s="61" t="s">
        <v>705</v>
      </c>
      <c r="G72" s="62" t="s">
        <v>114</v>
      </c>
      <c r="H72" s="55">
        <v>30</v>
      </c>
      <c r="I72" s="55">
        <v>3</v>
      </c>
      <c r="J72" s="69">
        <f t="shared" si="0"/>
        <v>0.1</v>
      </c>
      <c r="K72" s="90">
        <f>+I72+'MAYO 2025'!K72</f>
        <v>10</v>
      </c>
      <c r="L72" s="94">
        <f t="shared" si="1"/>
        <v>0.33333333333333331</v>
      </c>
      <c r="N72"/>
      <c r="O72" s="8"/>
      <c r="P72"/>
      <c r="Q72" s="8"/>
    </row>
    <row r="73" spans="2:17" x14ac:dyDescent="0.25">
      <c r="B73" s="42">
        <v>8</v>
      </c>
      <c r="C73" s="43" t="s">
        <v>61</v>
      </c>
      <c r="D73" s="44" t="s">
        <v>62</v>
      </c>
      <c r="E73" s="220"/>
      <c r="F73" s="64" t="s">
        <v>706</v>
      </c>
      <c r="G73" s="65" t="s">
        <v>114</v>
      </c>
      <c r="H73" s="56">
        <v>30</v>
      </c>
      <c r="I73" s="56">
        <v>3</v>
      </c>
      <c r="J73" s="72">
        <f t="shared" si="0"/>
        <v>0.1</v>
      </c>
      <c r="K73" s="91">
        <f>+I73+'MAYO 2025'!K73</f>
        <v>8</v>
      </c>
      <c r="L73" s="96">
        <f t="shared" si="1"/>
        <v>0.26666666666666666</v>
      </c>
      <c r="N73"/>
      <c r="O73" s="8"/>
      <c r="P73"/>
      <c r="Q73" s="8"/>
    </row>
    <row r="74" spans="2:17" x14ac:dyDescent="0.25">
      <c r="B74" s="35">
        <v>3</v>
      </c>
      <c r="C74" s="36" t="s">
        <v>43</v>
      </c>
      <c r="D74" s="37" t="s">
        <v>44</v>
      </c>
      <c r="E74" s="218" t="s">
        <v>116</v>
      </c>
      <c r="F74" s="59" t="s">
        <v>232</v>
      </c>
      <c r="G74" s="60" t="s">
        <v>109</v>
      </c>
      <c r="H74" s="66">
        <v>20</v>
      </c>
      <c r="I74" s="66">
        <v>3</v>
      </c>
      <c r="J74" s="69">
        <f t="shared" si="0"/>
        <v>0.15</v>
      </c>
      <c r="K74" s="103">
        <f>+I74+'MAYO 2025'!K74</f>
        <v>10</v>
      </c>
      <c r="L74" s="94">
        <f t="shared" si="1"/>
        <v>0.5</v>
      </c>
      <c r="N74"/>
      <c r="O74" s="8"/>
      <c r="P74"/>
      <c r="Q74" s="8"/>
    </row>
    <row r="75" spans="2:17" x14ac:dyDescent="0.25">
      <c r="B75" s="38">
        <v>3</v>
      </c>
      <c r="C75" s="39" t="s">
        <v>46</v>
      </c>
      <c r="D75" s="40" t="s">
        <v>47</v>
      </c>
      <c r="E75" s="219"/>
      <c r="F75" s="61" t="s">
        <v>707</v>
      </c>
      <c r="G75" s="61" t="s">
        <v>110</v>
      </c>
      <c r="H75" s="68">
        <v>14</v>
      </c>
      <c r="I75" s="55">
        <v>3</v>
      </c>
      <c r="J75" s="69">
        <f t="shared" si="0"/>
        <v>0.21428571428571427</v>
      </c>
      <c r="K75" s="90">
        <f>+I75+'MAYO 2025'!K75</f>
        <v>8</v>
      </c>
      <c r="L75" s="94">
        <f t="shared" si="1"/>
        <v>0.5714285714285714</v>
      </c>
      <c r="N75"/>
      <c r="O75" s="8"/>
      <c r="P75"/>
      <c r="Q75" s="8"/>
    </row>
    <row r="76" spans="2:17" x14ac:dyDescent="0.25">
      <c r="B76" s="38">
        <v>3</v>
      </c>
      <c r="C76" s="39" t="s">
        <v>98</v>
      </c>
      <c r="D76" s="40" t="s">
        <v>99</v>
      </c>
      <c r="E76" s="219"/>
      <c r="F76" s="61" t="s">
        <v>529</v>
      </c>
      <c r="G76" s="63" t="s">
        <v>187</v>
      </c>
      <c r="H76" s="55">
        <v>28</v>
      </c>
      <c r="I76" s="70">
        <v>5</v>
      </c>
      <c r="J76" s="69">
        <f t="shared" si="0"/>
        <v>0.17857142857142858</v>
      </c>
      <c r="K76" s="90">
        <f>+I76+'MAYO 2025'!K76</f>
        <v>14</v>
      </c>
      <c r="L76" s="94">
        <f t="shared" si="1"/>
        <v>0.5</v>
      </c>
      <c r="N76"/>
      <c r="O76" s="8"/>
      <c r="P76"/>
      <c r="Q76" s="8"/>
    </row>
    <row r="77" spans="2:17" x14ac:dyDescent="0.25">
      <c r="B77" s="38">
        <v>3</v>
      </c>
      <c r="C77" s="39" t="s">
        <v>49</v>
      </c>
      <c r="D77" s="40" t="s">
        <v>50</v>
      </c>
      <c r="E77" s="219"/>
      <c r="F77" s="61" t="s">
        <v>530</v>
      </c>
      <c r="G77" s="63" t="s">
        <v>185</v>
      </c>
      <c r="H77" s="55">
        <v>16</v>
      </c>
      <c r="I77" s="55">
        <v>2</v>
      </c>
      <c r="J77" s="69">
        <f t="shared" si="0"/>
        <v>0.125</v>
      </c>
      <c r="K77" s="90">
        <f>+I77+'MAYO 2025'!K77</f>
        <v>8</v>
      </c>
      <c r="L77" s="94">
        <f t="shared" si="1"/>
        <v>0.5</v>
      </c>
      <c r="N77"/>
      <c r="O77" s="8"/>
      <c r="P77"/>
      <c r="Q77" s="8"/>
    </row>
    <row r="78" spans="2:17" x14ac:dyDescent="0.25">
      <c r="B78" s="38">
        <v>3</v>
      </c>
      <c r="C78" s="39" t="s">
        <v>52</v>
      </c>
      <c r="D78" s="40" t="s">
        <v>53</v>
      </c>
      <c r="E78" s="219"/>
      <c r="F78" s="61" t="s">
        <v>708</v>
      </c>
      <c r="G78" s="62" t="s">
        <v>111</v>
      </c>
      <c r="H78" s="55">
        <v>16</v>
      </c>
      <c r="I78" s="55">
        <v>2</v>
      </c>
      <c r="J78" s="69">
        <f t="shared" si="0"/>
        <v>0.125</v>
      </c>
      <c r="K78" s="90">
        <f>+I78+'MAYO 2025'!K78</f>
        <v>8</v>
      </c>
      <c r="L78" s="94">
        <f t="shared" si="1"/>
        <v>0.5</v>
      </c>
      <c r="N78"/>
      <c r="O78" s="8"/>
      <c r="P78"/>
      <c r="Q78" s="8"/>
    </row>
    <row r="79" spans="2:17" s="16" customFormat="1" x14ac:dyDescent="0.25">
      <c r="B79" s="38">
        <v>3</v>
      </c>
      <c r="C79" s="39" t="s">
        <v>55</v>
      </c>
      <c r="D79" s="40" t="s">
        <v>56</v>
      </c>
      <c r="E79" s="219"/>
      <c r="F79" s="61" t="s">
        <v>112</v>
      </c>
      <c r="G79" s="62" t="s">
        <v>188</v>
      </c>
      <c r="H79" s="55">
        <v>12</v>
      </c>
      <c r="I79" s="55">
        <v>3</v>
      </c>
      <c r="J79" s="69">
        <f t="shared" ref="J79:J142" si="2">IFERROR(I79/H79,0)</f>
        <v>0.25</v>
      </c>
      <c r="K79" s="90">
        <f>+I79+'MAYO 2025'!K79</f>
        <v>7</v>
      </c>
      <c r="L79" s="94">
        <f t="shared" ref="L79:L142" si="3">IFERROR(K79/H79,0)</f>
        <v>0.58333333333333337</v>
      </c>
      <c r="N79" s="41"/>
      <c r="P79" s="41"/>
    </row>
    <row r="80" spans="2:17" x14ac:dyDescent="0.25">
      <c r="B80" s="38">
        <v>5</v>
      </c>
      <c r="C80" s="39" t="s">
        <v>57</v>
      </c>
      <c r="D80" s="40" t="s">
        <v>58</v>
      </c>
      <c r="E80" s="219"/>
      <c r="F80" s="73" t="s">
        <v>709</v>
      </c>
      <c r="G80" s="62" t="s">
        <v>113</v>
      </c>
      <c r="H80" s="55">
        <v>24</v>
      </c>
      <c r="I80" s="55">
        <v>4</v>
      </c>
      <c r="J80" s="69">
        <f t="shared" si="2"/>
        <v>0.16666666666666666</v>
      </c>
      <c r="K80" s="90">
        <f>+I80+'MAYO 2025'!K80</f>
        <v>11</v>
      </c>
      <c r="L80" s="94">
        <f t="shared" si="3"/>
        <v>0.45833333333333331</v>
      </c>
      <c r="N80"/>
      <c r="O80" s="8"/>
      <c r="P80"/>
      <c r="Q80" s="8"/>
    </row>
    <row r="81" spans="2:17" x14ac:dyDescent="0.25">
      <c r="B81" s="38">
        <v>5</v>
      </c>
      <c r="C81" s="39" t="s">
        <v>59</v>
      </c>
      <c r="D81" s="40" t="s">
        <v>60</v>
      </c>
      <c r="E81" s="219"/>
      <c r="F81" s="61" t="s">
        <v>710</v>
      </c>
      <c r="G81" s="62" t="s">
        <v>189</v>
      </c>
      <c r="H81" s="55">
        <v>26</v>
      </c>
      <c r="I81" s="55">
        <v>4</v>
      </c>
      <c r="J81" s="69">
        <f t="shared" si="2"/>
        <v>0.15384615384615385</v>
      </c>
      <c r="K81" s="90">
        <f>+I81+'MAYO 2025'!K81</f>
        <v>12</v>
      </c>
      <c r="L81" s="94">
        <f t="shared" si="3"/>
        <v>0.46153846153846156</v>
      </c>
      <c r="N81"/>
      <c r="O81" s="8"/>
      <c r="P81"/>
      <c r="Q81" s="8"/>
    </row>
    <row r="82" spans="2:17" x14ac:dyDescent="0.25">
      <c r="B82" s="42">
        <v>8</v>
      </c>
      <c r="C82" s="43" t="s">
        <v>61</v>
      </c>
      <c r="D82" s="44" t="s">
        <v>62</v>
      </c>
      <c r="E82" s="220"/>
      <c r="F82" s="64" t="s">
        <v>711</v>
      </c>
      <c r="G82" s="65" t="s">
        <v>534</v>
      </c>
      <c r="H82" s="56">
        <v>24</v>
      </c>
      <c r="I82" s="56">
        <v>4</v>
      </c>
      <c r="J82" s="72">
        <f t="shared" si="2"/>
        <v>0.16666666666666666</v>
      </c>
      <c r="K82" s="91">
        <f>+I82+'MAYO 2025'!K82</f>
        <v>12</v>
      </c>
      <c r="L82" s="96">
        <f t="shared" si="3"/>
        <v>0.5</v>
      </c>
      <c r="N82"/>
      <c r="O82" s="8"/>
      <c r="P82"/>
      <c r="Q82" s="8"/>
    </row>
    <row r="83" spans="2:17" x14ac:dyDescent="0.25">
      <c r="B83" s="35">
        <v>3</v>
      </c>
      <c r="C83" s="36" t="s">
        <v>43</v>
      </c>
      <c r="D83" s="37" t="s">
        <v>44</v>
      </c>
      <c r="E83" s="218" t="s">
        <v>117</v>
      </c>
      <c r="F83" s="60" t="s">
        <v>213</v>
      </c>
      <c r="G83" s="60" t="s">
        <v>169</v>
      </c>
      <c r="H83" s="66">
        <v>30</v>
      </c>
      <c r="I83" s="66">
        <v>3</v>
      </c>
      <c r="J83" s="69">
        <f t="shared" si="2"/>
        <v>0.1</v>
      </c>
      <c r="K83" s="103">
        <f>+I83+'MAYO 2025'!K83</f>
        <v>9</v>
      </c>
      <c r="L83" s="94">
        <f t="shared" si="3"/>
        <v>0.3</v>
      </c>
      <c r="N83"/>
      <c r="O83" s="8"/>
      <c r="P83"/>
      <c r="Q83" s="8"/>
    </row>
    <row r="84" spans="2:17" x14ac:dyDescent="0.25">
      <c r="B84" s="38">
        <v>3</v>
      </c>
      <c r="C84" s="39" t="s">
        <v>46</v>
      </c>
      <c r="D84" s="40" t="s">
        <v>47</v>
      </c>
      <c r="E84" s="219"/>
      <c r="F84" s="74" t="s">
        <v>860</v>
      </c>
      <c r="G84" s="74" t="s">
        <v>861</v>
      </c>
      <c r="H84" s="68">
        <v>30</v>
      </c>
      <c r="I84" s="55">
        <v>3</v>
      </c>
      <c r="J84" s="69">
        <f t="shared" si="2"/>
        <v>0.1</v>
      </c>
      <c r="K84" s="90">
        <f>+I84+'MAYO 2025'!K84</f>
        <v>9</v>
      </c>
      <c r="L84" s="94">
        <f t="shared" si="3"/>
        <v>0.3</v>
      </c>
      <c r="N84"/>
      <c r="O84" s="8"/>
      <c r="P84"/>
      <c r="Q84" s="8"/>
    </row>
    <row r="85" spans="2:17" x14ac:dyDescent="0.25">
      <c r="B85" s="38">
        <v>3</v>
      </c>
      <c r="C85" s="39" t="s">
        <v>98</v>
      </c>
      <c r="D85" s="40" t="s">
        <v>99</v>
      </c>
      <c r="E85" s="219"/>
      <c r="F85" s="62" t="s">
        <v>862</v>
      </c>
      <c r="G85" s="62" t="s">
        <v>169</v>
      </c>
      <c r="H85" s="55">
        <v>30</v>
      </c>
      <c r="I85" s="70">
        <v>3</v>
      </c>
      <c r="J85" s="69">
        <f t="shared" si="2"/>
        <v>0.1</v>
      </c>
      <c r="K85" s="90">
        <f>+I85+'MAYO 2025'!K85</f>
        <v>9</v>
      </c>
      <c r="L85" s="94">
        <f t="shared" si="3"/>
        <v>0.3</v>
      </c>
      <c r="N85"/>
      <c r="O85" s="8"/>
      <c r="P85"/>
      <c r="Q85" s="8"/>
    </row>
    <row r="86" spans="2:17" x14ac:dyDescent="0.25">
      <c r="B86" s="38">
        <v>3</v>
      </c>
      <c r="C86" s="39" t="s">
        <v>49</v>
      </c>
      <c r="D86" s="40" t="s">
        <v>50</v>
      </c>
      <c r="E86" s="219"/>
      <c r="F86" s="62" t="s">
        <v>213</v>
      </c>
      <c r="G86" s="62" t="s">
        <v>169</v>
      </c>
      <c r="H86" s="55">
        <v>30</v>
      </c>
      <c r="I86" s="55">
        <v>3</v>
      </c>
      <c r="J86" s="69">
        <f t="shared" si="2"/>
        <v>0.1</v>
      </c>
      <c r="K86" s="90">
        <f>+I86+'MAYO 2025'!K86</f>
        <v>9</v>
      </c>
      <c r="L86" s="94">
        <f t="shared" si="3"/>
        <v>0.3</v>
      </c>
      <c r="N86"/>
      <c r="O86" s="8"/>
      <c r="P86"/>
      <c r="Q86" s="8"/>
    </row>
    <row r="87" spans="2:17" x14ac:dyDescent="0.25">
      <c r="B87" s="38">
        <v>3</v>
      </c>
      <c r="C87" s="39" t="s">
        <v>52</v>
      </c>
      <c r="D87" s="40" t="s">
        <v>53</v>
      </c>
      <c r="E87" s="219"/>
      <c r="F87" s="62" t="s">
        <v>214</v>
      </c>
      <c r="G87" s="62" t="s">
        <v>191</v>
      </c>
      <c r="H87" s="55">
        <v>30</v>
      </c>
      <c r="I87" s="55">
        <v>3</v>
      </c>
      <c r="J87" s="69">
        <f t="shared" si="2"/>
        <v>0.1</v>
      </c>
      <c r="K87" s="90">
        <f>+I87+'MAYO 2025'!K87</f>
        <v>9</v>
      </c>
      <c r="L87" s="94">
        <f t="shared" si="3"/>
        <v>0.3</v>
      </c>
      <c r="N87"/>
      <c r="O87" s="8"/>
      <c r="P87"/>
      <c r="Q87" s="8"/>
    </row>
    <row r="88" spans="2:17" s="16" customFormat="1" x14ac:dyDescent="0.25">
      <c r="B88" s="38">
        <v>3</v>
      </c>
      <c r="C88" s="39" t="s">
        <v>55</v>
      </c>
      <c r="D88" s="40" t="s">
        <v>56</v>
      </c>
      <c r="E88" s="219"/>
      <c r="F88" s="62" t="s">
        <v>215</v>
      </c>
      <c r="G88" s="62" t="s">
        <v>192</v>
      </c>
      <c r="H88" s="55">
        <v>30</v>
      </c>
      <c r="I88" s="55">
        <v>3</v>
      </c>
      <c r="J88" s="69">
        <f t="shared" si="2"/>
        <v>0.1</v>
      </c>
      <c r="K88" s="90">
        <f>+I88+'MAYO 2025'!K88</f>
        <v>9</v>
      </c>
      <c r="L88" s="94">
        <f t="shared" si="3"/>
        <v>0.3</v>
      </c>
      <c r="N88" s="41"/>
      <c r="P88" s="41"/>
    </row>
    <row r="89" spans="2:17" x14ac:dyDescent="0.25">
      <c r="B89" s="38">
        <v>5</v>
      </c>
      <c r="C89" s="39" t="s">
        <v>57</v>
      </c>
      <c r="D89" s="40" t="s">
        <v>58</v>
      </c>
      <c r="E89" s="219"/>
      <c r="F89" s="62" t="s">
        <v>216</v>
      </c>
      <c r="G89" s="62" t="s">
        <v>193</v>
      </c>
      <c r="H89" s="55">
        <v>30</v>
      </c>
      <c r="I89" s="55">
        <v>4</v>
      </c>
      <c r="J89" s="69">
        <f t="shared" si="2"/>
        <v>0.13333333333333333</v>
      </c>
      <c r="K89" s="90">
        <f>+I89+'MAYO 2025'!K89</f>
        <v>12</v>
      </c>
      <c r="L89" s="94">
        <f t="shared" si="3"/>
        <v>0.4</v>
      </c>
      <c r="N89"/>
      <c r="O89" s="8"/>
      <c r="P89"/>
      <c r="Q89" s="8"/>
    </row>
    <row r="90" spans="2:17" x14ac:dyDescent="0.25">
      <c r="B90" s="38">
        <v>5</v>
      </c>
      <c r="C90" s="39" t="s">
        <v>59</v>
      </c>
      <c r="D90" s="40" t="s">
        <v>60</v>
      </c>
      <c r="E90" s="219"/>
      <c r="F90" s="62" t="s">
        <v>194</v>
      </c>
      <c r="G90" s="62" t="s">
        <v>195</v>
      </c>
      <c r="H90" s="55">
        <v>30</v>
      </c>
      <c r="I90" s="55">
        <v>4</v>
      </c>
      <c r="J90" s="69">
        <f t="shared" si="2"/>
        <v>0.13333333333333333</v>
      </c>
      <c r="K90" s="90">
        <f>+I90+'MAYO 2025'!K90</f>
        <v>12</v>
      </c>
      <c r="L90" s="94">
        <f t="shared" si="3"/>
        <v>0.4</v>
      </c>
      <c r="N90"/>
      <c r="O90" s="8"/>
      <c r="P90"/>
      <c r="Q90" s="8"/>
    </row>
    <row r="91" spans="2:17" x14ac:dyDescent="0.25">
      <c r="B91" s="42">
        <v>8</v>
      </c>
      <c r="C91" s="43" t="s">
        <v>61</v>
      </c>
      <c r="D91" s="44" t="s">
        <v>62</v>
      </c>
      <c r="E91" s="220"/>
      <c r="F91" s="65" t="s">
        <v>196</v>
      </c>
      <c r="G91" s="65" t="s">
        <v>206</v>
      </c>
      <c r="H91" s="56">
        <v>30</v>
      </c>
      <c r="I91" s="56">
        <v>4</v>
      </c>
      <c r="J91" s="72">
        <f t="shared" si="2"/>
        <v>0.13333333333333333</v>
      </c>
      <c r="K91" s="91">
        <f>+I91+'MAYO 2025'!K91</f>
        <v>12</v>
      </c>
      <c r="L91" s="96">
        <f t="shared" si="3"/>
        <v>0.4</v>
      </c>
      <c r="N91"/>
      <c r="O91" s="8"/>
      <c r="P91"/>
      <c r="Q91" s="8"/>
    </row>
    <row r="92" spans="2:17" x14ac:dyDescent="0.25">
      <c r="B92" s="35">
        <v>3</v>
      </c>
      <c r="C92" s="36" t="s">
        <v>43</v>
      </c>
      <c r="D92" s="37" t="s">
        <v>44</v>
      </c>
      <c r="E92" s="228" t="s">
        <v>179</v>
      </c>
      <c r="F92" s="59" t="s">
        <v>45</v>
      </c>
      <c r="G92" s="59" t="s">
        <v>180</v>
      </c>
      <c r="H92" s="66">
        <v>18</v>
      </c>
      <c r="I92" s="66">
        <v>2</v>
      </c>
      <c r="J92" s="69">
        <f t="shared" si="2"/>
        <v>0.1111111111111111</v>
      </c>
      <c r="K92" s="103">
        <f>+I92+'MAYO 2025'!K92</f>
        <v>7</v>
      </c>
      <c r="L92" s="94">
        <f t="shared" si="3"/>
        <v>0.3888888888888889</v>
      </c>
      <c r="N92"/>
      <c r="O92" s="8"/>
      <c r="P92"/>
      <c r="Q92" s="8"/>
    </row>
    <row r="93" spans="2:17" x14ac:dyDescent="0.25">
      <c r="B93" s="38">
        <v>3</v>
      </c>
      <c r="C93" s="39" t="s">
        <v>46</v>
      </c>
      <c r="D93" s="40" t="s">
        <v>47</v>
      </c>
      <c r="E93" s="229"/>
      <c r="F93" s="61" t="s">
        <v>48</v>
      </c>
      <c r="G93" s="61" t="s">
        <v>181</v>
      </c>
      <c r="H93" s="68">
        <v>16</v>
      </c>
      <c r="I93" s="55">
        <v>3</v>
      </c>
      <c r="J93" s="69">
        <f t="shared" si="2"/>
        <v>0.1875</v>
      </c>
      <c r="K93" s="90">
        <f>+I93+'MAYO 2025'!K93</f>
        <v>9</v>
      </c>
      <c r="L93" s="94">
        <f t="shared" si="3"/>
        <v>0.5625</v>
      </c>
      <c r="N93"/>
      <c r="O93" s="8"/>
      <c r="P93"/>
      <c r="Q93" s="8"/>
    </row>
    <row r="94" spans="2:17" x14ac:dyDescent="0.25">
      <c r="B94" s="38">
        <v>3</v>
      </c>
      <c r="C94" s="39" t="s">
        <v>98</v>
      </c>
      <c r="D94" s="40" t="s">
        <v>99</v>
      </c>
      <c r="E94" s="229"/>
      <c r="F94" s="61" t="s">
        <v>48</v>
      </c>
      <c r="G94" s="61" t="s">
        <v>197</v>
      </c>
      <c r="H94" s="55">
        <v>16</v>
      </c>
      <c r="I94" s="70">
        <v>3</v>
      </c>
      <c r="J94" s="69">
        <f t="shared" si="2"/>
        <v>0.1875</v>
      </c>
      <c r="K94" s="90">
        <f>+I94+'MAYO 2025'!K94</f>
        <v>8</v>
      </c>
      <c r="L94" s="94">
        <f t="shared" si="3"/>
        <v>0.5</v>
      </c>
      <c r="N94"/>
      <c r="O94" s="8"/>
      <c r="P94"/>
      <c r="Q94" s="8"/>
    </row>
    <row r="95" spans="2:17" x14ac:dyDescent="0.25">
      <c r="B95" s="38">
        <v>3</v>
      </c>
      <c r="C95" s="39" t="s">
        <v>49</v>
      </c>
      <c r="D95" s="40" t="s">
        <v>50</v>
      </c>
      <c r="E95" s="229"/>
      <c r="F95" s="61" t="s">
        <v>51</v>
      </c>
      <c r="G95" s="61" t="s">
        <v>197</v>
      </c>
      <c r="H95" s="55">
        <v>16</v>
      </c>
      <c r="I95" s="55">
        <v>3</v>
      </c>
      <c r="J95" s="69">
        <f t="shared" si="2"/>
        <v>0.1875</v>
      </c>
      <c r="K95" s="90">
        <f>+I95+'MAYO 2025'!K95</f>
        <v>8</v>
      </c>
      <c r="L95" s="94">
        <f t="shared" si="3"/>
        <v>0.5</v>
      </c>
      <c r="N95"/>
      <c r="O95" s="8"/>
      <c r="P95"/>
      <c r="Q95" s="8"/>
    </row>
    <row r="96" spans="2:17" x14ac:dyDescent="0.25">
      <c r="B96" s="38">
        <v>3</v>
      </c>
      <c r="C96" s="39" t="s">
        <v>52</v>
      </c>
      <c r="D96" s="40" t="s">
        <v>53</v>
      </c>
      <c r="E96" s="229"/>
      <c r="F96" s="61" t="s">
        <v>54</v>
      </c>
      <c r="G96" s="61" t="s">
        <v>198</v>
      </c>
      <c r="H96" s="55">
        <v>16</v>
      </c>
      <c r="I96" s="55">
        <v>3</v>
      </c>
      <c r="J96" s="69">
        <f t="shared" si="2"/>
        <v>0.1875</v>
      </c>
      <c r="K96" s="90">
        <f>+I96+'MAYO 2025'!K96</f>
        <v>8</v>
      </c>
      <c r="L96" s="94">
        <f t="shared" si="3"/>
        <v>0.5</v>
      </c>
      <c r="N96"/>
      <c r="O96" s="8"/>
      <c r="P96"/>
      <c r="Q96" s="8"/>
    </row>
    <row r="97" spans="2:17" x14ac:dyDescent="0.25">
      <c r="B97" s="38">
        <v>3</v>
      </c>
      <c r="C97" s="39" t="s">
        <v>55</v>
      </c>
      <c r="D97" s="40" t="s">
        <v>56</v>
      </c>
      <c r="E97" s="229"/>
      <c r="F97" s="61" t="s">
        <v>54</v>
      </c>
      <c r="G97" s="129" t="s">
        <v>244</v>
      </c>
      <c r="H97" s="55">
        <v>16</v>
      </c>
      <c r="I97" s="55">
        <v>3</v>
      </c>
      <c r="J97" s="69">
        <f t="shared" si="2"/>
        <v>0.1875</v>
      </c>
      <c r="K97" s="90">
        <f>+I97+'MAYO 2025'!K97</f>
        <v>9</v>
      </c>
      <c r="L97" s="94">
        <f t="shared" si="3"/>
        <v>0.5625</v>
      </c>
      <c r="N97"/>
      <c r="O97" s="8"/>
      <c r="P97"/>
      <c r="Q97" s="8"/>
    </row>
    <row r="98" spans="2:17" x14ac:dyDescent="0.25">
      <c r="B98" s="38">
        <v>5</v>
      </c>
      <c r="C98" s="39" t="s">
        <v>57</v>
      </c>
      <c r="D98" s="40" t="s">
        <v>58</v>
      </c>
      <c r="E98" s="229"/>
      <c r="F98" s="127" t="s">
        <v>54</v>
      </c>
      <c r="G98" s="61" t="s">
        <v>244</v>
      </c>
      <c r="H98" s="128">
        <v>16</v>
      </c>
      <c r="I98" s="55">
        <v>3</v>
      </c>
      <c r="J98" s="69">
        <f t="shared" si="2"/>
        <v>0.1875</v>
      </c>
      <c r="K98" s="90">
        <f>+I98+'MAYO 2025'!K98</f>
        <v>9</v>
      </c>
      <c r="L98" s="94">
        <f t="shared" si="3"/>
        <v>0.5625</v>
      </c>
      <c r="N98"/>
      <c r="O98" s="8"/>
      <c r="P98"/>
      <c r="Q98" s="8"/>
    </row>
    <row r="99" spans="2:17" s="16" customFormat="1" x14ac:dyDescent="0.25">
      <c r="B99" s="38">
        <v>5</v>
      </c>
      <c r="C99" s="39" t="s">
        <v>118</v>
      </c>
      <c r="D99" s="40" t="s">
        <v>119</v>
      </c>
      <c r="E99" s="229"/>
      <c r="F99" s="61" t="s">
        <v>54</v>
      </c>
      <c r="G99" s="130" t="s">
        <v>180</v>
      </c>
      <c r="H99" s="55">
        <v>16</v>
      </c>
      <c r="I99" s="55">
        <v>3</v>
      </c>
      <c r="J99" s="69">
        <f t="shared" si="2"/>
        <v>0.1875</v>
      </c>
      <c r="K99" s="90">
        <f>+I99+'MAYO 2025'!K99</f>
        <v>9</v>
      </c>
      <c r="L99" s="94">
        <f t="shared" si="3"/>
        <v>0.5625</v>
      </c>
      <c r="N99" s="41"/>
      <c r="P99" s="41"/>
    </row>
    <row r="100" spans="2:17" x14ac:dyDescent="0.25">
      <c r="B100" s="38">
        <v>5</v>
      </c>
      <c r="C100" s="39" t="s">
        <v>120</v>
      </c>
      <c r="D100" s="40" t="s">
        <v>121</v>
      </c>
      <c r="E100" s="229"/>
      <c r="F100" s="61" t="s">
        <v>54</v>
      </c>
      <c r="G100" s="61" t="s">
        <v>245</v>
      </c>
      <c r="H100" s="68">
        <v>18</v>
      </c>
      <c r="I100" s="55">
        <v>3</v>
      </c>
      <c r="J100" s="69">
        <f t="shared" si="2"/>
        <v>0.16666666666666666</v>
      </c>
      <c r="K100" s="90">
        <f>+I100+'MAYO 2025'!K100</f>
        <v>9</v>
      </c>
      <c r="L100" s="94">
        <f t="shared" si="3"/>
        <v>0.5</v>
      </c>
      <c r="N100"/>
      <c r="O100" s="8"/>
      <c r="P100"/>
      <c r="Q100" s="8"/>
    </row>
    <row r="101" spans="2:17" x14ac:dyDescent="0.25">
      <c r="B101" s="38">
        <v>5</v>
      </c>
      <c r="C101" s="39" t="s">
        <v>122</v>
      </c>
      <c r="D101" s="40" t="s">
        <v>123</v>
      </c>
      <c r="E101" s="229"/>
      <c r="F101" s="61" t="s">
        <v>54</v>
      </c>
      <c r="G101" s="61" t="s">
        <v>246</v>
      </c>
      <c r="H101" s="55">
        <v>16</v>
      </c>
      <c r="I101" s="55">
        <v>2</v>
      </c>
      <c r="J101" s="69">
        <f t="shared" si="2"/>
        <v>0.125</v>
      </c>
      <c r="K101" s="90">
        <f>+I101+'MAYO 2025'!K101</f>
        <v>7</v>
      </c>
      <c r="L101" s="94">
        <f t="shared" si="3"/>
        <v>0.4375</v>
      </c>
      <c r="N101"/>
      <c r="O101" s="8"/>
      <c r="P101"/>
      <c r="Q101" s="8"/>
    </row>
    <row r="102" spans="2:17" x14ac:dyDescent="0.25">
      <c r="B102" s="42">
        <v>5</v>
      </c>
      <c r="C102" s="43" t="s">
        <v>59</v>
      </c>
      <c r="D102" s="44" t="s">
        <v>60</v>
      </c>
      <c r="E102" s="230"/>
      <c r="F102" s="64" t="s">
        <v>54</v>
      </c>
      <c r="G102" s="61" t="s">
        <v>246</v>
      </c>
      <c r="H102" s="56">
        <v>16</v>
      </c>
      <c r="I102" s="56">
        <v>2</v>
      </c>
      <c r="J102" s="72">
        <f t="shared" si="2"/>
        <v>0.125</v>
      </c>
      <c r="K102" s="91">
        <f>+I102+'MAYO 2025'!K102</f>
        <v>7</v>
      </c>
      <c r="L102" s="96">
        <f t="shared" si="3"/>
        <v>0.4375</v>
      </c>
      <c r="N102"/>
      <c r="O102" s="8"/>
      <c r="P102"/>
      <c r="Q102" s="8"/>
    </row>
    <row r="103" spans="2:17" x14ac:dyDescent="0.25">
      <c r="B103" s="35">
        <v>3</v>
      </c>
      <c r="C103" s="36" t="s">
        <v>43</v>
      </c>
      <c r="D103" s="37" t="s">
        <v>44</v>
      </c>
      <c r="E103" s="218" t="s">
        <v>124</v>
      </c>
      <c r="F103" s="59" t="s">
        <v>535</v>
      </c>
      <c r="G103" s="75" t="s">
        <v>160</v>
      </c>
      <c r="H103" s="66">
        <v>13</v>
      </c>
      <c r="I103" s="66">
        <v>2</v>
      </c>
      <c r="J103" s="69">
        <f t="shared" si="2"/>
        <v>0.15384615384615385</v>
      </c>
      <c r="K103" s="103">
        <f>+I103+'MAYO 2025'!K103</f>
        <v>6</v>
      </c>
      <c r="L103" s="94">
        <f t="shared" si="3"/>
        <v>0.46153846153846156</v>
      </c>
      <c r="N103"/>
      <c r="O103" s="8"/>
      <c r="P103"/>
      <c r="Q103" s="8"/>
    </row>
    <row r="104" spans="2:17" x14ac:dyDescent="0.25">
      <c r="B104" s="38">
        <v>3</v>
      </c>
      <c r="C104" s="39" t="s">
        <v>46</v>
      </c>
      <c r="D104" s="40" t="s">
        <v>47</v>
      </c>
      <c r="E104" s="219"/>
      <c r="F104" s="61" t="s">
        <v>536</v>
      </c>
      <c r="G104" s="76" t="s">
        <v>161</v>
      </c>
      <c r="H104" s="68">
        <v>14</v>
      </c>
      <c r="I104" s="55">
        <v>3</v>
      </c>
      <c r="J104" s="69">
        <f t="shared" si="2"/>
        <v>0.21428571428571427</v>
      </c>
      <c r="K104" s="90">
        <f>+I104+'MAYO 2025'!K104</f>
        <v>8</v>
      </c>
      <c r="L104" s="94">
        <f t="shared" si="3"/>
        <v>0.5714285714285714</v>
      </c>
      <c r="N104"/>
      <c r="O104" s="8"/>
      <c r="P104"/>
      <c r="Q104" s="8"/>
    </row>
    <row r="105" spans="2:17" x14ac:dyDescent="0.25">
      <c r="B105" s="38">
        <v>3</v>
      </c>
      <c r="C105" s="39" t="s">
        <v>98</v>
      </c>
      <c r="D105" s="40" t="s">
        <v>99</v>
      </c>
      <c r="E105" s="219"/>
      <c r="F105" s="61" t="s">
        <v>217</v>
      </c>
      <c r="G105" s="62" t="s">
        <v>160</v>
      </c>
      <c r="H105" s="55">
        <v>14</v>
      </c>
      <c r="I105" s="70">
        <v>3</v>
      </c>
      <c r="J105" s="69">
        <f t="shared" si="2"/>
        <v>0.21428571428571427</v>
      </c>
      <c r="K105" s="90">
        <f>+I105+'MAYO 2025'!K105</f>
        <v>8</v>
      </c>
      <c r="L105" s="94">
        <f t="shared" si="3"/>
        <v>0.5714285714285714</v>
      </c>
      <c r="N105"/>
      <c r="O105" s="8"/>
      <c r="P105"/>
      <c r="Q105" s="8"/>
    </row>
    <row r="106" spans="2:17" x14ac:dyDescent="0.25">
      <c r="B106" s="38">
        <v>3</v>
      </c>
      <c r="C106" s="39" t="s">
        <v>49</v>
      </c>
      <c r="D106" s="40" t="s">
        <v>50</v>
      </c>
      <c r="E106" s="219"/>
      <c r="F106" s="61" t="s">
        <v>271</v>
      </c>
      <c r="G106" s="62" t="s">
        <v>160</v>
      </c>
      <c r="H106" s="55">
        <v>16</v>
      </c>
      <c r="I106" s="55">
        <v>3</v>
      </c>
      <c r="J106" s="69">
        <f t="shared" si="2"/>
        <v>0.1875</v>
      </c>
      <c r="K106" s="90">
        <f>+I106+'MAYO 2025'!K106</f>
        <v>8</v>
      </c>
      <c r="L106" s="94">
        <f t="shared" si="3"/>
        <v>0.5</v>
      </c>
      <c r="N106"/>
      <c r="O106" s="8"/>
      <c r="P106"/>
      <c r="Q106" s="8"/>
    </row>
    <row r="107" spans="2:17" x14ac:dyDescent="0.25">
      <c r="B107" s="38">
        <v>3</v>
      </c>
      <c r="C107" s="39" t="s">
        <v>52</v>
      </c>
      <c r="D107" s="40" t="s">
        <v>53</v>
      </c>
      <c r="E107" s="219"/>
      <c r="F107" s="61" t="s">
        <v>537</v>
      </c>
      <c r="G107" s="62" t="s">
        <v>160</v>
      </c>
      <c r="H107" s="55">
        <v>16</v>
      </c>
      <c r="I107" s="55">
        <v>3</v>
      </c>
      <c r="J107" s="69">
        <f t="shared" si="2"/>
        <v>0.1875</v>
      </c>
      <c r="K107" s="90">
        <f>+I107+'MAYO 2025'!K107</f>
        <v>8</v>
      </c>
      <c r="L107" s="94">
        <f t="shared" si="3"/>
        <v>0.5</v>
      </c>
      <c r="N107"/>
      <c r="O107" s="8"/>
      <c r="P107"/>
      <c r="Q107" s="8"/>
    </row>
    <row r="108" spans="2:17" x14ac:dyDescent="0.25">
      <c r="B108" s="38">
        <v>3</v>
      </c>
      <c r="C108" s="39" t="s">
        <v>55</v>
      </c>
      <c r="D108" s="40" t="s">
        <v>56</v>
      </c>
      <c r="E108" s="219"/>
      <c r="F108" s="61" t="s">
        <v>164</v>
      </c>
      <c r="G108" s="62" t="s">
        <v>160</v>
      </c>
      <c r="H108" s="55">
        <v>15</v>
      </c>
      <c r="I108" s="55">
        <v>2</v>
      </c>
      <c r="J108" s="69">
        <f t="shared" si="2"/>
        <v>0.13333333333333333</v>
      </c>
      <c r="K108" s="90">
        <f>+I108+'MAYO 2025'!K108</f>
        <v>7</v>
      </c>
      <c r="L108" s="94">
        <f t="shared" si="3"/>
        <v>0.46666666666666667</v>
      </c>
      <c r="N108"/>
      <c r="O108" s="8"/>
      <c r="P108"/>
      <c r="Q108" s="8"/>
    </row>
    <row r="109" spans="2:17" x14ac:dyDescent="0.25">
      <c r="B109" s="38">
        <v>5</v>
      </c>
      <c r="C109" s="39" t="s">
        <v>57</v>
      </c>
      <c r="D109" s="40" t="s">
        <v>58</v>
      </c>
      <c r="E109" s="219"/>
      <c r="F109" s="61" t="s">
        <v>538</v>
      </c>
      <c r="G109" s="62" t="s">
        <v>160</v>
      </c>
      <c r="H109" s="55">
        <v>16</v>
      </c>
      <c r="I109" s="55">
        <v>2</v>
      </c>
      <c r="J109" s="69">
        <f t="shared" si="2"/>
        <v>0.125</v>
      </c>
      <c r="K109" s="90">
        <f>+I109+'MAYO 2025'!K109</f>
        <v>7</v>
      </c>
      <c r="L109" s="94">
        <f t="shared" si="3"/>
        <v>0.4375</v>
      </c>
      <c r="N109"/>
      <c r="O109" s="8"/>
      <c r="P109"/>
      <c r="Q109" s="8"/>
    </row>
    <row r="110" spans="2:17" s="16" customFormat="1" x14ac:dyDescent="0.25">
      <c r="B110" s="38">
        <v>5</v>
      </c>
      <c r="C110" s="39" t="s">
        <v>118</v>
      </c>
      <c r="D110" s="40" t="s">
        <v>119</v>
      </c>
      <c r="E110" s="219"/>
      <c r="F110" s="61" t="s">
        <v>539</v>
      </c>
      <c r="G110" s="62" t="s">
        <v>160</v>
      </c>
      <c r="H110" s="55">
        <v>16</v>
      </c>
      <c r="I110" s="55">
        <v>3</v>
      </c>
      <c r="J110" s="69">
        <f t="shared" si="2"/>
        <v>0.1875</v>
      </c>
      <c r="K110" s="90">
        <f>+I110+'MAYO 2025'!K110</f>
        <v>9</v>
      </c>
      <c r="L110" s="94">
        <f t="shared" si="3"/>
        <v>0.5625</v>
      </c>
      <c r="N110" s="41"/>
      <c r="P110" s="41"/>
    </row>
    <row r="111" spans="2:17" x14ac:dyDescent="0.25">
      <c r="B111" s="38">
        <v>5</v>
      </c>
      <c r="C111" s="39" t="s">
        <v>120</v>
      </c>
      <c r="D111" s="40" t="s">
        <v>121</v>
      </c>
      <c r="E111" s="219"/>
      <c r="F111" s="61" t="s">
        <v>166</v>
      </c>
      <c r="G111" s="62" t="s">
        <v>160</v>
      </c>
      <c r="H111" s="68">
        <v>16</v>
      </c>
      <c r="I111" s="68">
        <v>2</v>
      </c>
      <c r="J111" s="69">
        <f t="shared" si="2"/>
        <v>0.125</v>
      </c>
      <c r="K111" s="90">
        <f>+I111+'MAYO 2025'!K111</f>
        <v>7</v>
      </c>
      <c r="L111" s="94">
        <f t="shared" si="3"/>
        <v>0.4375</v>
      </c>
      <c r="N111"/>
      <c r="O111" s="8"/>
      <c r="P111"/>
      <c r="Q111" s="8"/>
    </row>
    <row r="112" spans="2:17" x14ac:dyDescent="0.25">
      <c r="B112" s="38">
        <v>5</v>
      </c>
      <c r="C112" s="39" t="s">
        <v>122</v>
      </c>
      <c r="D112" s="40" t="s">
        <v>123</v>
      </c>
      <c r="E112" s="219"/>
      <c r="F112" s="61" t="s">
        <v>273</v>
      </c>
      <c r="G112" s="62" t="s">
        <v>160</v>
      </c>
      <c r="H112" s="68">
        <v>20</v>
      </c>
      <c r="I112" s="68">
        <v>2</v>
      </c>
      <c r="J112" s="69">
        <f t="shared" si="2"/>
        <v>0.1</v>
      </c>
      <c r="K112" s="90">
        <f>+I112+'MAYO 2025'!K112</f>
        <v>8</v>
      </c>
      <c r="L112" s="94">
        <f t="shared" si="3"/>
        <v>0.4</v>
      </c>
      <c r="N112"/>
      <c r="O112" s="8"/>
      <c r="P112"/>
      <c r="Q112" s="8"/>
    </row>
    <row r="113" spans="2:17" x14ac:dyDescent="0.25">
      <c r="B113" s="42">
        <v>5</v>
      </c>
      <c r="C113" s="43" t="s">
        <v>59</v>
      </c>
      <c r="D113" s="44" t="s">
        <v>60</v>
      </c>
      <c r="E113" s="220"/>
      <c r="F113" s="64" t="s">
        <v>221</v>
      </c>
      <c r="G113" s="65" t="s">
        <v>160</v>
      </c>
      <c r="H113" s="56">
        <v>24</v>
      </c>
      <c r="I113" s="56">
        <v>5</v>
      </c>
      <c r="J113" s="72">
        <f t="shared" si="2"/>
        <v>0.20833333333333334</v>
      </c>
      <c r="K113" s="91">
        <f>+I113+'MAYO 2025'!K113</f>
        <v>14</v>
      </c>
      <c r="L113" s="96">
        <f t="shared" si="3"/>
        <v>0.58333333333333337</v>
      </c>
      <c r="N113"/>
      <c r="O113" s="8"/>
      <c r="P113"/>
      <c r="Q113" s="8"/>
    </row>
    <row r="114" spans="2:17" x14ac:dyDescent="0.25">
      <c r="B114" s="46">
        <v>3</v>
      </c>
      <c r="C114" s="45" t="s">
        <v>43</v>
      </c>
      <c r="D114" s="47" t="s">
        <v>44</v>
      </c>
      <c r="E114" s="231" t="s">
        <v>128</v>
      </c>
      <c r="F114" s="59" t="s">
        <v>45</v>
      </c>
      <c r="G114" s="60" t="s">
        <v>125</v>
      </c>
      <c r="H114" s="66">
        <v>20</v>
      </c>
      <c r="I114" s="66">
        <v>5</v>
      </c>
      <c r="J114" s="69">
        <f t="shared" si="2"/>
        <v>0.25</v>
      </c>
      <c r="K114" s="103">
        <f>+I114+'MAYO 2025'!K114</f>
        <v>9</v>
      </c>
      <c r="L114" s="94">
        <f t="shared" si="3"/>
        <v>0.45</v>
      </c>
      <c r="N114"/>
      <c r="O114" s="8"/>
      <c r="P114"/>
      <c r="Q114" s="8"/>
    </row>
    <row r="115" spans="2:17" x14ac:dyDescent="0.25">
      <c r="B115" s="38">
        <v>3</v>
      </c>
      <c r="C115" s="39" t="s">
        <v>46</v>
      </c>
      <c r="D115" s="40" t="s">
        <v>47</v>
      </c>
      <c r="E115" s="219"/>
      <c r="F115" s="61" t="s">
        <v>48</v>
      </c>
      <c r="G115" s="74" t="s">
        <v>200</v>
      </c>
      <c r="H115" s="68">
        <v>14</v>
      </c>
      <c r="I115" s="55">
        <v>2</v>
      </c>
      <c r="J115" s="69">
        <f t="shared" si="2"/>
        <v>0.14285714285714285</v>
      </c>
      <c r="K115" s="90">
        <f>+I115+'MAYO 2025'!K115</f>
        <v>8</v>
      </c>
      <c r="L115" s="94">
        <f t="shared" si="3"/>
        <v>0.5714285714285714</v>
      </c>
      <c r="N115"/>
      <c r="O115" s="8"/>
      <c r="P115"/>
      <c r="Q115" s="8"/>
    </row>
    <row r="116" spans="2:17" x14ac:dyDescent="0.25">
      <c r="B116" s="38">
        <v>3</v>
      </c>
      <c r="C116" s="39" t="s">
        <v>98</v>
      </c>
      <c r="D116" s="40" t="s">
        <v>99</v>
      </c>
      <c r="E116" s="219"/>
      <c r="F116" s="61" t="s">
        <v>48</v>
      </c>
      <c r="G116" s="62" t="s">
        <v>125</v>
      </c>
      <c r="H116" s="55">
        <v>28</v>
      </c>
      <c r="I116" s="70">
        <v>4</v>
      </c>
      <c r="J116" s="69">
        <f t="shared" si="2"/>
        <v>0.14285714285714285</v>
      </c>
      <c r="K116" s="90">
        <f>+I116+'MAYO 2025'!K116</f>
        <v>11</v>
      </c>
      <c r="L116" s="94">
        <f t="shared" si="3"/>
        <v>0.39285714285714285</v>
      </c>
      <c r="N116"/>
      <c r="O116" s="8"/>
      <c r="P116"/>
      <c r="Q116" s="8"/>
    </row>
    <row r="117" spans="2:17" x14ac:dyDescent="0.25">
      <c r="B117" s="38">
        <v>3</v>
      </c>
      <c r="C117" s="39" t="s">
        <v>49</v>
      </c>
      <c r="D117" s="40" t="s">
        <v>50</v>
      </c>
      <c r="E117" s="219"/>
      <c r="F117" s="61" t="s">
        <v>51</v>
      </c>
      <c r="G117" s="62" t="s">
        <v>125</v>
      </c>
      <c r="H117" s="55">
        <v>16</v>
      </c>
      <c r="I117" s="55">
        <v>2</v>
      </c>
      <c r="J117" s="69">
        <f t="shared" si="2"/>
        <v>0.125</v>
      </c>
      <c r="K117" s="90">
        <f>+I117+'MAYO 2025'!K117</f>
        <v>9</v>
      </c>
      <c r="L117" s="94">
        <f t="shared" si="3"/>
        <v>0.5625</v>
      </c>
      <c r="N117"/>
      <c r="O117" s="8"/>
      <c r="P117"/>
      <c r="Q117" s="8"/>
    </row>
    <row r="118" spans="2:17" x14ac:dyDescent="0.25">
      <c r="B118" s="38">
        <v>3</v>
      </c>
      <c r="C118" s="39" t="s">
        <v>52</v>
      </c>
      <c r="D118" s="40" t="s">
        <v>53</v>
      </c>
      <c r="E118" s="219"/>
      <c r="F118" s="61" t="s">
        <v>54</v>
      </c>
      <c r="G118" s="62" t="s">
        <v>209</v>
      </c>
      <c r="H118" s="55">
        <v>16</v>
      </c>
      <c r="I118" s="55">
        <v>2</v>
      </c>
      <c r="J118" s="69">
        <f t="shared" si="2"/>
        <v>0.125</v>
      </c>
      <c r="K118" s="90">
        <f>+I118+'MAYO 2025'!K118</f>
        <v>9</v>
      </c>
      <c r="L118" s="94">
        <f t="shared" si="3"/>
        <v>0.5625</v>
      </c>
      <c r="N118"/>
      <c r="O118" s="8"/>
      <c r="P118"/>
      <c r="Q118" s="8"/>
    </row>
    <row r="119" spans="2:17" s="16" customFormat="1" x14ac:dyDescent="0.25">
      <c r="B119" s="38">
        <v>3</v>
      </c>
      <c r="C119" s="39" t="s">
        <v>55</v>
      </c>
      <c r="D119" s="40" t="s">
        <v>56</v>
      </c>
      <c r="E119" s="219"/>
      <c r="F119" s="61" t="s">
        <v>54</v>
      </c>
      <c r="G119" s="62" t="s">
        <v>126</v>
      </c>
      <c r="H119" s="55">
        <v>12</v>
      </c>
      <c r="I119" s="55">
        <v>1</v>
      </c>
      <c r="J119" s="69">
        <f t="shared" si="2"/>
        <v>8.3333333333333329E-2</v>
      </c>
      <c r="K119" s="90">
        <f>+I119+'MAYO 2025'!K119</f>
        <v>8</v>
      </c>
      <c r="L119" s="94">
        <f t="shared" si="3"/>
        <v>0.66666666666666663</v>
      </c>
      <c r="N119" s="41"/>
      <c r="P119" s="41"/>
    </row>
    <row r="120" spans="2:17" x14ac:dyDescent="0.25">
      <c r="B120" s="38">
        <v>5</v>
      </c>
      <c r="C120" s="39" t="s">
        <v>57</v>
      </c>
      <c r="D120" s="40" t="s">
        <v>58</v>
      </c>
      <c r="E120" s="219"/>
      <c r="F120" s="73" t="s">
        <v>54</v>
      </c>
      <c r="G120" s="62" t="s">
        <v>126</v>
      </c>
      <c r="H120" s="55">
        <v>24</v>
      </c>
      <c r="I120" s="55">
        <v>4</v>
      </c>
      <c r="J120" s="69">
        <f t="shared" si="2"/>
        <v>0.16666666666666666</v>
      </c>
      <c r="K120" s="90">
        <f>+I120+'MAYO 2025'!K120</f>
        <v>12</v>
      </c>
      <c r="L120" s="94">
        <f t="shared" si="3"/>
        <v>0.5</v>
      </c>
      <c r="N120"/>
      <c r="O120" s="8"/>
      <c r="P120"/>
      <c r="Q120" s="8"/>
    </row>
    <row r="121" spans="2:17" x14ac:dyDescent="0.25">
      <c r="B121" s="38">
        <v>5</v>
      </c>
      <c r="C121" s="39" t="s">
        <v>59</v>
      </c>
      <c r="D121" s="40" t="s">
        <v>60</v>
      </c>
      <c r="E121" s="219"/>
      <c r="F121" s="61" t="s">
        <v>54</v>
      </c>
      <c r="G121" s="62" t="s">
        <v>210</v>
      </c>
      <c r="H121" s="55">
        <v>26</v>
      </c>
      <c r="I121" s="55">
        <v>6</v>
      </c>
      <c r="J121" s="69">
        <f t="shared" si="2"/>
        <v>0.23076923076923078</v>
      </c>
      <c r="K121" s="90">
        <f>+I121+'MAYO 2025'!K121</f>
        <v>12</v>
      </c>
      <c r="L121" s="94">
        <f t="shared" si="3"/>
        <v>0.46153846153846156</v>
      </c>
      <c r="N121"/>
      <c r="O121" s="8"/>
      <c r="P121"/>
      <c r="Q121" s="8"/>
    </row>
    <row r="122" spans="2:17" x14ac:dyDescent="0.25">
      <c r="B122" s="42">
        <v>8</v>
      </c>
      <c r="C122" s="43" t="s">
        <v>61</v>
      </c>
      <c r="D122" s="44" t="s">
        <v>62</v>
      </c>
      <c r="E122" s="220"/>
      <c r="F122" s="64" t="s">
        <v>63</v>
      </c>
      <c r="G122" s="65" t="s">
        <v>127</v>
      </c>
      <c r="H122" s="56">
        <v>24</v>
      </c>
      <c r="I122" s="56">
        <v>4</v>
      </c>
      <c r="J122" s="72">
        <f t="shared" si="2"/>
        <v>0.16666666666666666</v>
      </c>
      <c r="K122" s="91">
        <f>+I122+'MAYO 2025'!K122</f>
        <v>12</v>
      </c>
      <c r="L122" s="96">
        <f t="shared" si="3"/>
        <v>0.5</v>
      </c>
      <c r="N122"/>
      <c r="O122" s="8"/>
      <c r="P122"/>
      <c r="Q122" s="8"/>
    </row>
    <row r="123" spans="2:17" x14ac:dyDescent="0.25">
      <c r="B123" s="35">
        <v>1</v>
      </c>
      <c r="C123" s="36" t="s">
        <v>74</v>
      </c>
      <c r="D123" s="37" t="s">
        <v>75</v>
      </c>
      <c r="E123" s="218" t="s">
        <v>143</v>
      </c>
      <c r="F123" s="59" t="s">
        <v>48</v>
      </c>
      <c r="G123" s="60" t="s">
        <v>129</v>
      </c>
      <c r="H123" s="66">
        <v>14</v>
      </c>
      <c r="I123" s="66">
        <v>2</v>
      </c>
      <c r="J123" s="69">
        <f t="shared" si="2"/>
        <v>0.14285714285714285</v>
      </c>
      <c r="K123" s="103">
        <f>+I123+'MAYO 2025'!K123</f>
        <v>7</v>
      </c>
      <c r="L123" s="94">
        <f t="shared" si="3"/>
        <v>0.5</v>
      </c>
      <c r="N123"/>
      <c r="O123" s="8"/>
      <c r="P123"/>
      <c r="Q123" s="8"/>
    </row>
    <row r="124" spans="2:17" x14ac:dyDescent="0.25">
      <c r="B124" s="38">
        <v>1</v>
      </c>
      <c r="C124" s="39" t="s">
        <v>77</v>
      </c>
      <c r="D124" s="40" t="s">
        <v>78</v>
      </c>
      <c r="E124" s="219"/>
      <c r="F124" s="61" t="s">
        <v>227</v>
      </c>
      <c r="G124" s="62" t="s">
        <v>130</v>
      </c>
      <c r="H124" s="68">
        <v>14</v>
      </c>
      <c r="I124" s="55">
        <v>2</v>
      </c>
      <c r="J124" s="69">
        <f t="shared" si="2"/>
        <v>0.14285714285714285</v>
      </c>
      <c r="K124" s="90">
        <f>+I124+'MAYO 2025'!K124</f>
        <v>7</v>
      </c>
      <c r="L124" s="94">
        <f t="shared" si="3"/>
        <v>0.5</v>
      </c>
      <c r="N124"/>
      <c r="O124" s="8"/>
      <c r="P124"/>
      <c r="Q124" s="8"/>
    </row>
    <row r="125" spans="2:17" x14ac:dyDescent="0.25">
      <c r="B125" s="38">
        <v>1</v>
      </c>
      <c r="C125" s="39" t="s">
        <v>79</v>
      </c>
      <c r="D125" s="40" t="s">
        <v>80</v>
      </c>
      <c r="E125" s="219"/>
      <c r="F125" s="61" t="s">
        <v>228</v>
      </c>
      <c r="G125" s="62" t="s">
        <v>131</v>
      </c>
      <c r="H125" s="55">
        <v>16</v>
      </c>
      <c r="I125" s="70">
        <v>3</v>
      </c>
      <c r="J125" s="69">
        <f t="shared" si="2"/>
        <v>0.1875</v>
      </c>
      <c r="K125" s="90">
        <f>+I125+'MAYO 2025'!K125</f>
        <v>8</v>
      </c>
      <c r="L125" s="94">
        <f t="shared" si="3"/>
        <v>0.5</v>
      </c>
      <c r="N125"/>
      <c r="O125" s="8"/>
      <c r="P125"/>
      <c r="Q125" s="8"/>
    </row>
    <row r="126" spans="2:17" x14ac:dyDescent="0.25">
      <c r="B126" s="38">
        <v>1</v>
      </c>
      <c r="C126" s="39" t="s">
        <v>82</v>
      </c>
      <c r="D126" s="40" t="s">
        <v>83</v>
      </c>
      <c r="E126" s="219"/>
      <c r="F126" s="61" t="s">
        <v>132</v>
      </c>
      <c r="G126" s="62" t="s">
        <v>32</v>
      </c>
      <c r="H126" s="55">
        <v>18</v>
      </c>
      <c r="I126" s="55">
        <v>3</v>
      </c>
      <c r="J126" s="69">
        <f t="shared" si="2"/>
        <v>0.16666666666666666</v>
      </c>
      <c r="K126" s="90">
        <f>+I126+'MAYO 2025'!K126</f>
        <v>9</v>
      </c>
      <c r="L126" s="94">
        <f t="shared" si="3"/>
        <v>0.5</v>
      </c>
      <c r="N126"/>
      <c r="O126" s="8"/>
      <c r="P126"/>
      <c r="Q126" s="8"/>
    </row>
    <row r="127" spans="2:17" x14ac:dyDescent="0.25">
      <c r="B127" s="38">
        <v>1</v>
      </c>
      <c r="C127" s="39" t="s">
        <v>84</v>
      </c>
      <c r="D127" s="40" t="s">
        <v>85</v>
      </c>
      <c r="E127" s="219"/>
      <c r="F127" s="61" t="s">
        <v>133</v>
      </c>
      <c r="G127" s="62" t="s">
        <v>134</v>
      </c>
      <c r="H127" s="55">
        <v>24</v>
      </c>
      <c r="I127" s="55">
        <v>4</v>
      </c>
      <c r="J127" s="69">
        <f t="shared" si="2"/>
        <v>0.16666666666666666</v>
      </c>
      <c r="K127" s="90">
        <f>+I127+'MAYO 2025'!K127</f>
        <v>12</v>
      </c>
      <c r="L127" s="94">
        <f t="shared" si="3"/>
        <v>0.5</v>
      </c>
      <c r="N127"/>
      <c r="O127" s="8"/>
      <c r="P127"/>
      <c r="Q127" s="8"/>
    </row>
    <row r="128" spans="2:17" x14ac:dyDescent="0.25">
      <c r="B128" s="38">
        <v>1</v>
      </c>
      <c r="C128" s="39" t="s">
        <v>86</v>
      </c>
      <c r="D128" s="40" t="s">
        <v>87</v>
      </c>
      <c r="E128" s="219"/>
      <c r="F128" s="61" t="s">
        <v>135</v>
      </c>
      <c r="G128" s="62" t="s">
        <v>136</v>
      </c>
      <c r="H128" s="55">
        <v>16</v>
      </c>
      <c r="I128" s="55">
        <v>2</v>
      </c>
      <c r="J128" s="69">
        <f t="shared" si="2"/>
        <v>0.125</v>
      </c>
      <c r="K128" s="90">
        <f>+I128+'MAYO 2025'!K128</f>
        <v>8</v>
      </c>
      <c r="L128" s="94">
        <f t="shared" si="3"/>
        <v>0.5</v>
      </c>
      <c r="N128"/>
      <c r="O128" s="8"/>
      <c r="P128"/>
      <c r="Q128" s="8"/>
    </row>
    <row r="129" spans="2:17" x14ac:dyDescent="0.25">
      <c r="B129" s="38">
        <v>1</v>
      </c>
      <c r="C129" s="39" t="s">
        <v>89</v>
      </c>
      <c r="D129" s="40" t="s">
        <v>90</v>
      </c>
      <c r="E129" s="219"/>
      <c r="F129" s="61" t="s">
        <v>137</v>
      </c>
      <c r="G129" s="62" t="s">
        <v>130</v>
      </c>
      <c r="H129" s="55">
        <v>18</v>
      </c>
      <c r="I129" s="55">
        <v>3</v>
      </c>
      <c r="J129" s="69">
        <f t="shared" si="2"/>
        <v>0.16666666666666666</v>
      </c>
      <c r="K129" s="90">
        <f>+I129+'MAYO 2025'!K129</f>
        <v>9</v>
      </c>
      <c r="L129" s="94">
        <f t="shared" si="3"/>
        <v>0.5</v>
      </c>
      <c r="N129"/>
      <c r="O129" s="8"/>
      <c r="P129"/>
      <c r="Q129" s="8"/>
    </row>
    <row r="130" spans="2:17" s="16" customFormat="1" x14ac:dyDescent="0.25">
      <c r="B130" s="38">
        <v>1</v>
      </c>
      <c r="C130" s="39" t="s">
        <v>92</v>
      </c>
      <c r="D130" s="40" t="s">
        <v>93</v>
      </c>
      <c r="E130" s="219"/>
      <c r="F130" s="61" t="s">
        <v>138</v>
      </c>
      <c r="G130" s="62" t="s">
        <v>136</v>
      </c>
      <c r="H130" s="55">
        <v>16</v>
      </c>
      <c r="I130" s="55">
        <v>3</v>
      </c>
      <c r="J130" s="69">
        <f t="shared" si="2"/>
        <v>0.1875</v>
      </c>
      <c r="K130" s="90">
        <f>+I130+'MAYO 2025'!K130</f>
        <v>8</v>
      </c>
      <c r="L130" s="94">
        <f t="shared" si="3"/>
        <v>0.5</v>
      </c>
      <c r="N130" s="41"/>
      <c r="P130" s="41"/>
    </row>
    <row r="131" spans="2:17" x14ac:dyDescent="0.25">
      <c r="B131" s="38">
        <v>1</v>
      </c>
      <c r="C131" s="39" t="s">
        <v>95</v>
      </c>
      <c r="D131" s="40" t="s">
        <v>96</v>
      </c>
      <c r="E131" s="219"/>
      <c r="F131" s="61" t="s">
        <v>139</v>
      </c>
      <c r="G131" s="62" t="s">
        <v>129</v>
      </c>
      <c r="H131" s="68">
        <v>10</v>
      </c>
      <c r="I131" s="55">
        <v>2</v>
      </c>
      <c r="J131" s="69">
        <f t="shared" si="2"/>
        <v>0.2</v>
      </c>
      <c r="K131" s="90">
        <f>+I131+'MAYO 2025'!K131</f>
        <v>5</v>
      </c>
      <c r="L131" s="94">
        <f t="shared" si="3"/>
        <v>0.5</v>
      </c>
      <c r="N131"/>
      <c r="O131" s="8"/>
      <c r="P131"/>
      <c r="Q131" s="8"/>
    </row>
    <row r="132" spans="2:17" x14ac:dyDescent="0.25">
      <c r="B132" s="38">
        <v>2</v>
      </c>
      <c r="C132" s="39" t="s">
        <v>140</v>
      </c>
      <c r="D132" s="40" t="s">
        <v>141</v>
      </c>
      <c r="E132" s="219"/>
      <c r="F132" s="61" t="s">
        <v>135</v>
      </c>
      <c r="G132" s="62" t="s">
        <v>130</v>
      </c>
      <c r="H132" s="55">
        <v>14</v>
      </c>
      <c r="I132" s="55">
        <v>2</v>
      </c>
      <c r="J132" s="69">
        <f t="shared" si="2"/>
        <v>0.14285714285714285</v>
      </c>
      <c r="K132" s="90">
        <f>+I132+'MAYO 2025'!K132</f>
        <v>7</v>
      </c>
      <c r="L132" s="94">
        <f t="shared" si="3"/>
        <v>0.5</v>
      </c>
      <c r="N132"/>
      <c r="O132" s="8"/>
      <c r="P132"/>
      <c r="Q132" s="8"/>
    </row>
    <row r="133" spans="2:17" x14ac:dyDescent="0.25">
      <c r="B133" s="42">
        <v>2</v>
      </c>
      <c r="C133" s="43" t="s">
        <v>57</v>
      </c>
      <c r="D133" s="44" t="s">
        <v>58</v>
      </c>
      <c r="E133" s="220"/>
      <c r="F133" s="64" t="s">
        <v>54</v>
      </c>
      <c r="G133" s="65" t="s">
        <v>142</v>
      </c>
      <c r="H133" s="56">
        <v>20</v>
      </c>
      <c r="I133" s="56">
        <v>4</v>
      </c>
      <c r="J133" s="72">
        <f t="shared" si="2"/>
        <v>0.2</v>
      </c>
      <c r="K133" s="91">
        <f>+I133+'MAYO 2025'!K133</f>
        <v>10</v>
      </c>
      <c r="L133" s="96">
        <f t="shared" si="3"/>
        <v>0.5</v>
      </c>
      <c r="N133"/>
      <c r="O133" s="8"/>
      <c r="P133"/>
      <c r="Q133" s="8"/>
    </row>
    <row r="134" spans="2:17" x14ac:dyDescent="0.25">
      <c r="B134" s="35">
        <v>1</v>
      </c>
      <c r="C134" s="36" t="s">
        <v>144</v>
      </c>
      <c r="D134" s="37" t="s">
        <v>145</v>
      </c>
      <c r="E134" s="228" t="s">
        <v>205</v>
      </c>
      <c r="F134" s="61" t="s">
        <v>712</v>
      </c>
      <c r="G134" s="60" t="s">
        <v>541</v>
      </c>
      <c r="H134" s="66">
        <v>20</v>
      </c>
      <c r="I134" s="66">
        <v>5</v>
      </c>
      <c r="J134" s="69">
        <f t="shared" si="2"/>
        <v>0.25</v>
      </c>
      <c r="K134" s="103">
        <f>+I134+'MAYO 2025'!K134</f>
        <v>11</v>
      </c>
      <c r="L134" s="94">
        <f t="shared" si="3"/>
        <v>0.55000000000000004</v>
      </c>
      <c r="N134"/>
      <c r="O134" s="8"/>
      <c r="P134"/>
      <c r="Q134" s="8"/>
    </row>
    <row r="135" spans="2:17" x14ac:dyDescent="0.25">
      <c r="B135" s="38">
        <v>1</v>
      </c>
      <c r="C135" s="39" t="s">
        <v>74</v>
      </c>
      <c r="D135" s="40" t="s">
        <v>75</v>
      </c>
      <c r="E135" s="229"/>
      <c r="F135" s="61" t="s">
        <v>223</v>
      </c>
      <c r="G135" s="62" t="s">
        <v>542</v>
      </c>
      <c r="H135" s="68">
        <v>20</v>
      </c>
      <c r="I135" s="55">
        <v>4</v>
      </c>
      <c r="J135" s="69">
        <f t="shared" si="2"/>
        <v>0.2</v>
      </c>
      <c r="K135" s="90">
        <f>+I135+'MAYO 2025'!K135</f>
        <v>9</v>
      </c>
      <c r="L135" s="94">
        <f t="shared" si="3"/>
        <v>0.45</v>
      </c>
      <c r="N135"/>
      <c r="O135" s="8"/>
      <c r="P135"/>
      <c r="Q135" s="8"/>
    </row>
    <row r="136" spans="2:17" x14ac:dyDescent="0.25">
      <c r="B136" s="38">
        <v>1</v>
      </c>
      <c r="C136" s="39" t="s">
        <v>77</v>
      </c>
      <c r="D136" s="40" t="s">
        <v>78</v>
      </c>
      <c r="E136" s="229"/>
      <c r="F136" s="61" t="s">
        <v>713</v>
      </c>
      <c r="G136" s="63" t="s">
        <v>544</v>
      </c>
      <c r="H136" s="55">
        <v>20</v>
      </c>
      <c r="I136" s="70">
        <v>2</v>
      </c>
      <c r="J136" s="69">
        <f t="shared" si="2"/>
        <v>0.1</v>
      </c>
      <c r="K136" s="90">
        <f>+I136+'MAYO 2025'!K136</f>
        <v>6</v>
      </c>
      <c r="L136" s="94">
        <f t="shared" si="3"/>
        <v>0.3</v>
      </c>
      <c r="N136"/>
      <c r="O136" s="8"/>
      <c r="P136"/>
      <c r="Q136" s="8"/>
    </row>
    <row r="137" spans="2:17" x14ac:dyDescent="0.25">
      <c r="B137" s="38">
        <v>1</v>
      </c>
      <c r="C137" s="39" t="s">
        <v>79</v>
      </c>
      <c r="D137" s="40" t="s">
        <v>80</v>
      </c>
      <c r="E137" s="229"/>
      <c r="F137" s="61" t="s">
        <v>242</v>
      </c>
      <c r="G137" s="62" t="s">
        <v>545</v>
      </c>
      <c r="H137" s="55">
        <v>20</v>
      </c>
      <c r="I137" s="55">
        <v>4</v>
      </c>
      <c r="J137" s="69">
        <f t="shared" si="2"/>
        <v>0.2</v>
      </c>
      <c r="K137" s="90">
        <f>+I137+'MAYO 2025'!K137</f>
        <v>14</v>
      </c>
      <c r="L137" s="94">
        <f t="shared" si="3"/>
        <v>0.7</v>
      </c>
      <c r="N137"/>
      <c r="O137" s="8"/>
      <c r="P137"/>
      <c r="Q137" s="8"/>
    </row>
    <row r="138" spans="2:17" x14ac:dyDescent="0.25">
      <c r="B138" s="38">
        <v>1</v>
      </c>
      <c r="C138" s="39" t="s">
        <v>82</v>
      </c>
      <c r="D138" s="40" t="s">
        <v>83</v>
      </c>
      <c r="E138" s="229"/>
      <c r="F138" s="61" t="s">
        <v>172</v>
      </c>
      <c r="G138" s="62" t="s">
        <v>172</v>
      </c>
      <c r="H138" s="55">
        <v>2</v>
      </c>
      <c r="I138" s="55">
        <v>0</v>
      </c>
      <c r="J138" s="69">
        <f t="shared" si="2"/>
        <v>0</v>
      </c>
      <c r="K138" s="90">
        <f>+I138+'MAYO 2025'!K138</f>
        <v>2</v>
      </c>
      <c r="L138" s="94">
        <f t="shared" si="3"/>
        <v>1</v>
      </c>
      <c r="N138"/>
      <c r="O138" s="8"/>
      <c r="P138"/>
      <c r="Q138" s="8"/>
    </row>
    <row r="139" spans="2:17" x14ac:dyDescent="0.25">
      <c r="B139" s="38">
        <v>1</v>
      </c>
      <c r="C139" s="39" t="s">
        <v>84</v>
      </c>
      <c r="D139" s="40" t="s">
        <v>85</v>
      </c>
      <c r="E139" s="229"/>
      <c r="F139" s="61" t="s">
        <v>201</v>
      </c>
      <c r="G139" s="62" t="s">
        <v>32</v>
      </c>
      <c r="H139" s="55">
        <v>40</v>
      </c>
      <c r="I139" s="55">
        <v>5</v>
      </c>
      <c r="J139" s="69">
        <f t="shared" si="2"/>
        <v>0.125</v>
      </c>
      <c r="K139" s="90">
        <f>+I139+'MAYO 2025'!K139</f>
        <v>15</v>
      </c>
      <c r="L139" s="94">
        <f t="shared" si="3"/>
        <v>0.375</v>
      </c>
      <c r="N139"/>
      <c r="O139" s="8"/>
      <c r="P139"/>
      <c r="Q139" s="8"/>
    </row>
    <row r="140" spans="2:17" x14ac:dyDescent="0.25">
      <c r="B140" s="38">
        <v>1</v>
      </c>
      <c r="C140" s="39" t="s">
        <v>86</v>
      </c>
      <c r="D140" s="40" t="s">
        <v>87</v>
      </c>
      <c r="E140" s="229"/>
      <c r="F140" s="40" t="s">
        <v>172</v>
      </c>
      <c r="G140" s="62" t="s">
        <v>172</v>
      </c>
      <c r="H140" s="55">
        <v>2</v>
      </c>
      <c r="I140" s="55">
        <v>0</v>
      </c>
      <c r="J140" s="69">
        <f t="shared" si="2"/>
        <v>0</v>
      </c>
      <c r="K140" s="90">
        <f>+I140+'MAYO 2025'!K140</f>
        <v>2</v>
      </c>
      <c r="L140" s="94">
        <f t="shared" si="3"/>
        <v>1</v>
      </c>
      <c r="N140"/>
      <c r="O140" s="8"/>
      <c r="P140"/>
      <c r="Q140" s="8"/>
    </row>
    <row r="141" spans="2:17" x14ac:dyDescent="0.25">
      <c r="B141" s="38">
        <v>1</v>
      </c>
      <c r="C141" s="39" t="s">
        <v>89</v>
      </c>
      <c r="D141" s="40" t="s">
        <v>90</v>
      </c>
      <c r="E141" s="229"/>
      <c r="F141" s="61" t="s">
        <v>276</v>
      </c>
      <c r="G141" s="62" t="s">
        <v>546</v>
      </c>
      <c r="H141" s="55">
        <v>8</v>
      </c>
      <c r="I141" s="55">
        <v>3</v>
      </c>
      <c r="J141" s="69">
        <f t="shared" si="2"/>
        <v>0.375</v>
      </c>
      <c r="K141" s="90">
        <f>+I141+'MAYO 2025'!K141</f>
        <v>7</v>
      </c>
      <c r="L141" s="94">
        <f t="shared" si="3"/>
        <v>0.875</v>
      </c>
      <c r="N141"/>
      <c r="O141" s="8"/>
      <c r="P141"/>
      <c r="Q141" s="8"/>
    </row>
    <row r="142" spans="2:17" s="16" customFormat="1" x14ac:dyDescent="0.25">
      <c r="B142" s="38">
        <v>1</v>
      </c>
      <c r="C142" s="39" t="s">
        <v>92</v>
      </c>
      <c r="D142" s="40" t="s">
        <v>93</v>
      </c>
      <c r="E142" s="229"/>
      <c r="F142" s="1" t="s">
        <v>547</v>
      </c>
      <c r="G142" s="62" t="s">
        <v>548</v>
      </c>
      <c r="H142" s="68">
        <v>15</v>
      </c>
      <c r="I142" s="55">
        <v>3</v>
      </c>
      <c r="J142" s="69">
        <f t="shared" si="2"/>
        <v>0.2</v>
      </c>
      <c r="K142" s="90">
        <f>+I142+'MAYO 2025'!K142</f>
        <v>7</v>
      </c>
      <c r="L142" s="94">
        <f t="shared" si="3"/>
        <v>0.46666666666666667</v>
      </c>
      <c r="N142" s="41"/>
      <c r="P142" s="41"/>
    </row>
    <row r="143" spans="2:17" x14ac:dyDescent="0.25">
      <c r="B143" s="38">
        <v>1</v>
      </c>
      <c r="C143" s="39" t="s">
        <v>146</v>
      </c>
      <c r="D143" s="40" t="s">
        <v>147</v>
      </c>
      <c r="E143" s="229"/>
      <c r="F143" s="61" t="s">
        <v>182</v>
      </c>
      <c r="G143" s="62" t="s">
        <v>32</v>
      </c>
      <c r="H143" s="55">
        <v>5</v>
      </c>
      <c r="I143" s="55">
        <v>1</v>
      </c>
      <c r="J143" s="69">
        <f t="shared" ref="J143:J206" si="4">IFERROR(I143/H143,0)</f>
        <v>0.2</v>
      </c>
      <c r="K143" s="90">
        <f>+I143+'MAYO 2025'!K143</f>
        <v>5</v>
      </c>
      <c r="L143" s="94">
        <f t="shared" ref="L143:L206" si="5">IFERROR(K143/H143,0)</f>
        <v>1</v>
      </c>
      <c r="N143"/>
      <c r="O143" s="8"/>
      <c r="P143"/>
      <c r="Q143" s="8"/>
    </row>
    <row r="144" spans="2:17" x14ac:dyDescent="0.25">
      <c r="B144" s="38">
        <v>1</v>
      </c>
      <c r="C144" s="39" t="s">
        <v>95</v>
      </c>
      <c r="D144" s="40" t="s">
        <v>96</v>
      </c>
      <c r="E144" s="229"/>
      <c r="F144" s="61" t="s">
        <v>218</v>
      </c>
      <c r="G144" s="63" t="s">
        <v>549</v>
      </c>
      <c r="H144" s="55">
        <v>13</v>
      </c>
      <c r="I144" s="70">
        <v>2</v>
      </c>
      <c r="J144" s="69">
        <f t="shared" si="4"/>
        <v>0.15384615384615385</v>
      </c>
      <c r="K144" s="90">
        <f>+I144+'MAYO 2025'!K144</f>
        <v>6</v>
      </c>
      <c r="L144" s="94">
        <f t="shared" si="5"/>
        <v>0.46153846153846156</v>
      </c>
      <c r="N144"/>
      <c r="O144" s="8"/>
      <c r="P144"/>
      <c r="Q144" s="8"/>
    </row>
    <row r="145" spans="2:17" x14ac:dyDescent="0.25">
      <c r="B145" s="42">
        <v>8</v>
      </c>
      <c r="C145" s="43" t="s">
        <v>148</v>
      </c>
      <c r="D145" s="44" t="s">
        <v>141</v>
      </c>
      <c r="E145" s="230"/>
      <c r="F145" s="64" t="s">
        <v>202</v>
      </c>
      <c r="G145" s="65" t="s">
        <v>550</v>
      </c>
      <c r="H145" s="56">
        <v>15</v>
      </c>
      <c r="I145" s="56">
        <v>1</v>
      </c>
      <c r="J145" s="72">
        <f t="shared" si="4"/>
        <v>6.6666666666666666E-2</v>
      </c>
      <c r="K145" s="91">
        <f>+I145+'MAYO 2025'!K145</f>
        <v>6</v>
      </c>
      <c r="L145" s="96">
        <f t="shared" si="5"/>
        <v>0.4</v>
      </c>
      <c r="N145"/>
      <c r="O145" s="8"/>
      <c r="P145"/>
      <c r="Q145" s="8"/>
    </row>
    <row r="146" spans="2:17" x14ac:dyDescent="0.25">
      <c r="B146" s="35">
        <v>3</v>
      </c>
      <c r="C146" s="36" t="s">
        <v>43</v>
      </c>
      <c r="D146" s="37" t="s">
        <v>44</v>
      </c>
      <c r="E146" s="235" t="s">
        <v>239</v>
      </c>
      <c r="F146" s="59" t="s">
        <v>45</v>
      </c>
      <c r="G146" s="77" t="s">
        <v>551</v>
      </c>
      <c r="H146" s="66">
        <v>16</v>
      </c>
      <c r="I146" s="66">
        <v>2</v>
      </c>
      <c r="J146" s="69">
        <f t="shared" si="4"/>
        <v>0.125</v>
      </c>
      <c r="K146" s="103">
        <f>+I146+'MAYO 2025'!K146</f>
        <v>8</v>
      </c>
      <c r="L146" s="94">
        <f t="shared" si="5"/>
        <v>0.5</v>
      </c>
      <c r="N146"/>
      <c r="O146" s="8"/>
      <c r="P146"/>
      <c r="Q146" s="8"/>
    </row>
    <row r="147" spans="2:17" x14ac:dyDescent="0.25">
      <c r="B147" s="38">
        <v>3</v>
      </c>
      <c r="C147" s="39" t="s">
        <v>149</v>
      </c>
      <c r="D147" s="40" t="s">
        <v>150</v>
      </c>
      <c r="E147" s="236"/>
      <c r="F147" s="61" t="s">
        <v>48</v>
      </c>
      <c r="G147" s="78" t="s">
        <v>552</v>
      </c>
      <c r="H147" s="68">
        <v>17</v>
      </c>
      <c r="I147" s="55">
        <v>3</v>
      </c>
      <c r="J147" s="69">
        <f t="shared" si="4"/>
        <v>0.17647058823529413</v>
      </c>
      <c r="K147" s="90">
        <f>+I147+'MAYO 2025'!K147</f>
        <v>8</v>
      </c>
      <c r="L147" s="94">
        <f t="shared" si="5"/>
        <v>0.47058823529411764</v>
      </c>
      <c r="N147"/>
      <c r="O147" s="8"/>
      <c r="P147"/>
      <c r="Q147" s="8"/>
    </row>
    <row r="148" spans="2:17" x14ac:dyDescent="0.25">
      <c r="B148" s="38">
        <v>3</v>
      </c>
      <c r="C148" s="39" t="s">
        <v>46</v>
      </c>
      <c r="D148" s="40" t="s">
        <v>47</v>
      </c>
      <c r="E148" s="236"/>
      <c r="F148" s="61" t="s">
        <v>48</v>
      </c>
      <c r="G148" s="79" t="s">
        <v>553</v>
      </c>
      <c r="H148" s="55">
        <v>16</v>
      </c>
      <c r="I148" s="70">
        <v>3</v>
      </c>
      <c r="J148" s="69">
        <f t="shared" si="4"/>
        <v>0.1875</v>
      </c>
      <c r="K148" s="90">
        <f>+I148+'MAYO 2025'!K148</f>
        <v>8</v>
      </c>
      <c r="L148" s="94">
        <f t="shared" si="5"/>
        <v>0.5</v>
      </c>
      <c r="N148"/>
      <c r="O148" s="8"/>
      <c r="P148"/>
      <c r="Q148" s="8"/>
    </row>
    <row r="149" spans="2:17" x14ac:dyDescent="0.25">
      <c r="B149" s="38">
        <v>3</v>
      </c>
      <c r="C149" s="39" t="s">
        <v>98</v>
      </c>
      <c r="D149" s="40" t="s">
        <v>99</v>
      </c>
      <c r="E149" s="236"/>
      <c r="F149" s="61" t="s">
        <v>48</v>
      </c>
      <c r="G149" s="78" t="s">
        <v>554</v>
      </c>
      <c r="H149" s="55">
        <v>17</v>
      </c>
      <c r="I149" s="55">
        <v>3</v>
      </c>
      <c r="J149" s="69">
        <f t="shared" si="4"/>
        <v>0.17647058823529413</v>
      </c>
      <c r="K149" s="90">
        <f>+I149+'MAYO 2025'!K149</f>
        <v>10</v>
      </c>
      <c r="L149" s="94">
        <f t="shared" si="5"/>
        <v>0.58823529411764708</v>
      </c>
      <c r="N149"/>
      <c r="O149" s="8"/>
      <c r="P149"/>
      <c r="Q149" s="8"/>
    </row>
    <row r="150" spans="2:17" x14ac:dyDescent="0.25">
      <c r="B150" s="38">
        <v>3</v>
      </c>
      <c r="C150" s="39" t="s">
        <v>49</v>
      </c>
      <c r="D150" s="40" t="s">
        <v>50</v>
      </c>
      <c r="E150" s="236"/>
      <c r="F150" s="61" t="s">
        <v>51</v>
      </c>
      <c r="G150" s="78" t="s">
        <v>555</v>
      </c>
      <c r="H150" s="55">
        <v>16</v>
      </c>
      <c r="I150" s="55">
        <v>3</v>
      </c>
      <c r="J150" s="69">
        <f t="shared" si="4"/>
        <v>0.1875</v>
      </c>
      <c r="K150" s="90">
        <f>+I150+'MAYO 2025'!K150</f>
        <v>8</v>
      </c>
      <c r="L150" s="94">
        <f t="shared" si="5"/>
        <v>0.5</v>
      </c>
      <c r="N150"/>
      <c r="O150" s="8"/>
      <c r="P150"/>
      <c r="Q150" s="8"/>
    </row>
    <row r="151" spans="2:17" x14ac:dyDescent="0.25">
      <c r="B151" s="38">
        <v>3</v>
      </c>
      <c r="C151" s="39" t="s">
        <v>52</v>
      </c>
      <c r="D151" s="40" t="s">
        <v>53</v>
      </c>
      <c r="E151" s="236"/>
      <c r="F151" s="61" t="s">
        <v>54</v>
      </c>
      <c r="G151" s="78" t="s">
        <v>556</v>
      </c>
      <c r="H151" s="55">
        <v>17</v>
      </c>
      <c r="I151" s="55">
        <v>3</v>
      </c>
      <c r="J151" s="69">
        <f t="shared" si="4"/>
        <v>0.17647058823529413</v>
      </c>
      <c r="K151" s="90">
        <f>+I151+'MAYO 2025'!K151</f>
        <v>9</v>
      </c>
      <c r="L151" s="94">
        <f t="shared" si="5"/>
        <v>0.52941176470588236</v>
      </c>
      <c r="N151"/>
      <c r="O151" s="8"/>
      <c r="P151"/>
      <c r="Q151" s="8"/>
    </row>
    <row r="152" spans="2:17" x14ac:dyDescent="0.25">
      <c r="B152" s="38">
        <v>3</v>
      </c>
      <c r="C152" s="39" t="s">
        <v>55</v>
      </c>
      <c r="D152" s="40" t="s">
        <v>56</v>
      </c>
      <c r="E152" s="236"/>
      <c r="F152" s="61" t="s">
        <v>54</v>
      </c>
      <c r="G152" s="78" t="s">
        <v>557</v>
      </c>
      <c r="H152" s="55">
        <v>16</v>
      </c>
      <c r="I152" s="55">
        <v>2</v>
      </c>
      <c r="J152" s="69">
        <f t="shared" si="4"/>
        <v>0.125</v>
      </c>
      <c r="K152" s="90">
        <f>+I152+'MAYO 2025'!K152</f>
        <v>8</v>
      </c>
      <c r="L152" s="94">
        <f t="shared" si="5"/>
        <v>0.5</v>
      </c>
      <c r="N152"/>
      <c r="O152" s="8"/>
      <c r="P152"/>
      <c r="Q152" s="8"/>
    </row>
    <row r="153" spans="2:17" s="16" customFormat="1" x14ac:dyDescent="0.25">
      <c r="B153" s="38">
        <v>5</v>
      </c>
      <c r="C153" s="39" t="s">
        <v>151</v>
      </c>
      <c r="D153" s="40" t="s">
        <v>152</v>
      </c>
      <c r="E153" s="236"/>
      <c r="F153" s="61" t="s">
        <v>48</v>
      </c>
      <c r="G153" s="78" t="s">
        <v>558</v>
      </c>
      <c r="H153" s="55">
        <v>16</v>
      </c>
      <c r="I153" s="55">
        <v>3</v>
      </c>
      <c r="J153" s="69">
        <f t="shared" si="4"/>
        <v>0.1875</v>
      </c>
      <c r="K153" s="90">
        <f>+I153+'MAYO 2025'!K153</f>
        <v>7</v>
      </c>
      <c r="L153" s="94">
        <f t="shared" si="5"/>
        <v>0.4375</v>
      </c>
      <c r="N153" s="41"/>
      <c r="P153" s="41"/>
    </row>
    <row r="154" spans="2:17" x14ac:dyDescent="0.25">
      <c r="B154" s="38">
        <v>5</v>
      </c>
      <c r="C154" s="39" t="s">
        <v>57</v>
      </c>
      <c r="D154" s="40" t="s">
        <v>58</v>
      </c>
      <c r="E154" s="236"/>
      <c r="F154" s="61" t="s">
        <v>54</v>
      </c>
      <c r="G154" s="78" t="s">
        <v>559</v>
      </c>
      <c r="H154" s="68">
        <v>16</v>
      </c>
      <c r="I154" s="55">
        <v>3</v>
      </c>
      <c r="J154" s="69">
        <f t="shared" si="4"/>
        <v>0.1875</v>
      </c>
      <c r="K154" s="90">
        <f>+I154+'MAYO 2025'!K154</f>
        <v>9</v>
      </c>
      <c r="L154" s="94">
        <f t="shared" si="5"/>
        <v>0.5625</v>
      </c>
      <c r="N154"/>
      <c r="O154" s="8"/>
      <c r="P154"/>
      <c r="Q154" s="8"/>
    </row>
    <row r="155" spans="2:17" x14ac:dyDescent="0.25">
      <c r="B155" s="38">
        <v>5</v>
      </c>
      <c r="C155" s="39" t="s">
        <v>59</v>
      </c>
      <c r="D155" s="40" t="s">
        <v>60</v>
      </c>
      <c r="E155" s="236"/>
      <c r="F155" s="61" t="s">
        <v>54</v>
      </c>
      <c r="G155" s="78" t="s">
        <v>560</v>
      </c>
      <c r="H155" s="55">
        <v>16</v>
      </c>
      <c r="I155" s="55">
        <v>3</v>
      </c>
      <c r="J155" s="69">
        <f t="shared" si="4"/>
        <v>0.1875</v>
      </c>
      <c r="K155" s="90">
        <f>+I155+'MAYO 2025'!K155</f>
        <v>8</v>
      </c>
      <c r="L155" s="94">
        <f t="shared" si="5"/>
        <v>0.5</v>
      </c>
      <c r="N155"/>
      <c r="O155" s="8"/>
      <c r="P155"/>
      <c r="Q155" s="8"/>
    </row>
    <row r="156" spans="2:17" x14ac:dyDescent="0.25">
      <c r="B156" s="42">
        <v>8</v>
      </c>
      <c r="C156" s="43" t="s">
        <v>61</v>
      </c>
      <c r="D156" s="44" t="s">
        <v>62</v>
      </c>
      <c r="E156" s="237"/>
      <c r="F156" s="64" t="s">
        <v>63</v>
      </c>
      <c r="G156" s="80" t="s">
        <v>561</v>
      </c>
      <c r="H156" s="56">
        <v>17</v>
      </c>
      <c r="I156" s="56">
        <v>2</v>
      </c>
      <c r="J156" s="72">
        <f t="shared" si="4"/>
        <v>0.11764705882352941</v>
      </c>
      <c r="K156" s="91">
        <f>+I156+'MAYO 2025'!K156</f>
        <v>7</v>
      </c>
      <c r="L156" s="96">
        <f t="shared" si="5"/>
        <v>0.41176470588235292</v>
      </c>
      <c r="N156"/>
      <c r="O156" s="8"/>
      <c r="P156"/>
      <c r="Q156" s="8"/>
    </row>
    <row r="157" spans="2:17" x14ac:dyDescent="0.25">
      <c r="B157" s="35">
        <v>3</v>
      </c>
      <c r="C157" s="36" t="s">
        <v>43</v>
      </c>
      <c r="D157" s="37" t="s">
        <v>44</v>
      </c>
      <c r="E157" s="218" t="s">
        <v>157</v>
      </c>
      <c r="F157" s="59" t="s">
        <v>45</v>
      </c>
      <c r="G157" s="77" t="s">
        <v>723</v>
      </c>
      <c r="H157" s="66">
        <v>27</v>
      </c>
      <c r="I157" s="66">
        <v>3</v>
      </c>
      <c r="J157" s="69">
        <f t="shared" si="4"/>
        <v>0.1111111111111111</v>
      </c>
      <c r="K157" s="103">
        <f>+I157+'MAYO 2025'!K157</f>
        <v>9</v>
      </c>
      <c r="L157" s="94">
        <f t="shared" si="5"/>
        <v>0.33333333333333331</v>
      </c>
      <c r="N157"/>
      <c r="O157" s="8"/>
      <c r="P157"/>
      <c r="Q157" s="8"/>
    </row>
    <row r="158" spans="2:17" x14ac:dyDescent="0.25">
      <c r="B158" s="38">
        <v>3</v>
      </c>
      <c r="C158" s="39" t="s">
        <v>153</v>
      </c>
      <c r="D158" s="40" t="s">
        <v>154</v>
      </c>
      <c r="E158" s="219"/>
      <c r="F158" s="61" t="s">
        <v>159</v>
      </c>
      <c r="G158" s="79" t="s">
        <v>288</v>
      </c>
      <c r="H158" s="55">
        <v>27</v>
      </c>
      <c r="I158" s="55">
        <v>3</v>
      </c>
      <c r="J158" s="69">
        <f t="shared" si="4"/>
        <v>0.1111111111111111</v>
      </c>
      <c r="K158" s="90">
        <f>+I158+'MAYO 2025'!K158</f>
        <v>9</v>
      </c>
      <c r="L158" s="94">
        <f t="shared" si="5"/>
        <v>0.33333333333333331</v>
      </c>
      <c r="N158"/>
      <c r="O158" s="8"/>
      <c r="P158"/>
      <c r="Q158" s="8"/>
    </row>
    <row r="159" spans="2:17" x14ac:dyDescent="0.25">
      <c r="B159" s="38">
        <v>3</v>
      </c>
      <c r="C159" s="39" t="s">
        <v>46</v>
      </c>
      <c r="D159" s="40" t="s">
        <v>47</v>
      </c>
      <c r="E159" s="219"/>
      <c r="F159" s="61" t="s">
        <v>48</v>
      </c>
      <c r="G159" s="78" t="s">
        <v>289</v>
      </c>
      <c r="H159" s="55">
        <v>27</v>
      </c>
      <c r="I159" s="55">
        <v>3</v>
      </c>
      <c r="J159" s="69">
        <f t="shared" si="4"/>
        <v>0.1111111111111111</v>
      </c>
      <c r="K159" s="90">
        <f>+I159+'MAYO 2025'!K159</f>
        <v>9</v>
      </c>
      <c r="L159" s="94">
        <f t="shared" si="5"/>
        <v>0.33333333333333331</v>
      </c>
      <c r="N159"/>
      <c r="O159" s="8"/>
      <c r="P159"/>
      <c r="Q159" s="8"/>
    </row>
    <row r="160" spans="2:17" x14ac:dyDescent="0.25">
      <c r="B160" s="38">
        <v>3</v>
      </c>
      <c r="C160" s="39" t="s">
        <v>98</v>
      </c>
      <c r="D160" s="40" t="s">
        <v>99</v>
      </c>
      <c r="E160" s="219"/>
      <c r="F160" s="61" t="s">
        <v>48</v>
      </c>
      <c r="G160" s="78" t="s">
        <v>723</v>
      </c>
      <c r="H160" s="55">
        <v>27</v>
      </c>
      <c r="I160" s="55">
        <v>3</v>
      </c>
      <c r="J160" s="69">
        <f t="shared" si="4"/>
        <v>0.1111111111111111</v>
      </c>
      <c r="K160" s="90">
        <f>+I160+'MAYO 2025'!K160</f>
        <v>9</v>
      </c>
      <c r="L160" s="94">
        <f t="shared" si="5"/>
        <v>0.33333333333333331</v>
      </c>
      <c r="N160"/>
      <c r="O160" s="8"/>
      <c r="P160"/>
      <c r="Q160" s="8"/>
    </row>
    <row r="161" spans="2:17" s="16" customFormat="1" x14ac:dyDescent="0.25">
      <c r="B161" s="38">
        <v>3</v>
      </c>
      <c r="C161" s="39" t="s">
        <v>49</v>
      </c>
      <c r="D161" s="40" t="s">
        <v>50</v>
      </c>
      <c r="E161" s="219"/>
      <c r="F161" s="61" t="s">
        <v>51</v>
      </c>
      <c r="G161" s="78" t="s">
        <v>155</v>
      </c>
      <c r="H161" s="55">
        <v>27</v>
      </c>
      <c r="I161" s="55">
        <v>3</v>
      </c>
      <c r="J161" s="69">
        <f t="shared" si="4"/>
        <v>0.1111111111111111</v>
      </c>
      <c r="K161" s="90">
        <f>+I161+'MAYO 2025'!K161</f>
        <v>9</v>
      </c>
      <c r="L161" s="94">
        <f t="shared" si="5"/>
        <v>0.33333333333333331</v>
      </c>
      <c r="N161" s="41"/>
      <c r="P161" s="41"/>
    </row>
    <row r="162" spans="2:17" x14ac:dyDescent="0.25">
      <c r="B162" s="38">
        <v>3</v>
      </c>
      <c r="C162" s="39" t="s">
        <v>52</v>
      </c>
      <c r="D162" s="40" t="s">
        <v>53</v>
      </c>
      <c r="E162" s="219"/>
      <c r="F162" s="61" t="s">
        <v>54</v>
      </c>
      <c r="G162" s="78" t="s">
        <v>167</v>
      </c>
      <c r="H162" s="55">
        <v>27</v>
      </c>
      <c r="I162" s="55">
        <v>3</v>
      </c>
      <c r="J162" s="69">
        <f t="shared" si="4"/>
        <v>0.1111111111111111</v>
      </c>
      <c r="K162" s="90">
        <f>+I162+'MAYO 2025'!K162</f>
        <v>9</v>
      </c>
      <c r="L162" s="94">
        <f t="shared" si="5"/>
        <v>0.33333333333333331</v>
      </c>
      <c r="N162"/>
      <c r="O162" s="8"/>
      <c r="P162"/>
      <c r="Q162" s="8"/>
    </row>
    <row r="163" spans="2:17" x14ac:dyDescent="0.25">
      <c r="B163" s="38">
        <v>3</v>
      </c>
      <c r="C163" s="39" t="s">
        <v>55</v>
      </c>
      <c r="D163" s="40" t="s">
        <v>56</v>
      </c>
      <c r="E163" s="219"/>
      <c r="F163" s="61" t="s">
        <v>54</v>
      </c>
      <c r="G163" s="78" t="s">
        <v>168</v>
      </c>
      <c r="H163" s="55">
        <v>27</v>
      </c>
      <c r="I163" s="55">
        <v>3</v>
      </c>
      <c r="J163" s="69">
        <f t="shared" si="4"/>
        <v>0.1111111111111111</v>
      </c>
      <c r="K163" s="90">
        <f>+I163+'MAYO 2025'!K163</f>
        <v>9</v>
      </c>
      <c r="L163" s="94">
        <f t="shared" si="5"/>
        <v>0.33333333333333331</v>
      </c>
      <c r="N163"/>
      <c r="O163" s="8"/>
      <c r="P163"/>
      <c r="Q163" s="8"/>
    </row>
    <row r="164" spans="2:17" x14ac:dyDescent="0.25">
      <c r="B164" s="38">
        <v>5</v>
      </c>
      <c r="C164" s="39" t="s">
        <v>57</v>
      </c>
      <c r="D164" s="40" t="s">
        <v>58</v>
      </c>
      <c r="E164" s="219"/>
      <c r="F164" s="61" t="s">
        <v>54</v>
      </c>
      <c r="G164" s="78" t="s">
        <v>155</v>
      </c>
      <c r="H164" s="68">
        <v>27</v>
      </c>
      <c r="I164" s="55">
        <v>3</v>
      </c>
      <c r="J164" s="69">
        <f t="shared" si="4"/>
        <v>0.1111111111111111</v>
      </c>
      <c r="K164" s="90">
        <f>+I164+'MAYO 2025'!K164</f>
        <v>9</v>
      </c>
      <c r="L164" s="94">
        <f t="shared" si="5"/>
        <v>0.33333333333333331</v>
      </c>
      <c r="N164"/>
      <c r="O164" s="8"/>
      <c r="P164"/>
      <c r="Q164" s="8"/>
    </row>
    <row r="165" spans="2:17" x14ac:dyDescent="0.25">
      <c r="B165" s="38">
        <v>5</v>
      </c>
      <c r="C165" s="39" t="s">
        <v>59</v>
      </c>
      <c r="D165" s="40" t="s">
        <v>60</v>
      </c>
      <c r="E165" s="219"/>
      <c r="F165" s="61" t="s">
        <v>54</v>
      </c>
      <c r="G165" s="78" t="s">
        <v>723</v>
      </c>
      <c r="H165" s="55">
        <v>27</v>
      </c>
      <c r="I165" s="55">
        <v>3</v>
      </c>
      <c r="J165" s="69">
        <f t="shared" si="4"/>
        <v>0.1111111111111111</v>
      </c>
      <c r="K165" s="90">
        <f>+I165+'MAYO 2025'!K165</f>
        <v>9</v>
      </c>
      <c r="L165" s="94">
        <f t="shared" si="5"/>
        <v>0.33333333333333331</v>
      </c>
      <c r="N165"/>
      <c r="O165" s="8"/>
      <c r="P165"/>
      <c r="Q165" s="8"/>
    </row>
    <row r="166" spans="2:17" x14ac:dyDescent="0.25">
      <c r="B166" s="42">
        <v>8</v>
      </c>
      <c r="C166" s="43" t="s">
        <v>61</v>
      </c>
      <c r="D166" s="44" t="s">
        <v>62</v>
      </c>
      <c r="E166" s="220"/>
      <c r="F166" s="64" t="s">
        <v>63</v>
      </c>
      <c r="G166" s="80" t="s">
        <v>156</v>
      </c>
      <c r="H166" s="56">
        <v>27</v>
      </c>
      <c r="I166" s="56">
        <v>3</v>
      </c>
      <c r="J166" s="72">
        <f t="shared" si="4"/>
        <v>0.1111111111111111</v>
      </c>
      <c r="K166" s="91">
        <f>+I166+'MAYO 2025'!K166</f>
        <v>9</v>
      </c>
      <c r="L166" s="96">
        <f t="shared" si="5"/>
        <v>0.33333333333333331</v>
      </c>
      <c r="N166"/>
      <c r="O166" s="8"/>
      <c r="P166"/>
      <c r="Q166" s="8"/>
    </row>
    <row r="167" spans="2:17" x14ac:dyDescent="0.25">
      <c r="B167" s="35">
        <v>3</v>
      </c>
      <c r="C167" s="36" t="s">
        <v>43</v>
      </c>
      <c r="D167" s="37" t="s">
        <v>44</v>
      </c>
      <c r="E167" s="218" t="s">
        <v>158</v>
      </c>
      <c r="F167" s="59" t="s">
        <v>172</v>
      </c>
      <c r="G167" s="60" t="s">
        <v>172</v>
      </c>
      <c r="H167" s="66">
        <v>27</v>
      </c>
      <c r="I167" s="66"/>
      <c r="J167" s="69">
        <f t="shared" si="4"/>
        <v>0</v>
      </c>
      <c r="K167" s="103">
        <f>+I167+'MAYO 2025'!K167</f>
        <v>9</v>
      </c>
      <c r="L167" s="94">
        <f t="shared" si="5"/>
        <v>0.33333333333333331</v>
      </c>
      <c r="N167"/>
      <c r="O167" s="8"/>
      <c r="P167"/>
      <c r="Q167" s="8"/>
    </row>
    <row r="168" spans="2:17" x14ac:dyDescent="0.25">
      <c r="B168" s="38">
        <v>3</v>
      </c>
      <c r="C168" s="39" t="s">
        <v>153</v>
      </c>
      <c r="D168" s="40" t="s">
        <v>154</v>
      </c>
      <c r="E168" s="219"/>
      <c r="F168" s="131" t="s">
        <v>224</v>
      </c>
      <c r="G168" s="62" t="s">
        <v>714</v>
      </c>
      <c r="H168" s="68">
        <v>27</v>
      </c>
      <c r="I168" s="55">
        <v>9</v>
      </c>
      <c r="J168" s="69">
        <f t="shared" si="4"/>
        <v>0.33333333333333331</v>
      </c>
      <c r="K168" s="90">
        <f>+I168+'MAYO 2025'!K168</f>
        <v>9</v>
      </c>
      <c r="L168" s="94">
        <f t="shared" si="5"/>
        <v>0.33333333333333331</v>
      </c>
      <c r="N168"/>
      <c r="O168" s="8"/>
      <c r="P168"/>
      <c r="Q168" s="8"/>
    </row>
    <row r="169" spans="2:17" x14ac:dyDescent="0.25">
      <c r="B169" s="38">
        <v>3</v>
      </c>
      <c r="C169" s="39" t="s">
        <v>46</v>
      </c>
      <c r="D169" s="40" t="s">
        <v>47</v>
      </c>
      <c r="E169" s="219"/>
      <c r="F169" s="61" t="s">
        <v>715</v>
      </c>
      <c r="G169" s="63" t="s">
        <v>716</v>
      </c>
      <c r="H169" s="55">
        <v>27</v>
      </c>
      <c r="I169" s="70">
        <v>3</v>
      </c>
      <c r="J169" s="69">
        <f t="shared" si="4"/>
        <v>0.1111111111111111</v>
      </c>
      <c r="K169" s="90">
        <f>+I169+'MAYO 2025'!K169</f>
        <v>9</v>
      </c>
      <c r="L169" s="94">
        <f t="shared" si="5"/>
        <v>0.33333333333333331</v>
      </c>
      <c r="N169"/>
      <c r="O169" s="8"/>
      <c r="P169"/>
      <c r="Q169" s="8"/>
    </row>
    <row r="170" spans="2:17" x14ac:dyDescent="0.25">
      <c r="B170" s="38">
        <v>3</v>
      </c>
      <c r="C170" s="39" t="s">
        <v>98</v>
      </c>
      <c r="D170" s="40" t="s">
        <v>99</v>
      </c>
      <c r="E170" s="219"/>
      <c r="F170" s="61" t="s">
        <v>717</v>
      </c>
      <c r="G170" s="63" t="s">
        <v>718</v>
      </c>
      <c r="H170" s="55">
        <v>27</v>
      </c>
      <c r="I170" s="55">
        <v>6</v>
      </c>
      <c r="J170" s="69">
        <f t="shared" si="4"/>
        <v>0.22222222222222221</v>
      </c>
      <c r="K170" s="90">
        <f>+I170+'MAYO 2025'!K170</f>
        <v>9</v>
      </c>
      <c r="L170" s="94">
        <f t="shared" si="5"/>
        <v>0.33333333333333331</v>
      </c>
      <c r="N170"/>
      <c r="O170" s="8"/>
      <c r="P170"/>
      <c r="Q170" s="8"/>
    </row>
    <row r="171" spans="2:17" s="16" customFormat="1" x14ac:dyDescent="0.25">
      <c r="B171" s="38">
        <v>3</v>
      </c>
      <c r="C171" s="39" t="s">
        <v>49</v>
      </c>
      <c r="D171" s="40" t="s">
        <v>50</v>
      </c>
      <c r="E171" s="219"/>
      <c r="F171" s="61" t="s">
        <v>719</v>
      </c>
      <c r="G171" s="63" t="s">
        <v>720</v>
      </c>
      <c r="H171" s="55">
        <v>27</v>
      </c>
      <c r="I171" s="55">
        <v>1</v>
      </c>
      <c r="J171" s="69">
        <f t="shared" si="4"/>
        <v>3.7037037037037035E-2</v>
      </c>
      <c r="K171" s="90">
        <f>+I171+'MAYO 2025'!K171</f>
        <v>9</v>
      </c>
      <c r="L171" s="94">
        <f t="shared" si="5"/>
        <v>0.33333333333333331</v>
      </c>
      <c r="N171" s="41"/>
      <c r="P171" s="41"/>
    </row>
    <row r="172" spans="2:17" x14ac:dyDescent="0.25">
      <c r="B172" s="38">
        <v>3</v>
      </c>
      <c r="C172" s="39" t="s">
        <v>52</v>
      </c>
      <c r="D172" s="40" t="s">
        <v>53</v>
      </c>
      <c r="E172" s="219"/>
      <c r="F172" s="61" t="s">
        <v>172</v>
      </c>
      <c r="G172" s="63" t="s">
        <v>172</v>
      </c>
      <c r="H172" s="55">
        <v>27</v>
      </c>
      <c r="I172" s="55"/>
      <c r="J172" s="69">
        <f t="shared" si="4"/>
        <v>0</v>
      </c>
      <c r="K172" s="90">
        <f>+I172+'MAYO 2025'!K172</f>
        <v>9</v>
      </c>
      <c r="L172" s="94">
        <f t="shared" si="5"/>
        <v>0.33333333333333331</v>
      </c>
      <c r="N172"/>
      <c r="O172" s="8"/>
      <c r="P172"/>
      <c r="Q172" s="8"/>
    </row>
    <row r="173" spans="2:17" x14ac:dyDescent="0.25">
      <c r="B173" s="38">
        <v>3</v>
      </c>
      <c r="C173" s="39" t="s">
        <v>55</v>
      </c>
      <c r="D173" s="40" t="s">
        <v>56</v>
      </c>
      <c r="E173" s="219"/>
      <c r="F173" s="61" t="s">
        <v>721</v>
      </c>
      <c r="G173" s="63" t="s">
        <v>722</v>
      </c>
      <c r="H173" s="55">
        <v>27</v>
      </c>
      <c r="I173" s="55">
        <v>2</v>
      </c>
      <c r="J173" s="69">
        <f t="shared" si="4"/>
        <v>7.407407407407407E-2</v>
      </c>
      <c r="K173" s="90">
        <f>+I173+'MAYO 2025'!K173</f>
        <v>9</v>
      </c>
      <c r="L173" s="94">
        <f t="shared" si="5"/>
        <v>0.33333333333333331</v>
      </c>
      <c r="N173"/>
      <c r="O173" s="8"/>
      <c r="P173"/>
      <c r="Q173" s="8"/>
    </row>
    <row r="174" spans="2:17" x14ac:dyDescent="0.25">
      <c r="B174" s="38">
        <v>5</v>
      </c>
      <c r="C174" s="39" t="s">
        <v>57</v>
      </c>
      <c r="D174" s="40" t="s">
        <v>58</v>
      </c>
      <c r="E174" s="219"/>
      <c r="F174" s="61" t="s">
        <v>571</v>
      </c>
      <c r="G174" s="63" t="s">
        <v>572</v>
      </c>
      <c r="H174" s="55">
        <v>27</v>
      </c>
      <c r="I174" s="55">
        <v>9</v>
      </c>
      <c r="J174" s="69">
        <f t="shared" si="4"/>
        <v>0.33333333333333331</v>
      </c>
      <c r="K174" s="90">
        <f>+I174+'MAYO 2025'!K174</f>
        <v>9</v>
      </c>
      <c r="L174" s="94">
        <f t="shared" si="5"/>
        <v>0.33333333333333331</v>
      </c>
      <c r="N174"/>
      <c r="O174" s="8"/>
      <c r="P174"/>
      <c r="Q174" s="8"/>
    </row>
    <row r="175" spans="2:17" x14ac:dyDescent="0.25">
      <c r="B175" s="38">
        <v>5</v>
      </c>
      <c r="C175" s="39" t="s">
        <v>59</v>
      </c>
      <c r="D175" s="40" t="s">
        <v>60</v>
      </c>
      <c r="E175" s="219"/>
      <c r="F175" s="61" t="s">
        <v>172</v>
      </c>
      <c r="G175" s="63" t="s">
        <v>172</v>
      </c>
      <c r="H175" s="68">
        <v>27</v>
      </c>
      <c r="I175" s="55"/>
      <c r="J175" s="69">
        <f t="shared" si="4"/>
        <v>0</v>
      </c>
      <c r="K175" s="90">
        <f>+I175+'MAYO 2025'!K175</f>
        <v>9</v>
      </c>
      <c r="L175" s="94">
        <f t="shared" si="5"/>
        <v>0.33333333333333331</v>
      </c>
      <c r="N175"/>
      <c r="O175" s="8"/>
      <c r="P175"/>
      <c r="Q175" s="8"/>
    </row>
    <row r="176" spans="2:17" x14ac:dyDescent="0.25">
      <c r="B176" s="42">
        <v>8</v>
      </c>
      <c r="C176" s="43" t="s">
        <v>61</v>
      </c>
      <c r="D176" s="44" t="s">
        <v>62</v>
      </c>
      <c r="E176" s="220"/>
      <c r="F176" s="64" t="s">
        <v>172</v>
      </c>
      <c r="G176" s="65" t="s">
        <v>172</v>
      </c>
      <c r="H176" s="56">
        <v>27</v>
      </c>
      <c r="I176" s="56"/>
      <c r="J176" s="72">
        <f t="shared" si="4"/>
        <v>0</v>
      </c>
      <c r="K176" s="91">
        <f>+I176+'MAYO 2025'!K176</f>
        <v>9</v>
      </c>
      <c r="L176" s="96">
        <f t="shared" si="5"/>
        <v>0.33333333333333331</v>
      </c>
      <c r="N176"/>
      <c r="O176" s="8"/>
      <c r="P176"/>
      <c r="Q176" s="8"/>
    </row>
    <row r="177" spans="2:17" x14ac:dyDescent="0.25">
      <c r="B177" s="35">
        <v>3</v>
      </c>
      <c r="C177" s="36" t="s">
        <v>43</v>
      </c>
      <c r="D177" s="37" t="s">
        <v>44</v>
      </c>
      <c r="E177" s="218" t="s">
        <v>183</v>
      </c>
      <c r="F177" s="81" t="s">
        <v>724</v>
      </c>
      <c r="G177" s="63" t="s">
        <v>725</v>
      </c>
      <c r="H177" s="66">
        <v>45</v>
      </c>
      <c r="I177" s="66">
        <v>5</v>
      </c>
      <c r="J177" s="69">
        <f t="shared" si="4"/>
        <v>0.1111111111111111</v>
      </c>
      <c r="K177" s="103">
        <f>+I177+'MAYO 2025'!K177</f>
        <v>13</v>
      </c>
      <c r="L177" s="94">
        <f t="shared" si="5"/>
        <v>0.28888888888888886</v>
      </c>
      <c r="N177"/>
      <c r="O177" s="8"/>
      <c r="P177"/>
      <c r="Q177" s="8"/>
    </row>
    <row r="178" spans="2:17" x14ac:dyDescent="0.25">
      <c r="B178" s="38">
        <v>3</v>
      </c>
      <c r="C178" s="39" t="s">
        <v>46</v>
      </c>
      <c r="D178" s="40" t="s">
        <v>47</v>
      </c>
      <c r="E178" s="219"/>
      <c r="F178" s="82" t="s">
        <v>726</v>
      </c>
      <c r="G178" s="63" t="s">
        <v>725</v>
      </c>
      <c r="H178" s="68">
        <v>45</v>
      </c>
      <c r="I178" s="55">
        <v>5</v>
      </c>
      <c r="J178" s="69">
        <f t="shared" si="4"/>
        <v>0.1111111111111111</v>
      </c>
      <c r="K178" s="90">
        <f>+I178+'MAYO 2025'!K178</f>
        <v>15</v>
      </c>
      <c r="L178" s="94">
        <f t="shared" si="5"/>
        <v>0.33333333333333331</v>
      </c>
      <c r="N178"/>
      <c r="O178" s="8"/>
      <c r="P178"/>
      <c r="Q178" s="8"/>
    </row>
    <row r="179" spans="2:17" x14ac:dyDescent="0.25">
      <c r="B179" s="38">
        <v>3</v>
      </c>
      <c r="C179" s="39" t="s">
        <v>49</v>
      </c>
      <c r="D179" s="40" t="s">
        <v>50</v>
      </c>
      <c r="E179" s="219"/>
      <c r="F179" s="83" t="s">
        <v>51</v>
      </c>
      <c r="G179" s="63" t="s">
        <v>725</v>
      </c>
      <c r="H179" s="55">
        <v>40</v>
      </c>
      <c r="I179" s="70">
        <v>3</v>
      </c>
      <c r="J179" s="69">
        <f t="shared" si="4"/>
        <v>7.4999999999999997E-2</v>
      </c>
      <c r="K179" s="90">
        <f>+I179+'MAYO 2025'!K179</f>
        <v>14</v>
      </c>
      <c r="L179" s="94">
        <f t="shared" si="5"/>
        <v>0.35</v>
      </c>
      <c r="N179"/>
      <c r="O179" s="8"/>
      <c r="P179"/>
      <c r="Q179" s="8"/>
    </row>
    <row r="180" spans="2:17" x14ac:dyDescent="0.25">
      <c r="B180" s="38">
        <v>3</v>
      </c>
      <c r="C180" s="39" t="s">
        <v>52</v>
      </c>
      <c r="D180" s="40" t="s">
        <v>53</v>
      </c>
      <c r="E180" s="219"/>
      <c r="F180" s="82" t="s">
        <v>727</v>
      </c>
      <c r="G180" s="63" t="s">
        <v>728</v>
      </c>
      <c r="H180" s="55">
        <v>70</v>
      </c>
      <c r="I180" s="55">
        <v>7</v>
      </c>
      <c r="J180" s="69">
        <f t="shared" si="4"/>
        <v>0.1</v>
      </c>
      <c r="K180" s="90">
        <f>+I180+'MAYO 2025'!K180</f>
        <v>27</v>
      </c>
      <c r="L180" s="94">
        <f t="shared" si="5"/>
        <v>0.38571428571428573</v>
      </c>
      <c r="N180"/>
      <c r="O180" s="8"/>
      <c r="P180"/>
      <c r="Q180" s="8"/>
    </row>
    <row r="181" spans="2:17" x14ac:dyDescent="0.25">
      <c r="B181" s="42">
        <v>3</v>
      </c>
      <c r="C181" s="43" t="s">
        <v>55</v>
      </c>
      <c r="D181" s="44" t="s">
        <v>56</v>
      </c>
      <c r="E181" s="220"/>
      <c r="F181" s="84" t="s">
        <v>729</v>
      </c>
      <c r="G181" s="141">
        <v>45809</v>
      </c>
      <c r="H181" s="56">
        <v>70</v>
      </c>
      <c r="I181" s="56">
        <v>10</v>
      </c>
      <c r="J181" s="72">
        <f t="shared" si="4"/>
        <v>0.14285714285714285</v>
      </c>
      <c r="K181" s="91">
        <f>+I181+'MAYO 2025'!K181</f>
        <v>21</v>
      </c>
      <c r="L181" s="96">
        <f t="shared" si="5"/>
        <v>0.3</v>
      </c>
      <c r="N181"/>
      <c r="O181" s="8"/>
      <c r="P181"/>
      <c r="Q181" s="8"/>
    </row>
    <row r="182" spans="2:17" x14ac:dyDescent="0.25">
      <c r="B182" s="85">
        <v>3</v>
      </c>
      <c r="C182" s="105" t="s">
        <v>332</v>
      </c>
      <c r="D182" s="106" t="s">
        <v>333</v>
      </c>
      <c r="E182" s="238" t="s">
        <v>334</v>
      </c>
      <c r="F182" s="59" t="s">
        <v>730</v>
      </c>
      <c r="G182" s="60" t="s">
        <v>731</v>
      </c>
      <c r="H182" s="89">
        <v>30</v>
      </c>
      <c r="I182" s="89">
        <v>4</v>
      </c>
      <c r="J182" s="69">
        <f t="shared" si="4"/>
        <v>0.13333333333333333</v>
      </c>
      <c r="K182" s="103">
        <f>+I182+'MAYO 2025'!K182</f>
        <v>14</v>
      </c>
      <c r="L182" s="94">
        <f t="shared" si="5"/>
        <v>0.46666666666666667</v>
      </c>
      <c r="N182"/>
      <c r="O182" s="8"/>
      <c r="P182"/>
      <c r="Q182" s="8"/>
    </row>
    <row r="183" spans="2:17" x14ac:dyDescent="0.25">
      <c r="B183" s="86">
        <v>3</v>
      </c>
      <c r="C183" s="107" t="s">
        <v>52</v>
      </c>
      <c r="D183" s="108" t="s">
        <v>53</v>
      </c>
      <c r="E183" s="239"/>
      <c r="F183" s="61" t="s">
        <v>580</v>
      </c>
      <c r="G183" s="76" t="s">
        <v>581</v>
      </c>
      <c r="H183" s="2">
        <v>20</v>
      </c>
      <c r="I183" s="3">
        <v>3</v>
      </c>
      <c r="J183" s="69">
        <f t="shared" si="4"/>
        <v>0.15</v>
      </c>
      <c r="K183" s="90">
        <f>+I183+'MAYO 2025'!K183</f>
        <v>10</v>
      </c>
      <c r="L183" s="94">
        <f t="shared" si="5"/>
        <v>0.5</v>
      </c>
      <c r="N183"/>
      <c r="O183" s="8"/>
      <c r="P183"/>
      <c r="Q183" s="8"/>
    </row>
    <row r="184" spans="2:17" x14ac:dyDescent="0.25">
      <c r="B184" s="86">
        <v>3</v>
      </c>
      <c r="C184" s="107" t="s">
        <v>55</v>
      </c>
      <c r="D184" s="108" t="s">
        <v>56</v>
      </c>
      <c r="E184" s="239"/>
      <c r="F184" s="61" t="s">
        <v>337</v>
      </c>
      <c r="G184" s="62" t="s">
        <v>732</v>
      </c>
      <c r="H184" s="3">
        <v>20</v>
      </c>
      <c r="I184" s="4">
        <v>3</v>
      </c>
      <c r="J184" s="69">
        <f t="shared" si="4"/>
        <v>0.15</v>
      </c>
      <c r="K184" s="90">
        <f>+I184+'MAYO 2025'!K184</f>
        <v>10</v>
      </c>
      <c r="L184" s="94">
        <f t="shared" si="5"/>
        <v>0.5</v>
      </c>
      <c r="N184"/>
      <c r="O184" s="8"/>
      <c r="P184"/>
      <c r="Q184" s="8"/>
    </row>
    <row r="185" spans="2:17" x14ac:dyDescent="0.25">
      <c r="B185" s="86">
        <v>5</v>
      </c>
      <c r="C185" s="107" t="s">
        <v>57</v>
      </c>
      <c r="D185" s="108" t="s">
        <v>58</v>
      </c>
      <c r="E185" s="239"/>
      <c r="F185" s="61" t="s">
        <v>339</v>
      </c>
      <c r="G185" s="62" t="s">
        <v>340</v>
      </c>
      <c r="H185" s="3">
        <v>15</v>
      </c>
      <c r="I185" s="3">
        <v>3</v>
      </c>
      <c r="J185" s="69">
        <f t="shared" si="4"/>
        <v>0.2</v>
      </c>
      <c r="K185" s="90">
        <f>+I185+'MAYO 2025'!K185</f>
        <v>8</v>
      </c>
      <c r="L185" s="94">
        <f t="shared" si="5"/>
        <v>0.53333333333333333</v>
      </c>
      <c r="N185"/>
      <c r="O185" s="8"/>
      <c r="P185"/>
      <c r="Q185" s="8"/>
    </row>
    <row r="186" spans="2:17" x14ac:dyDescent="0.25">
      <c r="B186" s="86">
        <v>5</v>
      </c>
      <c r="C186" s="107" t="s">
        <v>59</v>
      </c>
      <c r="D186" s="108" t="s">
        <v>60</v>
      </c>
      <c r="E186" s="239"/>
      <c r="F186" s="62" t="s">
        <v>341</v>
      </c>
      <c r="G186" s="62"/>
      <c r="H186" s="3">
        <v>20</v>
      </c>
      <c r="I186" s="3">
        <v>4</v>
      </c>
      <c r="J186" s="69">
        <f t="shared" si="4"/>
        <v>0.2</v>
      </c>
      <c r="K186" s="90">
        <f>+I186+'MAYO 2025'!K186</f>
        <v>11</v>
      </c>
      <c r="L186" s="94">
        <f t="shared" si="5"/>
        <v>0.55000000000000004</v>
      </c>
      <c r="N186"/>
      <c r="O186" s="8"/>
      <c r="P186"/>
      <c r="Q186" s="8"/>
    </row>
    <row r="187" spans="2:17" x14ac:dyDescent="0.25">
      <c r="B187" s="86">
        <v>8</v>
      </c>
      <c r="C187" s="107" t="s">
        <v>61</v>
      </c>
      <c r="D187" s="108" t="s">
        <v>62</v>
      </c>
      <c r="E187" s="239"/>
      <c r="F187" s="62" t="s">
        <v>342</v>
      </c>
      <c r="G187" s="62" t="s">
        <v>343</v>
      </c>
      <c r="H187" s="3">
        <v>15</v>
      </c>
      <c r="I187" s="3">
        <v>3</v>
      </c>
      <c r="J187" s="69">
        <f t="shared" si="4"/>
        <v>0.2</v>
      </c>
      <c r="K187" s="90">
        <f>+I187+'MAYO 2025'!K187</f>
        <v>7</v>
      </c>
      <c r="L187" s="94">
        <f t="shared" si="5"/>
        <v>0.46666666666666667</v>
      </c>
      <c r="N187"/>
      <c r="O187" s="8"/>
      <c r="P187"/>
      <c r="Q187" s="8"/>
    </row>
    <row r="188" spans="2:17" x14ac:dyDescent="0.25">
      <c r="B188" s="86">
        <v>8</v>
      </c>
      <c r="C188" s="107" t="s">
        <v>344</v>
      </c>
      <c r="D188" s="108" t="s">
        <v>345</v>
      </c>
      <c r="E188" s="239"/>
      <c r="F188" s="61" t="s">
        <v>583</v>
      </c>
      <c r="G188" s="62" t="s">
        <v>584</v>
      </c>
      <c r="H188" s="3">
        <v>20</v>
      </c>
      <c r="I188" s="3">
        <v>3</v>
      </c>
      <c r="J188" s="69">
        <f t="shared" si="4"/>
        <v>0.15</v>
      </c>
      <c r="K188" s="90">
        <f>+I188+'MAYO 2025'!K188</f>
        <v>10</v>
      </c>
      <c r="L188" s="94">
        <f t="shared" si="5"/>
        <v>0.5</v>
      </c>
      <c r="N188"/>
      <c r="O188" s="8"/>
      <c r="P188"/>
      <c r="Q188" s="8"/>
    </row>
    <row r="189" spans="2:17" x14ac:dyDescent="0.25">
      <c r="B189" s="86">
        <v>8</v>
      </c>
      <c r="C189" s="107" t="s">
        <v>346</v>
      </c>
      <c r="D189" s="108" t="s">
        <v>347</v>
      </c>
      <c r="E189" s="239"/>
      <c r="F189" s="62" t="s">
        <v>348</v>
      </c>
      <c r="G189" s="62" t="s">
        <v>585</v>
      </c>
      <c r="H189" s="3">
        <v>20</v>
      </c>
      <c r="I189" s="3">
        <v>4</v>
      </c>
      <c r="J189" s="69">
        <f t="shared" si="4"/>
        <v>0.2</v>
      </c>
      <c r="K189" s="90">
        <f>+I189+'MAYO 2025'!K189</f>
        <v>10</v>
      </c>
      <c r="L189" s="94">
        <f t="shared" si="5"/>
        <v>0.5</v>
      </c>
      <c r="N189"/>
      <c r="O189" s="8"/>
      <c r="P189"/>
      <c r="Q189" s="8"/>
    </row>
    <row r="190" spans="2:17" x14ac:dyDescent="0.25">
      <c r="B190" s="87">
        <v>8</v>
      </c>
      <c r="C190" s="109" t="s">
        <v>349</v>
      </c>
      <c r="D190" s="110" t="s">
        <v>350</v>
      </c>
      <c r="E190" s="227"/>
      <c r="F190" s="64" t="s">
        <v>232</v>
      </c>
      <c r="G190" s="63" t="s">
        <v>109</v>
      </c>
      <c r="H190" s="97">
        <v>20</v>
      </c>
      <c r="I190" s="97">
        <v>3</v>
      </c>
      <c r="J190" s="72">
        <f t="shared" si="4"/>
        <v>0.15</v>
      </c>
      <c r="K190" s="91">
        <f>+I190+'MAYO 2025'!K190</f>
        <v>10</v>
      </c>
      <c r="L190" s="96">
        <f t="shared" si="5"/>
        <v>0.5</v>
      </c>
      <c r="N190"/>
      <c r="O190" s="8"/>
      <c r="P190"/>
      <c r="Q190" s="8"/>
    </row>
    <row r="191" spans="2:17" x14ac:dyDescent="0.25">
      <c r="B191" s="85">
        <v>3</v>
      </c>
      <c r="C191" s="105" t="s">
        <v>43</v>
      </c>
      <c r="D191" s="106" t="s">
        <v>44</v>
      </c>
      <c r="E191" s="232" t="s">
        <v>353</v>
      </c>
      <c r="F191" s="59" t="s">
        <v>733</v>
      </c>
      <c r="G191" s="60" t="s">
        <v>734</v>
      </c>
      <c r="H191" s="89">
        <v>18</v>
      </c>
      <c r="I191" s="89">
        <v>3</v>
      </c>
      <c r="J191" s="69">
        <f t="shared" si="4"/>
        <v>0.16666666666666666</v>
      </c>
      <c r="K191" s="103">
        <f>+I191+'MAYO 2025'!K191</f>
        <v>9</v>
      </c>
      <c r="L191" s="94">
        <f t="shared" si="5"/>
        <v>0.5</v>
      </c>
      <c r="N191"/>
      <c r="O191" s="8"/>
      <c r="P191"/>
      <c r="Q191" s="8"/>
    </row>
    <row r="192" spans="2:17" x14ac:dyDescent="0.25">
      <c r="B192" s="86">
        <v>3</v>
      </c>
      <c r="C192" s="107" t="s">
        <v>46</v>
      </c>
      <c r="D192" s="108" t="s">
        <v>47</v>
      </c>
      <c r="E192" s="232"/>
      <c r="F192" s="61" t="s">
        <v>735</v>
      </c>
      <c r="G192" s="63" t="s">
        <v>734</v>
      </c>
      <c r="H192" s="2">
        <v>18</v>
      </c>
      <c r="I192" s="3">
        <v>3</v>
      </c>
      <c r="J192" s="69">
        <f t="shared" si="4"/>
        <v>0.16666666666666666</v>
      </c>
      <c r="K192" s="90">
        <f>+I192+'MAYO 2025'!K192</f>
        <v>9</v>
      </c>
      <c r="L192" s="94">
        <f t="shared" si="5"/>
        <v>0.5</v>
      </c>
      <c r="N192"/>
      <c r="O192" s="8"/>
      <c r="P192"/>
      <c r="Q192" s="8"/>
    </row>
    <row r="193" spans="2:17" x14ac:dyDescent="0.25">
      <c r="B193" s="86">
        <v>3</v>
      </c>
      <c r="C193" s="107" t="s">
        <v>98</v>
      </c>
      <c r="D193" s="108" t="s">
        <v>99</v>
      </c>
      <c r="E193" s="232"/>
      <c r="F193" s="61" t="s">
        <v>736</v>
      </c>
      <c r="G193" s="62" t="s">
        <v>734</v>
      </c>
      <c r="H193" s="3">
        <v>24</v>
      </c>
      <c r="I193" s="3">
        <v>4</v>
      </c>
      <c r="J193" s="69">
        <f t="shared" si="4"/>
        <v>0.16666666666666666</v>
      </c>
      <c r="K193" s="90">
        <f>+I193+'MAYO 2025'!K193</f>
        <v>12</v>
      </c>
      <c r="L193" s="94">
        <f t="shared" si="5"/>
        <v>0.5</v>
      </c>
      <c r="N193"/>
      <c r="O193" s="8"/>
      <c r="P193"/>
      <c r="Q193" s="8"/>
    </row>
    <row r="194" spans="2:17" x14ac:dyDescent="0.25">
      <c r="B194" s="86">
        <v>3</v>
      </c>
      <c r="C194" s="107" t="s">
        <v>49</v>
      </c>
      <c r="D194" s="108" t="s">
        <v>50</v>
      </c>
      <c r="E194" s="232"/>
      <c r="F194" s="61" t="s">
        <v>737</v>
      </c>
      <c r="G194" s="62" t="s">
        <v>734</v>
      </c>
      <c r="H194" s="3">
        <v>24</v>
      </c>
      <c r="I194" s="3">
        <v>4</v>
      </c>
      <c r="J194" s="69">
        <f t="shared" si="4"/>
        <v>0.16666666666666666</v>
      </c>
      <c r="K194" s="90">
        <f>+I194+'MAYO 2025'!K194</f>
        <v>12</v>
      </c>
      <c r="L194" s="94">
        <f t="shared" si="5"/>
        <v>0.5</v>
      </c>
      <c r="N194"/>
      <c r="O194" s="8"/>
      <c r="P194"/>
      <c r="Q194" s="8"/>
    </row>
    <row r="195" spans="2:17" x14ac:dyDescent="0.25">
      <c r="B195" s="86">
        <v>3</v>
      </c>
      <c r="C195" s="107" t="s">
        <v>52</v>
      </c>
      <c r="D195" s="108" t="s">
        <v>53</v>
      </c>
      <c r="E195" s="232"/>
      <c r="F195" s="61" t="s">
        <v>738</v>
      </c>
      <c r="G195" s="62" t="s">
        <v>734</v>
      </c>
      <c r="H195" s="3">
        <v>24</v>
      </c>
      <c r="I195" s="3">
        <v>4</v>
      </c>
      <c r="J195" s="69">
        <f t="shared" si="4"/>
        <v>0.16666666666666666</v>
      </c>
      <c r="K195" s="90">
        <f>+I195+'MAYO 2025'!K195</f>
        <v>12</v>
      </c>
      <c r="L195" s="94">
        <f t="shared" si="5"/>
        <v>0.5</v>
      </c>
      <c r="N195"/>
      <c r="O195" s="8"/>
      <c r="P195"/>
      <c r="Q195" s="8"/>
    </row>
    <row r="196" spans="2:17" x14ac:dyDescent="0.25">
      <c r="B196" s="86">
        <v>3</v>
      </c>
      <c r="C196" s="107" t="s">
        <v>55</v>
      </c>
      <c r="D196" s="108" t="s">
        <v>56</v>
      </c>
      <c r="E196" s="232"/>
      <c r="F196" s="61" t="s">
        <v>739</v>
      </c>
      <c r="G196" s="62" t="s">
        <v>734</v>
      </c>
      <c r="H196" s="3">
        <v>24</v>
      </c>
      <c r="I196" s="3">
        <v>4</v>
      </c>
      <c r="J196" s="69">
        <f t="shared" si="4"/>
        <v>0.16666666666666666</v>
      </c>
      <c r="K196" s="90">
        <f>+I196+'MAYO 2025'!K196</f>
        <v>12</v>
      </c>
      <c r="L196" s="94">
        <f t="shared" si="5"/>
        <v>0.5</v>
      </c>
      <c r="N196"/>
      <c r="O196" s="8"/>
      <c r="P196"/>
      <c r="Q196" s="8"/>
    </row>
    <row r="197" spans="2:17" x14ac:dyDescent="0.25">
      <c r="B197" s="86">
        <v>5</v>
      </c>
      <c r="C197" s="107" t="s">
        <v>57</v>
      </c>
      <c r="D197" s="108" t="s">
        <v>58</v>
      </c>
      <c r="E197" s="232"/>
      <c r="F197" s="61" t="s">
        <v>740</v>
      </c>
      <c r="G197" s="62" t="s">
        <v>734</v>
      </c>
      <c r="H197" s="3">
        <v>24</v>
      </c>
      <c r="I197" s="3">
        <v>4</v>
      </c>
      <c r="J197" s="69">
        <f t="shared" si="4"/>
        <v>0.16666666666666666</v>
      </c>
      <c r="K197" s="90">
        <f>+I197+'MAYO 2025'!K197</f>
        <v>12</v>
      </c>
      <c r="L197" s="94">
        <f t="shared" si="5"/>
        <v>0.5</v>
      </c>
      <c r="N197"/>
      <c r="O197" s="8"/>
      <c r="P197"/>
      <c r="Q197" s="8"/>
    </row>
    <row r="198" spans="2:17" x14ac:dyDescent="0.25">
      <c r="B198" s="87">
        <v>8</v>
      </c>
      <c r="C198" s="109" t="s">
        <v>61</v>
      </c>
      <c r="D198" s="110" t="s">
        <v>62</v>
      </c>
      <c r="E198" s="232"/>
      <c r="F198" s="64" t="s">
        <v>741</v>
      </c>
      <c r="G198" s="65" t="s">
        <v>734</v>
      </c>
      <c r="H198" s="97">
        <v>24</v>
      </c>
      <c r="I198" s="97">
        <v>4</v>
      </c>
      <c r="J198" s="72">
        <f t="shared" si="4"/>
        <v>0.16666666666666666</v>
      </c>
      <c r="K198" s="91">
        <f>+I198+'MAYO 2025'!K198</f>
        <v>12</v>
      </c>
      <c r="L198" s="96">
        <f t="shared" si="5"/>
        <v>0.5</v>
      </c>
      <c r="N198"/>
      <c r="O198" s="8"/>
      <c r="P198"/>
      <c r="Q198" s="8"/>
    </row>
    <row r="199" spans="2:17" x14ac:dyDescent="0.25">
      <c r="B199" s="85">
        <v>2</v>
      </c>
      <c r="C199" s="105" t="s">
        <v>356</v>
      </c>
      <c r="D199" s="106" t="s">
        <v>357</v>
      </c>
      <c r="E199" s="226" t="s">
        <v>359</v>
      </c>
      <c r="F199" s="59" t="s">
        <v>358</v>
      </c>
      <c r="G199" s="60" t="s">
        <v>742</v>
      </c>
      <c r="H199" s="89">
        <v>60</v>
      </c>
      <c r="I199" s="89">
        <v>10</v>
      </c>
      <c r="J199" s="69">
        <f t="shared" si="4"/>
        <v>0.16666666666666666</v>
      </c>
      <c r="K199" s="103">
        <f>+I199+'MAYO 2025'!K199</f>
        <v>27</v>
      </c>
      <c r="L199" s="94">
        <f t="shared" si="5"/>
        <v>0.45</v>
      </c>
      <c r="N199"/>
      <c r="O199" s="8"/>
      <c r="P199"/>
      <c r="Q199" s="8"/>
    </row>
    <row r="200" spans="2:17" x14ac:dyDescent="0.25">
      <c r="B200" s="86">
        <v>2</v>
      </c>
      <c r="C200" s="107" t="s">
        <v>360</v>
      </c>
      <c r="D200" s="108" t="s">
        <v>361</v>
      </c>
      <c r="E200" s="226"/>
      <c r="F200" s="61" t="s">
        <v>743</v>
      </c>
      <c r="G200" s="62" t="s">
        <v>742</v>
      </c>
      <c r="H200" s="2">
        <v>40</v>
      </c>
      <c r="I200" s="3">
        <v>9</v>
      </c>
      <c r="J200" s="69">
        <f t="shared" si="4"/>
        <v>0.22500000000000001</v>
      </c>
      <c r="K200" s="90">
        <f>+I200+'MAYO 2025'!K200</f>
        <v>19</v>
      </c>
      <c r="L200" s="94">
        <f t="shared" si="5"/>
        <v>0.47499999999999998</v>
      </c>
      <c r="N200"/>
      <c r="O200" s="8"/>
      <c r="P200"/>
      <c r="Q200" s="8"/>
    </row>
    <row r="201" spans="2:17" x14ac:dyDescent="0.25">
      <c r="B201" s="86">
        <v>2</v>
      </c>
      <c r="C201" s="107" t="s">
        <v>363</v>
      </c>
      <c r="D201" s="108" t="s">
        <v>364</v>
      </c>
      <c r="E201" s="226"/>
      <c r="F201" s="61" t="s">
        <v>172</v>
      </c>
      <c r="G201" s="63" t="s">
        <v>172</v>
      </c>
      <c r="H201" s="3">
        <v>10</v>
      </c>
      <c r="I201" s="4">
        <v>0</v>
      </c>
      <c r="J201" s="69">
        <f t="shared" si="4"/>
        <v>0</v>
      </c>
      <c r="K201" s="90">
        <f>+I201+'MAYO 2025'!K201</f>
        <v>10</v>
      </c>
      <c r="L201" s="94">
        <f t="shared" si="5"/>
        <v>1</v>
      </c>
      <c r="N201"/>
      <c r="O201" s="8"/>
      <c r="P201"/>
      <c r="Q201" s="8"/>
    </row>
    <row r="202" spans="2:17" x14ac:dyDescent="0.25">
      <c r="B202" s="86">
        <v>2</v>
      </c>
      <c r="C202" s="107" t="s">
        <v>366</v>
      </c>
      <c r="D202" s="108" t="s">
        <v>367</v>
      </c>
      <c r="E202" s="226"/>
      <c r="F202" s="61" t="s">
        <v>597</v>
      </c>
      <c r="G202" s="62" t="s">
        <v>742</v>
      </c>
      <c r="H202" s="3">
        <v>10</v>
      </c>
      <c r="I202" s="3">
        <v>3</v>
      </c>
      <c r="J202" s="69">
        <f t="shared" si="4"/>
        <v>0.3</v>
      </c>
      <c r="K202" s="90">
        <f>+I202+'MAYO 2025'!K202</f>
        <v>10</v>
      </c>
      <c r="L202" s="94">
        <f t="shared" si="5"/>
        <v>1</v>
      </c>
      <c r="N202"/>
      <c r="O202" s="8"/>
      <c r="P202"/>
      <c r="Q202" s="8"/>
    </row>
    <row r="203" spans="2:17" x14ac:dyDescent="0.25">
      <c r="B203" s="86">
        <v>2</v>
      </c>
      <c r="C203" s="107" t="s">
        <v>368</v>
      </c>
      <c r="D203" s="108" t="s">
        <v>369</v>
      </c>
      <c r="E203" s="226"/>
      <c r="F203" s="61" t="s">
        <v>172</v>
      </c>
      <c r="G203" s="62" t="s">
        <v>172</v>
      </c>
      <c r="H203" s="3">
        <v>10</v>
      </c>
      <c r="I203" s="3">
        <v>0</v>
      </c>
      <c r="J203" s="69">
        <f t="shared" si="4"/>
        <v>0</v>
      </c>
      <c r="K203" s="90">
        <f>+I203+'MAYO 2025'!K203</f>
        <v>7</v>
      </c>
      <c r="L203" s="94">
        <f t="shared" si="5"/>
        <v>0.7</v>
      </c>
      <c r="N203"/>
      <c r="O203" s="8"/>
      <c r="P203"/>
      <c r="Q203" s="8"/>
    </row>
    <row r="204" spans="2:17" x14ac:dyDescent="0.25">
      <c r="B204" s="86">
        <v>2</v>
      </c>
      <c r="C204" s="107" t="s">
        <v>140</v>
      </c>
      <c r="D204" s="108" t="s">
        <v>141</v>
      </c>
      <c r="E204" s="226"/>
      <c r="F204" s="61" t="s">
        <v>744</v>
      </c>
      <c r="G204" s="62" t="s">
        <v>742</v>
      </c>
      <c r="H204" s="3">
        <v>20</v>
      </c>
      <c r="I204" s="3">
        <v>8</v>
      </c>
      <c r="J204" s="69">
        <f t="shared" si="4"/>
        <v>0.4</v>
      </c>
      <c r="K204" s="90">
        <f>+I204+'MAYO 2025'!K204</f>
        <v>13</v>
      </c>
      <c r="L204" s="94">
        <f t="shared" si="5"/>
        <v>0.65</v>
      </c>
      <c r="N204"/>
      <c r="O204" s="8"/>
      <c r="P204"/>
      <c r="Q204" s="8"/>
    </row>
    <row r="205" spans="2:17" x14ac:dyDescent="0.25">
      <c r="B205" s="86">
        <v>2</v>
      </c>
      <c r="C205" s="107" t="s">
        <v>371</v>
      </c>
      <c r="D205" s="108" t="s">
        <v>372</v>
      </c>
      <c r="E205" s="226"/>
      <c r="F205" s="61" t="s">
        <v>172</v>
      </c>
      <c r="G205" s="62" t="s">
        <v>172</v>
      </c>
      <c r="H205" s="3">
        <v>10</v>
      </c>
      <c r="I205" s="3">
        <v>0</v>
      </c>
      <c r="J205" s="69">
        <f t="shared" si="4"/>
        <v>0</v>
      </c>
      <c r="K205" s="90">
        <f>+I205+'MAYO 2025'!K205</f>
        <v>2</v>
      </c>
      <c r="L205" s="94">
        <f t="shared" si="5"/>
        <v>0.2</v>
      </c>
      <c r="N205"/>
      <c r="O205" s="8"/>
      <c r="P205"/>
      <c r="Q205" s="8"/>
    </row>
    <row r="206" spans="2:17" x14ac:dyDescent="0.25">
      <c r="B206" s="87">
        <v>2</v>
      </c>
      <c r="C206" s="109" t="s">
        <v>374</v>
      </c>
      <c r="D206" s="110" t="s">
        <v>375</v>
      </c>
      <c r="E206" s="226"/>
      <c r="F206" s="64" t="s">
        <v>172</v>
      </c>
      <c r="G206" s="65" t="s">
        <v>172</v>
      </c>
      <c r="H206" s="97">
        <v>20</v>
      </c>
      <c r="I206" s="97">
        <v>0</v>
      </c>
      <c r="J206" s="72">
        <f t="shared" si="4"/>
        <v>0</v>
      </c>
      <c r="K206" s="91">
        <f>+I206+'MAYO 2025'!K206</f>
        <v>2</v>
      </c>
      <c r="L206" s="96">
        <f t="shared" si="5"/>
        <v>0.1</v>
      </c>
      <c r="N206"/>
      <c r="O206" s="8"/>
      <c r="P206"/>
      <c r="Q206" s="8"/>
    </row>
    <row r="207" spans="2:17" x14ac:dyDescent="0.25">
      <c r="B207" s="88">
        <v>1</v>
      </c>
      <c r="C207" s="111" t="s">
        <v>230</v>
      </c>
      <c r="D207" s="112" t="s">
        <v>377</v>
      </c>
      <c r="E207" s="226" t="s">
        <v>745</v>
      </c>
      <c r="F207" s="59" t="s">
        <v>599</v>
      </c>
      <c r="G207" s="60" t="s">
        <v>600</v>
      </c>
      <c r="H207" s="66">
        <v>30</v>
      </c>
      <c r="I207" s="66">
        <v>2</v>
      </c>
      <c r="J207" s="69">
        <f t="shared" ref="J207:J268" si="6">IFERROR(I207/H207,0)</f>
        <v>6.6666666666666666E-2</v>
      </c>
      <c r="K207" s="103">
        <f>+I207+'MAYO 2025'!K207</f>
        <v>13</v>
      </c>
      <c r="L207" s="94">
        <f t="shared" ref="L207:L268" si="7">IFERROR(K207/H207,0)</f>
        <v>0.43333333333333335</v>
      </c>
      <c r="N207"/>
      <c r="O207" s="8"/>
      <c r="P207"/>
      <c r="Q207" s="8"/>
    </row>
    <row r="208" spans="2:17" x14ac:dyDescent="0.25">
      <c r="B208" s="86">
        <v>1</v>
      </c>
      <c r="C208" s="107" t="s">
        <v>74</v>
      </c>
      <c r="D208" s="108" t="s">
        <v>226</v>
      </c>
      <c r="E208" s="226"/>
      <c r="F208" s="61" t="s">
        <v>601</v>
      </c>
      <c r="G208" s="62" t="s">
        <v>602</v>
      </c>
      <c r="H208" s="68">
        <v>30</v>
      </c>
      <c r="I208" s="55">
        <v>2</v>
      </c>
      <c r="J208" s="69">
        <f t="shared" si="6"/>
        <v>6.6666666666666666E-2</v>
      </c>
      <c r="K208" s="90">
        <f>+I208+'MAYO 2025'!K208</f>
        <v>14</v>
      </c>
      <c r="L208" s="94">
        <f t="shared" si="7"/>
        <v>0.46666666666666667</v>
      </c>
      <c r="N208"/>
      <c r="O208" s="8"/>
      <c r="P208"/>
      <c r="Q208" s="8"/>
    </row>
    <row r="209" spans="2:17" x14ac:dyDescent="0.25">
      <c r="B209" s="86">
        <v>1</v>
      </c>
      <c r="C209" s="107" t="s">
        <v>77</v>
      </c>
      <c r="D209" s="108" t="s">
        <v>78</v>
      </c>
      <c r="E209" s="226"/>
      <c r="F209" s="61" t="s">
        <v>746</v>
      </c>
      <c r="G209" s="63" t="s">
        <v>747</v>
      </c>
      <c r="H209" s="55">
        <v>30</v>
      </c>
      <c r="I209" s="70">
        <v>8</v>
      </c>
      <c r="J209" s="69">
        <f t="shared" si="6"/>
        <v>0.26666666666666666</v>
      </c>
      <c r="K209" s="90">
        <f>+I209+'MAYO 2025'!K209</f>
        <v>14</v>
      </c>
      <c r="L209" s="94">
        <f t="shared" si="7"/>
        <v>0.46666666666666667</v>
      </c>
      <c r="N209"/>
      <c r="O209" s="8"/>
      <c r="P209"/>
      <c r="Q209" s="8"/>
    </row>
    <row r="210" spans="2:17" x14ac:dyDescent="0.25">
      <c r="B210" s="86">
        <v>1</v>
      </c>
      <c r="C210" s="107" t="s">
        <v>89</v>
      </c>
      <c r="D210" s="108" t="s">
        <v>90</v>
      </c>
      <c r="E210" s="226"/>
      <c r="F210" s="61" t="s">
        <v>748</v>
      </c>
      <c r="G210" s="62" t="s">
        <v>747</v>
      </c>
      <c r="H210" s="55">
        <v>30</v>
      </c>
      <c r="I210" s="55">
        <v>4</v>
      </c>
      <c r="J210" s="69">
        <f t="shared" si="6"/>
        <v>0.13333333333333333</v>
      </c>
      <c r="K210" s="90">
        <f>+I210+'MAYO 2025'!K210</f>
        <v>10</v>
      </c>
      <c r="L210" s="94">
        <f t="shared" si="7"/>
        <v>0.33333333333333331</v>
      </c>
      <c r="N210"/>
      <c r="O210" s="8"/>
      <c r="P210"/>
      <c r="Q210" s="8"/>
    </row>
    <row r="211" spans="2:17" x14ac:dyDescent="0.25">
      <c r="B211" s="86">
        <v>1</v>
      </c>
      <c r="C211" s="107" t="s">
        <v>379</v>
      </c>
      <c r="D211" s="108" t="s">
        <v>380</v>
      </c>
      <c r="E211" s="226"/>
      <c r="F211" s="61" t="s">
        <v>749</v>
      </c>
      <c r="G211" s="62" t="s">
        <v>750</v>
      </c>
      <c r="H211" s="55">
        <v>30</v>
      </c>
      <c r="I211" s="55">
        <v>7</v>
      </c>
      <c r="J211" s="69">
        <f t="shared" si="6"/>
        <v>0.23333333333333334</v>
      </c>
      <c r="K211" s="90">
        <f>+I211+'MAYO 2025'!K211</f>
        <v>23</v>
      </c>
      <c r="L211" s="94">
        <f t="shared" si="7"/>
        <v>0.76666666666666672</v>
      </c>
      <c r="N211"/>
      <c r="O211" s="8"/>
      <c r="P211"/>
      <c r="Q211" s="8"/>
    </row>
    <row r="212" spans="2:17" x14ac:dyDescent="0.25">
      <c r="B212" s="87">
        <v>2</v>
      </c>
      <c r="C212" s="109" t="s">
        <v>360</v>
      </c>
      <c r="D212" s="110" t="s">
        <v>361</v>
      </c>
      <c r="E212" s="226"/>
      <c r="F212" s="64" t="s">
        <v>751</v>
      </c>
      <c r="G212" s="65" t="s">
        <v>752</v>
      </c>
      <c r="H212" s="56">
        <v>30</v>
      </c>
      <c r="I212" s="56">
        <v>7</v>
      </c>
      <c r="J212" s="72">
        <f t="shared" si="6"/>
        <v>0.23333333333333334</v>
      </c>
      <c r="K212" s="91">
        <f>+I212+'MAYO 2025'!K212</f>
        <v>16</v>
      </c>
      <c r="L212" s="96">
        <f t="shared" si="7"/>
        <v>0.53333333333333333</v>
      </c>
      <c r="N212"/>
      <c r="O212" s="8"/>
      <c r="P212"/>
      <c r="Q212" s="8"/>
    </row>
    <row r="213" spans="2:17" x14ac:dyDescent="0.25">
      <c r="B213" s="88">
        <v>3</v>
      </c>
      <c r="C213" s="111" t="s">
        <v>43</v>
      </c>
      <c r="D213" s="112" t="s">
        <v>44</v>
      </c>
      <c r="E213" s="232" t="s">
        <v>382</v>
      </c>
      <c r="F213" s="59" t="s">
        <v>753</v>
      </c>
      <c r="G213" s="60" t="s">
        <v>754</v>
      </c>
      <c r="H213" s="89">
        <v>28</v>
      </c>
      <c r="I213" s="89">
        <v>4</v>
      </c>
      <c r="J213" s="69">
        <f t="shared" si="6"/>
        <v>0.14285714285714285</v>
      </c>
      <c r="K213" s="103">
        <f>+I213+'MAYO 2025'!K213</f>
        <v>10</v>
      </c>
      <c r="L213" s="94">
        <f t="shared" si="7"/>
        <v>0.35714285714285715</v>
      </c>
      <c r="N213"/>
      <c r="O213" s="8"/>
      <c r="P213"/>
      <c r="Q213" s="8"/>
    </row>
    <row r="214" spans="2:17" x14ac:dyDescent="0.25">
      <c r="B214" s="86">
        <v>3</v>
      </c>
      <c r="C214" s="107" t="s">
        <v>46</v>
      </c>
      <c r="D214" s="108" t="s">
        <v>47</v>
      </c>
      <c r="E214" s="232"/>
      <c r="F214" s="61" t="s">
        <v>611</v>
      </c>
      <c r="G214" s="76" t="s">
        <v>393</v>
      </c>
      <c r="H214" s="2">
        <v>28</v>
      </c>
      <c r="I214" s="3">
        <v>4</v>
      </c>
      <c r="J214" s="69">
        <f t="shared" si="6"/>
        <v>0.14285714285714285</v>
      </c>
      <c r="K214" s="90">
        <f>+I214+'MAYO 2025'!K214</f>
        <v>9</v>
      </c>
      <c r="L214" s="94">
        <f t="shared" si="7"/>
        <v>0.32142857142857145</v>
      </c>
      <c r="N214"/>
      <c r="O214" s="8"/>
      <c r="P214"/>
      <c r="Q214" s="8"/>
    </row>
    <row r="215" spans="2:17" x14ac:dyDescent="0.25">
      <c r="B215" s="86">
        <v>3</v>
      </c>
      <c r="C215" s="107" t="s">
        <v>98</v>
      </c>
      <c r="D215" s="108" t="s">
        <v>99</v>
      </c>
      <c r="E215" s="232"/>
      <c r="F215" s="61" t="s">
        <v>755</v>
      </c>
      <c r="G215" s="62" t="s">
        <v>756</v>
      </c>
      <c r="H215" s="3">
        <v>27</v>
      </c>
      <c r="I215" s="4">
        <v>3</v>
      </c>
      <c r="J215" s="69">
        <f t="shared" si="6"/>
        <v>0.1111111111111111</v>
      </c>
      <c r="K215" s="90">
        <f>+I215+'MAYO 2025'!K215</f>
        <v>7</v>
      </c>
      <c r="L215" s="94">
        <f t="shared" si="7"/>
        <v>0.25925925925925924</v>
      </c>
      <c r="N215"/>
      <c r="O215" s="8"/>
      <c r="P215"/>
      <c r="Q215" s="8"/>
    </row>
    <row r="216" spans="2:17" x14ac:dyDescent="0.25">
      <c r="B216" s="86">
        <v>3</v>
      </c>
      <c r="C216" s="107" t="s">
        <v>49</v>
      </c>
      <c r="D216" s="108" t="s">
        <v>50</v>
      </c>
      <c r="E216" s="232"/>
      <c r="F216" s="61" t="s">
        <v>757</v>
      </c>
      <c r="G216" s="62" t="s">
        <v>756</v>
      </c>
      <c r="H216" s="3">
        <v>32</v>
      </c>
      <c r="I216" s="3">
        <v>3</v>
      </c>
      <c r="J216" s="69">
        <f t="shared" si="6"/>
        <v>9.375E-2</v>
      </c>
      <c r="K216" s="90">
        <f>+I216+'MAYO 2025'!K216</f>
        <v>8</v>
      </c>
      <c r="L216" s="94">
        <f t="shared" si="7"/>
        <v>0.25</v>
      </c>
      <c r="N216"/>
      <c r="O216" s="8"/>
      <c r="P216"/>
      <c r="Q216" s="8"/>
    </row>
    <row r="217" spans="2:17" x14ac:dyDescent="0.25">
      <c r="B217" s="86">
        <v>3</v>
      </c>
      <c r="C217" s="107" t="s">
        <v>52</v>
      </c>
      <c r="D217" s="108" t="s">
        <v>53</v>
      </c>
      <c r="E217" s="232"/>
      <c r="F217" s="62" t="s">
        <v>758</v>
      </c>
      <c r="G217" s="62" t="s">
        <v>759</v>
      </c>
      <c r="H217" s="3">
        <v>30</v>
      </c>
      <c r="I217" s="3">
        <v>3</v>
      </c>
      <c r="J217" s="69">
        <f t="shared" si="6"/>
        <v>0.1</v>
      </c>
      <c r="K217" s="90">
        <f>+I217+'MAYO 2025'!K217</f>
        <v>12</v>
      </c>
      <c r="L217" s="94">
        <f t="shared" si="7"/>
        <v>0.4</v>
      </c>
      <c r="N217"/>
      <c r="O217" s="8"/>
      <c r="P217"/>
      <c r="Q217" s="8"/>
    </row>
    <row r="218" spans="2:17" x14ac:dyDescent="0.25">
      <c r="B218" s="86">
        <v>3</v>
      </c>
      <c r="C218" s="107" t="s">
        <v>55</v>
      </c>
      <c r="D218" s="108" t="s">
        <v>56</v>
      </c>
      <c r="E218" s="232"/>
      <c r="F218" s="62" t="s">
        <v>760</v>
      </c>
      <c r="G218" s="62" t="s">
        <v>397</v>
      </c>
      <c r="H218" s="3">
        <v>30</v>
      </c>
      <c r="I218" s="3">
        <v>3</v>
      </c>
      <c r="J218" s="69">
        <f t="shared" si="6"/>
        <v>0.1</v>
      </c>
      <c r="K218" s="90">
        <f>+I218+'MAYO 2025'!K218</f>
        <v>10</v>
      </c>
      <c r="L218" s="94">
        <f t="shared" si="7"/>
        <v>0.33333333333333331</v>
      </c>
      <c r="N218"/>
      <c r="O218" s="8"/>
      <c r="P218"/>
      <c r="Q218" s="8"/>
    </row>
    <row r="219" spans="2:17" x14ac:dyDescent="0.25">
      <c r="B219" s="86">
        <v>5</v>
      </c>
      <c r="C219" s="107" t="s">
        <v>57</v>
      </c>
      <c r="D219" s="108" t="s">
        <v>58</v>
      </c>
      <c r="E219" s="232"/>
      <c r="F219" s="61" t="s">
        <v>761</v>
      </c>
      <c r="G219" s="62" t="s">
        <v>393</v>
      </c>
      <c r="H219" s="3">
        <v>30</v>
      </c>
      <c r="I219" s="3">
        <v>3</v>
      </c>
      <c r="J219" s="69">
        <f t="shared" si="6"/>
        <v>0.1</v>
      </c>
      <c r="K219" s="90">
        <f>+I219+'MAYO 2025'!K219</f>
        <v>10</v>
      </c>
      <c r="L219" s="94">
        <f t="shared" si="7"/>
        <v>0.33333333333333331</v>
      </c>
      <c r="N219"/>
      <c r="O219" s="8"/>
      <c r="P219"/>
      <c r="Q219" s="8"/>
    </row>
    <row r="220" spans="2:17" x14ac:dyDescent="0.25">
      <c r="B220" s="86">
        <v>5</v>
      </c>
      <c r="C220" s="107" t="s">
        <v>59</v>
      </c>
      <c r="D220" s="108" t="s">
        <v>60</v>
      </c>
      <c r="E220" s="232"/>
      <c r="F220" s="62" t="s">
        <v>762</v>
      </c>
      <c r="G220" s="62" t="s">
        <v>754</v>
      </c>
      <c r="H220" s="3">
        <v>35</v>
      </c>
      <c r="I220" s="3">
        <v>4</v>
      </c>
      <c r="J220" s="69">
        <f t="shared" si="6"/>
        <v>0.11428571428571428</v>
      </c>
      <c r="K220" s="90">
        <f>+I220+'MAYO 2025'!K220</f>
        <v>13</v>
      </c>
      <c r="L220" s="94">
        <f t="shared" si="7"/>
        <v>0.37142857142857144</v>
      </c>
      <c r="N220"/>
      <c r="O220" s="8"/>
      <c r="P220"/>
      <c r="Q220" s="8"/>
    </row>
    <row r="221" spans="2:17" x14ac:dyDescent="0.25">
      <c r="B221" s="104">
        <v>8</v>
      </c>
      <c r="C221" s="113" t="s">
        <v>61</v>
      </c>
      <c r="D221" s="114" t="s">
        <v>62</v>
      </c>
      <c r="E221" s="232"/>
      <c r="F221" s="64" t="s">
        <v>398</v>
      </c>
      <c r="G221" s="63" t="s">
        <v>754</v>
      </c>
      <c r="H221" s="97">
        <v>30</v>
      </c>
      <c r="I221" s="97">
        <v>3</v>
      </c>
      <c r="J221" s="72">
        <f t="shared" si="6"/>
        <v>0.1</v>
      </c>
      <c r="K221" s="91">
        <f>+I221+'MAYO 2025'!K221</f>
        <v>11</v>
      </c>
      <c r="L221" s="96">
        <f t="shared" si="7"/>
        <v>0.36666666666666664</v>
      </c>
      <c r="N221"/>
      <c r="O221" s="8"/>
      <c r="P221"/>
      <c r="Q221" s="8"/>
    </row>
    <row r="222" spans="2:17" x14ac:dyDescent="0.25">
      <c r="B222" s="85">
        <v>3</v>
      </c>
      <c r="C222" s="105" t="s">
        <v>43</v>
      </c>
      <c r="D222" s="106" t="s">
        <v>44</v>
      </c>
      <c r="E222" s="232" t="s">
        <v>400</v>
      </c>
      <c r="F222" s="142" t="s">
        <v>54</v>
      </c>
      <c r="G222" s="60" t="s">
        <v>763</v>
      </c>
      <c r="H222" s="89">
        <v>20</v>
      </c>
      <c r="I222" s="66">
        <v>4</v>
      </c>
      <c r="J222" s="69">
        <f t="shared" si="6"/>
        <v>0.2</v>
      </c>
      <c r="K222" s="103">
        <f>+I222+'MAYO 2025'!K222</f>
        <v>11</v>
      </c>
      <c r="L222" s="94">
        <f t="shared" si="7"/>
        <v>0.55000000000000004</v>
      </c>
      <c r="N222"/>
      <c r="O222" s="8"/>
      <c r="P222"/>
      <c r="Q222" s="8"/>
    </row>
    <row r="223" spans="2:17" x14ac:dyDescent="0.25">
      <c r="B223" s="86">
        <v>3</v>
      </c>
      <c r="C223" s="107" t="s">
        <v>46</v>
      </c>
      <c r="D223" s="108" t="s">
        <v>47</v>
      </c>
      <c r="E223" s="232"/>
      <c r="F223" s="143" t="s">
        <v>764</v>
      </c>
      <c r="G223" s="76" t="s">
        <v>763</v>
      </c>
      <c r="H223" s="2">
        <v>20</v>
      </c>
      <c r="I223" s="55">
        <v>3</v>
      </c>
      <c r="J223" s="69">
        <f t="shared" si="6"/>
        <v>0.15</v>
      </c>
      <c r="K223" s="90">
        <f>+I223+'MAYO 2025'!K223</f>
        <v>9</v>
      </c>
      <c r="L223" s="94">
        <f t="shared" si="7"/>
        <v>0.45</v>
      </c>
      <c r="N223"/>
      <c r="O223" s="8"/>
      <c r="P223"/>
      <c r="Q223" s="8"/>
    </row>
    <row r="224" spans="2:17" x14ac:dyDescent="0.25">
      <c r="B224" s="86">
        <v>3</v>
      </c>
      <c r="C224" s="107" t="s">
        <v>98</v>
      </c>
      <c r="D224" s="108" t="s">
        <v>99</v>
      </c>
      <c r="E224" s="232"/>
      <c r="F224" s="143" t="s">
        <v>765</v>
      </c>
      <c r="G224" s="62" t="s">
        <v>763</v>
      </c>
      <c r="H224" s="3">
        <v>20</v>
      </c>
      <c r="I224" s="70">
        <v>3</v>
      </c>
      <c r="J224" s="69">
        <f t="shared" si="6"/>
        <v>0.15</v>
      </c>
      <c r="K224" s="90">
        <f>+I224+'MAYO 2025'!K224</f>
        <v>10</v>
      </c>
      <c r="L224" s="94">
        <f t="shared" si="7"/>
        <v>0.5</v>
      </c>
      <c r="N224"/>
      <c r="O224" s="8"/>
      <c r="P224"/>
      <c r="Q224" s="8"/>
    </row>
    <row r="225" spans="2:17" x14ac:dyDescent="0.25">
      <c r="B225" s="86">
        <v>3</v>
      </c>
      <c r="C225" s="107" t="s">
        <v>49</v>
      </c>
      <c r="D225" s="108" t="s">
        <v>50</v>
      </c>
      <c r="E225" s="232"/>
      <c r="F225" s="143" t="s">
        <v>766</v>
      </c>
      <c r="G225" s="62" t="s">
        <v>763</v>
      </c>
      <c r="H225" s="3">
        <v>20</v>
      </c>
      <c r="I225" s="55">
        <v>3</v>
      </c>
      <c r="J225" s="69">
        <f t="shared" si="6"/>
        <v>0.15</v>
      </c>
      <c r="K225" s="90">
        <f>+I225+'MAYO 2025'!K225</f>
        <v>10</v>
      </c>
      <c r="L225" s="94">
        <f t="shared" si="7"/>
        <v>0.5</v>
      </c>
      <c r="N225"/>
      <c r="O225" s="8"/>
      <c r="P225"/>
      <c r="Q225" s="8"/>
    </row>
    <row r="226" spans="2:17" x14ac:dyDescent="0.25">
      <c r="B226" s="86">
        <v>3</v>
      </c>
      <c r="C226" s="107" t="s">
        <v>52</v>
      </c>
      <c r="D226" s="108" t="s">
        <v>53</v>
      </c>
      <c r="E226" s="232"/>
      <c r="F226" s="144" t="s">
        <v>54</v>
      </c>
      <c r="G226" s="62" t="s">
        <v>763</v>
      </c>
      <c r="H226" s="3">
        <v>20</v>
      </c>
      <c r="I226" s="55">
        <v>3</v>
      </c>
      <c r="J226" s="69">
        <f t="shared" si="6"/>
        <v>0.15</v>
      </c>
      <c r="K226" s="90">
        <f>+I226+'MAYO 2025'!K226</f>
        <v>9</v>
      </c>
      <c r="L226" s="94">
        <f t="shared" si="7"/>
        <v>0.45</v>
      </c>
      <c r="N226"/>
      <c r="O226" s="8"/>
      <c r="P226"/>
      <c r="Q226" s="8"/>
    </row>
    <row r="227" spans="2:17" x14ac:dyDescent="0.25">
      <c r="B227" s="86">
        <v>3</v>
      </c>
      <c r="C227" s="107" t="s">
        <v>55</v>
      </c>
      <c r="D227" s="108" t="s">
        <v>56</v>
      </c>
      <c r="E227" s="232"/>
      <c r="F227" s="144" t="s">
        <v>54</v>
      </c>
      <c r="G227" s="62" t="s">
        <v>763</v>
      </c>
      <c r="H227" s="3">
        <v>20</v>
      </c>
      <c r="I227" s="55">
        <v>4</v>
      </c>
      <c r="J227" s="69">
        <f t="shared" si="6"/>
        <v>0.2</v>
      </c>
      <c r="K227" s="90">
        <f>+I227+'MAYO 2025'!K227</f>
        <v>12</v>
      </c>
      <c r="L227" s="94">
        <f t="shared" si="7"/>
        <v>0.6</v>
      </c>
      <c r="N227"/>
      <c r="O227" s="8"/>
      <c r="P227"/>
      <c r="Q227" s="8"/>
    </row>
    <row r="228" spans="2:17" x14ac:dyDescent="0.25">
      <c r="B228" s="86">
        <v>5</v>
      </c>
      <c r="C228" s="107" t="s">
        <v>57</v>
      </c>
      <c r="D228" s="108" t="s">
        <v>58</v>
      </c>
      <c r="E228" s="232"/>
      <c r="F228" s="143" t="s">
        <v>767</v>
      </c>
      <c r="G228" s="62" t="s">
        <v>763</v>
      </c>
      <c r="H228" s="3">
        <v>20</v>
      </c>
      <c r="I228" s="55">
        <v>3</v>
      </c>
      <c r="J228" s="69">
        <f t="shared" si="6"/>
        <v>0.15</v>
      </c>
      <c r="K228" s="90">
        <f>+I228+'MAYO 2025'!K228</f>
        <v>9</v>
      </c>
      <c r="L228" s="94">
        <f t="shared" si="7"/>
        <v>0.45</v>
      </c>
      <c r="N228"/>
      <c r="O228" s="8"/>
      <c r="P228"/>
      <c r="Q228" s="8"/>
    </row>
    <row r="229" spans="2:17" x14ac:dyDescent="0.25">
      <c r="B229" s="86">
        <v>5</v>
      </c>
      <c r="C229" s="107" t="s">
        <v>59</v>
      </c>
      <c r="D229" s="108" t="s">
        <v>60</v>
      </c>
      <c r="E229" s="232"/>
      <c r="F229" s="144" t="s">
        <v>768</v>
      </c>
      <c r="G229" s="62" t="s">
        <v>763</v>
      </c>
      <c r="H229" s="3">
        <v>20</v>
      </c>
      <c r="I229" s="55">
        <v>3</v>
      </c>
      <c r="J229" s="69">
        <f t="shared" si="6"/>
        <v>0.15</v>
      </c>
      <c r="K229" s="90">
        <f>+I229+'MAYO 2025'!K229</f>
        <v>9</v>
      </c>
      <c r="L229" s="94">
        <f t="shared" si="7"/>
        <v>0.45</v>
      </c>
      <c r="N229"/>
      <c r="O229" s="8"/>
      <c r="P229"/>
      <c r="Q229" s="8"/>
    </row>
    <row r="230" spans="2:17" x14ac:dyDescent="0.25">
      <c r="B230" s="87">
        <v>8</v>
      </c>
      <c r="C230" s="109" t="s">
        <v>61</v>
      </c>
      <c r="D230" s="110" t="s">
        <v>62</v>
      </c>
      <c r="E230" s="232"/>
      <c r="F230" s="145" t="s">
        <v>769</v>
      </c>
      <c r="G230" s="65" t="s">
        <v>763</v>
      </c>
      <c r="H230" s="97">
        <v>20</v>
      </c>
      <c r="I230" s="56">
        <v>4</v>
      </c>
      <c r="J230" s="72">
        <f t="shared" si="6"/>
        <v>0.2</v>
      </c>
      <c r="K230" s="91">
        <f>+I230+'MAYO 2025'!K230</f>
        <v>11</v>
      </c>
      <c r="L230" s="96">
        <f t="shared" si="7"/>
        <v>0.55000000000000004</v>
      </c>
      <c r="N230"/>
      <c r="O230" s="8"/>
      <c r="P230"/>
      <c r="Q230" s="8"/>
    </row>
    <row r="231" spans="2:17" x14ac:dyDescent="0.25">
      <c r="B231" s="85">
        <v>3</v>
      </c>
      <c r="C231" s="105" t="s">
        <v>43</v>
      </c>
      <c r="D231" s="106" t="s">
        <v>44</v>
      </c>
      <c r="E231" s="232" t="s">
        <v>407</v>
      </c>
      <c r="F231" s="115" t="s">
        <v>770</v>
      </c>
      <c r="G231" s="63" t="s">
        <v>780</v>
      </c>
      <c r="H231" s="66">
        <v>30</v>
      </c>
      <c r="I231" s="66">
        <v>4</v>
      </c>
      <c r="J231" s="69">
        <f t="shared" si="6"/>
        <v>0.13333333333333333</v>
      </c>
      <c r="K231" s="103">
        <f>+I231+'MAYO 2025'!K231</f>
        <v>12</v>
      </c>
      <c r="L231" s="94">
        <f t="shared" si="7"/>
        <v>0.4</v>
      </c>
      <c r="N231"/>
      <c r="O231" s="8"/>
      <c r="P231"/>
      <c r="Q231" s="8"/>
    </row>
    <row r="232" spans="2:17" x14ac:dyDescent="0.25">
      <c r="B232" s="86">
        <v>3</v>
      </c>
      <c r="C232" s="107" t="s">
        <v>46</v>
      </c>
      <c r="D232" s="108" t="s">
        <v>47</v>
      </c>
      <c r="E232" s="232"/>
      <c r="F232" s="116" t="s">
        <v>771</v>
      </c>
      <c r="G232" s="62" t="s">
        <v>781</v>
      </c>
      <c r="H232" s="68">
        <v>30</v>
      </c>
      <c r="I232" s="55">
        <v>3</v>
      </c>
      <c r="J232" s="69">
        <f t="shared" si="6"/>
        <v>0.1</v>
      </c>
      <c r="K232" s="90">
        <f>+I232+'MAYO 2025'!K232</f>
        <v>8</v>
      </c>
      <c r="L232" s="94">
        <f t="shared" si="7"/>
        <v>0.26666666666666666</v>
      </c>
      <c r="N232"/>
      <c r="O232" s="8"/>
      <c r="P232"/>
      <c r="Q232" s="8"/>
    </row>
    <row r="233" spans="2:17" x14ac:dyDescent="0.25">
      <c r="B233" s="86">
        <v>3</v>
      </c>
      <c r="C233" s="107" t="s">
        <v>98</v>
      </c>
      <c r="D233" s="108" t="s">
        <v>99</v>
      </c>
      <c r="E233" s="232"/>
      <c r="F233" s="116" t="s">
        <v>772</v>
      </c>
      <c r="G233" s="63" t="s">
        <v>773</v>
      </c>
      <c r="H233" s="55">
        <v>30</v>
      </c>
      <c r="I233" s="70">
        <v>4</v>
      </c>
      <c r="J233" s="69">
        <f t="shared" si="6"/>
        <v>0.13333333333333333</v>
      </c>
      <c r="K233" s="90">
        <f>+I233+'MAYO 2025'!K233</f>
        <v>10</v>
      </c>
      <c r="L233" s="94">
        <f t="shared" si="7"/>
        <v>0.33333333333333331</v>
      </c>
      <c r="N233"/>
      <c r="O233" s="8"/>
      <c r="P233"/>
      <c r="Q233" s="8"/>
    </row>
    <row r="234" spans="2:17" x14ac:dyDescent="0.25">
      <c r="B234" s="86">
        <v>3</v>
      </c>
      <c r="C234" s="107" t="s">
        <v>49</v>
      </c>
      <c r="D234" s="108" t="s">
        <v>50</v>
      </c>
      <c r="E234" s="232"/>
      <c r="F234" s="116" t="s">
        <v>774</v>
      </c>
      <c r="G234" s="62" t="s">
        <v>782</v>
      </c>
      <c r="H234" s="55">
        <v>30</v>
      </c>
      <c r="I234" s="55">
        <v>3</v>
      </c>
      <c r="J234" s="69">
        <f t="shared" si="6"/>
        <v>0.1</v>
      </c>
      <c r="K234" s="90">
        <f>+I234+'MAYO 2025'!K234</f>
        <v>9</v>
      </c>
      <c r="L234" s="94">
        <f t="shared" si="7"/>
        <v>0.3</v>
      </c>
      <c r="N234"/>
      <c r="O234" s="8"/>
      <c r="P234"/>
      <c r="Q234" s="8"/>
    </row>
    <row r="235" spans="2:17" x14ac:dyDescent="0.25">
      <c r="B235" s="86">
        <v>3</v>
      </c>
      <c r="C235" s="107" t="s">
        <v>52</v>
      </c>
      <c r="D235" s="108" t="s">
        <v>53</v>
      </c>
      <c r="E235" s="232"/>
      <c r="F235" s="116" t="s">
        <v>775</v>
      </c>
      <c r="G235" s="62" t="s">
        <v>783</v>
      </c>
      <c r="H235" s="55">
        <v>30</v>
      </c>
      <c r="I235" s="55">
        <v>2</v>
      </c>
      <c r="J235" s="69">
        <f t="shared" si="6"/>
        <v>6.6666666666666666E-2</v>
      </c>
      <c r="K235" s="90">
        <f>+I235+'MAYO 2025'!K235</f>
        <v>10</v>
      </c>
      <c r="L235" s="94">
        <f t="shared" si="7"/>
        <v>0.33333333333333331</v>
      </c>
      <c r="N235"/>
      <c r="O235" s="8"/>
      <c r="P235"/>
      <c r="Q235" s="8"/>
    </row>
    <row r="236" spans="2:17" x14ac:dyDescent="0.25">
      <c r="B236" s="86">
        <v>3</v>
      </c>
      <c r="C236" s="107" t="s">
        <v>55</v>
      </c>
      <c r="D236" s="108" t="s">
        <v>56</v>
      </c>
      <c r="E236" s="232"/>
      <c r="F236" s="116" t="s">
        <v>776</v>
      </c>
      <c r="G236" s="62" t="s">
        <v>784</v>
      </c>
      <c r="H236" s="55">
        <v>30</v>
      </c>
      <c r="I236" s="55">
        <v>2</v>
      </c>
      <c r="J236" s="69">
        <f t="shared" si="6"/>
        <v>6.6666666666666666E-2</v>
      </c>
      <c r="K236" s="90">
        <f>+I236+'MAYO 2025'!K236</f>
        <v>6</v>
      </c>
      <c r="L236" s="94">
        <f t="shared" si="7"/>
        <v>0.2</v>
      </c>
      <c r="N236"/>
      <c r="O236" s="8"/>
      <c r="P236"/>
      <c r="Q236" s="8"/>
    </row>
    <row r="237" spans="2:17" x14ac:dyDescent="0.25">
      <c r="B237" s="86">
        <v>5</v>
      </c>
      <c r="C237" s="107" t="s">
        <v>57</v>
      </c>
      <c r="D237" s="108" t="s">
        <v>58</v>
      </c>
      <c r="E237" s="232"/>
      <c r="F237" s="132" t="s">
        <v>777</v>
      </c>
      <c r="G237" s="76" t="s">
        <v>785</v>
      </c>
      <c r="H237" s="55">
        <v>30</v>
      </c>
      <c r="I237" s="55">
        <v>2</v>
      </c>
      <c r="J237" s="69">
        <f t="shared" si="6"/>
        <v>6.6666666666666666E-2</v>
      </c>
      <c r="K237" s="90">
        <f>+I237+'MAYO 2025'!K237</f>
        <v>14</v>
      </c>
      <c r="L237" s="94">
        <f t="shared" si="7"/>
        <v>0.46666666666666667</v>
      </c>
      <c r="N237"/>
      <c r="O237" s="8"/>
      <c r="P237"/>
      <c r="Q237" s="8"/>
    </row>
    <row r="238" spans="2:17" x14ac:dyDescent="0.25">
      <c r="B238" s="86">
        <v>5</v>
      </c>
      <c r="C238" s="107" t="s">
        <v>59</v>
      </c>
      <c r="D238" s="108" t="s">
        <v>60</v>
      </c>
      <c r="E238" s="233"/>
      <c r="F238" s="116" t="s">
        <v>778</v>
      </c>
      <c r="G238" s="62" t="s">
        <v>786</v>
      </c>
      <c r="H238" s="128">
        <v>30</v>
      </c>
      <c r="I238" s="55">
        <v>5</v>
      </c>
      <c r="J238" s="69">
        <f t="shared" si="6"/>
        <v>0.16666666666666666</v>
      </c>
      <c r="K238" s="90">
        <f>+I238+'MAYO 2025'!K238</f>
        <v>11</v>
      </c>
      <c r="L238" s="94">
        <f t="shared" si="7"/>
        <v>0.36666666666666664</v>
      </c>
      <c r="N238"/>
      <c r="O238" s="8"/>
      <c r="P238"/>
      <c r="Q238" s="8"/>
    </row>
    <row r="239" spans="2:17" x14ac:dyDescent="0.25">
      <c r="B239" s="87">
        <v>8</v>
      </c>
      <c r="C239" s="109" t="s">
        <v>61</v>
      </c>
      <c r="D239" s="110" t="s">
        <v>62</v>
      </c>
      <c r="E239" s="234"/>
      <c r="F239" s="133" t="s">
        <v>779</v>
      </c>
      <c r="G239" s="63" t="s">
        <v>787</v>
      </c>
      <c r="H239" s="56">
        <v>30</v>
      </c>
      <c r="I239" s="56">
        <v>5</v>
      </c>
      <c r="J239" s="72">
        <f t="shared" si="6"/>
        <v>0.16666666666666666</v>
      </c>
      <c r="K239" s="91">
        <f>+I239+'MAYO 2025'!K239</f>
        <v>10</v>
      </c>
      <c r="L239" s="96">
        <f t="shared" si="7"/>
        <v>0.33333333333333331</v>
      </c>
      <c r="N239"/>
      <c r="O239" s="8"/>
      <c r="P239"/>
      <c r="Q239" s="8"/>
    </row>
    <row r="240" spans="2:17" x14ac:dyDescent="0.25">
      <c r="B240" s="85">
        <v>3</v>
      </c>
      <c r="C240" s="105" t="s">
        <v>46</v>
      </c>
      <c r="D240" s="106" t="s">
        <v>47</v>
      </c>
      <c r="E240" s="226" t="s">
        <v>426</v>
      </c>
      <c r="F240" s="59" t="s">
        <v>425</v>
      </c>
      <c r="G240" s="60" t="s">
        <v>642</v>
      </c>
      <c r="H240" s="66">
        <v>45</v>
      </c>
      <c r="I240" s="66">
        <v>4</v>
      </c>
      <c r="J240" s="69">
        <f t="shared" si="6"/>
        <v>8.8888888888888892E-2</v>
      </c>
      <c r="K240" s="103">
        <f>+I240+'MAYO 2025'!K240</f>
        <v>15</v>
      </c>
      <c r="L240" s="94">
        <f t="shared" si="7"/>
        <v>0.33333333333333331</v>
      </c>
      <c r="N240"/>
      <c r="O240" s="8"/>
      <c r="P240"/>
      <c r="Q240" s="8"/>
    </row>
    <row r="241" spans="1:17" x14ac:dyDescent="0.25">
      <c r="B241" s="86">
        <v>3</v>
      </c>
      <c r="C241" s="107" t="s">
        <v>98</v>
      </c>
      <c r="D241" s="108" t="s">
        <v>99</v>
      </c>
      <c r="E241" s="226"/>
      <c r="F241" s="61" t="s">
        <v>428</v>
      </c>
      <c r="G241" s="62" t="s">
        <v>429</v>
      </c>
      <c r="H241" s="68">
        <v>45</v>
      </c>
      <c r="I241" s="55">
        <v>5</v>
      </c>
      <c r="J241" s="69">
        <f t="shared" si="6"/>
        <v>0.1111111111111111</v>
      </c>
      <c r="K241" s="90">
        <f>+I241+'MAYO 2025'!K241</f>
        <v>15</v>
      </c>
      <c r="L241" s="94">
        <f t="shared" si="7"/>
        <v>0.33333333333333331</v>
      </c>
      <c r="N241"/>
      <c r="O241" s="8"/>
      <c r="P241"/>
      <c r="Q241" s="8"/>
    </row>
    <row r="242" spans="1:17" x14ac:dyDescent="0.25">
      <c r="B242" s="86">
        <v>3</v>
      </c>
      <c r="C242" s="107" t="s">
        <v>49</v>
      </c>
      <c r="D242" s="108" t="s">
        <v>50</v>
      </c>
      <c r="E242" s="226"/>
      <c r="F242" s="61" t="s">
        <v>430</v>
      </c>
      <c r="G242" s="63" t="s">
        <v>431</v>
      </c>
      <c r="H242" s="55">
        <v>45</v>
      </c>
      <c r="I242" s="70">
        <v>6</v>
      </c>
      <c r="J242" s="69">
        <f t="shared" si="6"/>
        <v>0.13333333333333333</v>
      </c>
      <c r="K242" s="90">
        <f>+I242+'MAYO 2025'!K242</f>
        <v>16</v>
      </c>
      <c r="L242" s="94">
        <f t="shared" si="7"/>
        <v>0.35555555555555557</v>
      </c>
    </row>
    <row r="243" spans="1:17" s="16" customFormat="1" x14ac:dyDescent="0.25">
      <c r="B243" s="86">
        <v>3</v>
      </c>
      <c r="C243" s="107" t="s">
        <v>52</v>
      </c>
      <c r="D243" s="108" t="s">
        <v>53</v>
      </c>
      <c r="E243" s="226"/>
      <c r="F243" s="61" t="s">
        <v>432</v>
      </c>
      <c r="G243" s="62" t="s">
        <v>296</v>
      </c>
      <c r="H243" s="55">
        <v>45</v>
      </c>
      <c r="I243" s="55">
        <v>5</v>
      </c>
      <c r="J243" s="69">
        <f t="shared" si="6"/>
        <v>0.1111111111111111</v>
      </c>
      <c r="K243" s="90">
        <f>+I243+'MAYO 2025'!K243</f>
        <v>15</v>
      </c>
      <c r="L243" s="94">
        <f t="shared" si="7"/>
        <v>0.33333333333333331</v>
      </c>
      <c r="O243"/>
      <c r="Q243"/>
    </row>
    <row r="244" spans="1:17" x14ac:dyDescent="0.25">
      <c r="B244" s="86">
        <v>5</v>
      </c>
      <c r="C244" s="107" t="s">
        <v>59</v>
      </c>
      <c r="D244" s="108" t="s">
        <v>60</v>
      </c>
      <c r="E244" s="226"/>
      <c r="F244" s="61" t="s">
        <v>433</v>
      </c>
      <c r="G244" s="62" t="s">
        <v>434</v>
      </c>
      <c r="H244" s="55">
        <v>45</v>
      </c>
      <c r="I244" s="55">
        <v>6</v>
      </c>
      <c r="J244" s="69">
        <f t="shared" si="6"/>
        <v>0.13333333333333333</v>
      </c>
      <c r="K244" s="90">
        <f>+I244+'MAYO 2025'!K244</f>
        <v>14</v>
      </c>
      <c r="L244" s="94">
        <f t="shared" si="7"/>
        <v>0.31111111111111112</v>
      </c>
    </row>
    <row r="245" spans="1:17" ht="14.45" customHeight="1" x14ac:dyDescent="0.25">
      <c r="B245" s="86">
        <v>8</v>
      </c>
      <c r="C245" s="107" t="s">
        <v>61</v>
      </c>
      <c r="D245" s="108" t="s">
        <v>62</v>
      </c>
      <c r="E245" s="226"/>
      <c r="F245" s="64" t="s">
        <v>435</v>
      </c>
      <c r="G245" s="65" t="s">
        <v>436</v>
      </c>
      <c r="H245" s="56">
        <v>45</v>
      </c>
      <c r="I245" s="56">
        <v>4</v>
      </c>
      <c r="J245" s="72">
        <f t="shared" si="6"/>
        <v>8.8888888888888892E-2</v>
      </c>
      <c r="K245" s="91">
        <f>+I245+'MAYO 2025'!K245</f>
        <v>15</v>
      </c>
      <c r="L245" s="96">
        <f t="shared" si="7"/>
        <v>0.33333333333333331</v>
      </c>
    </row>
    <row r="246" spans="1:17" ht="14.45" customHeight="1" x14ac:dyDescent="0.25">
      <c r="A246" s="5"/>
      <c r="B246" s="85">
        <v>3</v>
      </c>
      <c r="C246" s="105" t="s">
        <v>52</v>
      </c>
      <c r="D246" s="106" t="s">
        <v>53</v>
      </c>
      <c r="E246" s="227" t="s">
        <v>438</v>
      </c>
      <c r="F246" s="59" t="s">
        <v>788</v>
      </c>
      <c r="G246" s="60" t="s">
        <v>447</v>
      </c>
      <c r="H246" s="66">
        <v>45</v>
      </c>
      <c r="I246" s="66">
        <v>4</v>
      </c>
      <c r="J246" s="69">
        <f t="shared" si="6"/>
        <v>8.8888888888888892E-2</v>
      </c>
      <c r="K246" s="103">
        <f>+I246+'MAYO 2025'!K246</f>
        <v>15</v>
      </c>
      <c r="L246" s="94">
        <f t="shared" si="7"/>
        <v>0.33333333333333331</v>
      </c>
    </row>
    <row r="247" spans="1:17" x14ac:dyDescent="0.25">
      <c r="A247" s="5"/>
      <c r="B247" s="86">
        <v>3</v>
      </c>
      <c r="C247" s="107" t="s">
        <v>55</v>
      </c>
      <c r="D247" s="108" t="s">
        <v>56</v>
      </c>
      <c r="E247" s="226"/>
      <c r="F247" s="61" t="s">
        <v>789</v>
      </c>
      <c r="G247" s="62" t="s">
        <v>447</v>
      </c>
      <c r="H247" s="68">
        <v>45</v>
      </c>
      <c r="I247" s="55">
        <v>4</v>
      </c>
      <c r="J247" s="69">
        <f t="shared" si="6"/>
        <v>8.8888888888888892E-2</v>
      </c>
      <c r="K247" s="90">
        <f>+I247+'MAYO 2025'!K247</f>
        <v>15</v>
      </c>
      <c r="L247" s="94">
        <f t="shared" si="7"/>
        <v>0.33333333333333331</v>
      </c>
    </row>
    <row r="248" spans="1:17" x14ac:dyDescent="0.25">
      <c r="A248" s="5"/>
      <c r="B248" s="86">
        <v>4</v>
      </c>
      <c r="C248" s="107" t="s">
        <v>441</v>
      </c>
      <c r="D248" s="108" t="s">
        <v>442</v>
      </c>
      <c r="E248" s="226"/>
      <c r="F248" s="61" t="s">
        <v>790</v>
      </c>
      <c r="G248" s="63" t="s">
        <v>447</v>
      </c>
      <c r="H248" s="55">
        <v>45</v>
      </c>
      <c r="I248" s="70">
        <v>7</v>
      </c>
      <c r="J248" s="69">
        <f t="shared" si="6"/>
        <v>0.15555555555555556</v>
      </c>
      <c r="K248" s="90">
        <f>+I248+'MAYO 2025'!K248</f>
        <v>15</v>
      </c>
      <c r="L248" s="94">
        <f t="shared" si="7"/>
        <v>0.33333333333333331</v>
      </c>
    </row>
    <row r="249" spans="1:17" ht="14.45" customHeight="1" x14ac:dyDescent="0.25">
      <c r="A249" s="5"/>
      <c r="B249" s="86">
        <v>5</v>
      </c>
      <c r="C249" s="107" t="s">
        <v>57</v>
      </c>
      <c r="D249" s="108" t="s">
        <v>58</v>
      </c>
      <c r="E249" s="226"/>
      <c r="F249" s="61" t="s">
        <v>446</v>
      </c>
      <c r="G249" s="62" t="s">
        <v>447</v>
      </c>
      <c r="H249" s="55">
        <v>45</v>
      </c>
      <c r="I249" s="55">
        <v>5</v>
      </c>
      <c r="J249" s="69">
        <f t="shared" si="6"/>
        <v>0.1111111111111111</v>
      </c>
      <c r="K249" s="90">
        <f>+I249+'MAYO 2025'!K249</f>
        <v>15</v>
      </c>
      <c r="L249" s="94">
        <f t="shared" si="7"/>
        <v>0.33333333333333331</v>
      </c>
    </row>
    <row r="250" spans="1:17" ht="14.45" customHeight="1" x14ac:dyDescent="0.25">
      <c r="A250" s="5"/>
      <c r="B250" s="86">
        <v>5</v>
      </c>
      <c r="C250" s="107" t="s">
        <v>59</v>
      </c>
      <c r="D250" s="108" t="s">
        <v>60</v>
      </c>
      <c r="E250" s="226"/>
      <c r="F250" s="61" t="s">
        <v>791</v>
      </c>
      <c r="G250" s="62" t="s">
        <v>447</v>
      </c>
      <c r="H250" s="55">
        <v>45</v>
      </c>
      <c r="I250" s="55">
        <v>3</v>
      </c>
      <c r="J250" s="69">
        <f t="shared" si="6"/>
        <v>6.6666666666666666E-2</v>
      </c>
      <c r="K250" s="90">
        <f>+I250+'MAYO 2025'!K250</f>
        <v>15</v>
      </c>
      <c r="L250" s="94">
        <f t="shared" si="7"/>
        <v>0.33333333333333331</v>
      </c>
    </row>
    <row r="251" spans="1:17" ht="14.45" customHeight="1" x14ac:dyDescent="0.25">
      <c r="A251" s="5"/>
      <c r="B251" s="87">
        <v>8</v>
      </c>
      <c r="C251" s="109" t="s">
        <v>61</v>
      </c>
      <c r="D251" s="110" t="s">
        <v>62</v>
      </c>
      <c r="E251" s="226"/>
      <c r="F251" s="64" t="s">
        <v>792</v>
      </c>
      <c r="G251" s="65" t="s">
        <v>447</v>
      </c>
      <c r="H251" s="56">
        <v>45</v>
      </c>
      <c r="I251" s="56">
        <v>7</v>
      </c>
      <c r="J251" s="72">
        <f t="shared" si="6"/>
        <v>0.15555555555555556</v>
      </c>
      <c r="K251" s="91">
        <f>+I251+'MAYO 2025'!K251</f>
        <v>15</v>
      </c>
      <c r="L251" s="96">
        <f t="shared" si="7"/>
        <v>0.33333333333333331</v>
      </c>
    </row>
    <row r="252" spans="1:17" x14ac:dyDescent="0.25">
      <c r="A252" s="5"/>
      <c r="B252" s="85">
        <v>3</v>
      </c>
      <c r="C252" s="105" t="s">
        <v>43</v>
      </c>
      <c r="D252" s="106" t="s">
        <v>44</v>
      </c>
      <c r="E252" s="226" t="s">
        <v>450</v>
      </c>
      <c r="F252" s="60" t="s">
        <v>793</v>
      </c>
      <c r="G252" s="60" t="s">
        <v>794</v>
      </c>
      <c r="H252" s="66">
        <v>34</v>
      </c>
      <c r="I252" s="66">
        <v>4</v>
      </c>
      <c r="J252" s="69">
        <f t="shared" si="6"/>
        <v>0.11764705882352941</v>
      </c>
      <c r="K252" s="103">
        <f>+I252+'MAYO 2025'!K252</f>
        <v>12</v>
      </c>
      <c r="L252" s="94">
        <f t="shared" si="7"/>
        <v>0.35294117647058826</v>
      </c>
    </row>
    <row r="253" spans="1:17" x14ac:dyDescent="0.25">
      <c r="A253" s="5"/>
      <c r="B253" s="86">
        <v>3</v>
      </c>
      <c r="C253" s="107" t="s">
        <v>46</v>
      </c>
      <c r="D253" s="108" t="s">
        <v>47</v>
      </c>
      <c r="E253" s="226"/>
      <c r="F253" s="74" t="s">
        <v>795</v>
      </c>
      <c r="G253" s="62" t="s">
        <v>796</v>
      </c>
      <c r="H253" s="68">
        <v>34</v>
      </c>
      <c r="I253" s="55">
        <v>4</v>
      </c>
      <c r="J253" s="69">
        <f t="shared" si="6"/>
        <v>0.11764705882352941</v>
      </c>
      <c r="K253" s="90">
        <f>+I253+'MAYO 2025'!K253</f>
        <v>12</v>
      </c>
      <c r="L253" s="94">
        <f t="shared" si="7"/>
        <v>0.35294117647058826</v>
      </c>
    </row>
    <row r="254" spans="1:17" ht="14.45" customHeight="1" x14ac:dyDescent="0.25">
      <c r="B254" s="86">
        <v>3</v>
      </c>
      <c r="C254" s="107" t="s">
        <v>49</v>
      </c>
      <c r="D254" s="108" t="s">
        <v>50</v>
      </c>
      <c r="E254" s="226"/>
      <c r="F254" s="62" t="s">
        <v>797</v>
      </c>
      <c r="G254" s="63" t="s">
        <v>649</v>
      </c>
      <c r="H254" s="55">
        <v>34</v>
      </c>
      <c r="I254" s="70">
        <v>4</v>
      </c>
      <c r="J254" s="69">
        <f t="shared" si="6"/>
        <v>0.11764705882352941</v>
      </c>
      <c r="K254" s="90">
        <f>+I254+'MAYO 2025'!K254</f>
        <v>12</v>
      </c>
      <c r="L254" s="94">
        <f t="shared" si="7"/>
        <v>0.35294117647058826</v>
      </c>
    </row>
    <row r="255" spans="1:17" ht="14.45" customHeight="1" x14ac:dyDescent="0.25">
      <c r="B255" s="86">
        <v>3</v>
      </c>
      <c r="C255" s="107" t="s">
        <v>52</v>
      </c>
      <c r="D255" s="108" t="s">
        <v>53</v>
      </c>
      <c r="E255" s="226"/>
      <c r="F255" s="62" t="s">
        <v>650</v>
      </c>
      <c r="G255" s="62" t="s">
        <v>651</v>
      </c>
      <c r="H255" s="55">
        <v>34</v>
      </c>
      <c r="I255" s="55">
        <v>4</v>
      </c>
      <c r="J255" s="69">
        <f t="shared" si="6"/>
        <v>0.11764705882352941</v>
      </c>
      <c r="K255" s="90">
        <f>+I255+'MAYO 2025'!K255</f>
        <v>12</v>
      </c>
      <c r="L255" s="94">
        <f t="shared" si="7"/>
        <v>0.35294117647058826</v>
      </c>
    </row>
    <row r="256" spans="1:17" x14ac:dyDescent="0.25">
      <c r="B256" s="86">
        <v>3</v>
      </c>
      <c r="C256" s="107" t="s">
        <v>55</v>
      </c>
      <c r="D256" s="108" t="s">
        <v>56</v>
      </c>
      <c r="E256" s="226"/>
      <c r="F256" s="62" t="s">
        <v>798</v>
      </c>
      <c r="G256" s="62" t="s">
        <v>799</v>
      </c>
      <c r="H256" s="55">
        <v>34</v>
      </c>
      <c r="I256" s="55">
        <v>4</v>
      </c>
      <c r="J256" s="69">
        <f t="shared" si="6"/>
        <v>0.11764705882352941</v>
      </c>
      <c r="K256" s="90">
        <f>+I256+'MAYO 2025'!K256</f>
        <v>12</v>
      </c>
      <c r="L256" s="94">
        <f t="shared" si="7"/>
        <v>0.35294117647058826</v>
      </c>
    </row>
    <row r="257" spans="1:18" x14ac:dyDescent="0.25">
      <c r="B257" s="86">
        <v>5</v>
      </c>
      <c r="C257" s="107" t="s">
        <v>57</v>
      </c>
      <c r="D257" s="108" t="s">
        <v>58</v>
      </c>
      <c r="E257" s="226"/>
      <c r="F257" s="74" t="s">
        <v>800</v>
      </c>
      <c r="G257" s="62" t="s">
        <v>801</v>
      </c>
      <c r="H257" s="55">
        <v>34</v>
      </c>
      <c r="I257" s="55">
        <v>4</v>
      </c>
      <c r="J257" s="69">
        <f t="shared" si="6"/>
        <v>0.11764705882352941</v>
      </c>
      <c r="K257" s="90">
        <f>+I257+'MAYO 2025'!K257</f>
        <v>12</v>
      </c>
      <c r="L257" s="94">
        <f t="shared" si="7"/>
        <v>0.35294117647058826</v>
      </c>
    </row>
    <row r="258" spans="1:18" s="6" customFormat="1" ht="14.45" customHeight="1" x14ac:dyDescent="0.25">
      <c r="A258" s="8"/>
      <c r="B258" s="86">
        <v>5</v>
      </c>
      <c r="C258" s="107" t="s">
        <v>59</v>
      </c>
      <c r="D258" s="108" t="s">
        <v>60</v>
      </c>
      <c r="E258" s="226"/>
      <c r="F258" s="62" t="s">
        <v>802</v>
      </c>
      <c r="G258" s="62" t="s">
        <v>803</v>
      </c>
      <c r="H258" s="55">
        <v>33</v>
      </c>
      <c r="I258" s="55">
        <v>3</v>
      </c>
      <c r="J258" s="69">
        <f t="shared" si="6"/>
        <v>9.0909090909090912E-2</v>
      </c>
      <c r="K258" s="90">
        <f>+I258+'MAYO 2025'!K258</f>
        <v>9</v>
      </c>
      <c r="L258" s="94">
        <f t="shared" si="7"/>
        <v>0.27272727272727271</v>
      </c>
      <c r="M258" s="8"/>
      <c r="N258" s="8"/>
      <c r="O258"/>
      <c r="P258" s="8"/>
      <c r="Q258"/>
      <c r="R258" s="8"/>
    </row>
    <row r="259" spans="1:18" s="6" customFormat="1" ht="14.45" customHeight="1" x14ac:dyDescent="0.25">
      <c r="A259" s="8"/>
      <c r="B259" s="86">
        <v>8</v>
      </c>
      <c r="C259" s="107" t="s">
        <v>61</v>
      </c>
      <c r="D259" s="108" t="s">
        <v>62</v>
      </c>
      <c r="E259" s="226"/>
      <c r="F259" s="65" t="s">
        <v>463</v>
      </c>
      <c r="G259" s="65" t="s">
        <v>464</v>
      </c>
      <c r="H259" s="56">
        <v>33</v>
      </c>
      <c r="I259" s="56">
        <v>3</v>
      </c>
      <c r="J259" s="72">
        <f t="shared" si="6"/>
        <v>9.0909090909090912E-2</v>
      </c>
      <c r="K259" s="91">
        <f>+I259+'MAYO 2025'!K259</f>
        <v>9</v>
      </c>
      <c r="L259" s="96">
        <f t="shared" si="7"/>
        <v>0.27272727272727271</v>
      </c>
      <c r="M259" s="8"/>
      <c r="N259" s="8"/>
      <c r="O259"/>
      <c r="P259" s="8"/>
      <c r="Q259"/>
      <c r="R259" s="8"/>
    </row>
    <row r="260" spans="1:18" x14ac:dyDescent="0.25">
      <c r="B260" s="85">
        <v>3</v>
      </c>
      <c r="C260" s="105" t="s">
        <v>43</v>
      </c>
      <c r="D260" s="106" t="s">
        <v>44</v>
      </c>
      <c r="E260" s="238" t="s">
        <v>466</v>
      </c>
      <c r="F260" s="117" t="s">
        <v>465</v>
      </c>
      <c r="G260" s="60" t="s">
        <v>657</v>
      </c>
      <c r="H260" s="66">
        <v>20</v>
      </c>
      <c r="I260" s="66">
        <v>4</v>
      </c>
      <c r="J260" s="69">
        <f t="shared" si="6"/>
        <v>0.2</v>
      </c>
      <c r="K260" s="103">
        <f>+I260+'MAYO 2025'!K260</f>
        <v>11</v>
      </c>
      <c r="L260" s="94">
        <f t="shared" si="7"/>
        <v>0.55000000000000004</v>
      </c>
    </row>
    <row r="261" spans="1:18" x14ac:dyDescent="0.25">
      <c r="B261" s="86">
        <v>3</v>
      </c>
      <c r="C261" s="107" t="s">
        <v>46</v>
      </c>
      <c r="D261" s="108" t="s">
        <v>47</v>
      </c>
      <c r="E261" s="239"/>
      <c r="F261" s="116" t="s">
        <v>48</v>
      </c>
      <c r="G261" s="62" t="s">
        <v>32</v>
      </c>
      <c r="H261" s="68">
        <v>20</v>
      </c>
      <c r="I261" s="55">
        <v>3</v>
      </c>
      <c r="J261" s="69">
        <f t="shared" si="6"/>
        <v>0.15</v>
      </c>
      <c r="K261" s="90">
        <f>+I261+'MAYO 2025'!K261</f>
        <v>9</v>
      </c>
      <c r="L261" s="94">
        <f t="shared" si="7"/>
        <v>0.45</v>
      </c>
    </row>
    <row r="262" spans="1:18" x14ac:dyDescent="0.25">
      <c r="B262" s="86">
        <v>3</v>
      </c>
      <c r="C262" s="107" t="s">
        <v>98</v>
      </c>
      <c r="D262" s="108" t="s">
        <v>99</v>
      </c>
      <c r="E262" s="239"/>
      <c r="F262" s="116" t="s">
        <v>48</v>
      </c>
      <c r="G262" s="63" t="s">
        <v>32</v>
      </c>
      <c r="H262" s="55">
        <v>20</v>
      </c>
      <c r="I262" s="70">
        <v>3</v>
      </c>
      <c r="J262" s="69">
        <f t="shared" si="6"/>
        <v>0.15</v>
      </c>
      <c r="K262" s="90">
        <f>+I262+'MAYO 2025'!K262</f>
        <v>9</v>
      </c>
      <c r="L262" s="94">
        <f t="shared" si="7"/>
        <v>0.45</v>
      </c>
    </row>
    <row r="263" spans="1:18" x14ac:dyDescent="0.25">
      <c r="B263" s="86">
        <v>3</v>
      </c>
      <c r="C263" s="107" t="s">
        <v>49</v>
      </c>
      <c r="D263" s="108" t="s">
        <v>50</v>
      </c>
      <c r="E263" s="239"/>
      <c r="F263" s="116" t="s">
        <v>468</v>
      </c>
      <c r="G263" s="62" t="s">
        <v>469</v>
      </c>
      <c r="H263" s="55">
        <v>20</v>
      </c>
      <c r="I263" s="55">
        <v>3</v>
      </c>
      <c r="J263" s="69">
        <f t="shared" si="6"/>
        <v>0.15</v>
      </c>
      <c r="K263" s="90">
        <f>+I263+'MAYO 2025'!K263</f>
        <v>9</v>
      </c>
      <c r="L263" s="94">
        <f t="shared" si="7"/>
        <v>0.45</v>
      </c>
    </row>
    <row r="264" spans="1:18" x14ac:dyDescent="0.25">
      <c r="B264" s="86">
        <v>3</v>
      </c>
      <c r="C264" s="107" t="s">
        <v>52</v>
      </c>
      <c r="D264" s="108" t="s">
        <v>53</v>
      </c>
      <c r="E264" s="239"/>
      <c r="F264" s="116" t="s">
        <v>470</v>
      </c>
      <c r="G264" s="62" t="s">
        <v>471</v>
      </c>
      <c r="H264" s="55">
        <v>20</v>
      </c>
      <c r="I264" s="55">
        <v>4</v>
      </c>
      <c r="J264" s="69">
        <f t="shared" si="6"/>
        <v>0.2</v>
      </c>
      <c r="K264" s="90">
        <f>+I264+'MAYO 2025'!K264</f>
        <v>12</v>
      </c>
      <c r="L264" s="94">
        <f t="shared" si="7"/>
        <v>0.6</v>
      </c>
    </row>
    <row r="265" spans="1:18" x14ac:dyDescent="0.25">
      <c r="B265" s="86">
        <v>3</v>
      </c>
      <c r="C265" s="107" t="s">
        <v>55</v>
      </c>
      <c r="D265" s="108" t="s">
        <v>56</v>
      </c>
      <c r="E265" s="239"/>
      <c r="F265" s="116" t="s">
        <v>804</v>
      </c>
      <c r="G265" s="62" t="s">
        <v>805</v>
      </c>
      <c r="H265" s="55">
        <v>20</v>
      </c>
      <c r="I265" s="55">
        <v>4</v>
      </c>
      <c r="J265" s="69">
        <f t="shared" si="6"/>
        <v>0.2</v>
      </c>
      <c r="K265" s="90">
        <f>+I265+'MAYO 2025'!K265</f>
        <v>12</v>
      </c>
      <c r="L265" s="94">
        <f t="shared" si="7"/>
        <v>0.6</v>
      </c>
    </row>
    <row r="266" spans="1:18" x14ac:dyDescent="0.25">
      <c r="B266" s="86">
        <v>5</v>
      </c>
      <c r="C266" s="107" t="s">
        <v>57</v>
      </c>
      <c r="D266" s="108" t="s">
        <v>58</v>
      </c>
      <c r="E266" s="239"/>
      <c r="F266" s="132" t="s">
        <v>238</v>
      </c>
      <c r="G266" s="76" t="s">
        <v>32</v>
      </c>
      <c r="H266" s="55">
        <v>20</v>
      </c>
      <c r="I266" s="55">
        <v>3</v>
      </c>
      <c r="J266" s="69">
        <f t="shared" si="6"/>
        <v>0.15</v>
      </c>
      <c r="K266" s="90">
        <f>+I266+'MAYO 2025'!K266</f>
        <v>9</v>
      </c>
      <c r="L266" s="94">
        <f t="shared" si="7"/>
        <v>0.45</v>
      </c>
    </row>
    <row r="267" spans="1:18" x14ac:dyDescent="0.25">
      <c r="B267" s="86">
        <v>5</v>
      </c>
      <c r="C267" s="107" t="s">
        <v>59</v>
      </c>
      <c r="D267" s="108" t="s">
        <v>60</v>
      </c>
      <c r="E267" s="239"/>
      <c r="F267" s="116" t="s">
        <v>474</v>
      </c>
      <c r="G267" s="62" t="s">
        <v>32</v>
      </c>
      <c r="H267" s="128">
        <v>20</v>
      </c>
      <c r="I267" s="55">
        <v>3</v>
      </c>
      <c r="J267" s="69">
        <f t="shared" si="6"/>
        <v>0.15</v>
      </c>
      <c r="K267" s="90">
        <f>+I267+'MAYO 2025'!K267</f>
        <v>10</v>
      </c>
      <c r="L267" s="94">
        <f t="shared" si="7"/>
        <v>0.5</v>
      </c>
    </row>
    <row r="268" spans="1:18" x14ac:dyDescent="0.25">
      <c r="B268" s="87">
        <v>8</v>
      </c>
      <c r="C268" s="109" t="s">
        <v>61</v>
      </c>
      <c r="D268" s="110" t="s">
        <v>62</v>
      </c>
      <c r="E268" s="227"/>
      <c r="F268" s="134" t="s">
        <v>63</v>
      </c>
      <c r="G268" s="135" t="s">
        <v>32</v>
      </c>
      <c r="H268" s="56">
        <v>20</v>
      </c>
      <c r="I268" s="56">
        <v>3</v>
      </c>
      <c r="J268" s="72">
        <f t="shared" si="6"/>
        <v>0.15</v>
      </c>
      <c r="K268" s="91">
        <f>+I268+'MAYO 2025'!K268</f>
        <v>9</v>
      </c>
      <c r="L268" s="96">
        <f t="shared" si="7"/>
        <v>0.45</v>
      </c>
    </row>
    <row r="269" spans="1:18" x14ac:dyDescent="0.25">
      <c r="D269" s="18"/>
      <c r="E269" s="5"/>
      <c r="F269" s="14"/>
      <c r="G269" s="5"/>
      <c r="H269" s="240" t="str">
        <f>+CONCATENATE("TOTAL A ",D7)</f>
        <v>TOTAL A JUNIO</v>
      </c>
      <c r="I269" s="241"/>
      <c r="J269" s="242"/>
      <c r="K269" s="240" t="s">
        <v>33</v>
      </c>
      <c r="L269" s="242"/>
    </row>
    <row r="270" spans="1:18" x14ac:dyDescent="0.25">
      <c r="D270" s="48"/>
      <c r="E270" s="54"/>
      <c r="F270" s="16"/>
      <c r="G270" s="54"/>
      <c r="H270" s="49">
        <f>+SUM(H13:H268)</f>
        <v>6480</v>
      </c>
      <c r="I270" s="50">
        <f>SUM(I13:I268)</f>
        <v>870</v>
      </c>
      <c r="J270" s="51">
        <f>IFERROR(I270/H270,0)</f>
        <v>0.13425925925925927</v>
      </c>
      <c r="K270" s="50">
        <f>+SUM(K13:K268)</f>
        <v>2610</v>
      </c>
      <c r="L270" s="51">
        <f>IFERROR(K270/H270,0)</f>
        <v>0.40277777777777779</v>
      </c>
    </row>
    <row r="271" spans="1:18" x14ac:dyDescent="0.25">
      <c r="D271" s="48"/>
      <c r="E271" s="54"/>
      <c r="F271" s="16"/>
      <c r="G271" s="54"/>
      <c r="H271" s="118"/>
      <c r="I271" s="119"/>
      <c r="J271" s="120"/>
      <c r="K271" s="119"/>
      <c r="L271" s="120"/>
    </row>
    <row r="272" spans="1:18" ht="409.35" customHeight="1" x14ac:dyDescent="0.25">
      <c r="B272" s="243" t="s">
        <v>34</v>
      </c>
      <c r="C272" s="244"/>
      <c r="D272" s="245" t="s">
        <v>643</v>
      </c>
      <c r="E272" s="246"/>
      <c r="F272" s="246"/>
      <c r="G272" s="246"/>
      <c r="H272" s="246"/>
      <c r="I272" s="246"/>
      <c r="J272" s="246"/>
      <c r="K272" s="246"/>
      <c r="L272" s="247"/>
    </row>
    <row r="273" spans="1:18" x14ac:dyDescent="0.25">
      <c r="B273" s="248" t="s">
        <v>36</v>
      </c>
      <c r="C273" s="249"/>
      <c r="D273" s="249"/>
      <c r="E273" s="249"/>
      <c r="F273" s="249"/>
      <c r="G273" s="249"/>
      <c r="H273" s="249"/>
      <c r="I273" s="249"/>
      <c r="J273" s="249"/>
      <c r="K273" s="249"/>
      <c r="L273" s="250"/>
    </row>
    <row r="274" spans="1:18" x14ac:dyDescent="0.25">
      <c r="B274" s="251"/>
      <c r="C274" s="252"/>
      <c r="D274" s="252"/>
      <c r="E274" s="252"/>
      <c r="F274" s="252"/>
      <c r="G274" s="252"/>
      <c r="H274" s="252"/>
      <c r="I274" s="252"/>
      <c r="J274" s="252"/>
      <c r="K274" s="252"/>
      <c r="L274" s="253"/>
    </row>
    <row r="275" spans="1:18" x14ac:dyDescent="0.25">
      <c r="B275" s="254" t="s">
        <v>37</v>
      </c>
      <c r="C275" s="255"/>
      <c r="D275" s="255"/>
      <c r="E275" s="255"/>
      <c r="F275" s="255"/>
      <c r="G275" s="255"/>
      <c r="H275" s="255"/>
      <c r="I275" s="255"/>
      <c r="J275" s="255"/>
      <c r="K275" s="255"/>
      <c r="L275" s="256"/>
    </row>
    <row r="276" spans="1:18" ht="24.75" x14ac:dyDescent="0.3">
      <c r="B276" s="52" t="s">
        <v>38</v>
      </c>
      <c r="C276" s="121"/>
      <c r="D276" s="257" t="s">
        <v>35</v>
      </c>
      <c r="E276" s="258"/>
      <c r="F276" s="258"/>
      <c r="G276" s="258"/>
      <c r="H276" s="258"/>
      <c r="I276" s="258"/>
      <c r="J276" s="258"/>
      <c r="K276" s="258"/>
      <c r="L276" s="259"/>
    </row>
    <row r="277" spans="1:18" ht="24.75" x14ac:dyDescent="0.3">
      <c r="B277" s="52" t="s">
        <v>39</v>
      </c>
      <c r="C277" s="121"/>
      <c r="D277" s="260"/>
      <c r="E277" s="261"/>
      <c r="F277" s="261"/>
      <c r="G277" s="261"/>
      <c r="H277" s="261"/>
      <c r="I277" s="261"/>
      <c r="J277" s="261"/>
      <c r="K277" s="261"/>
      <c r="L277" s="262"/>
    </row>
    <row r="278" spans="1:18" x14ac:dyDescent="0.25">
      <c r="B278" s="263" t="s">
        <v>36</v>
      </c>
      <c r="C278" s="264"/>
      <c r="D278" s="264"/>
      <c r="E278" s="264"/>
      <c r="F278" s="264"/>
      <c r="G278" s="264"/>
      <c r="H278" s="264"/>
      <c r="I278" s="264"/>
      <c r="J278" s="264"/>
      <c r="K278" s="264"/>
      <c r="L278" s="265"/>
    </row>
    <row r="279" spans="1:18" s="6" customFormat="1" ht="14.45" hidden="1" customHeight="1" x14ac:dyDescent="0.25">
      <c r="A279" t="s">
        <v>0</v>
      </c>
      <c r="B279" s="266"/>
      <c r="C279" s="267"/>
      <c r="D279" s="267"/>
      <c r="E279" s="267"/>
      <c r="F279" s="267"/>
      <c r="G279" s="267"/>
      <c r="H279" s="267"/>
      <c r="I279" s="267"/>
      <c r="J279" s="267"/>
      <c r="K279" s="267"/>
      <c r="L279" s="268"/>
      <c r="M279" s="8"/>
      <c r="N279" s="8"/>
      <c r="O279"/>
      <c r="P279" s="8"/>
      <c r="Q279"/>
      <c r="R279" s="8"/>
    </row>
    <row r="280" spans="1:18" s="6" customFormat="1" ht="14.45" hidden="1" customHeight="1" x14ac:dyDescent="0.25">
      <c r="A280" t="s">
        <v>2</v>
      </c>
      <c r="B280" s="254" t="s">
        <v>40</v>
      </c>
      <c r="C280" s="255"/>
      <c r="D280" s="255"/>
      <c r="E280" s="255"/>
      <c r="F280" s="255"/>
      <c r="G280" s="255"/>
      <c r="H280" s="255"/>
      <c r="I280" s="255"/>
      <c r="J280" s="255"/>
      <c r="K280" s="255"/>
      <c r="L280" s="256"/>
      <c r="M280" s="8"/>
      <c r="N280" s="8"/>
      <c r="O280"/>
      <c r="P280" s="8"/>
      <c r="Q280"/>
      <c r="R280" s="8"/>
    </row>
    <row r="281" spans="1:18" s="6" customFormat="1" ht="14.45" hidden="1" customHeight="1" x14ac:dyDescent="0.3">
      <c r="A281" t="s">
        <v>6</v>
      </c>
      <c r="B281" s="52" t="s">
        <v>38</v>
      </c>
      <c r="C281" s="121"/>
      <c r="D281" s="257" t="s">
        <v>35</v>
      </c>
      <c r="E281" s="258"/>
      <c r="F281" s="258"/>
      <c r="G281" s="258"/>
      <c r="H281" s="258"/>
      <c r="I281" s="258"/>
      <c r="J281" s="258"/>
      <c r="K281" s="258"/>
      <c r="L281" s="259"/>
      <c r="M281" s="8"/>
      <c r="N281" s="8"/>
      <c r="O281"/>
      <c r="P281" s="8"/>
      <c r="Q281"/>
      <c r="R281" s="8"/>
    </row>
    <row r="282" spans="1:18" s="6" customFormat="1" ht="14.45" hidden="1" customHeight="1" x14ac:dyDescent="0.3">
      <c r="A282" t="s">
        <v>8</v>
      </c>
      <c r="B282" s="52" t="s">
        <v>39</v>
      </c>
      <c r="C282" s="121"/>
      <c r="D282" s="260"/>
      <c r="E282" s="261"/>
      <c r="F282" s="261"/>
      <c r="G282" s="261"/>
      <c r="H282" s="261"/>
      <c r="I282" s="261"/>
      <c r="J282" s="261"/>
      <c r="K282" s="261"/>
      <c r="L282" s="262"/>
      <c r="M282" s="8"/>
      <c r="N282" s="8"/>
      <c r="O282"/>
      <c r="P282" s="8"/>
      <c r="Q282"/>
      <c r="R282" s="8"/>
    </row>
    <row r="283" spans="1:18" s="6" customFormat="1" ht="14.45" hidden="1" customHeight="1" x14ac:dyDescent="0.25">
      <c r="A283" t="s">
        <v>9</v>
      </c>
      <c r="B283" s="53"/>
      <c r="C283" s="53"/>
      <c r="D283" s="18"/>
      <c r="E283" s="5"/>
      <c r="G283" s="5"/>
      <c r="H283" s="53"/>
      <c r="I283" s="122"/>
      <c r="M283" s="8"/>
      <c r="N283" s="8"/>
      <c r="O283"/>
      <c r="P283" s="8"/>
      <c r="Q283"/>
      <c r="R283" s="8"/>
    </row>
    <row r="284" spans="1:18" s="6" customFormat="1" ht="14.45" hidden="1" customHeight="1" x14ac:dyDescent="0.25">
      <c r="A284" t="s">
        <v>10</v>
      </c>
      <c r="B284" s="53"/>
      <c r="C284" s="53"/>
      <c r="D284" s="18"/>
      <c r="E284" s="5"/>
      <c r="G284" s="5"/>
      <c r="H284" s="53"/>
      <c r="I284" s="122"/>
      <c r="M284" s="8"/>
      <c r="N284" s="8"/>
      <c r="O284"/>
      <c r="P284" s="8"/>
      <c r="Q284"/>
      <c r="R284" s="8"/>
    </row>
    <row r="285" spans="1:18" s="6" customFormat="1" ht="14.45" hidden="1" customHeight="1" x14ac:dyDescent="0.25">
      <c r="A285" t="s">
        <v>11</v>
      </c>
      <c r="B285" s="269"/>
      <c r="C285" s="269"/>
      <c r="D285" s="269"/>
      <c r="E285" s="5"/>
      <c r="G285" s="5"/>
      <c r="H285" s="269"/>
      <c r="I285" s="269"/>
      <c r="J285" s="269"/>
      <c r="K285" s="269"/>
      <c r="M285" s="8"/>
      <c r="N285" s="8"/>
      <c r="O285"/>
      <c r="P285" s="8"/>
      <c r="Q285"/>
      <c r="R285" s="8"/>
    </row>
    <row r="286" spans="1:18" s="6" customFormat="1" ht="14.45" hidden="1" customHeight="1" x14ac:dyDescent="0.25">
      <c r="A286" t="s">
        <v>13</v>
      </c>
      <c r="B286" s="5" t="s">
        <v>41</v>
      </c>
      <c r="C286" s="270"/>
      <c r="D286" s="270"/>
      <c r="E286" s="5"/>
      <c r="G286" s="5"/>
      <c r="H286" s="5" t="s">
        <v>42</v>
      </c>
      <c r="I286" s="270" t="s">
        <v>222</v>
      </c>
      <c r="J286" s="270"/>
      <c r="K286" s="270"/>
      <c r="M286" s="8"/>
      <c r="N286" s="8"/>
      <c r="O286"/>
      <c r="P286" s="8"/>
      <c r="Q286"/>
      <c r="R286" s="8"/>
    </row>
    <row r="287" spans="1:18" s="6" customFormat="1" hidden="1" x14ac:dyDescent="0.25">
      <c r="A287" t="s">
        <v>14</v>
      </c>
      <c r="B287" s="54"/>
      <c r="C287" s="5"/>
      <c r="F287" s="7"/>
      <c r="M287" s="8"/>
      <c r="N287" s="8"/>
      <c r="O287"/>
      <c r="P287" s="8"/>
      <c r="Q287"/>
      <c r="R287" s="8"/>
    </row>
    <row r="288" spans="1:18" s="6" customFormat="1" hidden="1" x14ac:dyDescent="0.25">
      <c r="A288" t="s">
        <v>16</v>
      </c>
      <c r="B288" s="54"/>
      <c r="C288" s="5"/>
      <c r="F288" s="7"/>
      <c r="M288" s="8"/>
      <c r="N288" s="8"/>
      <c r="O288"/>
      <c r="P288" s="8"/>
      <c r="Q288"/>
      <c r="R288" s="8"/>
    </row>
    <row r="289" spans="1:18" s="6" customFormat="1" hidden="1" x14ac:dyDescent="0.25">
      <c r="A289" t="s">
        <v>17</v>
      </c>
      <c r="B289" s="54"/>
      <c r="C289" s="5"/>
      <c r="F289" s="7"/>
      <c r="M289" s="8"/>
      <c r="N289" s="8"/>
      <c r="O289"/>
      <c r="P289" s="8"/>
      <c r="Q289"/>
      <c r="R289" s="8"/>
    </row>
    <row r="290" spans="1:18" s="6" customFormat="1" hidden="1" x14ac:dyDescent="0.25">
      <c r="A290" t="s">
        <v>21</v>
      </c>
      <c r="B290" s="54"/>
      <c r="C290" s="5"/>
      <c r="F290" s="7"/>
      <c r="M290" s="8"/>
      <c r="N290" s="8"/>
      <c r="O290"/>
      <c r="P290" s="8"/>
      <c r="Q290"/>
      <c r="R290" s="8"/>
    </row>
    <row r="291" spans="1:18" s="6" customFormat="1" hidden="1" x14ac:dyDescent="0.25">
      <c r="A291" t="s">
        <v>31</v>
      </c>
      <c r="B291" s="54"/>
      <c r="C291" s="5"/>
      <c r="F291" s="7"/>
      <c r="M291" s="8"/>
      <c r="N291" s="8"/>
      <c r="O291"/>
      <c r="P291" s="8"/>
      <c r="Q291"/>
      <c r="R291" s="8"/>
    </row>
    <row r="292" spans="1:18" x14ac:dyDescent="0.25">
      <c r="B292" s="254" t="s">
        <v>40</v>
      </c>
      <c r="C292" s="255"/>
      <c r="D292" s="255"/>
      <c r="E292" s="255"/>
      <c r="F292" s="255"/>
      <c r="G292" s="255"/>
      <c r="H292" s="255"/>
      <c r="I292" s="255"/>
      <c r="J292" s="255"/>
      <c r="K292" s="255"/>
      <c r="L292" s="256"/>
    </row>
    <row r="293" spans="1:18" ht="24.75" x14ac:dyDescent="0.3">
      <c r="B293" s="52" t="s">
        <v>38</v>
      </c>
      <c r="C293" s="121"/>
      <c r="D293" s="257" t="s">
        <v>35</v>
      </c>
      <c r="E293" s="258"/>
      <c r="F293" s="258"/>
      <c r="G293" s="258"/>
      <c r="H293" s="258"/>
      <c r="I293" s="258"/>
      <c r="J293" s="258"/>
      <c r="K293" s="258"/>
      <c r="L293" s="259"/>
    </row>
    <row r="294" spans="1:18" ht="24.75" x14ac:dyDescent="0.3">
      <c r="B294" s="52" t="s">
        <v>39</v>
      </c>
      <c r="C294" s="121"/>
      <c r="D294" s="260"/>
      <c r="E294" s="261"/>
      <c r="F294" s="261"/>
      <c r="G294" s="261"/>
      <c r="H294" s="261"/>
      <c r="I294" s="261"/>
      <c r="J294" s="261"/>
      <c r="K294" s="261"/>
      <c r="L294" s="262"/>
    </row>
    <row r="295" spans="1:18" x14ac:dyDescent="0.25">
      <c r="B295" s="53"/>
      <c r="C295" s="53"/>
      <c r="D295" s="18"/>
      <c r="E295" s="5"/>
      <c r="F295" s="6"/>
      <c r="G295" s="5"/>
      <c r="H295" s="53"/>
      <c r="I295" s="122"/>
    </row>
    <row r="296" spans="1:18" x14ac:dyDescent="0.25">
      <c r="B296" s="53"/>
      <c r="C296" s="53"/>
      <c r="D296" s="18"/>
      <c r="E296" s="5"/>
      <c r="F296" s="6"/>
      <c r="G296" s="5"/>
      <c r="H296" s="53"/>
      <c r="I296" s="122"/>
    </row>
    <row r="297" spans="1:18" x14ac:dyDescent="0.25">
      <c r="B297" s="269"/>
      <c r="C297" s="269"/>
      <c r="D297" s="269"/>
      <c r="E297" s="5"/>
      <c r="F297" s="6"/>
      <c r="G297" s="5"/>
      <c r="H297" s="269"/>
      <c r="I297" s="269"/>
      <c r="J297" s="269"/>
      <c r="K297" s="269"/>
    </row>
    <row r="298" spans="1:18" x14ac:dyDescent="0.25">
      <c r="B298" s="5" t="s">
        <v>41</v>
      </c>
      <c r="C298" s="270"/>
      <c r="D298" s="270"/>
      <c r="E298" s="5"/>
      <c r="F298" s="6"/>
      <c r="G298" s="5"/>
      <c r="H298" s="5" t="s">
        <v>42</v>
      </c>
      <c r="I298" s="270" t="s">
        <v>222</v>
      </c>
      <c r="J298" s="270"/>
      <c r="K298" s="270"/>
    </row>
  </sheetData>
  <sheetProtection formatCells="0" formatColumns="0" formatRows="0" insertColumns="0" insertRows="0" insertHyperlinks="0" deleteColumns="0" deleteRows="0" sort="0" autoFilter="0" pivotTables="0"/>
  <autoFilter ref="B12:L270"/>
  <mergeCells count="59">
    <mergeCell ref="E240:E245"/>
    <mergeCell ref="B297:D297"/>
    <mergeCell ref="H297:K297"/>
    <mergeCell ref="C298:D298"/>
    <mergeCell ref="I298:K298"/>
    <mergeCell ref="B285:D285"/>
    <mergeCell ref="H285:K285"/>
    <mergeCell ref="C286:D286"/>
    <mergeCell ref="I286:K286"/>
    <mergeCell ref="B292:L292"/>
    <mergeCell ref="D293:L294"/>
    <mergeCell ref="E182:E190"/>
    <mergeCell ref="E222:E230"/>
    <mergeCell ref="E231:E239"/>
    <mergeCell ref="D281:L282"/>
    <mergeCell ref="E246:E251"/>
    <mergeCell ref="E252:E259"/>
    <mergeCell ref="E260:E268"/>
    <mergeCell ref="H269:J269"/>
    <mergeCell ref="K269:L269"/>
    <mergeCell ref="B273:L274"/>
    <mergeCell ref="B275:L275"/>
    <mergeCell ref="D276:L277"/>
    <mergeCell ref="B278:L279"/>
    <mergeCell ref="B280:L280"/>
    <mergeCell ref="B272:C272"/>
    <mergeCell ref="D272:L272"/>
    <mergeCell ref="E134:E145"/>
    <mergeCell ref="E146:E156"/>
    <mergeCell ref="E157:E166"/>
    <mergeCell ref="E167:E176"/>
    <mergeCell ref="E177:E181"/>
    <mergeCell ref="E199:E206"/>
    <mergeCell ref="E207:E212"/>
    <mergeCell ref="E213:E221"/>
    <mergeCell ref="E74:E82"/>
    <mergeCell ref="B9:C9"/>
    <mergeCell ref="B11:H11"/>
    <mergeCell ref="E39:E46"/>
    <mergeCell ref="E47:E55"/>
    <mergeCell ref="E56:E64"/>
    <mergeCell ref="E65:E73"/>
    <mergeCell ref="E191:E198"/>
    <mergeCell ref="E83:E91"/>
    <mergeCell ref="E92:E102"/>
    <mergeCell ref="E103:E113"/>
    <mergeCell ref="E114:E122"/>
    <mergeCell ref="E123:E133"/>
    <mergeCell ref="I11:J11"/>
    <mergeCell ref="K11:L11"/>
    <mergeCell ref="E13:E20"/>
    <mergeCell ref="E21:E29"/>
    <mergeCell ref="E30:E38"/>
    <mergeCell ref="B7:C7"/>
    <mergeCell ref="B2:L2"/>
    <mergeCell ref="B3:D3"/>
    <mergeCell ref="F3:I3"/>
    <mergeCell ref="J3:L3"/>
    <mergeCell ref="B5:C5"/>
  </mergeCells>
  <conditionalFormatting sqref="L13:L268">
    <cfRule type="cellIs" dxfId="17" priority="1" operator="equal">
      <formula>1</formula>
    </cfRule>
    <cfRule type="cellIs" dxfId="16" priority="2" operator="greaterThan">
      <formula>1</formula>
    </cfRule>
  </conditionalFormatting>
  <dataValidations count="3">
    <dataValidation type="list" allowBlank="1" showInputMessage="1" showErrorMessage="1" sqref="D7">
      <formula1>$A$280:$A$291</formula1>
    </dataValidation>
    <dataValidation type="whole" allowBlank="1" showInputMessage="1" showErrorMessage="1" errorTitle="¡Error!" error="Introduzca un número válido." promptTitle="¡Atención!" prompt="Introduzca un número entre 0 y 366" sqref="H271 H13:H268">
      <formula1>0</formula1>
      <formula2>366</formula2>
    </dataValidation>
    <dataValidation type="whole" allowBlank="1" showInputMessage="1" showErrorMessage="1" errorTitle="¡Error!" error="Introduzca un número válido." promptTitle="¡Atención!" prompt="Introduzca un número entre 0 y 30" sqref="I13:I268">
      <formula1>0</formula1>
      <formula2>30</formula2>
    </dataValidation>
  </dataValidations>
  <hyperlinks>
    <hyperlink ref="G19" r:id="rId1" display="https://ecopetrol.sharepoint.com/sites/ACCESS/Documentos compartidos/Forms/AllItems.aspx?id=%2Fsites%2FACCESS%2FDocumentos%20compartidos%2FTinamu&amp;viewid=84208958%2Dec67%2D431a%2D9db0%2D33a6806f19c8"/>
    <hyperlink ref="G18" r:id="rId2" display="https://ecopetrol.sharepoint.com/sites/ACCESS/Documentos compartidos/Forms/AllItems.aspx?id=%2Fsites%2FACCESS%2FDocumentos%20compartidos%2FFrontera&amp;viewid=84208958%2Dec67%2D431a%2D9db0%2D33a6806f19c8"/>
    <hyperlink ref="G20" r:id="rId3" display="https://ecopetrol.sharepoint.com/sites/InformedereservasCampoAkacias2022"/>
    <hyperlink ref="G16" r:id="rId4" display="https://ecopetrol.sharepoint.com/sites/ACCESS/Documentos compartidos/Forms/AllItems.aspx?id=%2Fsites%2FACCESS%2FDocumentos%20compartidos%2FPLP%202024&amp;viewid=84208958%2Dec67%2D431a%2D9db0%2D33a6806f19c8"/>
    <hyperlink ref="G17" r:id="rId5" display="https://ecopetrol.sharepoint.com/sites/ACCESS/Documentos compartidos/Forms/AllItems.aspx?id=%2Fsites%2FACCESS%2FDocumentos%20compartidos%2FPLP%202024&amp;viewid=84208958%2Dec67%2D431a%2D9db0%2D33a6806f19c8"/>
    <hyperlink ref="G15" r:id="rId6" display="https://ecopetrol.sharepoint.com/sites/ACCESS/Documentos compartidos/Forms/AllItems.aspx?id=%2Fsites%2FACCESS%2FDocumentos%20compartidos%2FPLP%202024&amp;viewid=84208958%2Dec67%2D431a%2D9db0%2D33a6806f19c8"/>
    <hyperlink ref="G13" r:id="rId7" display="https://ecopetrol.sharepoint.com/sites/ACCESS/Documentos compartidos/Forms/AllItems.aspx?id=%2Fsites%2FACCESS%2FDocumentos%20compartidos%2FPLP%202024&amp;viewid=84208958%2Dec67%2D431a%2D9db0%2D33a6806f19c8"/>
    <hyperlink ref="G14" r:id="rId8" display="https://ecopetrol.sharepoint.com/sites/EquipoDesarrolloCPO-9/Documentos%20compartidos/Forms/AllItems.aspx?id=%2Fsites%2FEquipoDesarrolloCPO%2D9%2FDocumentos%20compartidos%2FGeneral%2F04%2DExploratorio%2FExploratorios%20CPO%2D9&amp;viewid=0e96c994%2D47e1%2D4e99%2D93c0%2D37826753815c"/>
  </hyperlinks>
  <pageMargins left="0.7" right="0.7" top="0.75" bottom="0.75" header="0.3" footer="0.3"/>
  <pageSetup scale="12" orientation="portrait" r:id="rId9"/>
  <drawing r:id="rId10"/>
  <legacyDrawing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03"/>
  <sheetViews>
    <sheetView showGridLines="0" view="pageBreakPreview" topLeftCell="A58" zoomScaleNormal="100" zoomScaleSheetLayoutView="100" workbookViewId="0">
      <selection activeCell="F83" sqref="F83:I91"/>
    </sheetView>
  </sheetViews>
  <sheetFormatPr baseColWidth="10" defaultColWidth="8.5703125" defaultRowHeight="15" x14ac:dyDescent="0.25"/>
  <cols>
    <col min="1" max="1" width="7.42578125" style="8" customWidth="1"/>
    <col min="2" max="2" width="15.5703125" style="5" customWidth="1"/>
    <col min="3" max="3" width="8.5703125" style="5" customWidth="1"/>
    <col min="4" max="4" width="43.42578125" style="6" customWidth="1"/>
    <col min="5" max="5" width="16.85546875" style="6" bestFit="1" customWidth="1"/>
    <col min="6" max="6" width="31" style="7" customWidth="1"/>
    <col min="7" max="7" width="30.140625" style="6" customWidth="1"/>
    <col min="8" max="8" width="13.5703125" style="6" customWidth="1"/>
    <col min="9" max="9" width="13.42578125" style="6" customWidth="1"/>
    <col min="10" max="10" width="10.42578125" style="6" customWidth="1"/>
    <col min="11" max="12" width="12.42578125" style="6" customWidth="1"/>
    <col min="13" max="13" width="6.5703125" style="8" customWidth="1"/>
    <col min="14" max="14" width="16.42578125" style="8" customWidth="1"/>
    <col min="16" max="16" width="16.42578125" style="8" customWidth="1"/>
    <col min="17" max="17" width="0" hidden="1" customWidth="1"/>
    <col min="18" max="18" width="16.42578125" style="8" customWidth="1"/>
    <col min="19" max="16384" width="8.5703125" style="8"/>
  </cols>
  <sheetData>
    <row r="1" spans="2:17" x14ac:dyDescent="0.25">
      <c r="Q1" t="s">
        <v>0</v>
      </c>
    </row>
    <row r="2" spans="2:17" ht="49.5" customHeight="1" x14ac:dyDescent="0.25">
      <c r="B2" s="221" t="s">
        <v>1</v>
      </c>
      <c r="C2" s="221"/>
      <c r="D2" s="221"/>
      <c r="E2" s="221"/>
      <c r="F2" s="221"/>
      <c r="G2" s="221"/>
      <c r="H2" s="221"/>
      <c r="I2" s="221"/>
      <c r="J2" s="221"/>
      <c r="K2" s="221"/>
      <c r="L2" s="221"/>
      <c r="Q2" t="s">
        <v>2</v>
      </c>
    </row>
    <row r="3" spans="2:17" ht="18.75" customHeight="1" x14ac:dyDescent="0.25">
      <c r="B3" s="222" t="s">
        <v>3</v>
      </c>
      <c r="C3" s="223"/>
      <c r="D3" s="223"/>
      <c r="E3" s="58"/>
      <c r="F3" s="223" t="s">
        <v>4</v>
      </c>
      <c r="G3" s="223"/>
      <c r="H3" s="223"/>
      <c r="I3" s="223"/>
      <c r="J3" s="223" t="s">
        <v>5</v>
      </c>
      <c r="K3" s="223"/>
      <c r="L3" s="224"/>
    </row>
    <row r="4" spans="2:17" x14ac:dyDescent="0.25">
      <c r="B4" s="9"/>
      <c r="C4" s="57"/>
      <c r="L4" s="10"/>
      <c r="Q4" t="s">
        <v>6</v>
      </c>
    </row>
    <row r="5" spans="2:17" s="16" customFormat="1" ht="27.6" customHeight="1" x14ac:dyDescent="0.25">
      <c r="B5" s="225" t="s">
        <v>7</v>
      </c>
      <c r="C5" s="225"/>
      <c r="D5" s="11">
        <v>90141005</v>
      </c>
      <c r="E5"/>
      <c r="F5" s="12"/>
      <c r="G5" s="13"/>
      <c r="H5" s="14"/>
      <c r="I5" s="14"/>
      <c r="J5" s="14"/>
      <c r="K5" s="14"/>
      <c r="L5" s="15"/>
      <c r="O5"/>
      <c r="Q5" t="s">
        <v>8</v>
      </c>
    </row>
    <row r="6" spans="2:17" s="16" customFormat="1" x14ac:dyDescent="0.25">
      <c r="B6" s="17"/>
      <c r="C6" s="5"/>
      <c r="D6" s="14"/>
      <c r="E6"/>
      <c r="F6" s="18"/>
      <c r="G6" s="14"/>
      <c r="H6" s="14"/>
      <c r="I6" s="14"/>
      <c r="J6" s="14"/>
      <c r="K6" s="14"/>
      <c r="L6" s="15"/>
      <c r="O6"/>
      <c r="Q6" t="s">
        <v>11</v>
      </c>
    </row>
    <row r="7" spans="2:17" s="16" customFormat="1" x14ac:dyDescent="0.25">
      <c r="B7" s="225" t="s">
        <v>12</v>
      </c>
      <c r="C7" s="225"/>
      <c r="D7" s="19" t="s">
        <v>13</v>
      </c>
      <c r="E7"/>
      <c r="F7" s="20"/>
      <c r="G7" s="21"/>
      <c r="H7" s="14"/>
      <c r="I7" s="14"/>
      <c r="J7" s="14"/>
      <c r="K7" s="14"/>
      <c r="L7" s="15"/>
      <c r="O7"/>
      <c r="Q7" t="s">
        <v>13</v>
      </c>
    </row>
    <row r="8" spans="2:17" s="16" customFormat="1" x14ac:dyDescent="0.25">
      <c r="B8" s="22"/>
      <c r="C8" s="23"/>
      <c r="D8" s="24"/>
      <c r="E8"/>
      <c r="F8" s="20"/>
      <c r="G8" s="21"/>
      <c r="H8" s="14"/>
      <c r="I8" s="14"/>
      <c r="J8" s="14"/>
      <c r="K8" s="14"/>
      <c r="L8" s="15"/>
      <c r="O8"/>
      <c r="Q8" t="s">
        <v>14</v>
      </c>
    </row>
    <row r="9" spans="2:17" s="16" customFormat="1" x14ac:dyDescent="0.25">
      <c r="B9" s="225" t="s">
        <v>15</v>
      </c>
      <c r="C9" s="225"/>
      <c r="D9" s="25">
        <v>45869</v>
      </c>
      <c r="E9"/>
      <c r="F9" s="26"/>
      <c r="G9" s="27"/>
      <c r="H9" s="14"/>
      <c r="I9" s="14"/>
      <c r="J9" s="14"/>
      <c r="K9" s="14"/>
      <c r="L9" s="15"/>
      <c r="O9"/>
      <c r="Q9" t="s">
        <v>16</v>
      </c>
    </row>
    <row r="10" spans="2:17" x14ac:dyDescent="0.25">
      <c r="B10" s="28"/>
      <c r="C10" s="29"/>
      <c r="L10" s="30"/>
      <c r="Q10" t="s">
        <v>17</v>
      </c>
    </row>
    <row r="11" spans="2:17" s="31" customFormat="1" ht="26.85" customHeight="1" x14ac:dyDescent="0.25">
      <c r="B11" s="225" t="s">
        <v>18</v>
      </c>
      <c r="C11" s="225"/>
      <c r="D11" s="225"/>
      <c r="E11" s="225"/>
      <c r="F11" s="225"/>
      <c r="G11" s="225"/>
      <c r="H11" s="225"/>
      <c r="I11" s="225" t="s">
        <v>19</v>
      </c>
      <c r="J11" s="225"/>
      <c r="K11" s="225" t="s">
        <v>20</v>
      </c>
      <c r="L11" s="225"/>
      <c r="O11" s="32"/>
      <c r="Q11" s="32" t="s">
        <v>21</v>
      </c>
    </row>
    <row r="12" spans="2:17" s="31" customFormat="1" ht="57.6" customHeight="1" x14ac:dyDescent="0.25">
      <c r="B12" s="33" t="s">
        <v>22</v>
      </c>
      <c r="C12" s="33" t="s">
        <v>23</v>
      </c>
      <c r="D12" s="33" t="s">
        <v>24</v>
      </c>
      <c r="E12" s="33" t="s">
        <v>72</v>
      </c>
      <c r="F12" s="34" t="s">
        <v>25</v>
      </c>
      <c r="G12" s="33" t="s">
        <v>26</v>
      </c>
      <c r="H12" s="33" t="s">
        <v>27</v>
      </c>
      <c r="I12" s="33" t="s">
        <v>28</v>
      </c>
      <c r="J12" s="33" t="s">
        <v>29</v>
      </c>
      <c r="K12" s="33" t="s">
        <v>30</v>
      </c>
      <c r="L12" s="33" t="s">
        <v>29</v>
      </c>
      <c r="O12" s="32"/>
      <c r="Q12" s="32" t="s">
        <v>31</v>
      </c>
    </row>
    <row r="13" spans="2:17" x14ac:dyDescent="0.25">
      <c r="B13" s="35">
        <v>3</v>
      </c>
      <c r="C13" s="36" t="s">
        <v>43</v>
      </c>
      <c r="D13" s="37" t="s">
        <v>44</v>
      </c>
      <c r="E13" s="218" t="s">
        <v>73</v>
      </c>
      <c r="F13" s="59" t="s">
        <v>64</v>
      </c>
      <c r="G13" s="60" t="s">
        <v>65</v>
      </c>
      <c r="H13" s="89">
        <v>33</v>
      </c>
      <c r="I13" s="89">
        <v>6</v>
      </c>
      <c r="J13" s="67">
        <f>IFERROR(I13/H13,0)</f>
        <v>0.18181818181818182</v>
      </c>
      <c r="K13" s="93">
        <f>+I13+'JUNIO 2025'!K13</f>
        <v>26</v>
      </c>
      <c r="L13" s="92">
        <f>IFERROR(K13/H13,0)</f>
        <v>0.78787878787878785</v>
      </c>
    </row>
    <row r="14" spans="2:17" x14ac:dyDescent="0.25">
      <c r="B14" s="38">
        <v>3</v>
      </c>
      <c r="C14" s="39" t="s">
        <v>46</v>
      </c>
      <c r="D14" s="40" t="s">
        <v>47</v>
      </c>
      <c r="E14" s="219"/>
      <c r="F14" s="61" t="s">
        <v>66</v>
      </c>
      <c r="G14" s="63" t="s">
        <v>67</v>
      </c>
      <c r="H14" s="2">
        <v>39</v>
      </c>
      <c r="I14" s="3">
        <v>0</v>
      </c>
      <c r="J14" s="69">
        <f>IFERROR(I14/H14,0)</f>
        <v>0</v>
      </c>
      <c r="K14" s="90">
        <f>+I14+'JUNIO 2025'!K14</f>
        <v>10</v>
      </c>
      <c r="L14" s="94">
        <f>IFERROR(K14/H14,0)</f>
        <v>0.25641025641025639</v>
      </c>
    </row>
    <row r="15" spans="2:17" x14ac:dyDescent="0.25">
      <c r="B15" s="38">
        <v>3</v>
      </c>
      <c r="C15" s="39" t="s">
        <v>49</v>
      </c>
      <c r="D15" s="40" t="s">
        <v>50</v>
      </c>
      <c r="E15" s="219"/>
      <c r="F15" s="61" t="s">
        <v>68</v>
      </c>
      <c r="G15" s="62" t="s">
        <v>65</v>
      </c>
      <c r="H15" s="3">
        <v>33</v>
      </c>
      <c r="I15" s="4">
        <v>6</v>
      </c>
      <c r="J15" s="69">
        <f t="shared" ref="J15:J78" si="0">IFERROR(I15/H15,0)</f>
        <v>0.18181818181818182</v>
      </c>
      <c r="K15" s="90">
        <f>+I15+'JUNIO 2025'!K15</f>
        <v>16</v>
      </c>
      <c r="L15" s="94">
        <f t="shared" ref="L15:L78" si="1">IFERROR(K15/H15,0)</f>
        <v>0.48484848484848486</v>
      </c>
    </row>
    <row r="16" spans="2:17" x14ac:dyDescent="0.25">
      <c r="B16" s="38">
        <v>3</v>
      </c>
      <c r="C16" s="39" t="s">
        <v>52</v>
      </c>
      <c r="D16" s="40" t="s">
        <v>53</v>
      </c>
      <c r="E16" s="219"/>
      <c r="F16" s="61" t="s">
        <v>54</v>
      </c>
      <c r="G16" s="62" t="s">
        <v>65</v>
      </c>
      <c r="H16" s="3">
        <v>33</v>
      </c>
      <c r="I16" s="3">
        <v>2</v>
      </c>
      <c r="J16" s="69">
        <f t="shared" si="0"/>
        <v>6.0606060606060608E-2</v>
      </c>
      <c r="K16" s="90">
        <f>+I16+'JUNIO 2025'!K16</f>
        <v>12</v>
      </c>
      <c r="L16" s="94">
        <f t="shared" si="1"/>
        <v>0.36363636363636365</v>
      </c>
    </row>
    <row r="17" spans="2:17" s="16" customFormat="1" x14ac:dyDescent="0.25">
      <c r="B17" s="38">
        <v>3</v>
      </c>
      <c r="C17" s="39" t="s">
        <v>55</v>
      </c>
      <c r="D17" s="40" t="s">
        <v>56</v>
      </c>
      <c r="E17" s="219"/>
      <c r="F17" s="61" t="s">
        <v>69</v>
      </c>
      <c r="G17" s="62" t="s">
        <v>65</v>
      </c>
      <c r="H17" s="3">
        <v>33</v>
      </c>
      <c r="I17" s="3">
        <v>6</v>
      </c>
      <c r="J17" s="69">
        <f t="shared" si="0"/>
        <v>0.18181818181818182</v>
      </c>
      <c r="K17" s="90">
        <f>+I17+'JUNIO 2025'!K17</f>
        <v>16</v>
      </c>
      <c r="L17" s="94">
        <f t="shared" si="1"/>
        <v>0.48484848484848486</v>
      </c>
      <c r="O17" s="41"/>
      <c r="Q17" s="41"/>
    </row>
    <row r="18" spans="2:17" x14ac:dyDescent="0.25">
      <c r="B18" s="38">
        <v>5</v>
      </c>
      <c r="C18" s="39" t="s">
        <v>57</v>
      </c>
      <c r="D18" s="40" t="s">
        <v>58</v>
      </c>
      <c r="E18" s="219"/>
      <c r="F18" s="61" t="s">
        <v>54</v>
      </c>
      <c r="G18" s="62" t="s">
        <v>203</v>
      </c>
      <c r="H18" s="3">
        <v>33</v>
      </c>
      <c r="I18" s="3">
        <v>4</v>
      </c>
      <c r="J18" s="69">
        <f t="shared" si="0"/>
        <v>0.12121212121212122</v>
      </c>
      <c r="K18" s="90">
        <f>+I18+'JUNIO 2025'!K18</f>
        <v>14</v>
      </c>
      <c r="L18" s="94">
        <f t="shared" si="1"/>
        <v>0.42424242424242425</v>
      </c>
    </row>
    <row r="19" spans="2:17" x14ac:dyDescent="0.25">
      <c r="B19" s="38">
        <v>5</v>
      </c>
      <c r="C19" s="39" t="s">
        <v>59</v>
      </c>
      <c r="D19" s="40" t="s">
        <v>60</v>
      </c>
      <c r="E19" s="219"/>
      <c r="F19" s="61" t="s">
        <v>70</v>
      </c>
      <c r="G19" s="62" t="s">
        <v>204</v>
      </c>
      <c r="H19" s="3">
        <v>33</v>
      </c>
      <c r="I19" s="3">
        <v>5</v>
      </c>
      <c r="J19" s="69">
        <f t="shared" si="0"/>
        <v>0.15151515151515152</v>
      </c>
      <c r="K19" s="90">
        <f>+I19+'JUNIO 2025'!K19</f>
        <v>15</v>
      </c>
      <c r="L19" s="94">
        <f t="shared" si="1"/>
        <v>0.45454545454545453</v>
      </c>
    </row>
    <row r="20" spans="2:17" x14ac:dyDescent="0.25">
      <c r="B20" s="42">
        <v>8</v>
      </c>
      <c r="C20" s="43" t="s">
        <v>61</v>
      </c>
      <c r="D20" s="44" t="s">
        <v>62</v>
      </c>
      <c r="E20" s="220"/>
      <c r="F20" s="64" t="s">
        <v>63</v>
      </c>
      <c r="G20" s="65" t="s">
        <v>71</v>
      </c>
      <c r="H20" s="97">
        <v>33</v>
      </c>
      <c r="I20" s="97">
        <v>1</v>
      </c>
      <c r="J20" s="72">
        <f t="shared" si="0"/>
        <v>3.0303030303030304E-2</v>
      </c>
      <c r="K20" s="91">
        <f>+I20+'JUNIO 2025'!K20</f>
        <v>11</v>
      </c>
      <c r="L20" s="96">
        <f t="shared" si="1"/>
        <v>0.33333333333333331</v>
      </c>
    </row>
    <row r="21" spans="2:17" x14ac:dyDescent="0.25">
      <c r="B21" s="35">
        <v>3</v>
      </c>
      <c r="C21" s="36" t="s">
        <v>43</v>
      </c>
      <c r="D21" s="37" t="s">
        <v>44</v>
      </c>
      <c r="E21" s="218" t="s">
        <v>100</v>
      </c>
      <c r="F21" s="59" t="s">
        <v>875</v>
      </c>
      <c r="G21" s="60" t="s">
        <v>876</v>
      </c>
      <c r="H21" s="89">
        <v>30</v>
      </c>
      <c r="I21" s="89">
        <v>3</v>
      </c>
      <c r="J21" s="69">
        <f t="shared" si="0"/>
        <v>0.1</v>
      </c>
      <c r="K21" s="103">
        <f>+I21+'JUNIO 2025'!K21</f>
        <v>13</v>
      </c>
      <c r="L21" s="94">
        <f t="shared" si="1"/>
        <v>0.43333333333333335</v>
      </c>
      <c r="N21"/>
      <c r="O21" s="8"/>
      <c r="P21"/>
      <c r="Q21" s="8"/>
    </row>
    <row r="22" spans="2:17" x14ac:dyDescent="0.25">
      <c r="B22" s="38">
        <v>3</v>
      </c>
      <c r="C22" s="39" t="s">
        <v>46</v>
      </c>
      <c r="D22" s="40" t="s">
        <v>47</v>
      </c>
      <c r="E22" s="219"/>
      <c r="F22" s="61" t="s">
        <v>877</v>
      </c>
      <c r="G22" s="62" t="s">
        <v>669</v>
      </c>
      <c r="H22" s="2">
        <v>30</v>
      </c>
      <c r="I22" s="3">
        <v>4</v>
      </c>
      <c r="J22" s="69">
        <f t="shared" si="0"/>
        <v>0.13333333333333333</v>
      </c>
      <c r="K22" s="90">
        <f>+I22+'JUNIO 2025'!K22</f>
        <v>14</v>
      </c>
      <c r="L22" s="94">
        <f t="shared" si="1"/>
        <v>0.46666666666666667</v>
      </c>
      <c r="N22"/>
      <c r="O22" s="8"/>
      <c r="P22"/>
      <c r="Q22" s="8"/>
    </row>
    <row r="23" spans="2:17" x14ac:dyDescent="0.25">
      <c r="B23" s="38">
        <v>3</v>
      </c>
      <c r="C23" s="39" t="s">
        <v>98</v>
      </c>
      <c r="D23" s="40" t="s">
        <v>99</v>
      </c>
      <c r="E23" s="219"/>
      <c r="F23" s="61" t="s">
        <v>878</v>
      </c>
      <c r="G23" s="63" t="s">
        <v>879</v>
      </c>
      <c r="H23" s="3">
        <v>30</v>
      </c>
      <c r="I23" s="4">
        <v>4</v>
      </c>
      <c r="J23" s="69">
        <f t="shared" si="0"/>
        <v>0.13333333333333333</v>
      </c>
      <c r="K23" s="90">
        <f>+I23+'JUNIO 2025'!K23</f>
        <v>14</v>
      </c>
      <c r="L23" s="94">
        <f t="shared" si="1"/>
        <v>0.46666666666666667</v>
      </c>
      <c r="N23"/>
      <c r="O23" s="8"/>
      <c r="P23"/>
      <c r="Q23" s="8"/>
    </row>
    <row r="24" spans="2:17" x14ac:dyDescent="0.25">
      <c r="B24" s="38">
        <v>3</v>
      </c>
      <c r="C24" s="39" t="s">
        <v>49</v>
      </c>
      <c r="D24" s="40" t="s">
        <v>50</v>
      </c>
      <c r="E24" s="219"/>
      <c r="F24" s="61" t="s">
        <v>880</v>
      </c>
      <c r="G24" s="62" t="s">
        <v>881</v>
      </c>
      <c r="H24" s="3">
        <v>30</v>
      </c>
      <c r="I24" s="3">
        <v>3</v>
      </c>
      <c r="J24" s="69">
        <f t="shared" si="0"/>
        <v>0.1</v>
      </c>
      <c r="K24" s="90">
        <f>+I24+'JUNIO 2025'!K24</f>
        <v>13</v>
      </c>
      <c r="L24" s="94">
        <f t="shared" si="1"/>
        <v>0.43333333333333335</v>
      </c>
      <c r="N24"/>
      <c r="O24" s="8"/>
      <c r="P24"/>
      <c r="Q24" s="8"/>
    </row>
    <row r="25" spans="2:17" x14ac:dyDescent="0.25">
      <c r="B25" s="38">
        <v>3</v>
      </c>
      <c r="C25" s="39" t="s">
        <v>52</v>
      </c>
      <c r="D25" s="40" t="s">
        <v>53</v>
      </c>
      <c r="E25" s="219"/>
      <c r="F25" s="61" t="s">
        <v>882</v>
      </c>
      <c r="G25" s="62" t="s">
        <v>883</v>
      </c>
      <c r="H25" s="3">
        <v>30</v>
      </c>
      <c r="I25" s="3">
        <v>4</v>
      </c>
      <c r="J25" s="69">
        <f t="shared" si="0"/>
        <v>0.13333333333333333</v>
      </c>
      <c r="K25" s="90">
        <f>+I25+'JUNIO 2025'!K25</f>
        <v>14</v>
      </c>
      <c r="L25" s="94">
        <f t="shared" si="1"/>
        <v>0.46666666666666667</v>
      </c>
      <c r="N25"/>
      <c r="O25" s="8"/>
      <c r="P25"/>
      <c r="Q25" s="8"/>
    </row>
    <row r="26" spans="2:17" s="16" customFormat="1" x14ac:dyDescent="0.25">
      <c r="B26" s="38">
        <v>3</v>
      </c>
      <c r="C26" s="39" t="s">
        <v>55</v>
      </c>
      <c r="D26" s="40" t="s">
        <v>56</v>
      </c>
      <c r="E26" s="219"/>
      <c r="F26" s="61" t="s">
        <v>884</v>
      </c>
      <c r="G26" s="62" t="s">
        <v>885</v>
      </c>
      <c r="H26" s="3">
        <v>30</v>
      </c>
      <c r="I26" s="3">
        <v>3</v>
      </c>
      <c r="J26" s="69">
        <f t="shared" si="0"/>
        <v>0.1</v>
      </c>
      <c r="K26" s="90">
        <f>+I26+'JUNIO 2025'!K26</f>
        <v>13</v>
      </c>
      <c r="L26" s="94">
        <f t="shared" si="1"/>
        <v>0.43333333333333335</v>
      </c>
      <c r="N26" s="41"/>
      <c r="P26" s="41"/>
    </row>
    <row r="27" spans="2:17" x14ac:dyDescent="0.25">
      <c r="B27" s="38">
        <v>5</v>
      </c>
      <c r="C27" s="39" t="s">
        <v>57</v>
      </c>
      <c r="D27" s="40" t="s">
        <v>58</v>
      </c>
      <c r="E27" s="219"/>
      <c r="F27" s="61" t="s">
        <v>886</v>
      </c>
      <c r="G27" s="62" t="s">
        <v>887</v>
      </c>
      <c r="H27" s="3">
        <v>30</v>
      </c>
      <c r="I27" s="3">
        <v>3</v>
      </c>
      <c r="J27" s="69">
        <f t="shared" si="0"/>
        <v>0.1</v>
      </c>
      <c r="K27" s="90">
        <f>+I27+'JUNIO 2025'!K27</f>
        <v>13</v>
      </c>
      <c r="L27" s="94">
        <f t="shared" si="1"/>
        <v>0.43333333333333335</v>
      </c>
      <c r="N27"/>
      <c r="O27" s="8"/>
      <c r="P27"/>
      <c r="Q27" s="8"/>
    </row>
    <row r="28" spans="2:17" x14ac:dyDescent="0.25">
      <c r="B28" s="38">
        <v>5</v>
      </c>
      <c r="C28" s="39" t="s">
        <v>59</v>
      </c>
      <c r="D28" s="40" t="s">
        <v>60</v>
      </c>
      <c r="E28" s="219"/>
      <c r="F28" s="61" t="s">
        <v>888</v>
      </c>
      <c r="G28" s="62" t="s">
        <v>889</v>
      </c>
      <c r="H28" s="3">
        <v>30</v>
      </c>
      <c r="I28" s="3">
        <v>3</v>
      </c>
      <c r="J28" s="69">
        <f t="shared" si="0"/>
        <v>0.1</v>
      </c>
      <c r="K28" s="90">
        <f>+I28+'JUNIO 2025'!K28</f>
        <v>13</v>
      </c>
      <c r="L28" s="94">
        <f t="shared" si="1"/>
        <v>0.43333333333333335</v>
      </c>
      <c r="N28"/>
      <c r="O28" s="8"/>
      <c r="P28"/>
      <c r="Q28" s="8"/>
    </row>
    <row r="29" spans="2:17" x14ac:dyDescent="0.25">
      <c r="B29" s="42">
        <v>8</v>
      </c>
      <c r="C29" s="43" t="s">
        <v>61</v>
      </c>
      <c r="D29" s="44" t="s">
        <v>62</v>
      </c>
      <c r="E29" s="220"/>
      <c r="F29" s="64" t="s">
        <v>681</v>
      </c>
      <c r="G29" s="65" t="s">
        <v>682</v>
      </c>
      <c r="H29" s="97">
        <v>30</v>
      </c>
      <c r="I29" s="97">
        <v>3</v>
      </c>
      <c r="J29" s="72">
        <f t="shared" si="0"/>
        <v>0.1</v>
      </c>
      <c r="K29" s="91">
        <f>+I29+'JUNIO 2025'!K29</f>
        <v>13</v>
      </c>
      <c r="L29" s="96">
        <f t="shared" si="1"/>
        <v>0.43333333333333335</v>
      </c>
      <c r="N29"/>
      <c r="O29" s="8"/>
      <c r="P29"/>
      <c r="Q29" s="8"/>
    </row>
    <row r="30" spans="2:17" x14ac:dyDescent="0.25">
      <c r="B30" s="35">
        <v>1</v>
      </c>
      <c r="C30" s="36" t="s">
        <v>74</v>
      </c>
      <c r="D30" s="37" t="s">
        <v>75</v>
      </c>
      <c r="E30" s="218" t="s">
        <v>97</v>
      </c>
      <c r="F30" s="59" t="s">
        <v>893</v>
      </c>
      <c r="G30" s="60" t="s">
        <v>76</v>
      </c>
      <c r="H30" s="89">
        <v>55</v>
      </c>
      <c r="I30" s="89">
        <v>7</v>
      </c>
      <c r="J30" s="69">
        <f t="shared" si="0"/>
        <v>0.12727272727272726</v>
      </c>
      <c r="K30" s="103">
        <f>+I30+'JUNIO 2025'!K30</f>
        <v>22</v>
      </c>
      <c r="L30" s="94">
        <f t="shared" si="1"/>
        <v>0.4</v>
      </c>
      <c r="N30"/>
      <c r="O30" s="8"/>
      <c r="P30"/>
      <c r="Q30" s="8"/>
    </row>
    <row r="31" spans="2:17" x14ac:dyDescent="0.25">
      <c r="B31" s="38">
        <v>1</v>
      </c>
      <c r="C31" s="39" t="s">
        <v>77</v>
      </c>
      <c r="D31" s="40" t="s">
        <v>78</v>
      </c>
      <c r="E31" s="219"/>
      <c r="F31" s="61" t="s">
        <v>894</v>
      </c>
      <c r="G31" s="76" t="s">
        <v>895</v>
      </c>
      <c r="H31" s="2">
        <v>20</v>
      </c>
      <c r="I31" s="3">
        <v>1</v>
      </c>
      <c r="J31" s="69">
        <f t="shared" si="0"/>
        <v>0.05</v>
      </c>
      <c r="K31" s="90">
        <f>+I31+'JUNIO 2025'!K31</f>
        <v>9</v>
      </c>
      <c r="L31" s="94">
        <f t="shared" si="1"/>
        <v>0.45</v>
      </c>
      <c r="N31"/>
      <c r="O31" s="8"/>
      <c r="P31"/>
      <c r="Q31" s="8"/>
    </row>
    <row r="32" spans="2:17" x14ac:dyDescent="0.25">
      <c r="B32" s="38">
        <v>1</v>
      </c>
      <c r="C32" s="39" t="s">
        <v>79</v>
      </c>
      <c r="D32" s="40" t="s">
        <v>80</v>
      </c>
      <c r="E32" s="219"/>
      <c r="F32" s="61" t="s">
        <v>896</v>
      </c>
      <c r="G32" s="62" t="s">
        <v>81</v>
      </c>
      <c r="H32" s="3">
        <v>30</v>
      </c>
      <c r="I32" s="4">
        <v>4</v>
      </c>
      <c r="J32" s="69">
        <f t="shared" si="0"/>
        <v>0.13333333333333333</v>
      </c>
      <c r="K32" s="90">
        <f>+I32+'JUNIO 2025'!K32</f>
        <v>14</v>
      </c>
      <c r="L32" s="94">
        <f t="shared" si="1"/>
        <v>0.46666666666666667</v>
      </c>
      <c r="N32"/>
      <c r="O32" s="8"/>
      <c r="P32"/>
      <c r="Q32" s="8"/>
    </row>
    <row r="33" spans="2:17" x14ac:dyDescent="0.25">
      <c r="B33" s="38">
        <v>1</v>
      </c>
      <c r="C33" s="39" t="s">
        <v>82</v>
      </c>
      <c r="D33" s="40" t="s">
        <v>83</v>
      </c>
      <c r="E33" s="219"/>
      <c r="F33" s="61" t="s">
        <v>897</v>
      </c>
      <c r="G33" s="62" t="s">
        <v>81</v>
      </c>
      <c r="H33" s="3">
        <v>25</v>
      </c>
      <c r="I33" s="3">
        <v>4</v>
      </c>
      <c r="J33" s="69">
        <f t="shared" si="0"/>
        <v>0.16</v>
      </c>
      <c r="K33" s="90">
        <f>+I33+'JUNIO 2025'!K33</f>
        <v>12</v>
      </c>
      <c r="L33" s="94">
        <f t="shared" si="1"/>
        <v>0.48</v>
      </c>
      <c r="N33"/>
      <c r="O33" s="8"/>
      <c r="P33"/>
      <c r="Q33" s="8"/>
    </row>
    <row r="34" spans="2:17" x14ac:dyDescent="0.25">
      <c r="B34" s="38">
        <v>1</v>
      </c>
      <c r="C34" s="39" t="s">
        <v>84</v>
      </c>
      <c r="D34" s="40" t="s">
        <v>85</v>
      </c>
      <c r="E34" s="219"/>
      <c r="F34" s="61" t="s">
        <v>898</v>
      </c>
      <c r="G34" s="76" t="s">
        <v>895</v>
      </c>
      <c r="H34" s="3">
        <v>30</v>
      </c>
      <c r="I34" s="3">
        <v>4</v>
      </c>
      <c r="J34" s="69">
        <f t="shared" si="0"/>
        <v>0.13333333333333333</v>
      </c>
      <c r="K34" s="90">
        <f>+I34+'JUNIO 2025'!K34</f>
        <v>14</v>
      </c>
      <c r="L34" s="94">
        <f t="shared" si="1"/>
        <v>0.46666666666666667</v>
      </c>
      <c r="N34"/>
      <c r="O34" s="8"/>
      <c r="P34"/>
      <c r="Q34" s="8"/>
    </row>
    <row r="35" spans="2:17" s="16" customFormat="1" x14ac:dyDescent="0.25">
      <c r="B35" s="38">
        <v>1</v>
      </c>
      <c r="C35" s="39" t="s">
        <v>86</v>
      </c>
      <c r="D35" s="40" t="s">
        <v>87</v>
      </c>
      <c r="E35" s="219"/>
      <c r="F35" s="61" t="s">
        <v>899</v>
      </c>
      <c r="G35" s="62" t="s">
        <v>88</v>
      </c>
      <c r="H35" s="3">
        <v>20</v>
      </c>
      <c r="I35" s="3">
        <v>1</v>
      </c>
      <c r="J35" s="69">
        <f t="shared" si="0"/>
        <v>0.05</v>
      </c>
      <c r="K35" s="90">
        <f>+I35+'JUNIO 2025'!K35</f>
        <v>9</v>
      </c>
      <c r="L35" s="94">
        <f t="shared" si="1"/>
        <v>0.45</v>
      </c>
      <c r="N35" s="41"/>
      <c r="P35" s="41"/>
    </row>
    <row r="36" spans="2:17" x14ac:dyDescent="0.25">
      <c r="B36" s="38">
        <v>1</v>
      </c>
      <c r="C36" s="39" t="s">
        <v>89</v>
      </c>
      <c r="D36" s="40" t="s">
        <v>90</v>
      </c>
      <c r="E36" s="219"/>
      <c r="F36" s="61" t="s">
        <v>900</v>
      </c>
      <c r="G36" s="62" t="s">
        <v>91</v>
      </c>
      <c r="H36" s="3">
        <v>20</v>
      </c>
      <c r="I36" s="3">
        <v>1</v>
      </c>
      <c r="J36" s="69">
        <f t="shared" si="0"/>
        <v>0.05</v>
      </c>
      <c r="K36" s="90">
        <f>+I36+'JUNIO 2025'!K36</f>
        <v>9</v>
      </c>
      <c r="L36" s="94">
        <f t="shared" si="1"/>
        <v>0.45</v>
      </c>
      <c r="N36"/>
      <c r="O36" s="8"/>
      <c r="P36"/>
      <c r="Q36" s="8"/>
    </row>
    <row r="37" spans="2:17" x14ac:dyDescent="0.25">
      <c r="B37" s="38">
        <v>1</v>
      </c>
      <c r="C37" s="39" t="s">
        <v>92</v>
      </c>
      <c r="D37" s="40" t="s">
        <v>93</v>
      </c>
      <c r="E37" s="219"/>
      <c r="F37" s="61" t="s">
        <v>901</v>
      </c>
      <c r="G37" s="62" t="s">
        <v>94</v>
      </c>
      <c r="H37" s="3">
        <v>50</v>
      </c>
      <c r="I37" s="3">
        <v>7</v>
      </c>
      <c r="J37" s="69">
        <f t="shared" si="0"/>
        <v>0.14000000000000001</v>
      </c>
      <c r="K37" s="90">
        <f>+I37+'JUNIO 2025'!K37</f>
        <v>22</v>
      </c>
      <c r="L37" s="94">
        <f t="shared" si="1"/>
        <v>0.44</v>
      </c>
      <c r="N37"/>
      <c r="O37" s="8"/>
      <c r="P37"/>
      <c r="Q37" s="8"/>
    </row>
    <row r="38" spans="2:17" x14ac:dyDescent="0.25">
      <c r="B38" s="42">
        <v>1</v>
      </c>
      <c r="C38" s="43" t="s">
        <v>95</v>
      </c>
      <c r="D38" s="44" t="s">
        <v>96</v>
      </c>
      <c r="E38" s="220"/>
      <c r="F38" s="64" t="s">
        <v>902</v>
      </c>
      <c r="G38" s="65" t="s">
        <v>94</v>
      </c>
      <c r="H38" s="97">
        <v>20</v>
      </c>
      <c r="I38" s="97">
        <v>1</v>
      </c>
      <c r="J38" s="72">
        <f t="shared" si="0"/>
        <v>0.05</v>
      </c>
      <c r="K38" s="91">
        <f>+I38+'JUNIO 2025'!K38</f>
        <v>9</v>
      </c>
      <c r="L38" s="96">
        <f t="shared" si="1"/>
        <v>0.45</v>
      </c>
      <c r="N38"/>
      <c r="O38" s="8"/>
      <c r="P38"/>
      <c r="Q38" s="8"/>
    </row>
    <row r="39" spans="2:17" x14ac:dyDescent="0.25">
      <c r="B39" s="35">
        <v>3</v>
      </c>
      <c r="C39" s="36" t="s">
        <v>43</v>
      </c>
      <c r="D39" s="37" t="s">
        <v>44</v>
      </c>
      <c r="E39" s="218" t="s">
        <v>103</v>
      </c>
      <c r="F39" s="59" t="s">
        <v>688</v>
      </c>
      <c r="G39" s="60" t="s">
        <v>101</v>
      </c>
      <c r="H39" s="89">
        <v>35</v>
      </c>
      <c r="I39" s="89">
        <v>4</v>
      </c>
      <c r="J39" s="69">
        <f t="shared" si="0"/>
        <v>0.11428571428571428</v>
      </c>
      <c r="K39" s="103">
        <f>+I39+'JUNIO 2025'!K39</f>
        <v>16</v>
      </c>
      <c r="L39" s="94">
        <f t="shared" si="1"/>
        <v>0.45714285714285713</v>
      </c>
      <c r="N39"/>
      <c r="O39" s="8"/>
      <c r="P39"/>
      <c r="Q39" s="8"/>
    </row>
    <row r="40" spans="2:17" x14ac:dyDescent="0.25">
      <c r="B40" s="38">
        <v>3</v>
      </c>
      <c r="C40" s="39" t="s">
        <v>46</v>
      </c>
      <c r="D40" s="40" t="s">
        <v>47</v>
      </c>
      <c r="E40" s="219"/>
      <c r="F40" s="61" t="s">
        <v>689</v>
      </c>
      <c r="G40" s="76" t="s">
        <v>101</v>
      </c>
      <c r="H40" s="2">
        <v>33</v>
      </c>
      <c r="I40" s="3">
        <v>4</v>
      </c>
      <c r="J40" s="69">
        <f t="shared" si="0"/>
        <v>0.12121212121212122</v>
      </c>
      <c r="K40" s="90">
        <f>+I40+'JUNIO 2025'!K40</f>
        <v>15</v>
      </c>
      <c r="L40" s="94">
        <f t="shared" si="1"/>
        <v>0.45454545454545453</v>
      </c>
      <c r="N40"/>
      <c r="O40" s="8"/>
      <c r="P40"/>
      <c r="Q40" s="8"/>
    </row>
    <row r="41" spans="2:17" x14ac:dyDescent="0.25">
      <c r="B41" s="38">
        <v>3</v>
      </c>
      <c r="C41" s="39" t="s">
        <v>49</v>
      </c>
      <c r="D41" s="40" t="s">
        <v>50</v>
      </c>
      <c r="E41" s="219"/>
      <c r="F41" s="61" t="s">
        <v>240</v>
      </c>
      <c r="G41" s="62" t="s">
        <v>101</v>
      </c>
      <c r="H41" s="3">
        <v>33</v>
      </c>
      <c r="I41" s="4">
        <v>4</v>
      </c>
      <c r="J41" s="69">
        <f t="shared" si="0"/>
        <v>0.12121212121212122</v>
      </c>
      <c r="K41" s="90">
        <f>+I41+'JUNIO 2025'!K41</f>
        <v>15</v>
      </c>
      <c r="L41" s="94">
        <f t="shared" si="1"/>
        <v>0.45454545454545453</v>
      </c>
      <c r="N41"/>
      <c r="O41" s="8"/>
      <c r="P41"/>
      <c r="Q41" s="8"/>
    </row>
    <row r="42" spans="2:17" x14ac:dyDescent="0.25">
      <c r="B42" s="38">
        <v>3</v>
      </c>
      <c r="C42" s="39" t="s">
        <v>52</v>
      </c>
      <c r="D42" s="40" t="s">
        <v>53</v>
      </c>
      <c r="E42" s="219"/>
      <c r="F42" s="61" t="s">
        <v>170</v>
      </c>
      <c r="G42" s="62" t="s">
        <v>101</v>
      </c>
      <c r="H42" s="3">
        <v>33</v>
      </c>
      <c r="I42" s="3">
        <v>4</v>
      </c>
      <c r="J42" s="69">
        <f t="shared" si="0"/>
        <v>0.12121212121212122</v>
      </c>
      <c r="K42" s="90">
        <f>+I42+'JUNIO 2025'!K42</f>
        <v>15</v>
      </c>
      <c r="L42" s="94">
        <f t="shared" si="1"/>
        <v>0.45454545454545453</v>
      </c>
      <c r="N42"/>
      <c r="O42" s="8"/>
      <c r="P42"/>
      <c r="Q42" s="8"/>
    </row>
    <row r="43" spans="2:17" s="16" customFormat="1" x14ac:dyDescent="0.25">
      <c r="B43" s="38">
        <v>3</v>
      </c>
      <c r="C43" s="39" t="s">
        <v>55</v>
      </c>
      <c r="D43" s="40" t="s">
        <v>56</v>
      </c>
      <c r="E43" s="219"/>
      <c r="F43" s="61" t="s">
        <v>690</v>
      </c>
      <c r="G43" s="76" t="s">
        <v>101</v>
      </c>
      <c r="H43" s="3">
        <v>35</v>
      </c>
      <c r="I43" s="3">
        <v>4</v>
      </c>
      <c r="J43" s="69">
        <f t="shared" si="0"/>
        <v>0.11428571428571428</v>
      </c>
      <c r="K43" s="90">
        <f>+I43+'JUNIO 2025'!K43</f>
        <v>15</v>
      </c>
      <c r="L43" s="94">
        <f t="shared" si="1"/>
        <v>0.42857142857142855</v>
      </c>
      <c r="N43" s="41"/>
      <c r="P43" s="41"/>
    </row>
    <row r="44" spans="2:17" x14ac:dyDescent="0.25">
      <c r="B44" s="38">
        <v>5</v>
      </c>
      <c r="C44" s="39" t="s">
        <v>57</v>
      </c>
      <c r="D44" s="40" t="s">
        <v>58</v>
      </c>
      <c r="E44" s="219"/>
      <c r="F44" s="61" t="s">
        <v>241</v>
      </c>
      <c r="G44" s="62" t="s">
        <v>101</v>
      </c>
      <c r="H44" s="3">
        <v>33</v>
      </c>
      <c r="I44" s="3">
        <v>4</v>
      </c>
      <c r="J44" s="69">
        <f t="shared" si="0"/>
        <v>0.12121212121212122</v>
      </c>
      <c r="K44" s="90">
        <f>+I44+'JUNIO 2025'!K44</f>
        <v>15</v>
      </c>
      <c r="L44" s="94">
        <f t="shared" si="1"/>
        <v>0.45454545454545453</v>
      </c>
      <c r="N44"/>
      <c r="O44" s="8"/>
      <c r="P44"/>
      <c r="Q44" s="8"/>
    </row>
    <row r="45" spans="2:17" x14ac:dyDescent="0.25">
      <c r="B45" s="38">
        <v>5</v>
      </c>
      <c r="C45" s="39" t="s">
        <v>59</v>
      </c>
      <c r="D45" s="40" t="s">
        <v>60</v>
      </c>
      <c r="E45" s="219"/>
      <c r="F45" s="61" t="s">
        <v>102</v>
      </c>
      <c r="G45" s="62" t="s">
        <v>101</v>
      </c>
      <c r="H45" s="3">
        <v>35</v>
      </c>
      <c r="I45" s="3">
        <v>3</v>
      </c>
      <c r="J45" s="69">
        <f t="shared" si="0"/>
        <v>8.5714285714285715E-2</v>
      </c>
      <c r="K45" s="90">
        <f>+I45+'JUNIO 2025'!K45</f>
        <v>15</v>
      </c>
      <c r="L45" s="94">
        <f t="shared" si="1"/>
        <v>0.42857142857142855</v>
      </c>
      <c r="N45"/>
      <c r="O45" s="8"/>
      <c r="P45"/>
      <c r="Q45" s="8"/>
    </row>
    <row r="46" spans="2:17" x14ac:dyDescent="0.25">
      <c r="B46" s="42">
        <v>8</v>
      </c>
      <c r="C46" s="43" t="s">
        <v>61</v>
      </c>
      <c r="D46" s="44" t="s">
        <v>62</v>
      </c>
      <c r="E46" s="220"/>
      <c r="F46" s="64" t="s">
        <v>212</v>
      </c>
      <c r="G46" s="62" t="s">
        <v>101</v>
      </c>
      <c r="H46" s="97">
        <v>33</v>
      </c>
      <c r="I46" s="97">
        <v>3</v>
      </c>
      <c r="J46" s="72">
        <f t="shared" si="0"/>
        <v>9.0909090909090912E-2</v>
      </c>
      <c r="K46" s="91">
        <f>+I46+'JUNIO 2025'!K46</f>
        <v>14</v>
      </c>
      <c r="L46" s="96">
        <f t="shared" si="1"/>
        <v>0.42424242424242425</v>
      </c>
      <c r="N46"/>
      <c r="O46" s="8"/>
      <c r="P46"/>
      <c r="Q46" s="8"/>
    </row>
    <row r="47" spans="2:17" x14ac:dyDescent="0.25">
      <c r="B47" s="35">
        <v>3</v>
      </c>
      <c r="C47" s="36" t="s">
        <v>43</v>
      </c>
      <c r="D47" s="37" t="s">
        <v>44</v>
      </c>
      <c r="E47" s="218" t="s">
        <v>108</v>
      </c>
      <c r="F47" s="59" t="s">
        <v>45</v>
      </c>
      <c r="G47" s="60" t="s">
        <v>104</v>
      </c>
      <c r="H47" s="89">
        <v>20</v>
      </c>
      <c r="I47" s="89">
        <v>3</v>
      </c>
      <c r="J47" s="69">
        <f t="shared" si="0"/>
        <v>0.15</v>
      </c>
      <c r="K47" s="103">
        <f>+I47+'JUNIO 2025'!K47</f>
        <v>12</v>
      </c>
      <c r="L47" s="94">
        <f t="shared" si="1"/>
        <v>0.6</v>
      </c>
      <c r="N47"/>
      <c r="O47" s="8"/>
      <c r="P47"/>
      <c r="Q47" s="8"/>
    </row>
    <row r="48" spans="2:17" x14ac:dyDescent="0.25">
      <c r="B48" s="38">
        <v>3</v>
      </c>
      <c r="C48" s="39" t="s">
        <v>46</v>
      </c>
      <c r="D48" s="40" t="s">
        <v>47</v>
      </c>
      <c r="E48" s="219"/>
      <c r="F48" s="61" t="s">
        <v>48</v>
      </c>
      <c r="G48" s="62" t="s">
        <v>104</v>
      </c>
      <c r="H48" s="2">
        <v>20</v>
      </c>
      <c r="I48" s="3">
        <v>3</v>
      </c>
      <c r="J48" s="69">
        <f t="shared" si="0"/>
        <v>0.15</v>
      </c>
      <c r="K48" s="90">
        <f>+I48+'JUNIO 2025'!K48</f>
        <v>12</v>
      </c>
      <c r="L48" s="94">
        <f t="shared" si="1"/>
        <v>0.6</v>
      </c>
      <c r="N48"/>
      <c r="O48" s="8"/>
      <c r="P48"/>
      <c r="Q48" s="8"/>
    </row>
    <row r="49" spans="2:17" x14ac:dyDescent="0.25">
      <c r="B49" s="38">
        <v>3</v>
      </c>
      <c r="C49" s="39" t="s">
        <v>98</v>
      </c>
      <c r="D49" s="40" t="s">
        <v>99</v>
      </c>
      <c r="E49" s="219"/>
      <c r="F49" s="61" t="s">
        <v>48</v>
      </c>
      <c r="G49" s="63" t="s">
        <v>104</v>
      </c>
      <c r="H49" s="3">
        <v>20</v>
      </c>
      <c r="I49" s="4">
        <v>4</v>
      </c>
      <c r="J49" s="69">
        <f t="shared" si="0"/>
        <v>0.2</v>
      </c>
      <c r="K49" s="90">
        <f>+I49+'JUNIO 2025'!K49</f>
        <v>16</v>
      </c>
      <c r="L49" s="94">
        <f t="shared" si="1"/>
        <v>0.8</v>
      </c>
      <c r="N49"/>
      <c r="O49" s="8"/>
      <c r="P49"/>
      <c r="Q49" s="8"/>
    </row>
    <row r="50" spans="2:17" x14ac:dyDescent="0.25">
      <c r="B50" s="38">
        <v>3</v>
      </c>
      <c r="C50" s="39" t="s">
        <v>49</v>
      </c>
      <c r="D50" s="40" t="s">
        <v>50</v>
      </c>
      <c r="E50" s="219"/>
      <c r="F50" s="61" t="s">
        <v>51</v>
      </c>
      <c r="G50" s="63" t="s">
        <v>252</v>
      </c>
      <c r="H50" s="3">
        <v>20</v>
      </c>
      <c r="I50" s="3">
        <v>3</v>
      </c>
      <c r="J50" s="69">
        <f t="shared" si="0"/>
        <v>0.15</v>
      </c>
      <c r="K50" s="90">
        <f>+I50+'JUNIO 2025'!K50</f>
        <v>12</v>
      </c>
      <c r="L50" s="94">
        <f t="shared" si="1"/>
        <v>0.6</v>
      </c>
      <c r="N50"/>
      <c r="O50" s="8"/>
      <c r="P50"/>
      <c r="Q50" s="8"/>
    </row>
    <row r="51" spans="2:17" x14ac:dyDescent="0.25">
      <c r="B51" s="38">
        <v>3</v>
      </c>
      <c r="C51" s="39" t="s">
        <v>52</v>
      </c>
      <c r="D51" s="40" t="s">
        <v>53</v>
      </c>
      <c r="E51" s="219"/>
      <c r="F51" s="61" t="s">
        <v>54</v>
      </c>
      <c r="G51" s="62" t="s">
        <v>104</v>
      </c>
      <c r="H51" s="3">
        <v>20</v>
      </c>
      <c r="I51" s="3">
        <v>4</v>
      </c>
      <c r="J51" s="69">
        <f t="shared" si="0"/>
        <v>0.2</v>
      </c>
      <c r="K51" s="90">
        <f>+I51+'JUNIO 2025'!K51</f>
        <v>16</v>
      </c>
      <c r="L51" s="94">
        <f t="shared" si="1"/>
        <v>0.8</v>
      </c>
      <c r="N51"/>
      <c r="O51" s="8"/>
      <c r="P51"/>
      <c r="Q51" s="8"/>
    </row>
    <row r="52" spans="2:17" s="16" customFormat="1" x14ac:dyDescent="0.25">
      <c r="B52" s="38">
        <v>3</v>
      </c>
      <c r="C52" s="39" t="s">
        <v>55</v>
      </c>
      <c r="D52" s="40" t="s">
        <v>56</v>
      </c>
      <c r="E52" s="219"/>
      <c r="F52" s="61" t="s">
        <v>54</v>
      </c>
      <c r="G52" s="62" t="s">
        <v>105</v>
      </c>
      <c r="H52" s="3">
        <v>20</v>
      </c>
      <c r="I52" s="3">
        <v>3</v>
      </c>
      <c r="J52" s="69">
        <f t="shared" si="0"/>
        <v>0.15</v>
      </c>
      <c r="K52" s="90">
        <f>+I52+'JUNIO 2025'!K52</f>
        <v>12</v>
      </c>
      <c r="L52" s="94">
        <f t="shared" si="1"/>
        <v>0.6</v>
      </c>
      <c r="N52" s="41"/>
      <c r="P52" s="41"/>
    </row>
    <row r="53" spans="2:17" x14ac:dyDescent="0.25">
      <c r="B53" s="38">
        <v>5</v>
      </c>
      <c r="C53" s="39" t="s">
        <v>57</v>
      </c>
      <c r="D53" s="40" t="s">
        <v>58</v>
      </c>
      <c r="E53" s="219"/>
      <c r="F53" s="61" t="s">
        <v>54</v>
      </c>
      <c r="G53" s="62" t="s">
        <v>106</v>
      </c>
      <c r="H53" s="3">
        <v>20</v>
      </c>
      <c r="I53" s="3">
        <v>3</v>
      </c>
      <c r="J53" s="69">
        <f t="shared" si="0"/>
        <v>0.15</v>
      </c>
      <c r="K53" s="90">
        <f>+I53+'JUNIO 2025'!K53</f>
        <v>12</v>
      </c>
      <c r="L53" s="94">
        <f t="shared" si="1"/>
        <v>0.6</v>
      </c>
      <c r="N53"/>
      <c r="O53" s="8"/>
      <c r="P53"/>
      <c r="Q53" s="8"/>
    </row>
    <row r="54" spans="2:17" x14ac:dyDescent="0.25">
      <c r="B54" s="38">
        <v>5</v>
      </c>
      <c r="C54" s="39" t="s">
        <v>59</v>
      </c>
      <c r="D54" s="40" t="s">
        <v>60</v>
      </c>
      <c r="E54" s="219"/>
      <c r="F54" s="61" t="s">
        <v>54</v>
      </c>
      <c r="G54" s="62" t="s">
        <v>253</v>
      </c>
      <c r="H54" s="3">
        <v>20</v>
      </c>
      <c r="I54" s="3">
        <v>4</v>
      </c>
      <c r="J54" s="69">
        <f t="shared" si="0"/>
        <v>0.2</v>
      </c>
      <c r="K54" s="90">
        <f>+I54+'JUNIO 2025'!K54</f>
        <v>16</v>
      </c>
      <c r="L54" s="94">
        <f t="shared" si="1"/>
        <v>0.8</v>
      </c>
      <c r="N54"/>
      <c r="O54" s="8"/>
      <c r="P54"/>
      <c r="Q54" s="8"/>
    </row>
    <row r="55" spans="2:17" x14ac:dyDescent="0.25">
      <c r="B55" s="42">
        <v>8</v>
      </c>
      <c r="C55" s="43" t="s">
        <v>61</v>
      </c>
      <c r="D55" s="44" t="s">
        <v>62</v>
      </c>
      <c r="E55" s="220"/>
      <c r="F55" s="64" t="s">
        <v>63</v>
      </c>
      <c r="G55" s="65" t="s">
        <v>107</v>
      </c>
      <c r="H55" s="97">
        <v>20</v>
      </c>
      <c r="I55" s="97">
        <v>3</v>
      </c>
      <c r="J55" s="72">
        <f t="shared" si="0"/>
        <v>0.15</v>
      </c>
      <c r="K55" s="91">
        <f>+I55+'JUNIO 2025'!K55</f>
        <v>12</v>
      </c>
      <c r="L55" s="96">
        <f t="shared" si="1"/>
        <v>0.6</v>
      </c>
      <c r="N55"/>
      <c r="O55" s="8"/>
      <c r="P55"/>
      <c r="Q55" s="8"/>
    </row>
    <row r="56" spans="2:17" x14ac:dyDescent="0.25">
      <c r="B56" s="35">
        <v>3</v>
      </c>
      <c r="C56" s="36" t="s">
        <v>43</v>
      </c>
      <c r="D56" s="37" t="s">
        <v>44</v>
      </c>
      <c r="E56" s="218" t="s">
        <v>171</v>
      </c>
      <c r="F56" s="59" t="s">
        <v>944</v>
      </c>
      <c r="G56" s="60" t="s">
        <v>109</v>
      </c>
      <c r="H56" s="123">
        <v>18</v>
      </c>
      <c r="I56" s="66">
        <v>3</v>
      </c>
      <c r="J56" s="69">
        <f t="shared" si="0"/>
        <v>0.16666666666666666</v>
      </c>
      <c r="K56" s="103">
        <f>+I56+'JUNIO 2025'!K56</f>
        <v>12</v>
      </c>
      <c r="L56" s="94">
        <f t="shared" si="1"/>
        <v>0.66666666666666663</v>
      </c>
      <c r="N56"/>
      <c r="O56" s="8"/>
      <c r="P56"/>
      <c r="Q56" s="8"/>
    </row>
    <row r="57" spans="2:17" x14ac:dyDescent="0.25">
      <c r="B57" s="38">
        <v>3</v>
      </c>
      <c r="C57" s="39" t="s">
        <v>46</v>
      </c>
      <c r="D57" s="40" t="s">
        <v>47</v>
      </c>
      <c r="E57" s="219"/>
      <c r="F57" s="61" t="s">
        <v>692</v>
      </c>
      <c r="G57" s="62" t="s">
        <v>184</v>
      </c>
      <c r="H57" s="124">
        <v>36</v>
      </c>
      <c r="I57" s="55">
        <v>6</v>
      </c>
      <c r="J57" s="69">
        <f t="shared" si="0"/>
        <v>0.16666666666666666</v>
      </c>
      <c r="K57" s="90">
        <f>+I57+'JUNIO 2025'!K57</f>
        <v>24</v>
      </c>
      <c r="L57" s="94">
        <f t="shared" si="1"/>
        <v>0.66666666666666663</v>
      </c>
      <c r="N57"/>
      <c r="O57" s="8"/>
      <c r="P57"/>
      <c r="Q57" s="8"/>
    </row>
    <row r="58" spans="2:17" x14ac:dyDescent="0.25">
      <c r="B58" s="38">
        <v>3</v>
      </c>
      <c r="C58" s="39" t="s">
        <v>98</v>
      </c>
      <c r="D58" s="40" t="s">
        <v>99</v>
      </c>
      <c r="E58" s="219"/>
      <c r="F58" s="61" t="s">
        <v>945</v>
      </c>
      <c r="G58" s="63" t="s">
        <v>173</v>
      </c>
      <c r="H58" s="125">
        <v>12</v>
      </c>
      <c r="I58" s="70">
        <v>2</v>
      </c>
      <c r="J58" s="69">
        <f t="shared" si="0"/>
        <v>0.16666666666666666</v>
      </c>
      <c r="K58" s="90">
        <f>+I58+'JUNIO 2025'!K58</f>
        <v>8</v>
      </c>
      <c r="L58" s="94">
        <f t="shared" si="1"/>
        <v>0.66666666666666663</v>
      </c>
      <c r="N58"/>
      <c r="O58" s="8"/>
      <c r="P58"/>
      <c r="Q58" s="8"/>
    </row>
    <row r="59" spans="2:17" x14ac:dyDescent="0.25">
      <c r="B59" s="38">
        <v>3</v>
      </c>
      <c r="C59" s="39" t="s">
        <v>49</v>
      </c>
      <c r="D59" s="40" t="s">
        <v>50</v>
      </c>
      <c r="E59" s="219"/>
      <c r="F59" s="61" t="s">
        <v>946</v>
      </c>
      <c r="G59" s="63" t="s">
        <v>516</v>
      </c>
      <c r="H59" s="125">
        <v>36</v>
      </c>
      <c r="I59" s="55">
        <v>6</v>
      </c>
      <c r="J59" s="69">
        <f t="shared" si="0"/>
        <v>0.16666666666666666</v>
      </c>
      <c r="K59" s="90">
        <f>+I59+'JUNIO 2025'!K59</f>
        <v>24</v>
      </c>
      <c r="L59" s="94">
        <f t="shared" si="1"/>
        <v>0.66666666666666663</v>
      </c>
      <c r="N59"/>
      <c r="O59" s="8"/>
      <c r="P59"/>
      <c r="Q59" s="8"/>
    </row>
    <row r="60" spans="2:17" x14ac:dyDescent="0.25">
      <c r="B60" s="38">
        <v>3</v>
      </c>
      <c r="C60" s="39" t="s">
        <v>52</v>
      </c>
      <c r="D60" s="40" t="s">
        <v>53</v>
      </c>
      <c r="E60" s="219"/>
      <c r="F60" s="61" t="s">
        <v>250</v>
      </c>
      <c r="G60" s="62" t="s">
        <v>185</v>
      </c>
      <c r="H60" s="125">
        <v>18</v>
      </c>
      <c r="I60" s="55">
        <v>3</v>
      </c>
      <c r="J60" s="69">
        <f t="shared" si="0"/>
        <v>0.16666666666666666</v>
      </c>
      <c r="K60" s="90">
        <f>+I60+'JUNIO 2025'!K60</f>
        <v>12</v>
      </c>
      <c r="L60" s="94">
        <f t="shared" si="1"/>
        <v>0.66666666666666663</v>
      </c>
      <c r="N60"/>
      <c r="O60" s="8"/>
      <c r="P60"/>
      <c r="Q60" s="8"/>
    </row>
    <row r="61" spans="2:17" s="16" customFormat="1" x14ac:dyDescent="0.25">
      <c r="B61" s="38">
        <v>3</v>
      </c>
      <c r="C61" s="39" t="s">
        <v>55</v>
      </c>
      <c r="D61" s="40" t="s">
        <v>56</v>
      </c>
      <c r="E61" s="219"/>
      <c r="F61" s="61" t="s">
        <v>947</v>
      </c>
      <c r="G61" s="62" t="s">
        <v>186</v>
      </c>
      <c r="H61" s="125">
        <v>18</v>
      </c>
      <c r="I61" s="55">
        <v>3</v>
      </c>
      <c r="J61" s="69">
        <f t="shared" si="0"/>
        <v>0.16666666666666666</v>
      </c>
      <c r="K61" s="90">
        <f>+I61+'JUNIO 2025'!K61</f>
        <v>12</v>
      </c>
      <c r="L61" s="94">
        <f t="shared" si="1"/>
        <v>0.66666666666666663</v>
      </c>
      <c r="N61" s="41"/>
      <c r="P61" s="41"/>
    </row>
    <row r="62" spans="2:17" x14ac:dyDescent="0.25">
      <c r="B62" s="38">
        <v>5</v>
      </c>
      <c r="C62" s="39" t="s">
        <v>57</v>
      </c>
      <c r="D62" s="40" t="s">
        <v>58</v>
      </c>
      <c r="E62" s="219"/>
      <c r="F62" s="61" t="s">
        <v>948</v>
      </c>
      <c r="G62" s="62" t="s">
        <v>175</v>
      </c>
      <c r="H62" s="125">
        <v>12</v>
      </c>
      <c r="I62" s="55">
        <v>2</v>
      </c>
      <c r="J62" s="69">
        <f t="shared" si="0"/>
        <v>0.16666666666666666</v>
      </c>
      <c r="K62" s="90">
        <f>+I62+'JUNIO 2025'!K62</f>
        <v>8</v>
      </c>
      <c r="L62" s="94">
        <f t="shared" si="1"/>
        <v>0.66666666666666663</v>
      </c>
      <c r="N62"/>
      <c r="O62" s="8"/>
      <c r="P62"/>
      <c r="Q62" s="8"/>
    </row>
    <row r="63" spans="2:17" x14ac:dyDescent="0.25">
      <c r="B63" s="38">
        <v>5</v>
      </c>
      <c r="C63" s="39" t="s">
        <v>59</v>
      </c>
      <c r="D63" s="40" t="s">
        <v>60</v>
      </c>
      <c r="E63" s="219"/>
      <c r="F63" s="61" t="s">
        <v>697</v>
      </c>
      <c r="G63" s="62" t="s">
        <v>516</v>
      </c>
      <c r="H63" s="125">
        <v>18</v>
      </c>
      <c r="I63" s="55">
        <v>3</v>
      </c>
      <c r="J63" s="69">
        <f t="shared" si="0"/>
        <v>0.16666666666666666</v>
      </c>
      <c r="K63" s="90">
        <f>+I63+'JUNIO 2025'!K63</f>
        <v>12</v>
      </c>
      <c r="L63" s="94">
        <f t="shared" si="1"/>
        <v>0.66666666666666663</v>
      </c>
      <c r="N63"/>
      <c r="O63" s="8"/>
      <c r="P63"/>
      <c r="Q63" s="8"/>
    </row>
    <row r="64" spans="2:17" x14ac:dyDescent="0.25">
      <c r="B64" s="42">
        <v>8</v>
      </c>
      <c r="C64" s="43" t="s">
        <v>61</v>
      </c>
      <c r="D64" s="44" t="s">
        <v>62</v>
      </c>
      <c r="E64" s="220"/>
      <c r="F64" s="64" t="s">
        <v>949</v>
      </c>
      <c r="G64" s="65" t="s">
        <v>109</v>
      </c>
      <c r="H64" s="126">
        <v>12</v>
      </c>
      <c r="I64" s="56">
        <v>2</v>
      </c>
      <c r="J64" s="72">
        <f t="shared" si="0"/>
        <v>0.16666666666666666</v>
      </c>
      <c r="K64" s="91">
        <f>+I64+'JUNIO 2025'!K64</f>
        <v>8</v>
      </c>
      <c r="L64" s="96">
        <f t="shared" si="1"/>
        <v>0.66666666666666663</v>
      </c>
      <c r="N64"/>
      <c r="O64" s="8"/>
      <c r="P64"/>
      <c r="Q64" s="8"/>
    </row>
    <row r="65" spans="2:17" x14ac:dyDescent="0.25">
      <c r="B65" s="35">
        <v>3</v>
      </c>
      <c r="C65" s="36" t="s">
        <v>43</v>
      </c>
      <c r="D65" s="37" t="s">
        <v>44</v>
      </c>
      <c r="E65" s="218" t="s">
        <v>115</v>
      </c>
      <c r="F65" s="59" t="s">
        <v>867</v>
      </c>
      <c r="G65" s="60" t="s">
        <v>700</v>
      </c>
      <c r="H65" s="66">
        <v>30</v>
      </c>
      <c r="I65" s="66">
        <v>3</v>
      </c>
      <c r="J65" s="69">
        <f t="shared" si="0"/>
        <v>0.1</v>
      </c>
      <c r="K65" s="103">
        <f>+I65+'JUNIO 2025'!K65</f>
        <v>16</v>
      </c>
      <c r="L65" s="94">
        <f t="shared" si="1"/>
        <v>0.53333333333333333</v>
      </c>
      <c r="N65"/>
      <c r="O65" s="8"/>
      <c r="P65"/>
      <c r="Q65" s="8"/>
    </row>
    <row r="66" spans="2:17" x14ac:dyDescent="0.25">
      <c r="B66" s="38">
        <v>3</v>
      </c>
      <c r="C66" s="39" t="s">
        <v>46</v>
      </c>
      <c r="D66" s="40" t="s">
        <v>47</v>
      </c>
      <c r="E66" s="219"/>
      <c r="F66" s="61" t="s">
        <v>868</v>
      </c>
      <c r="G66" s="61" t="s">
        <v>700</v>
      </c>
      <c r="H66" s="68">
        <v>30</v>
      </c>
      <c r="I66" s="55">
        <v>3</v>
      </c>
      <c r="J66" s="69">
        <f t="shared" si="0"/>
        <v>0.1</v>
      </c>
      <c r="K66" s="90">
        <f>+I66+'JUNIO 2025'!K66</f>
        <v>15</v>
      </c>
      <c r="L66" s="94">
        <f t="shared" si="1"/>
        <v>0.5</v>
      </c>
      <c r="N66"/>
      <c r="O66" s="8"/>
      <c r="P66"/>
      <c r="Q66" s="8"/>
    </row>
    <row r="67" spans="2:17" x14ac:dyDescent="0.25">
      <c r="B67" s="38">
        <v>3</v>
      </c>
      <c r="C67" s="39" t="s">
        <v>98</v>
      </c>
      <c r="D67" s="40" t="s">
        <v>99</v>
      </c>
      <c r="E67" s="219"/>
      <c r="F67" s="61" t="s">
        <v>869</v>
      </c>
      <c r="G67" s="63" t="s">
        <v>700</v>
      </c>
      <c r="H67" s="55">
        <v>30</v>
      </c>
      <c r="I67" s="70">
        <v>3</v>
      </c>
      <c r="J67" s="69">
        <f t="shared" si="0"/>
        <v>0.1</v>
      </c>
      <c r="K67" s="90">
        <f>+I67+'JUNIO 2025'!K67</f>
        <v>14</v>
      </c>
      <c r="L67" s="94">
        <f t="shared" si="1"/>
        <v>0.46666666666666667</v>
      </c>
      <c r="N67"/>
      <c r="O67" s="8"/>
      <c r="P67"/>
      <c r="Q67" s="8"/>
    </row>
    <row r="68" spans="2:17" x14ac:dyDescent="0.25">
      <c r="B68" s="38">
        <v>3</v>
      </c>
      <c r="C68" s="39" t="s">
        <v>49</v>
      </c>
      <c r="D68" s="40" t="s">
        <v>50</v>
      </c>
      <c r="E68" s="219"/>
      <c r="F68" s="61" t="s">
        <v>870</v>
      </c>
      <c r="G68" s="63" t="s">
        <v>114</v>
      </c>
      <c r="H68" s="55">
        <v>30</v>
      </c>
      <c r="I68" s="55">
        <v>3</v>
      </c>
      <c r="J68" s="69">
        <f t="shared" si="0"/>
        <v>0.1</v>
      </c>
      <c r="K68" s="90">
        <f>+I68+'JUNIO 2025'!K68</f>
        <v>14</v>
      </c>
      <c r="L68" s="94">
        <f t="shared" si="1"/>
        <v>0.46666666666666667</v>
      </c>
      <c r="N68"/>
      <c r="O68" s="8"/>
      <c r="P68"/>
      <c r="Q68" s="8"/>
    </row>
    <row r="69" spans="2:17" x14ac:dyDescent="0.25">
      <c r="B69" s="38">
        <v>3</v>
      </c>
      <c r="C69" s="39" t="s">
        <v>52</v>
      </c>
      <c r="D69" s="40" t="s">
        <v>53</v>
      </c>
      <c r="E69" s="219"/>
      <c r="F69" s="61" t="s">
        <v>704</v>
      </c>
      <c r="G69" s="62" t="s">
        <v>871</v>
      </c>
      <c r="H69" s="55">
        <v>30</v>
      </c>
      <c r="I69" s="55">
        <v>4</v>
      </c>
      <c r="J69" s="69">
        <f t="shared" si="0"/>
        <v>0.13333333333333333</v>
      </c>
      <c r="K69" s="90">
        <f>+I69+'JUNIO 2025'!K69</f>
        <v>12</v>
      </c>
      <c r="L69" s="94">
        <f t="shared" si="1"/>
        <v>0.4</v>
      </c>
      <c r="N69"/>
      <c r="O69" s="8"/>
      <c r="P69"/>
      <c r="Q69" s="8"/>
    </row>
    <row r="70" spans="2:17" s="16" customFormat="1" x14ac:dyDescent="0.25">
      <c r="B70" s="38">
        <v>3</v>
      </c>
      <c r="C70" s="39" t="s">
        <v>55</v>
      </c>
      <c r="D70" s="40" t="s">
        <v>56</v>
      </c>
      <c r="E70" s="219"/>
      <c r="F70" s="61" t="s">
        <v>872</v>
      </c>
      <c r="G70" s="62" t="s">
        <v>114</v>
      </c>
      <c r="H70" s="55">
        <v>30</v>
      </c>
      <c r="I70" s="55">
        <v>4</v>
      </c>
      <c r="J70" s="69">
        <f t="shared" si="0"/>
        <v>0.13333333333333333</v>
      </c>
      <c r="K70" s="90">
        <f>+I70+'JUNIO 2025'!K70</f>
        <v>12</v>
      </c>
      <c r="L70" s="94">
        <f t="shared" si="1"/>
        <v>0.4</v>
      </c>
      <c r="N70" s="41"/>
      <c r="P70" s="41"/>
    </row>
    <row r="71" spans="2:17" x14ac:dyDescent="0.25">
      <c r="B71" s="38">
        <v>5</v>
      </c>
      <c r="C71" s="39" t="s">
        <v>57</v>
      </c>
      <c r="D71" s="40" t="s">
        <v>58</v>
      </c>
      <c r="E71" s="219"/>
      <c r="F71" s="61" t="s">
        <v>262</v>
      </c>
      <c r="G71" s="62" t="s">
        <v>208</v>
      </c>
      <c r="H71" s="55">
        <v>30</v>
      </c>
      <c r="I71" s="55">
        <v>3</v>
      </c>
      <c r="J71" s="69">
        <f t="shared" si="0"/>
        <v>0.1</v>
      </c>
      <c r="K71" s="90">
        <f>+I71+'JUNIO 2025'!K71</f>
        <v>12</v>
      </c>
      <c r="L71" s="94">
        <f t="shared" si="1"/>
        <v>0.4</v>
      </c>
      <c r="N71"/>
      <c r="O71" s="8"/>
      <c r="P71"/>
      <c r="Q71" s="8"/>
    </row>
    <row r="72" spans="2:17" x14ac:dyDescent="0.25">
      <c r="B72" s="38">
        <v>5</v>
      </c>
      <c r="C72" s="39" t="s">
        <v>59</v>
      </c>
      <c r="D72" s="40" t="s">
        <v>60</v>
      </c>
      <c r="E72" s="219"/>
      <c r="F72" s="61" t="s">
        <v>705</v>
      </c>
      <c r="G72" s="62" t="s">
        <v>114</v>
      </c>
      <c r="H72" s="55">
        <v>30</v>
      </c>
      <c r="I72" s="55">
        <v>3</v>
      </c>
      <c r="J72" s="69">
        <f t="shared" si="0"/>
        <v>0.1</v>
      </c>
      <c r="K72" s="90">
        <f>+I72+'JUNIO 2025'!K72</f>
        <v>13</v>
      </c>
      <c r="L72" s="94">
        <f t="shared" si="1"/>
        <v>0.43333333333333335</v>
      </c>
      <c r="N72"/>
      <c r="O72" s="8"/>
      <c r="P72"/>
      <c r="Q72" s="8"/>
    </row>
    <row r="73" spans="2:17" x14ac:dyDescent="0.25">
      <c r="B73" s="42">
        <v>8</v>
      </c>
      <c r="C73" s="43" t="s">
        <v>61</v>
      </c>
      <c r="D73" s="44" t="s">
        <v>62</v>
      </c>
      <c r="E73" s="220"/>
      <c r="F73" s="64" t="s">
        <v>706</v>
      </c>
      <c r="G73" s="65" t="s">
        <v>114</v>
      </c>
      <c r="H73" s="56">
        <v>30</v>
      </c>
      <c r="I73" s="56">
        <v>4</v>
      </c>
      <c r="J73" s="72">
        <f t="shared" si="0"/>
        <v>0.13333333333333333</v>
      </c>
      <c r="K73" s="91">
        <f>+I73+'JUNIO 2025'!K73</f>
        <v>12</v>
      </c>
      <c r="L73" s="96">
        <f t="shared" si="1"/>
        <v>0.4</v>
      </c>
      <c r="N73"/>
      <c r="O73" s="8"/>
      <c r="P73"/>
      <c r="Q73" s="8"/>
    </row>
    <row r="74" spans="2:17" x14ac:dyDescent="0.25">
      <c r="B74" s="35">
        <v>3</v>
      </c>
      <c r="C74" s="36" t="s">
        <v>43</v>
      </c>
      <c r="D74" s="37" t="s">
        <v>44</v>
      </c>
      <c r="E74" s="218" t="s">
        <v>116</v>
      </c>
      <c r="F74" s="59" t="s">
        <v>232</v>
      </c>
      <c r="G74" s="60" t="s">
        <v>109</v>
      </c>
      <c r="H74" s="66">
        <v>20</v>
      </c>
      <c r="I74" s="66">
        <v>4</v>
      </c>
      <c r="J74" s="69">
        <f t="shared" si="0"/>
        <v>0.2</v>
      </c>
      <c r="K74" s="103">
        <f>+I74+'JUNIO 2025'!K74</f>
        <v>14</v>
      </c>
      <c r="L74" s="94">
        <f t="shared" si="1"/>
        <v>0.7</v>
      </c>
      <c r="N74"/>
      <c r="O74" s="8"/>
      <c r="P74"/>
      <c r="Q74" s="8"/>
    </row>
    <row r="75" spans="2:17" x14ac:dyDescent="0.25">
      <c r="B75" s="38">
        <v>3</v>
      </c>
      <c r="C75" s="39" t="s">
        <v>46</v>
      </c>
      <c r="D75" s="40" t="s">
        <v>47</v>
      </c>
      <c r="E75" s="219"/>
      <c r="F75" s="61" t="s">
        <v>831</v>
      </c>
      <c r="G75" s="61" t="s">
        <v>110</v>
      </c>
      <c r="H75" s="68">
        <v>14</v>
      </c>
      <c r="I75" s="55">
        <v>2</v>
      </c>
      <c r="J75" s="69">
        <f t="shared" si="0"/>
        <v>0.14285714285714285</v>
      </c>
      <c r="K75" s="90">
        <f>+I75+'JUNIO 2025'!K75</f>
        <v>10</v>
      </c>
      <c r="L75" s="94">
        <f t="shared" si="1"/>
        <v>0.7142857142857143</v>
      </c>
      <c r="N75"/>
      <c r="O75" s="8"/>
      <c r="P75"/>
      <c r="Q75" s="8"/>
    </row>
    <row r="76" spans="2:17" x14ac:dyDescent="0.25">
      <c r="B76" s="38">
        <v>3</v>
      </c>
      <c r="C76" s="39" t="s">
        <v>98</v>
      </c>
      <c r="D76" s="40" t="s">
        <v>99</v>
      </c>
      <c r="E76" s="219"/>
      <c r="F76" s="61" t="s">
        <v>529</v>
      </c>
      <c r="G76" s="63" t="s">
        <v>187</v>
      </c>
      <c r="H76" s="55">
        <v>28</v>
      </c>
      <c r="I76" s="70">
        <v>6</v>
      </c>
      <c r="J76" s="69">
        <f t="shared" si="0"/>
        <v>0.21428571428571427</v>
      </c>
      <c r="K76" s="90">
        <f>+I76+'JUNIO 2025'!K76</f>
        <v>20</v>
      </c>
      <c r="L76" s="94">
        <f t="shared" si="1"/>
        <v>0.7142857142857143</v>
      </c>
      <c r="N76"/>
      <c r="O76" s="8"/>
      <c r="P76"/>
      <c r="Q76" s="8"/>
    </row>
    <row r="77" spans="2:17" x14ac:dyDescent="0.25">
      <c r="B77" s="38">
        <v>3</v>
      </c>
      <c r="C77" s="39" t="s">
        <v>49</v>
      </c>
      <c r="D77" s="40" t="s">
        <v>50</v>
      </c>
      <c r="E77" s="219"/>
      <c r="F77" s="61" t="s">
        <v>832</v>
      </c>
      <c r="G77" s="63" t="s">
        <v>185</v>
      </c>
      <c r="H77" s="55">
        <v>16</v>
      </c>
      <c r="I77" s="55">
        <v>2</v>
      </c>
      <c r="J77" s="69">
        <f t="shared" si="0"/>
        <v>0.125</v>
      </c>
      <c r="K77" s="90">
        <f>+I77+'JUNIO 2025'!K77</f>
        <v>10</v>
      </c>
      <c r="L77" s="94">
        <f t="shared" si="1"/>
        <v>0.625</v>
      </c>
      <c r="N77"/>
      <c r="O77" s="8"/>
      <c r="P77"/>
      <c r="Q77" s="8"/>
    </row>
    <row r="78" spans="2:17" x14ac:dyDescent="0.25">
      <c r="B78" s="38">
        <v>3</v>
      </c>
      <c r="C78" s="39" t="s">
        <v>52</v>
      </c>
      <c r="D78" s="40" t="s">
        <v>53</v>
      </c>
      <c r="E78" s="219"/>
      <c r="F78" s="61" t="s">
        <v>833</v>
      </c>
      <c r="G78" s="62" t="s">
        <v>111</v>
      </c>
      <c r="H78" s="55">
        <v>16</v>
      </c>
      <c r="I78" s="55">
        <v>2</v>
      </c>
      <c r="J78" s="69">
        <f t="shared" si="0"/>
        <v>0.125</v>
      </c>
      <c r="K78" s="90">
        <f>+I78+'JUNIO 2025'!K78</f>
        <v>10</v>
      </c>
      <c r="L78" s="94">
        <f t="shared" si="1"/>
        <v>0.625</v>
      </c>
      <c r="N78"/>
      <c r="O78" s="8"/>
      <c r="P78"/>
      <c r="Q78" s="8"/>
    </row>
    <row r="79" spans="2:17" s="16" customFormat="1" x14ac:dyDescent="0.25">
      <c r="B79" s="38">
        <v>3</v>
      </c>
      <c r="C79" s="39" t="s">
        <v>55</v>
      </c>
      <c r="D79" s="40" t="s">
        <v>56</v>
      </c>
      <c r="E79" s="219"/>
      <c r="F79" s="61" t="s">
        <v>112</v>
      </c>
      <c r="G79" s="62" t="s">
        <v>188</v>
      </c>
      <c r="H79" s="55">
        <v>12</v>
      </c>
      <c r="I79" s="55">
        <v>2</v>
      </c>
      <c r="J79" s="69">
        <f t="shared" ref="J79:J142" si="2">IFERROR(I79/H79,0)</f>
        <v>0.16666666666666666</v>
      </c>
      <c r="K79" s="90">
        <f>+I79+'JUNIO 2025'!K79</f>
        <v>9</v>
      </c>
      <c r="L79" s="94">
        <f t="shared" ref="L79:L142" si="3">IFERROR(K79/H79,0)</f>
        <v>0.75</v>
      </c>
      <c r="N79" s="41"/>
      <c r="P79" s="41"/>
    </row>
    <row r="80" spans="2:17" x14ac:dyDescent="0.25">
      <c r="B80" s="38">
        <v>5</v>
      </c>
      <c r="C80" s="39" t="s">
        <v>57</v>
      </c>
      <c r="D80" s="40" t="s">
        <v>58</v>
      </c>
      <c r="E80" s="219"/>
      <c r="F80" s="73" t="s">
        <v>834</v>
      </c>
      <c r="G80" s="62" t="s">
        <v>113</v>
      </c>
      <c r="H80" s="55">
        <v>24</v>
      </c>
      <c r="I80" s="55">
        <v>4</v>
      </c>
      <c r="J80" s="69">
        <f t="shared" si="2"/>
        <v>0.16666666666666666</v>
      </c>
      <c r="K80" s="90">
        <f>+I80+'JUNIO 2025'!K80</f>
        <v>15</v>
      </c>
      <c r="L80" s="94">
        <f t="shared" si="3"/>
        <v>0.625</v>
      </c>
      <c r="N80"/>
      <c r="O80" s="8"/>
      <c r="P80"/>
      <c r="Q80" s="8"/>
    </row>
    <row r="81" spans="2:17" x14ac:dyDescent="0.25">
      <c r="B81" s="38">
        <v>5</v>
      </c>
      <c r="C81" s="39" t="s">
        <v>59</v>
      </c>
      <c r="D81" s="40" t="s">
        <v>60</v>
      </c>
      <c r="E81" s="219"/>
      <c r="F81" s="61" t="s">
        <v>269</v>
      </c>
      <c r="G81" s="62" t="s">
        <v>189</v>
      </c>
      <c r="H81" s="55">
        <v>26</v>
      </c>
      <c r="I81" s="55">
        <v>4</v>
      </c>
      <c r="J81" s="69">
        <f t="shared" si="2"/>
        <v>0.15384615384615385</v>
      </c>
      <c r="K81" s="90">
        <f>+I81+'JUNIO 2025'!K81</f>
        <v>16</v>
      </c>
      <c r="L81" s="94">
        <f t="shared" si="3"/>
        <v>0.61538461538461542</v>
      </c>
      <c r="N81"/>
      <c r="O81" s="8"/>
      <c r="P81"/>
      <c r="Q81" s="8"/>
    </row>
    <row r="82" spans="2:17" x14ac:dyDescent="0.25">
      <c r="B82" s="42">
        <v>8</v>
      </c>
      <c r="C82" s="43" t="s">
        <v>61</v>
      </c>
      <c r="D82" s="44" t="s">
        <v>62</v>
      </c>
      <c r="E82" s="220"/>
      <c r="F82" s="64" t="s">
        <v>835</v>
      </c>
      <c r="G82" s="65" t="s">
        <v>534</v>
      </c>
      <c r="H82" s="56">
        <v>24</v>
      </c>
      <c r="I82" s="56">
        <v>4</v>
      </c>
      <c r="J82" s="72">
        <f t="shared" si="2"/>
        <v>0.16666666666666666</v>
      </c>
      <c r="K82" s="91">
        <f>+I82+'JUNIO 2025'!K82</f>
        <v>16</v>
      </c>
      <c r="L82" s="96">
        <f t="shared" si="3"/>
        <v>0.66666666666666663</v>
      </c>
      <c r="N82"/>
      <c r="O82" s="8"/>
      <c r="P82"/>
      <c r="Q82" s="8"/>
    </row>
    <row r="83" spans="2:17" x14ac:dyDescent="0.25">
      <c r="B83" s="35">
        <v>3</v>
      </c>
      <c r="C83" s="36" t="s">
        <v>43</v>
      </c>
      <c r="D83" s="37" t="s">
        <v>44</v>
      </c>
      <c r="E83" s="218" t="s">
        <v>117</v>
      </c>
      <c r="F83" s="60" t="s">
        <v>213</v>
      </c>
      <c r="G83" s="60" t="s">
        <v>169</v>
      </c>
      <c r="H83" s="66">
        <v>30</v>
      </c>
      <c r="I83" s="66">
        <v>3</v>
      </c>
      <c r="J83" s="69">
        <f t="shared" si="2"/>
        <v>0.1</v>
      </c>
      <c r="K83" s="103">
        <f>+I83+'JUNIO 2025'!K83</f>
        <v>12</v>
      </c>
      <c r="L83" s="94">
        <f t="shared" si="3"/>
        <v>0.4</v>
      </c>
      <c r="N83"/>
      <c r="O83" s="8"/>
      <c r="P83"/>
      <c r="Q83" s="8"/>
    </row>
    <row r="84" spans="2:17" x14ac:dyDescent="0.25">
      <c r="B84" s="38">
        <v>3</v>
      </c>
      <c r="C84" s="39" t="s">
        <v>46</v>
      </c>
      <c r="D84" s="40" t="s">
        <v>47</v>
      </c>
      <c r="E84" s="219"/>
      <c r="F84" s="74" t="s">
        <v>860</v>
      </c>
      <c r="G84" s="74" t="s">
        <v>861</v>
      </c>
      <c r="H84" s="68">
        <v>30</v>
      </c>
      <c r="I84" s="55">
        <v>3</v>
      </c>
      <c r="J84" s="69">
        <f t="shared" si="2"/>
        <v>0.1</v>
      </c>
      <c r="K84" s="90">
        <f>+I84+'JUNIO 2025'!K84</f>
        <v>12</v>
      </c>
      <c r="L84" s="94">
        <f t="shared" si="3"/>
        <v>0.4</v>
      </c>
      <c r="N84"/>
      <c r="O84" s="8"/>
      <c r="P84"/>
      <c r="Q84" s="8"/>
    </row>
    <row r="85" spans="2:17" x14ac:dyDescent="0.25">
      <c r="B85" s="38">
        <v>3</v>
      </c>
      <c r="C85" s="39" t="s">
        <v>98</v>
      </c>
      <c r="D85" s="40" t="s">
        <v>99</v>
      </c>
      <c r="E85" s="219"/>
      <c r="F85" s="62" t="s">
        <v>862</v>
      </c>
      <c r="G85" s="62" t="s">
        <v>169</v>
      </c>
      <c r="H85" s="55">
        <v>30</v>
      </c>
      <c r="I85" s="70">
        <v>3</v>
      </c>
      <c r="J85" s="69">
        <f t="shared" si="2"/>
        <v>0.1</v>
      </c>
      <c r="K85" s="90">
        <f>+I85+'JUNIO 2025'!K85</f>
        <v>12</v>
      </c>
      <c r="L85" s="94">
        <f t="shared" si="3"/>
        <v>0.4</v>
      </c>
      <c r="N85"/>
      <c r="O85" s="8"/>
      <c r="P85"/>
      <c r="Q85" s="8"/>
    </row>
    <row r="86" spans="2:17" x14ac:dyDescent="0.25">
      <c r="B86" s="38">
        <v>3</v>
      </c>
      <c r="C86" s="39" t="s">
        <v>49</v>
      </c>
      <c r="D86" s="40" t="s">
        <v>50</v>
      </c>
      <c r="E86" s="219"/>
      <c r="F86" s="62" t="s">
        <v>213</v>
      </c>
      <c r="G86" s="62" t="s">
        <v>169</v>
      </c>
      <c r="H86" s="55">
        <v>30</v>
      </c>
      <c r="I86" s="55">
        <v>3</v>
      </c>
      <c r="J86" s="69">
        <f t="shared" si="2"/>
        <v>0.1</v>
      </c>
      <c r="K86" s="90">
        <f>+I86+'JUNIO 2025'!K86</f>
        <v>12</v>
      </c>
      <c r="L86" s="94">
        <f t="shared" si="3"/>
        <v>0.4</v>
      </c>
      <c r="N86"/>
      <c r="O86" s="8"/>
      <c r="P86"/>
      <c r="Q86" s="8"/>
    </row>
    <row r="87" spans="2:17" x14ac:dyDescent="0.25">
      <c r="B87" s="38">
        <v>3</v>
      </c>
      <c r="C87" s="39" t="s">
        <v>52</v>
      </c>
      <c r="D87" s="40" t="s">
        <v>53</v>
      </c>
      <c r="E87" s="219"/>
      <c r="F87" s="62" t="s">
        <v>214</v>
      </c>
      <c r="G87" s="62" t="s">
        <v>191</v>
      </c>
      <c r="H87" s="55">
        <v>30</v>
      </c>
      <c r="I87" s="55">
        <v>3</v>
      </c>
      <c r="J87" s="69">
        <f t="shared" si="2"/>
        <v>0.1</v>
      </c>
      <c r="K87" s="90">
        <f>+I87+'JUNIO 2025'!K87</f>
        <v>12</v>
      </c>
      <c r="L87" s="94">
        <f t="shared" si="3"/>
        <v>0.4</v>
      </c>
      <c r="N87"/>
      <c r="O87" s="8"/>
      <c r="P87"/>
      <c r="Q87" s="8"/>
    </row>
    <row r="88" spans="2:17" s="16" customFormat="1" x14ac:dyDescent="0.25">
      <c r="B88" s="38">
        <v>3</v>
      </c>
      <c r="C88" s="39" t="s">
        <v>55</v>
      </c>
      <c r="D88" s="40" t="s">
        <v>56</v>
      </c>
      <c r="E88" s="219"/>
      <c r="F88" s="62" t="s">
        <v>215</v>
      </c>
      <c r="G88" s="62" t="s">
        <v>192</v>
      </c>
      <c r="H88" s="55">
        <v>30</v>
      </c>
      <c r="I88" s="55">
        <v>3</v>
      </c>
      <c r="J88" s="69">
        <f t="shared" si="2"/>
        <v>0.1</v>
      </c>
      <c r="K88" s="90">
        <f>+I88+'JUNIO 2025'!K88</f>
        <v>12</v>
      </c>
      <c r="L88" s="94">
        <f t="shared" si="3"/>
        <v>0.4</v>
      </c>
      <c r="N88" s="41"/>
      <c r="P88" s="41"/>
    </row>
    <row r="89" spans="2:17" x14ac:dyDescent="0.25">
      <c r="B89" s="38">
        <v>5</v>
      </c>
      <c r="C89" s="39" t="s">
        <v>57</v>
      </c>
      <c r="D89" s="40" t="s">
        <v>58</v>
      </c>
      <c r="E89" s="219"/>
      <c r="F89" s="62" t="s">
        <v>216</v>
      </c>
      <c r="G89" s="62" t="s">
        <v>193</v>
      </c>
      <c r="H89" s="55">
        <v>30</v>
      </c>
      <c r="I89" s="55">
        <v>4</v>
      </c>
      <c r="J89" s="69">
        <f t="shared" si="2"/>
        <v>0.13333333333333333</v>
      </c>
      <c r="K89" s="90">
        <f>+I89+'JUNIO 2025'!K89</f>
        <v>16</v>
      </c>
      <c r="L89" s="94">
        <f t="shared" si="3"/>
        <v>0.53333333333333333</v>
      </c>
      <c r="N89"/>
      <c r="O89" s="8"/>
      <c r="P89"/>
      <c r="Q89" s="8"/>
    </row>
    <row r="90" spans="2:17" x14ac:dyDescent="0.25">
      <c r="B90" s="38">
        <v>5</v>
      </c>
      <c r="C90" s="39" t="s">
        <v>59</v>
      </c>
      <c r="D90" s="40" t="s">
        <v>60</v>
      </c>
      <c r="E90" s="219"/>
      <c r="F90" s="62" t="s">
        <v>194</v>
      </c>
      <c r="G90" s="62" t="s">
        <v>195</v>
      </c>
      <c r="H90" s="55">
        <v>30</v>
      </c>
      <c r="I90" s="55">
        <v>4</v>
      </c>
      <c r="J90" s="69">
        <f t="shared" si="2"/>
        <v>0.13333333333333333</v>
      </c>
      <c r="K90" s="90">
        <f>+I90+'JUNIO 2025'!K90</f>
        <v>16</v>
      </c>
      <c r="L90" s="94">
        <f t="shared" si="3"/>
        <v>0.53333333333333333</v>
      </c>
      <c r="N90"/>
      <c r="O90" s="8"/>
      <c r="P90"/>
      <c r="Q90" s="8"/>
    </row>
    <row r="91" spans="2:17" x14ac:dyDescent="0.25">
      <c r="B91" s="42">
        <v>8</v>
      </c>
      <c r="C91" s="43" t="s">
        <v>61</v>
      </c>
      <c r="D91" s="44" t="s">
        <v>62</v>
      </c>
      <c r="E91" s="220"/>
      <c r="F91" s="65" t="s">
        <v>196</v>
      </c>
      <c r="G91" s="65" t="s">
        <v>206</v>
      </c>
      <c r="H91" s="56">
        <v>30</v>
      </c>
      <c r="I91" s="56">
        <v>4</v>
      </c>
      <c r="J91" s="72">
        <f t="shared" si="2"/>
        <v>0.13333333333333333</v>
      </c>
      <c r="K91" s="91">
        <f>+I91+'JUNIO 2025'!K91</f>
        <v>16</v>
      </c>
      <c r="L91" s="96">
        <f t="shared" si="3"/>
        <v>0.53333333333333333</v>
      </c>
      <c r="N91"/>
      <c r="O91" s="8"/>
      <c r="P91"/>
      <c r="Q91" s="8"/>
    </row>
    <row r="92" spans="2:17" x14ac:dyDescent="0.25">
      <c r="B92" s="35">
        <v>3</v>
      </c>
      <c r="C92" s="36" t="s">
        <v>43</v>
      </c>
      <c r="D92" s="37" t="s">
        <v>44</v>
      </c>
      <c r="E92" s="228" t="s">
        <v>179</v>
      </c>
      <c r="F92" s="59" t="s">
        <v>45</v>
      </c>
      <c r="G92" s="59" t="s">
        <v>180</v>
      </c>
      <c r="H92" s="66">
        <v>18</v>
      </c>
      <c r="I92" s="66">
        <v>2</v>
      </c>
      <c r="J92" s="69">
        <f t="shared" si="2"/>
        <v>0.1111111111111111</v>
      </c>
      <c r="K92" s="103">
        <f>+I92+'JUNIO 2025'!K92</f>
        <v>9</v>
      </c>
      <c r="L92" s="94">
        <f t="shared" si="3"/>
        <v>0.5</v>
      </c>
      <c r="N92"/>
      <c r="O92" s="8"/>
      <c r="P92"/>
      <c r="Q92" s="8"/>
    </row>
    <row r="93" spans="2:17" x14ac:dyDescent="0.25">
      <c r="B93" s="38">
        <v>3</v>
      </c>
      <c r="C93" s="39" t="s">
        <v>46</v>
      </c>
      <c r="D93" s="40" t="s">
        <v>47</v>
      </c>
      <c r="E93" s="229"/>
      <c r="F93" s="61" t="s">
        <v>48</v>
      </c>
      <c r="G93" s="61" t="s">
        <v>181</v>
      </c>
      <c r="H93" s="68">
        <v>16</v>
      </c>
      <c r="I93" s="55">
        <v>3</v>
      </c>
      <c r="J93" s="69">
        <f t="shared" si="2"/>
        <v>0.1875</v>
      </c>
      <c r="K93" s="90">
        <f>+I93+'JUNIO 2025'!K93</f>
        <v>12</v>
      </c>
      <c r="L93" s="94">
        <f t="shared" si="3"/>
        <v>0.75</v>
      </c>
      <c r="N93"/>
      <c r="O93" s="8"/>
      <c r="P93"/>
      <c r="Q93" s="8"/>
    </row>
    <row r="94" spans="2:17" x14ac:dyDescent="0.25">
      <c r="B94" s="38">
        <v>3</v>
      </c>
      <c r="C94" s="39" t="s">
        <v>98</v>
      </c>
      <c r="D94" s="40" t="s">
        <v>99</v>
      </c>
      <c r="E94" s="229"/>
      <c r="F94" s="61" t="s">
        <v>48</v>
      </c>
      <c r="G94" s="61" t="s">
        <v>197</v>
      </c>
      <c r="H94" s="55">
        <v>16</v>
      </c>
      <c r="I94" s="70">
        <v>3</v>
      </c>
      <c r="J94" s="69">
        <f t="shared" si="2"/>
        <v>0.1875</v>
      </c>
      <c r="K94" s="90">
        <f>+I94+'JUNIO 2025'!K94</f>
        <v>11</v>
      </c>
      <c r="L94" s="94">
        <f t="shared" si="3"/>
        <v>0.6875</v>
      </c>
      <c r="N94"/>
      <c r="O94" s="8"/>
      <c r="P94"/>
      <c r="Q94" s="8"/>
    </row>
    <row r="95" spans="2:17" x14ac:dyDescent="0.25">
      <c r="B95" s="38">
        <v>3</v>
      </c>
      <c r="C95" s="39" t="s">
        <v>49</v>
      </c>
      <c r="D95" s="40" t="s">
        <v>50</v>
      </c>
      <c r="E95" s="229"/>
      <c r="F95" s="61" t="s">
        <v>51</v>
      </c>
      <c r="G95" s="61" t="s">
        <v>197</v>
      </c>
      <c r="H95" s="55">
        <v>16</v>
      </c>
      <c r="I95" s="55">
        <v>3</v>
      </c>
      <c r="J95" s="69">
        <f t="shared" si="2"/>
        <v>0.1875</v>
      </c>
      <c r="K95" s="90">
        <f>+I95+'JUNIO 2025'!K95</f>
        <v>11</v>
      </c>
      <c r="L95" s="94">
        <f t="shared" si="3"/>
        <v>0.6875</v>
      </c>
      <c r="N95"/>
      <c r="O95" s="8"/>
      <c r="P95"/>
      <c r="Q95" s="8"/>
    </row>
    <row r="96" spans="2:17" x14ac:dyDescent="0.25">
      <c r="B96" s="38">
        <v>3</v>
      </c>
      <c r="C96" s="39" t="s">
        <v>52</v>
      </c>
      <c r="D96" s="40" t="s">
        <v>53</v>
      </c>
      <c r="E96" s="229"/>
      <c r="F96" s="61" t="s">
        <v>54</v>
      </c>
      <c r="G96" s="61" t="s">
        <v>198</v>
      </c>
      <c r="H96" s="55">
        <v>16</v>
      </c>
      <c r="I96" s="55">
        <v>3</v>
      </c>
      <c r="J96" s="69">
        <f t="shared" si="2"/>
        <v>0.1875</v>
      </c>
      <c r="K96" s="90">
        <f>+I96+'JUNIO 2025'!K96</f>
        <v>11</v>
      </c>
      <c r="L96" s="94">
        <f t="shared" si="3"/>
        <v>0.6875</v>
      </c>
      <c r="N96"/>
      <c r="O96" s="8"/>
      <c r="P96"/>
      <c r="Q96" s="8"/>
    </row>
    <row r="97" spans="2:17" x14ac:dyDescent="0.25">
      <c r="B97" s="38">
        <v>3</v>
      </c>
      <c r="C97" s="39" t="s">
        <v>55</v>
      </c>
      <c r="D97" s="40" t="s">
        <v>56</v>
      </c>
      <c r="E97" s="229"/>
      <c r="F97" s="61" t="s">
        <v>54</v>
      </c>
      <c r="G97" s="129" t="s">
        <v>244</v>
      </c>
      <c r="H97" s="55">
        <v>16</v>
      </c>
      <c r="I97" s="55">
        <v>2</v>
      </c>
      <c r="J97" s="69">
        <f t="shared" si="2"/>
        <v>0.125</v>
      </c>
      <c r="K97" s="90">
        <f>+I97+'JUNIO 2025'!K97</f>
        <v>11</v>
      </c>
      <c r="L97" s="94">
        <f t="shared" si="3"/>
        <v>0.6875</v>
      </c>
      <c r="N97"/>
      <c r="O97" s="8"/>
      <c r="P97"/>
      <c r="Q97" s="8"/>
    </row>
    <row r="98" spans="2:17" x14ac:dyDescent="0.25">
      <c r="B98" s="38">
        <v>5</v>
      </c>
      <c r="C98" s="39" t="s">
        <v>57</v>
      </c>
      <c r="D98" s="40" t="s">
        <v>58</v>
      </c>
      <c r="E98" s="229"/>
      <c r="F98" s="127" t="s">
        <v>54</v>
      </c>
      <c r="G98" s="61" t="s">
        <v>244</v>
      </c>
      <c r="H98" s="128">
        <v>16</v>
      </c>
      <c r="I98" s="55">
        <v>2</v>
      </c>
      <c r="J98" s="69">
        <f t="shared" si="2"/>
        <v>0.125</v>
      </c>
      <c r="K98" s="90">
        <f>+I98+'JUNIO 2025'!K98</f>
        <v>11</v>
      </c>
      <c r="L98" s="94">
        <f t="shared" si="3"/>
        <v>0.6875</v>
      </c>
      <c r="N98"/>
      <c r="O98" s="8"/>
      <c r="P98"/>
      <c r="Q98" s="8"/>
    </row>
    <row r="99" spans="2:17" s="16" customFormat="1" x14ac:dyDescent="0.25">
      <c r="B99" s="38">
        <v>5</v>
      </c>
      <c r="C99" s="39" t="s">
        <v>118</v>
      </c>
      <c r="D99" s="40" t="s">
        <v>119</v>
      </c>
      <c r="E99" s="229"/>
      <c r="F99" s="61" t="s">
        <v>54</v>
      </c>
      <c r="G99" s="130" t="s">
        <v>180</v>
      </c>
      <c r="H99" s="55">
        <v>16</v>
      </c>
      <c r="I99" s="55">
        <v>3</v>
      </c>
      <c r="J99" s="69">
        <f t="shared" si="2"/>
        <v>0.1875</v>
      </c>
      <c r="K99" s="90">
        <f>+I99+'JUNIO 2025'!K99</f>
        <v>12</v>
      </c>
      <c r="L99" s="94">
        <f t="shared" si="3"/>
        <v>0.75</v>
      </c>
      <c r="N99" s="41"/>
      <c r="P99" s="41"/>
    </row>
    <row r="100" spans="2:17" x14ac:dyDescent="0.25">
      <c r="B100" s="38">
        <v>5</v>
      </c>
      <c r="C100" s="39" t="s">
        <v>120</v>
      </c>
      <c r="D100" s="40" t="s">
        <v>121</v>
      </c>
      <c r="E100" s="229"/>
      <c r="F100" s="61" t="s">
        <v>54</v>
      </c>
      <c r="G100" s="61" t="s">
        <v>245</v>
      </c>
      <c r="H100" s="68">
        <v>18</v>
      </c>
      <c r="I100" s="55">
        <v>3</v>
      </c>
      <c r="J100" s="69">
        <f t="shared" si="2"/>
        <v>0.16666666666666666</v>
      </c>
      <c r="K100" s="90">
        <f>+I100+'JUNIO 2025'!K100</f>
        <v>12</v>
      </c>
      <c r="L100" s="94">
        <f t="shared" si="3"/>
        <v>0.66666666666666663</v>
      </c>
      <c r="N100"/>
      <c r="O100" s="8"/>
      <c r="P100"/>
      <c r="Q100" s="8"/>
    </row>
    <row r="101" spans="2:17" x14ac:dyDescent="0.25">
      <c r="B101" s="38">
        <v>5</v>
      </c>
      <c r="C101" s="39" t="s">
        <v>122</v>
      </c>
      <c r="D101" s="40" t="s">
        <v>123</v>
      </c>
      <c r="E101" s="229"/>
      <c r="F101" s="61" t="s">
        <v>54</v>
      </c>
      <c r="G101" s="61" t="s">
        <v>246</v>
      </c>
      <c r="H101" s="55">
        <v>16</v>
      </c>
      <c r="I101" s="55">
        <v>3</v>
      </c>
      <c r="J101" s="69">
        <f t="shared" si="2"/>
        <v>0.1875</v>
      </c>
      <c r="K101" s="90">
        <f>+I101+'JUNIO 2025'!K101</f>
        <v>10</v>
      </c>
      <c r="L101" s="94">
        <f t="shared" si="3"/>
        <v>0.625</v>
      </c>
      <c r="N101"/>
      <c r="O101" s="8"/>
      <c r="P101"/>
      <c r="Q101" s="8"/>
    </row>
    <row r="102" spans="2:17" x14ac:dyDescent="0.25">
      <c r="B102" s="42">
        <v>5</v>
      </c>
      <c r="C102" s="43" t="s">
        <v>59</v>
      </c>
      <c r="D102" s="44" t="s">
        <v>60</v>
      </c>
      <c r="E102" s="230"/>
      <c r="F102" s="64" t="s">
        <v>54</v>
      </c>
      <c r="G102" s="61" t="s">
        <v>246</v>
      </c>
      <c r="H102" s="56">
        <v>16</v>
      </c>
      <c r="I102" s="56">
        <v>3</v>
      </c>
      <c r="J102" s="72">
        <f t="shared" si="2"/>
        <v>0.1875</v>
      </c>
      <c r="K102" s="91">
        <f>+I102+'JUNIO 2025'!K102</f>
        <v>10</v>
      </c>
      <c r="L102" s="96">
        <f t="shared" si="3"/>
        <v>0.625</v>
      </c>
      <c r="N102"/>
      <c r="O102" s="8"/>
      <c r="P102"/>
      <c r="Q102" s="8"/>
    </row>
    <row r="103" spans="2:17" x14ac:dyDescent="0.25">
      <c r="B103" s="35">
        <v>3</v>
      </c>
      <c r="C103" s="36" t="s">
        <v>43</v>
      </c>
      <c r="D103" s="37" t="s">
        <v>44</v>
      </c>
      <c r="E103" s="218" t="s">
        <v>124</v>
      </c>
      <c r="F103" s="59" t="s">
        <v>535</v>
      </c>
      <c r="G103" s="75" t="s">
        <v>160</v>
      </c>
      <c r="H103" s="66">
        <v>13</v>
      </c>
      <c r="I103" s="66">
        <v>3</v>
      </c>
      <c r="J103" s="69">
        <f t="shared" si="2"/>
        <v>0.23076923076923078</v>
      </c>
      <c r="K103" s="103">
        <f>+I103+'JUNIO 2025'!K103</f>
        <v>9</v>
      </c>
      <c r="L103" s="94">
        <f t="shared" si="3"/>
        <v>0.69230769230769229</v>
      </c>
      <c r="N103"/>
      <c r="O103" s="8"/>
      <c r="P103"/>
      <c r="Q103" s="8"/>
    </row>
    <row r="104" spans="2:17" x14ac:dyDescent="0.25">
      <c r="B104" s="38">
        <v>3</v>
      </c>
      <c r="C104" s="39" t="s">
        <v>46</v>
      </c>
      <c r="D104" s="40" t="s">
        <v>47</v>
      </c>
      <c r="E104" s="219"/>
      <c r="F104" s="61" t="s">
        <v>536</v>
      </c>
      <c r="G104" s="76" t="s">
        <v>161</v>
      </c>
      <c r="H104" s="68">
        <v>14</v>
      </c>
      <c r="I104" s="55">
        <v>2</v>
      </c>
      <c r="J104" s="69">
        <f t="shared" si="2"/>
        <v>0.14285714285714285</v>
      </c>
      <c r="K104" s="90">
        <f>+I104+'JUNIO 2025'!K104</f>
        <v>10</v>
      </c>
      <c r="L104" s="94">
        <f t="shared" si="3"/>
        <v>0.7142857142857143</v>
      </c>
      <c r="N104"/>
      <c r="O104" s="8"/>
      <c r="P104"/>
      <c r="Q104" s="8"/>
    </row>
    <row r="105" spans="2:17" x14ac:dyDescent="0.25">
      <c r="B105" s="38">
        <v>3</v>
      </c>
      <c r="C105" s="39" t="s">
        <v>98</v>
      </c>
      <c r="D105" s="40" t="s">
        <v>99</v>
      </c>
      <c r="E105" s="219"/>
      <c r="F105" s="61" t="s">
        <v>217</v>
      </c>
      <c r="G105" s="62" t="s">
        <v>160</v>
      </c>
      <c r="H105" s="55">
        <v>14</v>
      </c>
      <c r="I105" s="70">
        <v>2</v>
      </c>
      <c r="J105" s="69">
        <f t="shared" si="2"/>
        <v>0.14285714285714285</v>
      </c>
      <c r="K105" s="90">
        <f>+I105+'JUNIO 2025'!K105</f>
        <v>10</v>
      </c>
      <c r="L105" s="94">
        <f t="shared" si="3"/>
        <v>0.7142857142857143</v>
      </c>
      <c r="N105"/>
      <c r="O105" s="8"/>
      <c r="P105"/>
      <c r="Q105" s="8"/>
    </row>
    <row r="106" spans="2:17" x14ac:dyDescent="0.25">
      <c r="B106" s="38">
        <v>3</v>
      </c>
      <c r="C106" s="39" t="s">
        <v>49</v>
      </c>
      <c r="D106" s="40" t="s">
        <v>50</v>
      </c>
      <c r="E106" s="219"/>
      <c r="F106" s="61" t="s">
        <v>271</v>
      </c>
      <c r="G106" s="62" t="s">
        <v>160</v>
      </c>
      <c r="H106" s="55">
        <v>16</v>
      </c>
      <c r="I106" s="55">
        <v>2</v>
      </c>
      <c r="J106" s="69">
        <f t="shared" si="2"/>
        <v>0.125</v>
      </c>
      <c r="K106" s="90">
        <f>+I106+'JUNIO 2025'!K106</f>
        <v>10</v>
      </c>
      <c r="L106" s="94">
        <f t="shared" si="3"/>
        <v>0.625</v>
      </c>
      <c r="N106"/>
      <c r="O106" s="8"/>
      <c r="P106"/>
      <c r="Q106" s="8"/>
    </row>
    <row r="107" spans="2:17" x14ac:dyDescent="0.25">
      <c r="B107" s="38">
        <v>3</v>
      </c>
      <c r="C107" s="39" t="s">
        <v>52</v>
      </c>
      <c r="D107" s="40" t="s">
        <v>53</v>
      </c>
      <c r="E107" s="219"/>
      <c r="F107" s="61" t="s">
        <v>537</v>
      </c>
      <c r="G107" s="62" t="s">
        <v>160</v>
      </c>
      <c r="H107" s="55">
        <v>16</v>
      </c>
      <c r="I107" s="55">
        <v>3</v>
      </c>
      <c r="J107" s="69">
        <f t="shared" si="2"/>
        <v>0.1875</v>
      </c>
      <c r="K107" s="90">
        <f>+I107+'JUNIO 2025'!K107</f>
        <v>11</v>
      </c>
      <c r="L107" s="94">
        <f t="shared" si="3"/>
        <v>0.6875</v>
      </c>
      <c r="N107"/>
      <c r="O107" s="8"/>
      <c r="P107"/>
      <c r="Q107" s="8"/>
    </row>
    <row r="108" spans="2:17" x14ac:dyDescent="0.25">
      <c r="B108" s="38">
        <v>3</v>
      </c>
      <c r="C108" s="39" t="s">
        <v>55</v>
      </c>
      <c r="D108" s="40" t="s">
        <v>56</v>
      </c>
      <c r="E108" s="219"/>
      <c r="F108" s="61" t="s">
        <v>164</v>
      </c>
      <c r="G108" s="62" t="s">
        <v>160</v>
      </c>
      <c r="H108" s="55">
        <v>15</v>
      </c>
      <c r="I108" s="55">
        <v>3</v>
      </c>
      <c r="J108" s="69">
        <f t="shared" si="2"/>
        <v>0.2</v>
      </c>
      <c r="K108" s="90">
        <f>+I108+'JUNIO 2025'!K108</f>
        <v>10</v>
      </c>
      <c r="L108" s="94">
        <f t="shared" si="3"/>
        <v>0.66666666666666663</v>
      </c>
      <c r="N108"/>
      <c r="O108" s="8"/>
      <c r="P108"/>
      <c r="Q108" s="8"/>
    </row>
    <row r="109" spans="2:17" x14ac:dyDescent="0.25">
      <c r="B109" s="38">
        <v>5</v>
      </c>
      <c r="C109" s="39" t="s">
        <v>57</v>
      </c>
      <c r="D109" s="40" t="s">
        <v>58</v>
      </c>
      <c r="E109" s="219"/>
      <c r="F109" s="61" t="s">
        <v>538</v>
      </c>
      <c r="G109" s="62" t="s">
        <v>160</v>
      </c>
      <c r="H109" s="55">
        <v>16</v>
      </c>
      <c r="I109" s="55">
        <v>3</v>
      </c>
      <c r="J109" s="69">
        <f t="shared" si="2"/>
        <v>0.1875</v>
      </c>
      <c r="K109" s="90">
        <f>+I109+'JUNIO 2025'!K109</f>
        <v>10</v>
      </c>
      <c r="L109" s="94">
        <f t="shared" si="3"/>
        <v>0.625</v>
      </c>
      <c r="N109"/>
      <c r="O109" s="8"/>
      <c r="P109"/>
      <c r="Q109" s="8"/>
    </row>
    <row r="110" spans="2:17" s="16" customFormat="1" x14ac:dyDescent="0.25">
      <c r="B110" s="38">
        <v>5</v>
      </c>
      <c r="C110" s="39" t="s">
        <v>118</v>
      </c>
      <c r="D110" s="40" t="s">
        <v>119</v>
      </c>
      <c r="E110" s="219"/>
      <c r="F110" s="61" t="s">
        <v>539</v>
      </c>
      <c r="G110" s="62" t="s">
        <v>160</v>
      </c>
      <c r="H110" s="55">
        <v>16</v>
      </c>
      <c r="I110" s="55">
        <v>2</v>
      </c>
      <c r="J110" s="69">
        <f t="shared" si="2"/>
        <v>0.125</v>
      </c>
      <c r="K110" s="90">
        <f>+I110+'JUNIO 2025'!K110</f>
        <v>11</v>
      </c>
      <c r="L110" s="94">
        <f t="shared" si="3"/>
        <v>0.6875</v>
      </c>
      <c r="N110" s="41"/>
      <c r="P110" s="41"/>
    </row>
    <row r="111" spans="2:17" x14ac:dyDescent="0.25">
      <c r="B111" s="38">
        <v>5</v>
      </c>
      <c r="C111" s="39" t="s">
        <v>120</v>
      </c>
      <c r="D111" s="40" t="s">
        <v>121</v>
      </c>
      <c r="E111" s="219"/>
      <c r="F111" s="61" t="s">
        <v>166</v>
      </c>
      <c r="G111" s="62" t="s">
        <v>160</v>
      </c>
      <c r="H111" s="68">
        <v>16</v>
      </c>
      <c r="I111" s="68">
        <v>3</v>
      </c>
      <c r="J111" s="69">
        <f t="shared" si="2"/>
        <v>0.1875</v>
      </c>
      <c r="K111" s="90">
        <f>+I111+'JUNIO 2025'!K111</f>
        <v>10</v>
      </c>
      <c r="L111" s="94">
        <f t="shared" si="3"/>
        <v>0.625</v>
      </c>
      <c r="N111"/>
      <c r="O111" s="8"/>
      <c r="P111"/>
      <c r="Q111" s="8"/>
    </row>
    <row r="112" spans="2:17" x14ac:dyDescent="0.25">
      <c r="B112" s="38">
        <v>5</v>
      </c>
      <c r="C112" s="39" t="s">
        <v>122</v>
      </c>
      <c r="D112" s="40" t="s">
        <v>123</v>
      </c>
      <c r="E112" s="219"/>
      <c r="F112" s="61" t="s">
        <v>273</v>
      </c>
      <c r="G112" s="62" t="s">
        <v>160</v>
      </c>
      <c r="H112" s="68">
        <v>20</v>
      </c>
      <c r="I112" s="68">
        <v>5</v>
      </c>
      <c r="J112" s="69">
        <f t="shared" si="2"/>
        <v>0.25</v>
      </c>
      <c r="K112" s="90">
        <f>+I112+'JUNIO 2025'!K112</f>
        <v>13</v>
      </c>
      <c r="L112" s="94">
        <f t="shared" si="3"/>
        <v>0.65</v>
      </c>
      <c r="N112"/>
      <c r="O112" s="8"/>
      <c r="P112"/>
      <c r="Q112" s="8"/>
    </row>
    <row r="113" spans="2:17" x14ac:dyDescent="0.25">
      <c r="B113" s="42">
        <v>5</v>
      </c>
      <c r="C113" s="43" t="s">
        <v>59</v>
      </c>
      <c r="D113" s="44" t="s">
        <v>60</v>
      </c>
      <c r="E113" s="220"/>
      <c r="F113" s="64" t="s">
        <v>221</v>
      </c>
      <c r="G113" s="65" t="s">
        <v>160</v>
      </c>
      <c r="H113" s="56">
        <v>24</v>
      </c>
      <c r="I113" s="56">
        <v>2</v>
      </c>
      <c r="J113" s="72">
        <f t="shared" si="2"/>
        <v>8.3333333333333329E-2</v>
      </c>
      <c r="K113" s="91">
        <f>+I113+'JUNIO 2025'!K113</f>
        <v>16</v>
      </c>
      <c r="L113" s="96">
        <f t="shared" si="3"/>
        <v>0.66666666666666663</v>
      </c>
      <c r="N113"/>
      <c r="O113" s="8"/>
      <c r="P113"/>
      <c r="Q113" s="8"/>
    </row>
    <row r="114" spans="2:17" x14ac:dyDescent="0.25">
      <c r="B114" s="46">
        <v>3</v>
      </c>
      <c r="C114" s="45" t="s">
        <v>43</v>
      </c>
      <c r="D114" s="47" t="s">
        <v>44</v>
      </c>
      <c r="E114" s="231" t="s">
        <v>128</v>
      </c>
      <c r="F114" s="59" t="s">
        <v>45</v>
      </c>
      <c r="G114" s="60" t="s">
        <v>125</v>
      </c>
      <c r="H114" s="66">
        <v>20</v>
      </c>
      <c r="I114" s="66">
        <v>4</v>
      </c>
      <c r="J114" s="69">
        <f t="shared" si="2"/>
        <v>0.2</v>
      </c>
      <c r="K114" s="103">
        <f>+I114+'JUNIO 2025'!K114</f>
        <v>13</v>
      </c>
      <c r="L114" s="94">
        <f t="shared" si="3"/>
        <v>0.65</v>
      </c>
      <c r="N114"/>
      <c r="O114" s="8"/>
      <c r="P114"/>
      <c r="Q114" s="8"/>
    </row>
    <row r="115" spans="2:17" x14ac:dyDescent="0.25">
      <c r="B115" s="38">
        <v>3</v>
      </c>
      <c r="C115" s="39" t="s">
        <v>46</v>
      </c>
      <c r="D115" s="40" t="s">
        <v>47</v>
      </c>
      <c r="E115" s="219"/>
      <c r="F115" s="61" t="s">
        <v>48</v>
      </c>
      <c r="G115" s="74" t="s">
        <v>200</v>
      </c>
      <c r="H115" s="68">
        <v>14</v>
      </c>
      <c r="I115" s="55">
        <v>2</v>
      </c>
      <c r="J115" s="69">
        <f t="shared" si="2"/>
        <v>0.14285714285714285</v>
      </c>
      <c r="K115" s="90">
        <f>+I115+'JUNIO 2025'!K115</f>
        <v>10</v>
      </c>
      <c r="L115" s="94">
        <f t="shared" si="3"/>
        <v>0.7142857142857143</v>
      </c>
      <c r="N115"/>
      <c r="O115" s="8"/>
      <c r="P115"/>
      <c r="Q115" s="8"/>
    </row>
    <row r="116" spans="2:17" x14ac:dyDescent="0.25">
      <c r="B116" s="38">
        <v>3</v>
      </c>
      <c r="C116" s="39" t="s">
        <v>98</v>
      </c>
      <c r="D116" s="40" t="s">
        <v>99</v>
      </c>
      <c r="E116" s="219"/>
      <c r="F116" s="61" t="s">
        <v>48</v>
      </c>
      <c r="G116" s="62" t="s">
        <v>125</v>
      </c>
      <c r="H116" s="55">
        <v>28</v>
      </c>
      <c r="I116" s="70">
        <v>4</v>
      </c>
      <c r="J116" s="69">
        <f t="shared" si="2"/>
        <v>0.14285714285714285</v>
      </c>
      <c r="K116" s="90">
        <f>+I116+'JUNIO 2025'!K116</f>
        <v>15</v>
      </c>
      <c r="L116" s="94">
        <f t="shared" si="3"/>
        <v>0.5357142857142857</v>
      </c>
      <c r="N116"/>
      <c r="O116" s="8"/>
      <c r="P116"/>
      <c r="Q116" s="8"/>
    </row>
    <row r="117" spans="2:17" x14ac:dyDescent="0.25">
      <c r="B117" s="38">
        <v>3</v>
      </c>
      <c r="C117" s="39" t="s">
        <v>49</v>
      </c>
      <c r="D117" s="40" t="s">
        <v>50</v>
      </c>
      <c r="E117" s="219"/>
      <c r="F117" s="61" t="s">
        <v>51</v>
      </c>
      <c r="G117" s="62" t="s">
        <v>125</v>
      </c>
      <c r="H117" s="55">
        <v>16</v>
      </c>
      <c r="I117" s="55">
        <v>3</v>
      </c>
      <c r="J117" s="69">
        <f t="shared" si="2"/>
        <v>0.1875</v>
      </c>
      <c r="K117" s="90">
        <f>+I117+'JUNIO 2025'!K117</f>
        <v>12</v>
      </c>
      <c r="L117" s="94">
        <f t="shared" si="3"/>
        <v>0.75</v>
      </c>
      <c r="N117"/>
      <c r="O117" s="8"/>
      <c r="P117"/>
      <c r="Q117" s="8"/>
    </row>
    <row r="118" spans="2:17" x14ac:dyDescent="0.25">
      <c r="B118" s="38">
        <v>3</v>
      </c>
      <c r="C118" s="39" t="s">
        <v>52</v>
      </c>
      <c r="D118" s="40" t="s">
        <v>53</v>
      </c>
      <c r="E118" s="219"/>
      <c r="F118" s="61" t="s">
        <v>54</v>
      </c>
      <c r="G118" s="62" t="s">
        <v>209</v>
      </c>
      <c r="H118" s="55">
        <v>16</v>
      </c>
      <c r="I118" s="55">
        <v>3</v>
      </c>
      <c r="J118" s="69">
        <f t="shared" si="2"/>
        <v>0.1875</v>
      </c>
      <c r="K118" s="90">
        <f>+I118+'JUNIO 2025'!K118</f>
        <v>12</v>
      </c>
      <c r="L118" s="94">
        <f t="shared" si="3"/>
        <v>0.75</v>
      </c>
      <c r="N118"/>
      <c r="O118" s="8"/>
      <c r="P118"/>
      <c r="Q118" s="8"/>
    </row>
    <row r="119" spans="2:17" s="16" customFormat="1" x14ac:dyDescent="0.25">
      <c r="B119" s="38">
        <v>3</v>
      </c>
      <c r="C119" s="39" t="s">
        <v>55</v>
      </c>
      <c r="D119" s="40" t="s">
        <v>56</v>
      </c>
      <c r="E119" s="219"/>
      <c r="F119" s="61" t="s">
        <v>54</v>
      </c>
      <c r="G119" s="62" t="s">
        <v>126</v>
      </c>
      <c r="H119" s="55">
        <v>12</v>
      </c>
      <c r="I119" s="55">
        <v>2</v>
      </c>
      <c r="J119" s="69">
        <f t="shared" si="2"/>
        <v>0.16666666666666666</v>
      </c>
      <c r="K119" s="90">
        <f>+I119+'JUNIO 2025'!K119</f>
        <v>10</v>
      </c>
      <c r="L119" s="94">
        <f t="shared" si="3"/>
        <v>0.83333333333333337</v>
      </c>
      <c r="N119" s="41"/>
      <c r="P119" s="41"/>
    </row>
    <row r="120" spans="2:17" x14ac:dyDescent="0.25">
      <c r="B120" s="38">
        <v>5</v>
      </c>
      <c r="C120" s="39" t="s">
        <v>57</v>
      </c>
      <c r="D120" s="40" t="s">
        <v>58</v>
      </c>
      <c r="E120" s="219"/>
      <c r="F120" s="73" t="s">
        <v>54</v>
      </c>
      <c r="G120" s="62" t="s">
        <v>126</v>
      </c>
      <c r="H120" s="55">
        <v>24</v>
      </c>
      <c r="I120" s="55">
        <v>4</v>
      </c>
      <c r="J120" s="69">
        <f t="shared" si="2"/>
        <v>0.16666666666666666</v>
      </c>
      <c r="K120" s="90">
        <f>+I120+'JUNIO 2025'!K120</f>
        <v>16</v>
      </c>
      <c r="L120" s="94">
        <f t="shared" si="3"/>
        <v>0.66666666666666663</v>
      </c>
      <c r="N120"/>
      <c r="O120" s="8"/>
      <c r="P120"/>
      <c r="Q120" s="8"/>
    </row>
    <row r="121" spans="2:17" x14ac:dyDescent="0.25">
      <c r="B121" s="38">
        <v>5</v>
      </c>
      <c r="C121" s="39" t="s">
        <v>59</v>
      </c>
      <c r="D121" s="40" t="s">
        <v>60</v>
      </c>
      <c r="E121" s="219"/>
      <c r="F121" s="61" t="s">
        <v>54</v>
      </c>
      <c r="G121" s="62" t="s">
        <v>210</v>
      </c>
      <c r="H121" s="55">
        <v>26</v>
      </c>
      <c r="I121" s="55">
        <v>5</v>
      </c>
      <c r="J121" s="69">
        <f t="shared" si="2"/>
        <v>0.19230769230769232</v>
      </c>
      <c r="K121" s="90">
        <f>+I121+'JUNIO 2025'!K121</f>
        <v>17</v>
      </c>
      <c r="L121" s="94">
        <f t="shared" si="3"/>
        <v>0.65384615384615385</v>
      </c>
      <c r="N121"/>
      <c r="O121" s="8"/>
      <c r="P121"/>
      <c r="Q121" s="8"/>
    </row>
    <row r="122" spans="2:17" x14ac:dyDescent="0.25">
      <c r="B122" s="42">
        <v>8</v>
      </c>
      <c r="C122" s="43" t="s">
        <v>61</v>
      </c>
      <c r="D122" s="44" t="s">
        <v>62</v>
      </c>
      <c r="E122" s="220"/>
      <c r="F122" s="64" t="s">
        <v>63</v>
      </c>
      <c r="G122" s="65" t="s">
        <v>127</v>
      </c>
      <c r="H122" s="56">
        <v>24</v>
      </c>
      <c r="I122" s="56">
        <v>3</v>
      </c>
      <c r="J122" s="72">
        <f t="shared" si="2"/>
        <v>0.125</v>
      </c>
      <c r="K122" s="91">
        <f>+I122+'JUNIO 2025'!K122</f>
        <v>15</v>
      </c>
      <c r="L122" s="96">
        <f t="shared" si="3"/>
        <v>0.625</v>
      </c>
      <c r="N122"/>
      <c r="O122" s="8"/>
      <c r="P122"/>
      <c r="Q122" s="8"/>
    </row>
    <row r="123" spans="2:17" x14ac:dyDescent="0.25">
      <c r="B123" s="35">
        <v>1</v>
      </c>
      <c r="C123" s="36" t="s">
        <v>74</v>
      </c>
      <c r="D123" s="37" t="s">
        <v>75</v>
      </c>
      <c r="E123" s="218" t="s">
        <v>143</v>
      </c>
      <c r="F123" s="59" t="s">
        <v>48</v>
      </c>
      <c r="G123" s="60" t="s">
        <v>129</v>
      </c>
      <c r="H123" s="66">
        <v>14</v>
      </c>
      <c r="I123" s="66">
        <v>2</v>
      </c>
      <c r="J123" s="69">
        <f t="shared" si="2"/>
        <v>0.14285714285714285</v>
      </c>
      <c r="K123" s="103">
        <f>+I123+'JUNIO 2025'!K123</f>
        <v>9</v>
      </c>
      <c r="L123" s="94">
        <f t="shared" si="3"/>
        <v>0.6428571428571429</v>
      </c>
      <c r="N123"/>
      <c r="O123" s="8"/>
      <c r="P123"/>
      <c r="Q123" s="8"/>
    </row>
    <row r="124" spans="2:17" x14ac:dyDescent="0.25">
      <c r="B124" s="38">
        <v>1</v>
      </c>
      <c r="C124" s="39" t="s">
        <v>77</v>
      </c>
      <c r="D124" s="40" t="s">
        <v>78</v>
      </c>
      <c r="E124" s="219"/>
      <c r="F124" s="61" t="s">
        <v>227</v>
      </c>
      <c r="G124" s="62" t="s">
        <v>130</v>
      </c>
      <c r="H124" s="68">
        <v>14</v>
      </c>
      <c r="I124" s="55">
        <v>2</v>
      </c>
      <c r="J124" s="69">
        <f t="shared" si="2"/>
        <v>0.14285714285714285</v>
      </c>
      <c r="K124" s="90">
        <f>+I124+'JUNIO 2025'!K124</f>
        <v>9</v>
      </c>
      <c r="L124" s="94">
        <f t="shared" si="3"/>
        <v>0.6428571428571429</v>
      </c>
      <c r="N124"/>
      <c r="O124" s="8"/>
      <c r="P124"/>
      <c r="Q124" s="8"/>
    </row>
    <row r="125" spans="2:17" x14ac:dyDescent="0.25">
      <c r="B125" s="38">
        <v>1</v>
      </c>
      <c r="C125" s="39" t="s">
        <v>79</v>
      </c>
      <c r="D125" s="40" t="s">
        <v>80</v>
      </c>
      <c r="E125" s="219"/>
      <c r="F125" s="61" t="s">
        <v>228</v>
      </c>
      <c r="G125" s="62" t="s">
        <v>131</v>
      </c>
      <c r="H125" s="55">
        <v>16</v>
      </c>
      <c r="I125" s="70">
        <v>3</v>
      </c>
      <c r="J125" s="69">
        <f t="shared" si="2"/>
        <v>0.1875</v>
      </c>
      <c r="K125" s="90">
        <f>+I125+'JUNIO 2025'!K125</f>
        <v>11</v>
      </c>
      <c r="L125" s="94">
        <f t="shared" si="3"/>
        <v>0.6875</v>
      </c>
      <c r="N125"/>
      <c r="O125" s="8"/>
      <c r="P125"/>
      <c r="Q125" s="8"/>
    </row>
    <row r="126" spans="2:17" x14ac:dyDescent="0.25">
      <c r="B126" s="38">
        <v>1</v>
      </c>
      <c r="C126" s="39" t="s">
        <v>82</v>
      </c>
      <c r="D126" s="40" t="s">
        <v>83</v>
      </c>
      <c r="E126" s="219"/>
      <c r="F126" s="61" t="s">
        <v>132</v>
      </c>
      <c r="G126" s="62" t="s">
        <v>32</v>
      </c>
      <c r="H126" s="55">
        <v>18</v>
      </c>
      <c r="I126" s="55">
        <v>3</v>
      </c>
      <c r="J126" s="69">
        <f t="shared" si="2"/>
        <v>0.16666666666666666</v>
      </c>
      <c r="K126" s="90">
        <f>+I126+'JUNIO 2025'!K126</f>
        <v>12</v>
      </c>
      <c r="L126" s="94">
        <f t="shared" si="3"/>
        <v>0.66666666666666663</v>
      </c>
      <c r="N126"/>
      <c r="O126" s="8"/>
      <c r="P126"/>
      <c r="Q126" s="8"/>
    </row>
    <row r="127" spans="2:17" x14ac:dyDescent="0.25">
      <c r="B127" s="38">
        <v>1</v>
      </c>
      <c r="C127" s="39" t="s">
        <v>84</v>
      </c>
      <c r="D127" s="40" t="s">
        <v>85</v>
      </c>
      <c r="E127" s="219"/>
      <c r="F127" s="61" t="s">
        <v>133</v>
      </c>
      <c r="G127" s="62" t="s">
        <v>134</v>
      </c>
      <c r="H127" s="55">
        <v>24</v>
      </c>
      <c r="I127" s="55">
        <v>4</v>
      </c>
      <c r="J127" s="69">
        <f t="shared" si="2"/>
        <v>0.16666666666666666</v>
      </c>
      <c r="K127" s="90">
        <f>+I127+'JUNIO 2025'!K127</f>
        <v>16</v>
      </c>
      <c r="L127" s="94">
        <f t="shared" si="3"/>
        <v>0.66666666666666663</v>
      </c>
      <c r="N127"/>
      <c r="O127" s="8"/>
      <c r="P127"/>
      <c r="Q127" s="8"/>
    </row>
    <row r="128" spans="2:17" x14ac:dyDescent="0.25">
      <c r="B128" s="38">
        <v>1</v>
      </c>
      <c r="C128" s="39" t="s">
        <v>86</v>
      </c>
      <c r="D128" s="40" t="s">
        <v>87</v>
      </c>
      <c r="E128" s="219"/>
      <c r="F128" s="61" t="s">
        <v>135</v>
      </c>
      <c r="G128" s="62" t="s">
        <v>136</v>
      </c>
      <c r="H128" s="55">
        <v>16</v>
      </c>
      <c r="I128" s="55">
        <v>2</v>
      </c>
      <c r="J128" s="69">
        <f t="shared" si="2"/>
        <v>0.125</v>
      </c>
      <c r="K128" s="90">
        <f>+I128+'JUNIO 2025'!K128</f>
        <v>10</v>
      </c>
      <c r="L128" s="94">
        <f t="shared" si="3"/>
        <v>0.625</v>
      </c>
      <c r="N128"/>
      <c r="O128" s="8"/>
      <c r="P128"/>
      <c r="Q128" s="8"/>
    </row>
    <row r="129" spans="2:17" x14ac:dyDescent="0.25">
      <c r="B129" s="38">
        <v>1</v>
      </c>
      <c r="C129" s="39" t="s">
        <v>89</v>
      </c>
      <c r="D129" s="40" t="s">
        <v>90</v>
      </c>
      <c r="E129" s="219"/>
      <c r="F129" s="61" t="s">
        <v>137</v>
      </c>
      <c r="G129" s="62" t="s">
        <v>130</v>
      </c>
      <c r="H129" s="55">
        <v>18</v>
      </c>
      <c r="I129" s="55">
        <v>3</v>
      </c>
      <c r="J129" s="69">
        <f t="shared" si="2"/>
        <v>0.16666666666666666</v>
      </c>
      <c r="K129" s="90">
        <f>+I129+'JUNIO 2025'!K129</f>
        <v>12</v>
      </c>
      <c r="L129" s="94">
        <f t="shared" si="3"/>
        <v>0.66666666666666663</v>
      </c>
      <c r="N129"/>
      <c r="O129" s="8"/>
      <c r="P129"/>
      <c r="Q129" s="8"/>
    </row>
    <row r="130" spans="2:17" s="16" customFormat="1" x14ac:dyDescent="0.25">
      <c r="B130" s="38">
        <v>1</v>
      </c>
      <c r="C130" s="39" t="s">
        <v>92</v>
      </c>
      <c r="D130" s="40" t="s">
        <v>93</v>
      </c>
      <c r="E130" s="219"/>
      <c r="F130" s="61" t="s">
        <v>138</v>
      </c>
      <c r="G130" s="62" t="s">
        <v>136</v>
      </c>
      <c r="H130" s="55">
        <v>16</v>
      </c>
      <c r="I130" s="55">
        <v>3</v>
      </c>
      <c r="J130" s="69">
        <f t="shared" si="2"/>
        <v>0.1875</v>
      </c>
      <c r="K130" s="90">
        <f>+I130+'JUNIO 2025'!K130</f>
        <v>11</v>
      </c>
      <c r="L130" s="94">
        <f t="shared" si="3"/>
        <v>0.6875</v>
      </c>
      <c r="N130" s="41"/>
      <c r="P130" s="41"/>
    </row>
    <row r="131" spans="2:17" x14ac:dyDescent="0.25">
      <c r="B131" s="38">
        <v>1</v>
      </c>
      <c r="C131" s="39" t="s">
        <v>95</v>
      </c>
      <c r="D131" s="40" t="s">
        <v>96</v>
      </c>
      <c r="E131" s="219"/>
      <c r="F131" s="61" t="s">
        <v>139</v>
      </c>
      <c r="G131" s="62" t="s">
        <v>129</v>
      </c>
      <c r="H131" s="68">
        <v>10</v>
      </c>
      <c r="I131" s="55">
        <v>2</v>
      </c>
      <c r="J131" s="69">
        <f t="shared" si="2"/>
        <v>0.2</v>
      </c>
      <c r="K131" s="90">
        <f>+I131+'JUNIO 2025'!K131</f>
        <v>7</v>
      </c>
      <c r="L131" s="94">
        <f t="shared" si="3"/>
        <v>0.7</v>
      </c>
      <c r="N131"/>
      <c r="O131" s="8"/>
      <c r="P131"/>
      <c r="Q131" s="8"/>
    </row>
    <row r="132" spans="2:17" x14ac:dyDescent="0.25">
      <c r="B132" s="38">
        <v>2</v>
      </c>
      <c r="C132" s="39" t="s">
        <v>140</v>
      </c>
      <c r="D132" s="40" t="s">
        <v>141</v>
      </c>
      <c r="E132" s="219"/>
      <c r="F132" s="61" t="s">
        <v>135</v>
      </c>
      <c r="G132" s="62" t="s">
        <v>130</v>
      </c>
      <c r="H132" s="55">
        <v>14</v>
      </c>
      <c r="I132" s="55">
        <v>2</v>
      </c>
      <c r="J132" s="69">
        <f t="shared" si="2"/>
        <v>0.14285714285714285</v>
      </c>
      <c r="K132" s="90">
        <f>+I132+'JUNIO 2025'!K132</f>
        <v>9</v>
      </c>
      <c r="L132" s="94">
        <f t="shared" si="3"/>
        <v>0.6428571428571429</v>
      </c>
      <c r="N132"/>
      <c r="O132" s="8"/>
      <c r="P132"/>
      <c r="Q132" s="8"/>
    </row>
    <row r="133" spans="2:17" x14ac:dyDescent="0.25">
      <c r="B133" s="42">
        <v>2</v>
      </c>
      <c r="C133" s="43" t="s">
        <v>57</v>
      </c>
      <c r="D133" s="44" t="s">
        <v>58</v>
      </c>
      <c r="E133" s="220"/>
      <c r="F133" s="64" t="s">
        <v>54</v>
      </c>
      <c r="G133" s="65" t="s">
        <v>142</v>
      </c>
      <c r="H133" s="56">
        <v>20</v>
      </c>
      <c r="I133" s="56">
        <v>4</v>
      </c>
      <c r="J133" s="72">
        <f t="shared" si="2"/>
        <v>0.2</v>
      </c>
      <c r="K133" s="91">
        <f>+I133+'JUNIO 2025'!K133</f>
        <v>14</v>
      </c>
      <c r="L133" s="96">
        <f t="shared" si="3"/>
        <v>0.7</v>
      </c>
      <c r="N133"/>
      <c r="O133" s="8"/>
      <c r="P133"/>
      <c r="Q133" s="8"/>
    </row>
    <row r="134" spans="2:17" x14ac:dyDescent="0.25">
      <c r="B134" s="35">
        <v>1</v>
      </c>
      <c r="C134" s="36" t="s">
        <v>144</v>
      </c>
      <c r="D134" s="37" t="s">
        <v>145</v>
      </c>
      <c r="E134" s="228" t="s">
        <v>205</v>
      </c>
      <c r="F134" s="61" t="s">
        <v>806</v>
      </c>
      <c r="G134" s="60" t="s">
        <v>541</v>
      </c>
      <c r="H134" s="66">
        <v>20</v>
      </c>
      <c r="I134" s="66">
        <v>5</v>
      </c>
      <c r="J134" s="69">
        <f t="shared" si="2"/>
        <v>0.25</v>
      </c>
      <c r="K134" s="103">
        <f>+I134+'JUNIO 2025'!K134</f>
        <v>16</v>
      </c>
      <c r="L134" s="94">
        <f t="shared" si="3"/>
        <v>0.8</v>
      </c>
      <c r="N134"/>
      <c r="O134" s="8"/>
      <c r="P134"/>
      <c r="Q134" s="8"/>
    </row>
    <row r="135" spans="2:17" x14ac:dyDescent="0.25">
      <c r="B135" s="38">
        <v>1</v>
      </c>
      <c r="C135" s="39" t="s">
        <v>74</v>
      </c>
      <c r="D135" s="40" t="s">
        <v>75</v>
      </c>
      <c r="E135" s="229"/>
      <c r="F135" s="61" t="s">
        <v>223</v>
      </c>
      <c r="G135" s="62" t="s">
        <v>542</v>
      </c>
      <c r="H135" s="68">
        <v>20</v>
      </c>
      <c r="I135" s="55">
        <v>5</v>
      </c>
      <c r="J135" s="69">
        <f t="shared" si="2"/>
        <v>0.25</v>
      </c>
      <c r="K135" s="90">
        <f>+I135+'JUNIO 2025'!K135</f>
        <v>14</v>
      </c>
      <c r="L135" s="94">
        <f t="shared" si="3"/>
        <v>0.7</v>
      </c>
      <c r="N135"/>
      <c r="O135" s="8"/>
      <c r="P135"/>
      <c r="Q135" s="8"/>
    </row>
    <row r="136" spans="2:17" x14ac:dyDescent="0.25">
      <c r="B136" s="38">
        <v>1</v>
      </c>
      <c r="C136" s="39" t="s">
        <v>77</v>
      </c>
      <c r="D136" s="40" t="s">
        <v>78</v>
      </c>
      <c r="E136" s="229"/>
      <c r="F136" s="61" t="s">
        <v>807</v>
      </c>
      <c r="G136" s="63" t="s">
        <v>544</v>
      </c>
      <c r="H136" s="55">
        <v>20</v>
      </c>
      <c r="I136" s="70">
        <v>5</v>
      </c>
      <c r="J136" s="69">
        <f t="shared" si="2"/>
        <v>0.25</v>
      </c>
      <c r="K136" s="90">
        <f>+I136+'JUNIO 2025'!K136</f>
        <v>11</v>
      </c>
      <c r="L136" s="94">
        <f t="shared" si="3"/>
        <v>0.55000000000000004</v>
      </c>
      <c r="N136"/>
      <c r="O136" s="8"/>
      <c r="P136"/>
      <c r="Q136" s="8"/>
    </row>
    <row r="137" spans="2:17" x14ac:dyDescent="0.25">
      <c r="B137" s="38">
        <v>1</v>
      </c>
      <c r="C137" s="39" t="s">
        <v>79</v>
      </c>
      <c r="D137" s="40" t="s">
        <v>80</v>
      </c>
      <c r="E137" s="229"/>
      <c r="F137" s="61" t="s">
        <v>808</v>
      </c>
      <c r="G137" s="62" t="s">
        <v>545</v>
      </c>
      <c r="H137" s="55">
        <v>20</v>
      </c>
      <c r="I137" s="55">
        <v>2</v>
      </c>
      <c r="J137" s="69">
        <f t="shared" si="2"/>
        <v>0.1</v>
      </c>
      <c r="K137" s="90">
        <f>+I137+'JUNIO 2025'!K137</f>
        <v>16</v>
      </c>
      <c r="L137" s="94">
        <f t="shared" si="3"/>
        <v>0.8</v>
      </c>
      <c r="N137"/>
      <c r="O137" s="8"/>
      <c r="P137"/>
      <c r="Q137" s="8"/>
    </row>
    <row r="138" spans="2:17" x14ac:dyDescent="0.25">
      <c r="B138" s="38">
        <v>1</v>
      </c>
      <c r="C138" s="39" t="s">
        <v>82</v>
      </c>
      <c r="D138" s="40" t="s">
        <v>83</v>
      </c>
      <c r="E138" s="229"/>
      <c r="F138" s="61" t="s">
        <v>172</v>
      </c>
      <c r="G138" s="62" t="s">
        <v>172</v>
      </c>
      <c r="H138" s="55">
        <v>2</v>
      </c>
      <c r="I138" s="55">
        <v>0</v>
      </c>
      <c r="J138" s="69">
        <f t="shared" si="2"/>
        <v>0</v>
      </c>
      <c r="K138" s="90">
        <f>+I138+'JUNIO 2025'!K138</f>
        <v>2</v>
      </c>
      <c r="L138" s="94">
        <f t="shared" si="3"/>
        <v>1</v>
      </c>
      <c r="N138"/>
      <c r="O138" s="8"/>
      <c r="P138"/>
      <c r="Q138" s="8"/>
    </row>
    <row r="139" spans="2:17" x14ac:dyDescent="0.25">
      <c r="B139" s="38">
        <v>1</v>
      </c>
      <c r="C139" s="39" t="s">
        <v>84</v>
      </c>
      <c r="D139" s="40" t="s">
        <v>85</v>
      </c>
      <c r="E139" s="229"/>
      <c r="F139" s="61" t="s">
        <v>201</v>
      </c>
      <c r="G139" s="62" t="s">
        <v>32</v>
      </c>
      <c r="H139" s="55">
        <v>40</v>
      </c>
      <c r="I139" s="55">
        <v>3</v>
      </c>
      <c r="J139" s="69">
        <f t="shared" si="2"/>
        <v>7.4999999999999997E-2</v>
      </c>
      <c r="K139" s="90">
        <f>+I139+'JUNIO 2025'!K139</f>
        <v>18</v>
      </c>
      <c r="L139" s="94">
        <f t="shared" si="3"/>
        <v>0.45</v>
      </c>
      <c r="N139"/>
      <c r="O139" s="8"/>
      <c r="P139"/>
      <c r="Q139" s="8"/>
    </row>
    <row r="140" spans="2:17" x14ac:dyDescent="0.25">
      <c r="B140" s="38">
        <v>1</v>
      </c>
      <c r="C140" s="39" t="s">
        <v>86</v>
      </c>
      <c r="D140" s="40" t="s">
        <v>87</v>
      </c>
      <c r="E140" s="229"/>
      <c r="F140" s="40" t="s">
        <v>172</v>
      </c>
      <c r="G140" s="62" t="s">
        <v>172</v>
      </c>
      <c r="H140" s="55">
        <v>2</v>
      </c>
      <c r="I140" s="55">
        <v>0</v>
      </c>
      <c r="J140" s="69">
        <f t="shared" si="2"/>
        <v>0</v>
      </c>
      <c r="K140" s="90">
        <f>+I140+'JUNIO 2025'!K140</f>
        <v>2</v>
      </c>
      <c r="L140" s="94">
        <f t="shared" si="3"/>
        <v>1</v>
      </c>
      <c r="N140"/>
      <c r="O140" s="8"/>
      <c r="P140"/>
      <c r="Q140" s="8"/>
    </row>
    <row r="141" spans="2:17" x14ac:dyDescent="0.25">
      <c r="B141" s="38">
        <v>1</v>
      </c>
      <c r="C141" s="39" t="s">
        <v>89</v>
      </c>
      <c r="D141" s="40" t="s">
        <v>90</v>
      </c>
      <c r="E141" s="229"/>
      <c r="F141" s="61" t="s">
        <v>276</v>
      </c>
      <c r="G141" s="62" t="s">
        <v>546</v>
      </c>
      <c r="H141" s="55">
        <v>8</v>
      </c>
      <c r="I141" s="55">
        <v>1</v>
      </c>
      <c r="J141" s="69">
        <f t="shared" si="2"/>
        <v>0.125</v>
      </c>
      <c r="K141" s="90">
        <f>+I141+'JUNIO 2025'!K141</f>
        <v>8</v>
      </c>
      <c r="L141" s="94">
        <f t="shared" si="3"/>
        <v>1</v>
      </c>
      <c r="N141"/>
      <c r="O141" s="8"/>
      <c r="P141"/>
      <c r="Q141" s="8"/>
    </row>
    <row r="142" spans="2:17" s="16" customFormat="1" x14ac:dyDescent="0.25">
      <c r="B142" s="38">
        <v>1</v>
      </c>
      <c r="C142" s="39" t="s">
        <v>92</v>
      </c>
      <c r="D142" s="40" t="s">
        <v>93</v>
      </c>
      <c r="E142" s="229"/>
      <c r="F142" s="1" t="s">
        <v>810</v>
      </c>
      <c r="G142" s="62" t="s">
        <v>548</v>
      </c>
      <c r="H142" s="68">
        <v>15</v>
      </c>
      <c r="I142" s="55">
        <v>3</v>
      </c>
      <c r="J142" s="69">
        <f t="shared" si="2"/>
        <v>0.2</v>
      </c>
      <c r="K142" s="90">
        <f>+I142+'JUNIO 2025'!K142</f>
        <v>10</v>
      </c>
      <c r="L142" s="94">
        <f t="shared" si="3"/>
        <v>0.66666666666666663</v>
      </c>
      <c r="N142" s="41"/>
      <c r="P142" s="41"/>
    </row>
    <row r="143" spans="2:17" x14ac:dyDescent="0.25">
      <c r="B143" s="38">
        <v>1</v>
      </c>
      <c r="C143" s="39" t="s">
        <v>146</v>
      </c>
      <c r="D143" s="40" t="s">
        <v>147</v>
      </c>
      <c r="E143" s="229"/>
      <c r="F143" s="61" t="s">
        <v>172</v>
      </c>
      <c r="G143" s="62" t="s">
        <v>172</v>
      </c>
      <c r="H143" s="55">
        <v>5</v>
      </c>
      <c r="I143" s="55">
        <v>0</v>
      </c>
      <c r="J143" s="69">
        <f t="shared" ref="J143:J206" si="4">IFERROR(I143/H143,0)</f>
        <v>0</v>
      </c>
      <c r="K143" s="90">
        <f>+I143+'JUNIO 2025'!K143</f>
        <v>5</v>
      </c>
      <c r="L143" s="94">
        <f t="shared" ref="L143:L206" si="5">IFERROR(K143/H143,0)</f>
        <v>1</v>
      </c>
      <c r="N143"/>
      <c r="O143" s="8"/>
      <c r="P143"/>
      <c r="Q143" s="8"/>
    </row>
    <row r="144" spans="2:17" x14ac:dyDescent="0.25">
      <c r="B144" s="38">
        <v>1</v>
      </c>
      <c r="C144" s="39" t="s">
        <v>95</v>
      </c>
      <c r="D144" s="40" t="s">
        <v>96</v>
      </c>
      <c r="E144" s="229"/>
      <c r="F144" s="61" t="s">
        <v>218</v>
      </c>
      <c r="G144" s="63" t="s">
        <v>549</v>
      </c>
      <c r="H144" s="55">
        <v>13</v>
      </c>
      <c r="I144" s="70">
        <v>3</v>
      </c>
      <c r="J144" s="69">
        <f t="shared" si="4"/>
        <v>0.23076923076923078</v>
      </c>
      <c r="K144" s="90">
        <f>+I144+'JUNIO 2025'!K144</f>
        <v>9</v>
      </c>
      <c r="L144" s="94">
        <f t="shared" si="5"/>
        <v>0.69230769230769229</v>
      </c>
      <c r="N144"/>
      <c r="O144" s="8"/>
      <c r="P144"/>
      <c r="Q144" s="8"/>
    </row>
    <row r="145" spans="2:17" x14ac:dyDescent="0.25">
      <c r="B145" s="42">
        <v>8</v>
      </c>
      <c r="C145" s="43" t="s">
        <v>148</v>
      </c>
      <c r="D145" s="44" t="s">
        <v>141</v>
      </c>
      <c r="E145" s="230"/>
      <c r="F145" s="64" t="s">
        <v>809</v>
      </c>
      <c r="G145" s="65" t="s">
        <v>550</v>
      </c>
      <c r="H145" s="56">
        <v>15</v>
      </c>
      <c r="I145" s="56">
        <v>3</v>
      </c>
      <c r="J145" s="72">
        <f t="shared" si="4"/>
        <v>0.2</v>
      </c>
      <c r="K145" s="91">
        <f>+I145+'JUNIO 2025'!K145</f>
        <v>9</v>
      </c>
      <c r="L145" s="96">
        <f t="shared" si="5"/>
        <v>0.6</v>
      </c>
      <c r="N145"/>
      <c r="O145" s="8"/>
      <c r="P145"/>
      <c r="Q145" s="8"/>
    </row>
    <row r="146" spans="2:17" x14ac:dyDescent="0.25">
      <c r="B146" s="35">
        <v>3</v>
      </c>
      <c r="C146" s="36" t="s">
        <v>43</v>
      </c>
      <c r="D146" s="37" t="s">
        <v>44</v>
      </c>
      <c r="E146" s="235" t="s">
        <v>239</v>
      </c>
      <c r="F146" s="59" t="s">
        <v>45</v>
      </c>
      <c r="G146" s="60" t="s">
        <v>551</v>
      </c>
      <c r="H146" s="66">
        <v>16</v>
      </c>
      <c r="I146" s="66">
        <v>2</v>
      </c>
      <c r="J146" s="69">
        <f t="shared" si="4"/>
        <v>0.125</v>
      </c>
      <c r="K146" s="103">
        <f>+I146+'JUNIO 2025'!K146</f>
        <v>10</v>
      </c>
      <c r="L146" s="94">
        <f t="shared" si="5"/>
        <v>0.625</v>
      </c>
      <c r="N146"/>
      <c r="O146" s="8"/>
      <c r="P146"/>
      <c r="Q146" s="8"/>
    </row>
    <row r="147" spans="2:17" x14ac:dyDescent="0.25">
      <c r="B147" s="38">
        <v>3</v>
      </c>
      <c r="C147" s="39" t="s">
        <v>149</v>
      </c>
      <c r="D147" s="40" t="s">
        <v>150</v>
      </c>
      <c r="E147" s="236"/>
      <c r="F147" s="61" t="s">
        <v>48</v>
      </c>
      <c r="G147" s="62" t="s">
        <v>552</v>
      </c>
      <c r="H147" s="68">
        <v>17</v>
      </c>
      <c r="I147" s="55">
        <v>3</v>
      </c>
      <c r="J147" s="69">
        <f t="shared" si="4"/>
        <v>0.17647058823529413</v>
      </c>
      <c r="K147" s="90">
        <f>+I147+'JUNIO 2025'!K147</f>
        <v>11</v>
      </c>
      <c r="L147" s="94">
        <f t="shared" si="5"/>
        <v>0.6470588235294118</v>
      </c>
      <c r="N147"/>
      <c r="O147" s="8"/>
      <c r="P147"/>
      <c r="Q147" s="8"/>
    </row>
    <row r="148" spans="2:17" x14ac:dyDescent="0.25">
      <c r="B148" s="38">
        <v>3</v>
      </c>
      <c r="C148" s="39" t="s">
        <v>46</v>
      </c>
      <c r="D148" s="40" t="s">
        <v>47</v>
      </c>
      <c r="E148" s="236"/>
      <c r="F148" s="61" t="s">
        <v>48</v>
      </c>
      <c r="G148" s="63" t="s">
        <v>553</v>
      </c>
      <c r="H148" s="55">
        <v>16</v>
      </c>
      <c r="I148" s="70">
        <v>3</v>
      </c>
      <c r="J148" s="69">
        <f t="shared" si="4"/>
        <v>0.1875</v>
      </c>
      <c r="K148" s="90">
        <f>+I148+'JUNIO 2025'!K148</f>
        <v>11</v>
      </c>
      <c r="L148" s="94">
        <f t="shared" si="5"/>
        <v>0.6875</v>
      </c>
      <c r="N148"/>
      <c r="O148" s="8"/>
      <c r="P148"/>
      <c r="Q148" s="8"/>
    </row>
    <row r="149" spans="2:17" x14ac:dyDescent="0.25">
      <c r="B149" s="38">
        <v>3</v>
      </c>
      <c r="C149" s="39" t="s">
        <v>98</v>
      </c>
      <c r="D149" s="40" t="s">
        <v>99</v>
      </c>
      <c r="E149" s="236"/>
      <c r="F149" s="61" t="s">
        <v>48</v>
      </c>
      <c r="G149" s="62" t="s">
        <v>280</v>
      </c>
      <c r="H149" s="55">
        <v>17</v>
      </c>
      <c r="I149" s="55">
        <v>4</v>
      </c>
      <c r="J149" s="69">
        <f t="shared" si="4"/>
        <v>0.23529411764705882</v>
      </c>
      <c r="K149" s="90">
        <f>+I149+'JUNIO 2025'!K149</f>
        <v>14</v>
      </c>
      <c r="L149" s="94">
        <f t="shared" si="5"/>
        <v>0.82352941176470584</v>
      </c>
      <c r="N149"/>
      <c r="O149" s="8"/>
      <c r="P149"/>
      <c r="Q149" s="8"/>
    </row>
    <row r="150" spans="2:17" x14ac:dyDescent="0.25">
      <c r="B150" s="38">
        <v>3</v>
      </c>
      <c r="C150" s="39" t="s">
        <v>49</v>
      </c>
      <c r="D150" s="40" t="s">
        <v>50</v>
      </c>
      <c r="E150" s="236"/>
      <c r="F150" s="61" t="s">
        <v>51</v>
      </c>
      <c r="G150" s="62" t="s">
        <v>555</v>
      </c>
      <c r="H150" s="55">
        <v>16</v>
      </c>
      <c r="I150" s="55">
        <v>2</v>
      </c>
      <c r="J150" s="69">
        <f t="shared" si="4"/>
        <v>0.125</v>
      </c>
      <c r="K150" s="90">
        <f>+I150+'JUNIO 2025'!K150</f>
        <v>10</v>
      </c>
      <c r="L150" s="94">
        <f t="shared" si="5"/>
        <v>0.625</v>
      </c>
      <c r="N150"/>
      <c r="O150" s="8"/>
      <c r="P150"/>
      <c r="Q150" s="8"/>
    </row>
    <row r="151" spans="2:17" x14ac:dyDescent="0.25">
      <c r="B151" s="38">
        <v>3</v>
      </c>
      <c r="C151" s="39" t="s">
        <v>52</v>
      </c>
      <c r="D151" s="40" t="s">
        <v>53</v>
      </c>
      <c r="E151" s="236"/>
      <c r="F151" s="61" t="s">
        <v>54</v>
      </c>
      <c r="G151" s="62" t="s">
        <v>556</v>
      </c>
      <c r="H151" s="55">
        <v>17</v>
      </c>
      <c r="I151" s="55">
        <v>3</v>
      </c>
      <c r="J151" s="69">
        <f t="shared" si="4"/>
        <v>0.17647058823529413</v>
      </c>
      <c r="K151" s="90">
        <f>+I151+'JUNIO 2025'!K151</f>
        <v>12</v>
      </c>
      <c r="L151" s="94">
        <f t="shared" si="5"/>
        <v>0.70588235294117652</v>
      </c>
      <c r="N151"/>
      <c r="O151" s="8"/>
      <c r="P151"/>
      <c r="Q151" s="8"/>
    </row>
    <row r="152" spans="2:17" x14ac:dyDescent="0.25">
      <c r="B152" s="38">
        <v>3</v>
      </c>
      <c r="C152" s="39" t="s">
        <v>55</v>
      </c>
      <c r="D152" s="40" t="s">
        <v>56</v>
      </c>
      <c r="E152" s="236"/>
      <c r="F152" s="61" t="s">
        <v>54</v>
      </c>
      <c r="G152" s="62" t="s">
        <v>557</v>
      </c>
      <c r="H152" s="55">
        <v>16</v>
      </c>
      <c r="I152" s="55">
        <v>2</v>
      </c>
      <c r="J152" s="69">
        <f t="shared" si="4"/>
        <v>0.125</v>
      </c>
      <c r="K152" s="90">
        <f>+I152+'JUNIO 2025'!K152</f>
        <v>10</v>
      </c>
      <c r="L152" s="94">
        <f t="shared" si="5"/>
        <v>0.625</v>
      </c>
      <c r="N152"/>
      <c r="O152" s="8"/>
      <c r="P152"/>
      <c r="Q152" s="8"/>
    </row>
    <row r="153" spans="2:17" s="16" customFormat="1" x14ac:dyDescent="0.25">
      <c r="B153" s="38">
        <v>5</v>
      </c>
      <c r="C153" s="39" t="s">
        <v>151</v>
      </c>
      <c r="D153" s="40" t="s">
        <v>152</v>
      </c>
      <c r="E153" s="236"/>
      <c r="F153" s="61" t="s">
        <v>48</v>
      </c>
      <c r="G153" s="62" t="s">
        <v>558</v>
      </c>
      <c r="H153" s="55">
        <v>16</v>
      </c>
      <c r="I153" s="55">
        <v>3</v>
      </c>
      <c r="J153" s="69">
        <f t="shared" si="4"/>
        <v>0.1875</v>
      </c>
      <c r="K153" s="90">
        <f>+I153+'JUNIO 2025'!K153</f>
        <v>10</v>
      </c>
      <c r="L153" s="94">
        <f t="shared" si="5"/>
        <v>0.625</v>
      </c>
      <c r="N153" s="41"/>
      <c r="P153" s="41"/>
    </row>
    <row r="154" spans="2:17" x14ac:dyDescent="0.25">
      <c r="B154" s="38">
        <v>5</v>
      </c>
      <c r="C154" s="39" t="s">
        <v>57</v>
      </c>
      <c r="D154" s="40" t="s">
        <v>58</v>
      </c>
      <c r="E154" s="236"/>
      <c r="F154" s="61" t="s">
        <v>54</v>
      </c>
      <c r="G154" s="62" t="s">
        <v>559</v>
      </c>
      <c r="H154" s="68">
        <v>16</v>
      </c>
      <c r="I154" s="55">
        <v>2</v>
      </c>
      <c r="J154" s="69">
        <f t="shared" si="4"/>
        <v>0.125</v>
      </c>
      <c r="K154" s="90">
        <f>+I154+'JUNIO 2025'!K154</f>
        <v>11</v>
      </c>
      <c r="L154" s="94">
        <f t="shared" si="5"/>
        <v>0.6875</v>
      </c>
      <c r="N154"/>
      <c r="O154" s="8"/>
      <c r="P154"/>
      <c r="Q154" s="8"/>
    </row>
    <row r="155" spans="2:17" x14ac:dyDescent="0.25">
      <c r="B155" s="38">
        <v>5</v>
      </c>
      <c r="C155" s="39" t="s">
        <v>59</v>
      </c>
      <c r="D155" s="40" t="s">
        <v>60</v>
      </c>
      <c r="E155" s="236"/>
      <c r="F155" s="61" t="s">
        <v>54</v>
      </c>
      <c r="G155" s="62" t="s">
        <v>560</v>
      </c>
      <c r="H155" s="55">
        <v>16</v>
      </c>
      <c r="I155" s="55">
        <v>3</v>
      </c>
      <c r="J155" s="69">
        <f t="shared" si="4"/>
        <v>0.1875</v>
      </c>
      <c r="K155" s="90">
        <f>+I155+'JUNIO 2025'!K155</f>
        <v>11</v>
      </c>
      <c r="L155" s="94">
        <f t="shared" si="5"/>
        <v>0.6875</v>
      </c>
      <c r="N155"/>
      <c r="O155" s="8"/>
      <c r="P155"/>
      <c r="Q155" s="8"/>
    </row>
    <row r="156" spans="2:17" x14ac:dyDescent="0.25">
      <c r="B156" s="42">
        <v>8</v>
      </c>
      <c r="C156" s="43" t="s">
        <v>61</v>
      </c>
      <c r="D156" s="44" t="s">
        <v>62</v>
      </c>
      <c r="E156" s="237"/>
      <c r="F156" s="64" t="s">
        <v>63</v>
      </c>
      <c r="G156" s="135" t="s">
        <v>561</v>
      </c>
      <c r="H156" s="56">
        <v>17</v>
      </c>
      <c r="I156" s="56">
        <v>3</v>
      </c>
      <c r="J156" s="72">
        <f t="shared" si="4"/>
        <v>0.17647058823529413</v>
      </c>
      <c r="K156" s="91">
        <f>+I156+'JUNIO 2025'!K156</f>
        <v>10</v>
      </c>
      <c r="L156" s="96">
        <f t="shared" si="5"/>
        <v>0.58823529411764708</v>
      </c>
      <c r="N156"/>
      <c r="O156" s="8"/>
      <c r="P156"/>
      <c r="Q156" s="8"/>
    </row>
    <row r="157" spans="2:17" x14ac:dyDescent="0.25">
      <c r="B157" s="35">
        <v>3</v>
      </c>
      <c r="C157" s="36" t="s">
        <v>43</v>
      </c>
      <c r="D157" s="37" t="s">
        <v>44</v>
      </c>
      <c r="E157" s="218" t="s">
        <v>157</v>
      </c>
      <c r="F157" s="59" t="s">
        <v>45</v>
      </c>
      <c r="G157" s="60" t="s">
        <v>830</v>
      </c>
      <c r="H157" s="66">
        <v>27</v>
      </c>
      <c r="I157" s="66">
        <v>3</v>
      </c>
      <c r="J157" s="69">
        <f t="shared" si="4"/>
        <v>0.1111111111111111</v>
      </c>
      <c r="K157" s="103">
        <f>+I157+'JUNIO 2025'!K157</f>
        <v>12</v>
      </c>
      <c r="L157" s="94">
        <f t="shared" si="5"/>
        <v>0.44444444444444442</v>
      </c>
      <c r="N157"/>
      <c r="O157" s="8"/>
      <c r="P157"/>
      <c r="Q157" s="8"/>
    </row>
    <row r="158" spans="2:17" x14ac:dyDescent="0.25">
      <c r="B158" s="38">
        <v>3</v>
      </c>
      <c r="C158" s="39" t="s">
        <v>153</v>
      </c>
      <c r="D158" s="40" t="s">
        <v>154</v>
      </c>
      <c r="E158" s="219"/>
      <c r="F158" s="61" t="s">
        <v>159</v>
      </c>
      <c r="G158" s="63" t="s">
        <v>288</v>
      </c>
      <c r="H158" s="55">
        <v>27</v>
      </c>
      <c r="I158" s="55">
        <v>3</v>
      </c>
      <c r="J158" s="69">
        <f t="shared" si="4"/>
        <v>0.1111111111111111</v>
      </c>
      <c r="K158" s="90">
        <f>+I158+'JUNIO 2025'!K158</f>
        <v>12</v>
      </c>
      <c r="L158" s="94">
        <f t="shared" si="5"/>
        <v>0.44444444444444442</v>
      </c>
      <c r="N158"/>
      <c r="O158" s="8"/>
      <c r="P158"/>
      <c r="Q158" s="8"/>
    </row>
    <row r="159" spans="2:17" x14ac:dyDescent="0.25">
      <c r="B159" s="38">
        <v>3</v>
      </c>
      <c r="C159" s="39" t="s">
        <v>46</v>
      </c>
      <c r="D159" s="40" t="s">
        <v>47</v>
      </c>
      <c r="E159" s="219"/>
      <c r="F159" s="61" t="s">
        <v>48</v>
      </c>
      <c r="G159" s="62" t="s">
        <v>289</v>
      </c>
      <c r="H159" s="55">
        <v>27</v>
      </c>
      <c r="I159" s="55">
        <v>3</v>
      </c>
      <c r="J159" s="69">
        <f t="shared" si="4"/>
        <v>0.1111111111111111</v>
      </c>
      <c r="K159" s="90">
        <f>+I159+'JUNIO 2025'!K159</f>
        <v>12</v>
      </c>
      <c r="L159" s="94">
        <f t="shared" si="5"/>
        <v>0.44444444444444442</v>
      </c>
      <c r="N159"/>
      <c r="O159" s="8"/>
      <c r="P159"/>
      <c r="Q159" s="8"/>
    </row>
    <row r="160" spans="2:17" x14ac:dyDescent="0.25">
      <c r="B160" s="38">
        <v>3</v>
      </c>
      <c r="C160" s="39" t="s">
        <v>98</v>
      </c>
      <c r="D160" s="40" t="s">
        <v>99</v>
      </c>
      <c r="E160" s="219"/>
      <c r="F160" s="61" t="s">
        <v>48</v>
      </c>
      <c r="G160" s="62" t="s">
        <v>830</v>
      </c>
      <c r="H160" s="55">
        <v>27</v>
      </c>
      <c r="I160" s="55">
        <v>3</v>
      </c>
      <c r="J160" s="69">
        <f t="shared" si="4"/>
        <v>0.1111111111111111</v>
      </c>
      <c r="K160" s="90">
        <f>+I160+'JUNIO 2025'!K160</f>
        <v>12</v>
      </c>
      <c r="L160" s="94">
        <f t="shared" si="5"/>
        <v>0.44444444444444442</v>
      </c>
      <c r="N160"/>
      <c r="O160" s="8"/>
      <c r="P160"/>
      <c r="Q160" s="8"/>
    </row>
    <row r="161" spans="2:17" s="16" customFormat="1" x14ac:dyDescent="0.25">
      <c r="B161" s="38">
        <v>3</v>
      </c>
      <c r="C161" s="39" t="s">
        <v>49</v>
      </c>
      <c r="D161" s="40" t="s">
        <v>50</v>
      </c>
      <c r="E161" s="219"/>
      <c r="F161" s="61" t="s">
        <v>51</v>
      </c>
      <c r="G161" s="62" t="s">
        <v>155</v>
      </c>
      <c r="H161" s="55">
        <v>27</v>
      </c>
      <c r="I161" s="55">
        <v>3</v>
      </c>
      <c r="J161" s="69">
        <f t="shared" si="4"/>
        <v>0.1111111111111111</v>
      </c>
      <c r="K161" s="90">
        <f>+I161+'JUNIO 2025'!K161</f>
        <v>12</v>
      </c>
      <c r="L161" s="94">
        <f t="shared" si="5"/>
        <v>0.44444444444444442</v>
      </c>
      <c r="N161" s="41"/>
      <c r="P161" s="41"/>
    </row>
    <row r="162" spans="2:17" x14ac:dyDescent="0.25">
      <c r="B162" s="38">
        <v>3</v>
      </c>
      <c r="C162" s="39" t="s">
        <v>52</v>
      </c>
      <c r="D162" s="40" t="s">
        <v>53</v>
      </c>
      <c r="E162" s="219"/>
      <c r="F162" s="61" t="s">
        <v>54</v>
      </c>
      <c r="G162" s="62" t="s">
        <v>167</v>
      </c>
      <c r="H162" s="55">
        <v>27</v>
      </c>
      <c r="I162" s="55">
        <v>3</v>
      </c>
      <c r="J162" s="69">
        <f t="shared" si="4"/>
        <v>0.1111111111111111</v>
      </c>
      <c r="K162" s="90">
        <f>+I162+'JUNIO 2025'!K162</f>
        <v>12</v>
      </c>
      <c r="L162" s="94">
        <f t="shared" si="5"/>
        <v>0.44444444444444442</v>
      </c>
      <c r="N162"/>
      <c r="O162" s="8"/>
      <c r="P162"/>
      <c r="Q162" s="8"/>
    </row>
    <row r="163" spans="2:17" x14ac:dyDescent="0.25">
      <c r="B163" s="38">
        <v>3</v>
      </c>
      <c r="C163" s="39" t="s">
        <v>55</v>
      </c>
      <c r="D163" s="40" t="s">
        <v>56</v>
      </c>
      <c r="E163" s="219"/>
      <c r="F163" s="61" t="s">
        <v>54</v>
      </c>
      <c r="G163" s="62" t="s">
        <v>168</v>
      </c>
      <c r="H163" s="55">
        <v>27</v>
      </c>
      <c r="I163" s="55">
        <v>3</v>
      </c>
      <c r="J163" s="69">
        <f t="shared" si="4"/>
        <v>0.1111111111111111</v>
      </c>
      <c r="K163" s="90">
        <f>+I163+'JUNIO 2025'!K163</f>
        <v>12</v>
      </c>
      <c r="L163" s="94">
        <f t="shared" si="5"/>
        <v>0.44444444444444442</v>
      </c>
      <c r="N163"/>
      <c r="O163" s="8"/>
      <c r="P163"/>
      <c r="Q163" s="8"/>
    </row>
    <row r="164" spans="2:17" x14ac:dyDescent="0.25">
      <c r="B164" s="38">
        <v>5</v>
      </c>
      <c r="C164" s="39" t="s">
        <v>57</v>
      </c>
      <c r="D164" s="40" t="s">
        <v>58</v>
      </c>
      <c r="E164" s="219"/>
      <c r="F164" s="61" t="s">
        <v>54</v>
      </c>
      <c r="G164" s="62" t="s">
        <v>155</v>
      </c>
      <c r="H164" s="68">
        <v>27</v>
      </c>
      <c r="I164" s="55">
        <v>3</v>
      </c>
      <c r="J164" s="69">
        <f t="shared" si="4"/>
        <v>0.1111111111111111</v>
      </c>
      <c r="K164" s="90">
        <f>+I164+'JUNIO 2025'!K164</f>
        <v>12</v>
      </c>
      <c r="L164" s="94">
        <f t="shared" si="5"/>
        <v>0.44444444444444442</v>
      </c>
      <c r="N164"/>
      <c r="O164" s="8"/>
      <c r="P164"/>
      <c r="Q164" s="8"/>
    </row>
    <row r="165" spans="2:17" x14ac:dyDescent="0.25">
      <c r="B165" s="38">
        <v>5</v>
      </c>
      <c r="C165" s="39" t="s">
        <v>59</v>
      </c>
      <c r="D165" s="40" t="s">
        <v>60</v>
      </c>
      <c r="E165" s="219"/>
      <c r="F165" s="61" t="s">
        <v>54</v>
      </c>
      <c r="G165" s="62" t="s">
        <v>830</v>
      </c>
      <c r="H165" s="55">
        <v>27</v>
      </c>
      <c r="I165" s="55">
        <v>3</v>
      </c>
      <c r="J165" s="69">
        <f t="shared" si="4"/>
        <v>0.1111111111111111</v>
      </c>
      <c r="K165" s="90">
        <f>+I165+'JUNIO 2025'!K165</f>
        <v>12</v>
      </c>
      <c r="L165" s="94">
        <f t="shared" si="5"/>
        <v>0.44444444444444442</v>
      </c>
      <c r="N165"/>
      <c r="O165" s="8"/>
      <c r="P165"/>
      <c r="Q165" s="8"/>
    </row>
    <row r="166" spans="2:17" x14ac:dyDescent="0.25">
      <c r="B166" s="42">
        <v>8</v>
      </c>
      <c r="C166" s="43" t="s">
        <v>61</v>
      </c>
      <c r="D166" s="44" t="s">
        <v>62</v>
      </c>
      <c r="E166" s="220"/>
      <c r="F166" s="64" t="s">
        <v>63</v>
      </c>
      <c r="G166" s="135" t="s">
        <v>156</v>
      </c>
      <c r="H166" s="56">
        <v>27</v>
      </c>
      <c r="I166" s="56">
        <v>3</v>
      </c>
      <c r="J166" s="72">
        <f t="shared" si="4"/>
        <v>0.1111111111111111</v>
      </c>
      <c r="K166" s="91">
        <f>+I166+'JUNIO 2025'!K166</f>
        <v>12</v>
      </c>
      <c r="L166" s="96">
        <f t="shared" si="5"/>
        <v>0.44444444444444442</v>
      </c>
      <c r="N166"/>
      <c r="O166" s="8"/>
      <c r="P166"/>
      <c r="Q166" s="8"/>
    </row>
    <row r="167" spans="2:17" x14ac:dyDescent="0.25">
      <c r="B167" s="35">
        <v>3</v>
      </c>
      <c r="C167" s="36" t="s">
        <v>43</v>
      </c>
      <c r="D167" s="37" t="s">
        <v>44</v>
      </c>
      <c r="E167" s="218" t="s">
        <v>158</v>
      </c>
      <c r="F167" s="59" t="s">
        <v>172</v>
      </c>
      <c r="G167" s="60" t="s">
        <v>172</v>
      </c>
      <c r="H167" s="66">
        <v>27</v>
      </c>
      <c r="I167" s="66">
        <v>0</v>
      </c>
      <c r="J167" s="69">
        <f t="shared" si="4"/>
        <v>0</v>
      </c>
      <c r="K167" s="103">
        <f>+I167+'JUNIO 2025'!K167</f>
        <v>9</v>
      </c>
      <c r="L167" s="94">
        <f t="shared" si="5"/>
        <v>0.33333333333333331</v>
      </c>
      <c r="N167"/>
      <c r="O167" s="8"/>
      <c r="P167"/>
      <c r="Q167" s="8"/>
    </row>
    <row r="168" spans="2:17" x14ac:dyDescent="0.25">
      <c r="B168" s="38">
        <v>3</v>
      </c>
      <c r="C168" s="39" t="s">
        <v>153</v>
      </c>
      <c r="D168" s="40" t="s">
        <v>154</v>
      </c>
      <c r="E168" s="219"/>
      <c r="F168" s="1" t="s">
        <v>224</v>
      </c>
      <c r="G168" s="62" t="s">
        <v>811</v>
      </c>
      <c r="H168" s="68">
        <v>27</v>
      </c>
      <c r="I168" s="55">
        <v>7</v>
      </c>
      <c r="J168" s="69">
        <f t="shared" si="4"/>
        <v>0.25925925925925924</v>
      </c>
      <c r="K168" s="90">
        <f>+I168+'JUNIO 2025'!K168</f>
        <v>16</v>
      </c>
      <c r="L168" s="94">
        <f t="shared" si="5"/>
        <v>0.59259259259259256</v>
      </c>
      <c r="N168"/>
      <c r="O168" s="8"/>
      <c r="P168"/>
      <c r="Q168" s="8"/>
    </row>
    <row r="169" spans="2:17" x14ac:dyDescent="0.25">
      <c r="B169" s="38">
        <v>3</v>
      </c>
      <c r="C169" s="39" t="s">
        <v>46</v>
      </c>
      <c r="D169" s="40" t="s">
        <v>47</v>
      </c>
      <c r="E169" s="219"/>
      <c r="F169" s="61" t="s">
        <v>812</v>
      </c>
      <c r="G169" s="63" t="s">
        <v>813</v>
      </c>
      <c r="H169" s="55">
        <v>27</v>
      </c>
      <c r="I169" s="70">
        <v>4</v>
      </c>
      <c r="J169" s="69">
        <f t="shared" si="4"/>
        <v>0.14814814814814814</v>
      </c>
      <c r="K169" s="90">
        <f>+I169+'JUNIO 2025'!K169</f>
        <v>13</v>
      </c>
      <c r="L169" s="94">
        <f t="shared" si="5"/>
        <v>0.48148148148148145</v>
      </c>
      <c r="N169"/>
      <c r="O169" s="8"/>
      <c r="P169"/>
      <c r="Q169" s="8"/>
    </row>
    <row r="170" spans="2:17" x14ac:dyDescent="0.25">
      <c r="B170" s="38">
        <v>3</v>
      </c>
      <c r="C170" s="39" t="s">
        <v>98</v>
      </c>
      <c r="D170" s="40" t="s">
        <v>99</v>
      </c>
      <c r="E170" s="219"/>
      <c r="F170" s="61" t="s">
        <v>814</v>
      </c>
      <c r="G170" s="63" t="s">
        <v>813</v>
      </c>
      <c r="H170" s="55">
        <v>27</v>
      </c>
      <c r="I170" s="55">
        <v>2</v>
      </c>
      <c r="J170" s="69">
        <f t="shared" si="4"/>
        <v>7.407407407407407E-2</v>
      </c>
      <c r="K170" s="90">
        <f>+I170+'JUNIO 2025'!K170</f>
        <v>11</v>
      </c>
      <c r="L170" s="94">
        <f t="shared" si="5"/>
        <v>0.40740740740740738</v>
      </c>
      <c r="N170"/>
      <c r="O170" s="8"/>
      <c r="P170"/>
      <c r="Q170" s="8"/>
    </row>
    <row r="171" spans="2:17" s="16" customFormat="1" x14ac:dyDescent="0.25">
      <c r="B171" s="38">
        <v>3</v>
      </c>
      <c r="C171" s="39" t="s">
        <v>49</v>
      </c>
      <c r="D171" s="40" t="s">
        <v>50</v>
      </c>
      <c r="E171" s="219"/>
      <c r="F171" s="61" t="s">
        <v>815</v>
      </c>
      <c r="G171" s="63" t="s">
        <v>816</v>
      </c>
      <c r="H171" s="55">
        <v>27</v>
      </c>
      <c r="I171" s="55">
        <v>4</v>
      </c>
      <c r="J171" s="69">
        <f t="shared" si="4"/>
        <v>0.14814814814814814</v>
      </c>
      <c r="K171" s="90">
        <f>+I171+'JUNIO 2025'!K171</f>
        <v>13</v>
      </c>
      <c r="L171" s="94">
        <f t="shared" si="5"/>
        <v>0.48148148148148145</v>
      </c>
      <c r="N171" s="41"/>
      <c r="P171" s="41"/>
    </row>
    <row r="172" spans="2:17" x14ac:dyDescent="0.25">
      <c r="B172" s="38">
        <v>3</v>
      </c>
      <c r="C172" s="39" t="s">
        <v>52</v>
      </c>
      <c r="D172" s="40" t="s">
        <v>53</v>
      </c>
      <c r="E172" s="219"/>
      <c r="F172" s="61" t="s">
        <v>817</v>
      </c>
      <c r="G172" s="63" t="s">
        <v>818</v>
      </c>
      <c r="H172" s="55">
        <v>27</v>
      </c>
      <c r="I172" s="55">
        <v>4</v>
      </c>
      <c r="J172" s="69">
        <f t="shared" si="4"/>
        <v>0.14814814814814814</v>
      </c>
      <c r="K172" s="90">
        <f>+I172+'JUNIO 2025'!K172</f>
        <v>13</v>
      </c>
      <c r="L172" s="94">
        <f t="shared" si="5"/>
        <v>0.48148148148148145</v>
      </c>
      <c r="N172"/>
      <c r="O172" s="8"/>
      <c r="P172"/>
      <c r="Q172" s="8"/>
    </row>
    <row r="173" spans="2:17" x14ac:dyDescent="0.25">
      <c r="B173" s="38">
        <v>3</v>
      </c>
      <c r="C173" s="39" t="s">
        <v>55</v>
      </c>
      <c r="D173" s="40" t="s">
        <v>56</v>
      </c>
      <c r="E173" s="219"/>
      <c r="F173" s="61" t="s">
        <v>172</v>
      </c>
      <c r="G173" s="63" t="s">
        <v>172</v>
      </c>
      <c r="H173" s="55">
        <v>27</v>
      </c>
      <c r="I173" s="55">
        <v>0</v>
      </c>
      <c r="J173" s="69">
        <f t="shared" si="4"/>
        <v>0</v>
      </c>
      <c r="K173" s="90">
        <f>+I173+'JUNIO 2025'!K173</f>
        <v>9</v>
      </c>
      <c r="L173" s="94">
        <f t="shared" si="5"/>
        <v>0.33333333333333331</v>
      </c>
      <c r="N173"/>
      <c r="O173" s="8"/>
      <c r="P173"/>
      <c r="Q173" s="8"/>
    </row>
    <row r="174" spans="2:17" x14ac:dyDescent="0.25">
      <c r="B174" s="38">
        <v>5</v>
      </c>
      <c r="C174" s="39" t="s">
        <v>57</v>
      </c>
      <c r="D174" s="40" t="s">
        <v>58</v>
      </c>
      <c r="E174" s="219"/>
      <c r="F174" s="61" t="s">
        <v>819</v>
      </c>
      <c r="G174" s="63" t="s">
        <v>820</v>
      </c>
      <c r="H174" s="55">
        <v>27</v>
      </c>
      <c r="I174" s="55">
        <v>4</v>
      </c>
      <c r="J174" s="69">
        <f t="shared" si="4"/>
        <v>0.14814814814814814</v>
      </c>
      <c r="K174" s="90">
        <f>+I174+'JUNIO 2025'!K174</f>
        <v>13</v>
      </c>
      <c r="L174" s="94">
        <f t="shared" si="5"/>
        <v>0.48148148148148145</v>
      </c>
      <c r="N174"/>
      <c r="O174" s="8"/>
      <c r="P174"/>
      <c r="Q174" s="8"/>
    </row>
    <row r="175" spans="2:17" x14ac:dyDescent="0.25">
      <c r="B175" s="38">
        <v>5</v>
      </c>
      <c r="C175" s="39" t="s">
        <v>59</v>
      </c>
      <c r="D175" s="40" t="s">
        <v>60</v>
      </c>
      <c r="E175" s="219"/>
      <c r="F175" s="61" t="s">
        <v>821</v>
      </c>
      <c r="G175" s="63" t="s">
        <v>822</v>
      </c>
      <c r="H175" s="68">
        <v>27</v>
      </c>
      <c r="I175" s="55">
        <v>5</v>
      </c>
      <c r="J175" s="69">
        <f t="shared" si="4"/>
        <v>0.18518518518518517</v>
      </c>
      <c r="K175" s="90">
        <f>+I175+'JUNIO 2025'!K175</f>
        <v>14</v>
      </c>
      <c r="L175" s="94">
        <f t="shared" si="5"/>
        <v>0.51851851851851849</v>
      </c>
      <c r="N175"/>
      <c r="O175" s="8"/>
      <c r="P175"/>
      <c r="Q175" s="8"/>
    </row>
    <row r="176" spans="2:17" x14ac:dyDescent="0.25">
      <c r="B176" s="42">
        <v>8</v>
      </c>
      <c r="C176" s="43" t="s">
        <v>61</v>
      </c>
      <c r="D176" s="44" t="s">
        <v>62</v>
      </c>
      <c r="E176" s="220"/>
      <c r="F176" s="64" t="s">
        <v>172</v>
      </c>
      <c r="G176" s="65" t="s">
        <v>172</v>
      </c>
      <c r="H176" s="56">
        <v>27</v>
      </c>
      <c r="I176" s="56">
        <v>0</v>
      </c>
      <c r="J176" s="72">
        <f t="shared" si="4"/>
        <v>0</v>
      </c>
      <c r="K176" s="91">
        <f>+I176+'JUNIO 2025'!K176</f>
        <v>9</v>
      </c>
      <c r="L176" s="96">
        <f t="shared" si="5"/>
        <v>0.33333333333333331</v>
      </c>
      <c r="N176"/>
      <c r="O176" s="8"/>
      <c r="P176"/>
      <c r="Q176" s="8"/>
    </row>
    <row r="177" spans="2:17" x14ac:dyDescent="0.25">
      <c r="B177" s="35">
        <v>3</v>
      </c>
      <c r="C177" s="36" t="s">
        <v>43</v>
      </c>
      <c r="D177" s="37" t="s">
        <v>44</v>
      </c>
      <c r="E177" s="218" t="s">
        <v>183</v>
      </c>
      <c r="F177" s="59" t="s">
        <v>922</v>
      </c>
      <c r="G177" s="63" t="s">
        <v>923</v>
      </c>
      <c r="H177" s="66">
        <v>45</v>
      </c>
      <c r="I177" s="66">
        <v>7</v>
      </c>
      <c r="J177" s="69">
        <f t="shared" si="4"/>
        <v>0.15555555555555556</v>
      </c>
      <c r="K177" s="103">
        <f>+I177+'JUNIO 2025'!K177</f>
        <v>20</v>
      </c>
      <c r="L177" s="94">
        <f t="shared" si="5"/>
        <v>0.44444444444444442</v>
      </c>
      <c r="N177"/>
      <c r="O177" s="8"/>
      <c r="P177"/>
      <c r="Q177" s="8"/>
    </row>
    <row r="178" spans="2:17" x14ac:dyDescent="0.25">
      <c r="B178" s="38">
        <v>3</v>
      </c>
      <c r="C178" s="39" t="s">
        <v>46</v>
      </c>
      <c r="D178" s="40" t="s">
        <v>47</v>
      </c>
      <c r="E178" s="219"/>
      <c r="F178" s="61" t="s">
        <v>48</v>
      </c>
      <c r="G178" s="63" t="s">
        <v>923</v>
      </c>
      <c r="H178" s="68">
        <v>45</v>
      </c>
      <c r="I178" s="55">
        <v>3</v>
      </c>
      <c r="J178" s="69">
        <f t="shared" si="4"/>
        <v>6.6666666666666666E-2</v>
      </c>
      <c r="K178" s="90">
        <f>+I178+'JUNIO 2025'!K178</f>
        <v>18</v>
      </c>
      <c r="L178" s="94">
        <f t="shared" si="5"/>
        <v>0.4</v>
      </c>
      <c r="N178"/>
      <c r="O178" s="8"/>
      <c r="P178"/>
      <c r="Q178" s="8"/>
    </row>
    <row r="179" spans="2:17" x14ac:dyDescent="0.25">
      <c r="B179" s="38">
        <v>3</v>
      </c>
      <c r="C179" s="39" t="s">
        <v>49</v>
      </c>
      <c r="D179" s="40" t="s">
        <v>50</v>
      </c>
      <c r="E179" s="219"/>
      <c r="F179" s="61" t="s">
        <v>726</v>
      </c>
      <c r="G179" s="63" t="s">
        <v>923</v>
      </c>
      <c r="H179" s="55">
        <v>40</v>
      </c>
      <c r="I179" s="70">
        <v>7</v>
      </c>
      <c r="J179" s="69">
        <f t="shared" si="4"/>
        <v>0.17499999999999999</v>
      </c>
      <c r="K179" s="90">
        <f>+I179+'JUNIO 2025'!K179</f>
        <v>21</v>
      </c>
      <c r="L179" s="94">
        <f t="shared" si="5"/>
        <v>0.52500000000000002</v>
      </c>
      <c r="N179"/>
      <c r="O179" s="8"/>
      <c r="P179"/>
      <c r="Q179" s="8"/>
    </row>
    <row r="180" spans="2:17" x14ac:dyDescent="0.25">
      <c r="B180" s="38">
        <v>3</v>
      </c>
      <c r="C180" s="39" t="s">
        <v>52</v>
      </c>
      <c r="D180" s="40" t="s">
        <v>53</v>
      </c>
      <c r="E180" s="219"/>
      <c r="F180" s="61" t="s">
        <v>924</v>
      </c>
      <c r="G180" s="63" t="s">
        <v>923</v>
      </c>
      <c r="H180" s="55">
        <v>70</v>
      </c>
      <c r="I180" s="55">
        <v>5</v>
      </c>
      <c r="J180" s="69">
        <f t="shared" si="4"/>
        <v>7.1428571428571425E-2</v>
      </c>
      <c r="K180" s="90">
        <f>+I180+'JUNIO 2025'!K180</f>
        <v>32</v>
      </c>
      <c r="L180" s="94">
        <f t="shared" si="5"/>
        <v>0.45714285714285713</v>
      </c>
      <c r="N180"/>
      <c r="O180" s="8"/>
      <c r="P180"/>
      <c r="Q180" s="8"/>
    </row>
    <row r="181" spans="2:17" x14ac:dyDescent="0.25">
      <c r="B181" s="42">
        <v>3</v>
      </c>
      <c r="C181" s="43" t="s">
        <v>55</v>
      </c>
      <c r="D181" s="44" t="s">
        <v>56</v>
      </c>
      <c r="E181" s="220"/>
      <c r="F181" s="64" t="s">
        <v>925</v>
      </c>
      <c r="G181" s="63" t="s">
        <v>923</v>
      </c>
      <c r="H181" s="56">
        <v>70</v>
      </c>
      <c r="I181" s="56">
        <v>8</v>
      </c>
      <c r="J181" s="72">
        <f t="shared" si="4"/>
        <v>0.11428571428571428</v>
      </c>
      <c r="K181" s="91">
        <f>+I181+'JUNIO 2025'!K181</f>
        <v>29</v>
      </c>
      <c r="L181" s="96">
        <f t="shared" si="5"/>
        <v>0.41428571428571431</v>
      </c>
      <c r="N181"/>
      <c r="O181" s="8"/>
      <c r="P181"/>
      <c r="Q181" s="8"/>
    </row>
    <row r="182" spans="2:17" x14ac:dyDescent="0.25">
      <c r="B182" s="85">
        <v>3</v>
      </c>
      <c r="C182" s="105" t="s">
        <v>332</v>
      </c>
      <c r="D182" s="106" t="s">
        <v>333</v>
      </c>
      <c r="E182" s="238" t="s">
        <v>334</v>
      </c>
      <c r="F182" s="59" t="s">
        <v>823</v>
      </c>
      <c r="G182" s="60" t="s">
        <v>824</v>
      </c>
      <c r="H182" s="89">
        <v>30</v>
      </c>
      <c r="I182" s="89">
        <v>6</v>
      </c>
      <c r="J182" s="69">
        <f t="shared" si="4"/>
        <v>0.2</v>
      </c>
      <c r="K182" s="103">
        <f>+I182+'JUNIO 2025'!K182</f>
        <v>20</v>
      </c>
      <c r="L182" s="94">
        <f t="shared" si="5"/>
        <v>0.66666666666666663</v>
      </c>
      <c r="N182"/>
      <c r="O182" s="8"/>
      <c r="P182"/>
      <c r="Q182" s="8"/>
    </row>
    <row r="183" spans="2:17" x14ac:dyDescent="0.25">
      <c r="B183" s="86">
        <v>3</v>
      </c>
      <c r="C183" s="107" t="s">
        <v>52</v>
      </c>
      <c r="D183" s="108" t="s">
        <v>53</v>
      </c>
      <c r="E183" s="239"/>
      <c r="F183" s="61" t="s">
        <v>825</v>
      </c>
      <c r="G183" s="76" t="s">
        <v>826</v>
      </c>
      <c r="H183" s="2">
        <v>20</v>
      </c>
      <c r="I183" s="3">
        <v>4</v>
      </c>
      <c r="J183" s="69">
        <f t="shared" si="4"/>
        <v>0.2</v>
      </c>
      <c r="K183" s="90">
        <f>+I183+'JUNIO 2025'!K183</f>
        <v>14</v>
      </c>
      <c r="L183" s="94">
        <f t="shared" si="5"/>
        <v>0.7</v>
      </c>
      <c r="N183"/>
      <c r="O183" s="8"/>
      <c r="P183"/>
      <c r="Q183" s="8"/>
    </row>
    <row r="184" spans="2:17" x14ac:dyDescent="0.25">
      <c r="B184" s="86">
        <v>3</v>
      </c>
      <c r="C184" s="107" t="s">
        <v>55</v>
      </c>
      <c r="D184" s="108" t="s">
        <v>56</v>
      </c>
      <c r="E184" s="239"/>
      <c r="F184" s="61" t="s">
        <v>337</v>
      </c>
      <c r="G184" s="62" t="s">
        <v>827</v>
      </c>
      <c r="H184" s="3">
        <v>20</v>
      </c>
      <c r="I184" s="4">
        <v>3</v>
      </c>
      <c r="J184" s="69">
        <f t="shared" si="4"/>
        <v>0.15</v>
      </c>
      <c r="K184" s="90">
        <f>+I184+'JUNIO 2025'!K184</f>
        <v>13</v>
      </c>
      <c r="L184" s="94">
        <f t="shared" si="5"/>
        <v>0.65</v>
      </c>
      <c r="N184"/>
      <c r="O184" s="8"/>
      <c r="P184"/>
      <c r="Q184" s="8"/>
    </row>
    <row r="185" spans="2:17" x14ac:dyDescent="0.25">
      <c r="B185" s="86">
        <v>5</v>
      </c>
      <c r="C185" s="107" t="s">
        <v>57</v>
      </c>
      <c r="D185" s="108" t="s">
        <v>58</v>
      </c>
      <c r="E185" s="239"/>
      <c r="F185" s="61" t="s">
        <v>339</v>
      </c>
      <c r="G185" s="62" t="s">
        <v>340</v>
      </c>
      <c r="H185" s="3">
        <v>15</v>
      </c>
      <c r="I185" s="3">
        <v>2</v>
      </c>
      <c r="J185" s="69">
        <f t="shared" si="4"/>
        <v>0.13333333333333333</v>
      </c>
      <c r="K185" s="90">
        <f>+I185+'JUNIO 2025'!K185</f>
        <v>10</v>
      </c>
      <c r="L185" s="94">
        <f t="shared" si="5"/>
        <v>0.66666666666666663</v>
      </c>
      <c r="N185"/>
      <c r="O185" s="8"/>
      <c r="P185"/>
      <c r="Q185" s="8"/>
    </row>
    <row r="186" spans="2:17" x14ac:dyDescent="0.25">
      <c r="B186" s="86">
        <v>5</v>
      </c>
      <c r="C186" s="107" t="s">
        <v>59</v>
      </c>
      <c r="D186" s="108" t="s">
        <v>60</v>
      </c>
      <c r="E186" s="239"/>
      <c r="F186" s="62" t="s">
        <v>828</v>
      </c>
      <c r="G186" s="62" t="s">
        <v>829</v>
      </c>
      <c r="H186" s="3">
        <v>20</v>
      </c>
      <c r="I186" s="3">
        <v>3</v>
      </c>
      <c r="J186" s="69">
        <f t="shared" si="4"/>
        <v>0.15</v>
      </c>
      <c r="K186" s="90">
        <f>+I186+'JUNIO 2025'!K186</f>
        <v>14</v>
      </c>
      <c r="L186" s="94">
        <f t="shared" si="5"/>
        <v>0.7</v>
      </c>
      <c r="N186"/>
      <c r="O186" s="8"/>
      <c r="P186"/>
      <c r="Q186" s="8"/>
    </row>
    <row r="187" spans="2:17" x14ac:dyDescent="0.25">
      <c r="B187" s="86">
        <v>8</v>
      </c>
      <c r="C187" s="107" t="s">
        <v>61</v>
      </c>
      <c r="D187" s="108" t="s">
        <v>62</v>
      </c>
      <c r="E187" s="239"/>
      <c r="F187" s="62" t="s">
        <v>342</v>
      </c>
      <c r="G187" s="62" t="s">
        <v>343</v>
      </c>
      <c r="H187" s="3">
        <v>15</v>
      </c>
      <c r="I187" s="3">
        <v>3</v>
      </c>
      <c r="J187" s="69">
        <f t="shared" si="4"/>
        <v>0.2</v>
      </c>
      <c r="K187" s="90">
        <f>+I187+'JUNIO 2025'!K187</f>
        <v>10</v>
      </c>
      <c r="L187" s="94">
        <f t="shared" si="5"/>
        <v>0.66666666666666663</v>
      </c>
      <c r="N187"/>
      <c r="O187" s="8"/>
      <c r="P187"/>
      <c r="Q187" s="8"/>
    </row>
    <row r="188" spans="2:17" x14ac:dyDescent="0.25">
      <c r="B188" s="86">
        <v>8</v>
      </c>
      <c r="C188" s="107" t="s">
        <v>344</v>
      </c>
      <c r="D188" s="108" t="s">
        <v>345</v>
      </c>
      <c r="E188" s="239"/>
      <c r="F188" s="61" t="s">
        <v>583</v>
      </c>
      <c r="G188" s="62" t="s">
        <v>584</v>
      </c>
      <c r="H188" s="3">
        <v>20</v>
      </c>
      <c r="I188" s="3">
        <v>3</v>
      </c>
      <c r="J188" s="69">
        <f t="shared" si="4"/>
        <v>0.15</v>
      </c>
      <c r="K188" s="90">
        <f>+I188+'JUNIO 2025'!K188</f>
        <v>13</v>
      </c>
      <c r="L188" s="94">
        <f t="shared" si="5"/>
        <v>0.65</v>
      </c>
      <c r="N188"/>
      <c r="O188" s="8"/>
      <c r="P188"/>
      <c r="Q188" s="8"/>
    </row>
    <row r="189" spans="2:17" x14ac:dyDescent="0.25">
      <c r="B189" s="86">
        <v>8</v>
      </c>
      <c r="C189" s="107" t="s">
        <v>346</v>
      </c>
      <c r="D189" s="108" t="s">
        <v>347</v>
      </c>
      <c r="E189" s="239"/>
      <c r="F189" s="62" t="s">
        <v>348</v>
      </c>
      <c r="G189" s="62" t="s">
        <v>585</v>
      </c>
      <c r="H189" s="3">
        <v>20</v>
      </c>
      <c r="I189" s="3">
        <v>3</v>
      </c>
      <c r="J189" s="69">
        <f t="shared" si="4"/>
        <v>0.15</v>
      </c>
      <c r="K189" s="90">
        <f>+I189+'JUNIO 2025'!K189</f>
        <v>13</v>
      </c>
      <c r="L189" s="94">
        <f t="shared" si="5"/>
        <v>0.65</v>
      </c>
      <c r="N189"/>
      <c r="O189" s="8"/>
      <c r="P189"/>
      <c r="Q189" s="8"/>
    </row>
    <row r="190" spans="2:17" x14ac:dyDescent="0.25">
      <c r="B190" s="87">
        <v>8</v>
      </c>
      <c r="C190" s="109" t="s">
        <v>349</v>
      </c>
      <c r="D190" s="110" t="s">
        <v>350</v>
      </c>
      <c r="E190" s="227"/>
      <c r="F190" s="64" t="s">
        <v>232</v>
      </c>
      <c r="G190" s="63" t="s">
        <v>109</v>
      </c>
      <c r="H190" s="97">
        <v>20</v>
      </c>
      <c r="I190" s="97">
        <v>3</v>
      </c>
      <c r="J190" s="72">
        <f t="shared" si="4"/>
        <v>0.15</v>
      </c>
      <c r="K190" s="91">
        <f>+I190+'JUNIO 2025'!K190</f>
        <v>13</v>
      </c>
      <c r="L190" s="96">
        <f t="shared" si="5"/>
        <v>0.65</v>
      </c>
      <c r="N190"/>
      <c r="O190" s="8"/>
      <c r="P190"/>
      <c r="Q190" s="8"/>
    </row>
    <row r="191" spans="2:17" x14ac:dyDescent="0.25">
      <c r="B191" s="85">
        <v>3</v>
      </c>
      <c r="C191" s="105" t="s">
        <v>43</v>
      </c>
      <c r="D191" s="106" t="s">
        <v>44</v>
      </c>
      <c r="E191" s="232" t="s">
        <v>353</v>
      </c>
      <c r="F191" s="59" t="s">
        <v>836</v>
      </c>
      <c r="G191" s="60" t="s">
        <v>837</v>
      </c>
      <c r="H191" s="89">
        <v>18</v>
      </c>
      <c r="I191" s="89">
        <v>3</v>
      </c>
      <c r="J191" s="69">
        <f t="shared" si="4"/>
        <v>0.16666666666666666</v>
      </c>
      <c r="K191" s="103">
        <f>+I191+'JUNIO 2025'!K191</f>
        <v>12</v>
      </c>
      <c r="L191" s="94">
        <f t="shared" si="5"/>
        <v>0.66666666666666663</v>
      </c>
      <c r="N191"/>
      <c r="O191" s="8"/>
      <c r="P191"/>
      <c r="Q191" s="8"/>
    </row>
    <row r="192" spans="2:17" x14ac:dyDescent="0.25">
      <c r="B192" s="86">
        <v>3</v>
      </c>
      <c r="C192" s="107" t="s">
        <v>46</v>
      </c>
      <c r="D192" s="108" t="s">
        <v>47</v>
      </c>
      <c r="E192" s="232"/>
      <c r="F192" s="61" t="s">
        <v>838</v>
      </c>
      <c r="G192" s="63" t="s">
        <v>837</v>
      </c>
      <c r="H192" s="2">
        <v>18</v>
      </c>
      <c r="I192" s="3">
        <v>3</v>
      </c>
      <c r="J192" s="69">
        <f t="shared" si="4"/>
        <v>0.16666666666666666</v>
      </c>
      <c r="K192" s="90">
        <f>+I192+'JUNIO 2025'!K192</f>
        <v>12</v>
      </c>
      <c r="L192" s="94">
        <f t="shared" si="5"/>
        <v>0.66666666666666663</v>
      </c>
      <c r="N192"/>
      <c r="O192" s="8"/>
      <c r="P192"/>
      <c r="Q192" s="8"/>
    </row>
    <row r="193" spans="2:17" x14ac:dyDescent="0.25">
      <c r="B193" s="86">
        <v>3</v>
      </c>
      <c r="C193" s="107" t="s">
        <v>98</v>
      </c>
      <c r="D193" s="108" t="s">
        <v>99</v>
      </c>
      <c r="E193" s="232"/>
      <c r="F193" s="61" t="s">
        <v>839</v>
      </c>
      <c r="G193" s="62" t="s">
        <v>837</v>
      </c>
      <c r="H193" s="3">
        <v>24</v>
      </c>
      <c r="I193" s="3">
        <v>4</v>
      </c>
      <c r="J193" s="69">
        <f t="shared" si="4"/>
        <v>0.16666666666666666</v>
      </c>
      <c r="K193" s="90">
        <f>+I193+'JUNIO 2025'!K193</f>
        <v>16</v>
      </c>
      <c r="L193" s="94">
        <f t="shared" si="5"/>
        <v>0.66666666666666663</v>
      </c>
      <c r="N193"/>
      <c r="O193" s="8"/>
      <c r="P193"/>
      <c r="Q193" s="8"/>
    </row>
    <row r="194" spans="2:17" x14ac:dyDescent="0.25">
      <c r="B194" s="86">
        <v>3</v>
      </c>
      <c r="C194" s="107" t="s">
        <v>49</v>
      </c>
      <c r="D194" s="108" t="s">
        <v>50</v>
      </c>
      <c r="E194" s="232"/>
      <c r="F194" s="61" t="s">
        <v>840</v>
      </c>
      <c r="G194" s="62" t="s">
        <v>837</v>
      </c>
      <c r="H194" s="3">
        <v>24</v>
      </c>
      <c r="I194" s="3">
        <v>4</v>
      </c>
      <c r="J194" s="69">
        <f t="shared" si="4"/>
        <v>0.16666666666666666</v>
      </c>
      <c r="K194" s="90">
        <f>+I194+'JUNIO 2025'!K194</f>
        <v>16</v>
      </c>
      <c r="L194" s="94">
        <f t="shared" si="5"/>
        <v>0.66666666666666663</v>
      </c>
      <c r="N194"/>
      <c r="O194" s="8"/>
      <c r="P194"/>
      <c r="Q194" s="8"/>
    </row>
    <row r="195" spans="2:17" x14ac:dyDescent="0.25">
      <c r="B195" s="86">
        <v>3</v>
      </c>
      <c r="C195" s="107" t="s">
        <v>52</v>
      </c>
      <c r="D195" s="108" t="s">
        <v>53</v>
      </c>
      <c r="E195" s="232"/>
      <c r="F195" s="61" t="s">
        <v>841</v>
      </c>
      <c r="G195" s="62" t="s">
        <v>837</v>
      </c>
      <c r="H195" s="3">
        <v>24</v>
      </c>
      <c r="I195" s="3">
        <v>4</v>
      </c>
      <c r="J195" s="69">
        <f t="shared" si="4"/>
        <v>0.16666666666666666</v>
      </c>
      <c r="K195" s="90">
        <f>+I195+'JUNIO 2025'!K195</f>
        <v>16</v>
      </c>
      <c r="L195" s="94">
        <f t="shared" si="5"/>
        <v>0.66666666666666663</v>
      </c>
      <c r="N195"/>
      <c r="O195" s="8"/>
      <c r="P195"/>
      <c r="Q195" s="8"/>
    </row>
    <row r="196" spans="2:17" x14ac:dyDescent="0.25">
      <c r="B196" s="86">
        <v>3</v>
      </c>
      <c r="C196" s="107" t="s">
        <v>55</v>
      </c>
      <c r="D196" s="108" t="s">
        <v>56</v>
      </c>
      <c r="E196" s="232"/>
      <c r="F196" s="61" t="s">
        <v>842</v>
      </c>
      <c r="G196" s="62" t="s">
        <v>837</v>
      </c>
      <c r="H196" s="3">
        <v>24</v>
      </c>
      <c r="I196" s="3">
        <v>4</v>
      </c>
      <c r="J196" s="69">
        <f t="shared" si="4"/>
        <v>0.16666666666666666</v>
      </c>
      <c r="K196" s="90">
        <f>+I196+'JUNIO 2025'!K196</f>
        <v>16</v>
      </c>
      <c r="L196" s="94">
        <f t="shared" si="5"/>
        <v>0.66666666666666663</v>
      </c>
      <c r="N196"/>
      <c r="O196" s="8"/>
      <c r="P196"/>
      <c r="Q196" s="8"/>
    </row>
    <row r="197" spans="2:17" x14ac:dyDescent="0.25">
      <c r="B197" s="86">
        <v>5</v>
      </c>
      <c r="C197" s="107" t="s">
        <v>57</v>
      </c>
      <c r="D197" s="108" t="s">
        <v>58</v>
      </c>
      <c r="E197" s="232"/>
      <c r="F197" s="61" t="s">
        <v>843</v>
      </c>
      <c r="G197" s="62" t="s">
        <v>837</v>
      </c>
      <c r="H197" s="3">
        <v>24</v>
      </c>
      <c r="I197" s="3">
        <v>4</v>
      </c>
      <c r="J197" s="69">
        <f t="shared" si="4"/>
        <v>0.16666666666666666</v>
      </c>
      <c r="K197" s="90">
        <f>+I197+'JUNIO 2025'!K197</f>
        <v>16</v>
      </c>
      <c r="L197" s="94">
        <f t="shared" si="5"/>
        <v>0.66666666666666663</v>
      </c>
      <c r="N197"/>
      <c r="O197" s="8"/>
      <c r="P197"/>
      <c r="Q197" s="8"/>
    </row>
    <row r="198" spans="2:17" x14ac:dyDescent="0.25">
      <c r="B198" s="87">
        <v>8</v>
      </c>
      <c r="C198" s="109" t="s">
        <v>61</v>
      </c>
      <c r="D198" s="110" t="s">
        <v>62</v>
      </c>
      <c r="E198" s="232"/>
      <c r="F198" s="64" t="s">
        <v>844</v>
      </c>
      <c r="G198" s="65" t="s">
        <v>837</v>
      </c>
      <c r="H198" s="97">
        <v>24</v>
      </c>
      <c r="I198" s="97">
        <v>4</v>
      </c>
      <c r="J198" s="72">
        <f t="shared" si="4"/>
        <v>0.16666666666666666</v>
      </c>
      <c r="K198" s="91">
        <f>+I198+'JUNIO 2025'!K198</f>
        <v>16</v>
      </c>
      <c r="L198" s="96">
        <f t="shared" si="5"/>
        <v>0.66666666666666663</v>
      </c>
      <c r="N198"/>
      <c r="O198" s="8"/>
      <c r="P198"/>
      <c r="Q198" s="8"/>
    </row>
    <row r="199" spans="2:17" x14ac:dyDescent="0.25">
      <c r="B199" s="85">
        <v>2</v>
      </c>
      <c r="C199" s="105" t="s">
        <v>356</v>
      </c>
      <c r="D199" s="106" t="s">
        <v>357</v>
      </c>
      <c r="E199" s="226" t="s">
        <v>359</v>
      </c>
      <c r="F199" s="59" t="s">
        <v>915</v>
      </c>
      <c r="G199" s="60" t="s">
        <v>916</v>
      </c>
      <c r="H199" s="89">
        <v>60</v>
      </c>
      <c r="I199" s="89">
        <v>14</v>
      </c>
      <c r="J199" s="69">
        <f t="shared" si="4"/>
        <v>0.23333333333333334</v>
      </c>
      <c r="K199" s="103">
        <f>+I199+'JUNIO 2025'!K199</f>
        <v>41</v>
      </c>
      <c r="L199" s="94">
        <f t="shared" si="5"/>
        <v>0.68333333333333335</v>
      </c>
      <c r="N199"/>
      <c r="O199" s="8"/>
      <c r="P199"/>
      <c r="Q199" s="8"/>
    </row>
    <row r="200" spans="2:17" x14ac:dyDescent="0.25">
      <c r="B200" s="86">
        <v>2</v>
      </c>
      <c r="C200" s="107" t="s">
        <v>360</v>
      </c>
      <c r="D200" s="108" t="s">
        <v>361</v>
      </c>
      <c r="E200" s="226"/>
      <c r="F200" s="61" t="s">
        <v>917</v>
      </c>
      <c r="G200" s="62" t="s">
        <v>916</v>
      </c>
      <c r="H200" s="2">
        <v>40</v>
      </c>
      <c r="I200" s="3">
        <v>1</v>
      </c>
      <c r="J200" s="69">
        <f t="shared" si="4"/>
        <v>2.5000000000000001E-2</v>
      </c>
      <c r="K200" s="90">
        <f>+I200+'JUNIO 2025'!K200</f>
        <v>20</v>
      </c>
      <c r="L200" s="94">
        <f t="shared" si="5"/>
        <v>0.5</v>
      </c>
      <c r="N200"/>
      <c r="O200" s="8"/>
      <c r="P200"/>
      <c r="Q200" s="8"/>
    </row>
    <row r="201" spans="2:17" x14ac:dyDescent="0.25">
      <c r="B201" s="86">
        <v>2</v>
      </c>
      <c r="C201" s="107" t="s">
        <v>363</v>
      </c>
      <c r="D201" s="108" t="s">
        <v>364</v>
      </c>
      <c r="E201" s="226"/>
      <c r="F201" s="61" t="s">
        <v>172</v>
      </c>
      <c r="G201" s="63" t="s">
        <v>172</v>
      </c>
      <c r="H201" s="3">
        <v>10</v>
      </c>
      <c r="I201" s="4">
        <v>0</v>
      </c>
      <c r="J201" s="69">
        <f t="shared" si="4"/>
        <v>0</v>
      </c>
      <c r="K201" s="90">
        <f>+I201+'JUNIO 2025'!K201</f>
        <v>10</v>
      </c>
      <c r="L201" s="94">
        <f t="shared" si="5"/>
        <v>1</v>
      </c>
      <c r="N201"/>
      <c r="O201" s="8"/>
      <c r="P201"/>
      <c r="Q201" s="8"/>
    </row>
    <row r="202" spans="2:17" x14ac:dyDescent="0.25">
      <c r="B202" s="86">
        <v>2</v>
      </c>
      <c r="C202" s="107" t="s">
        <v>366</v>
      </c>
      <c r="D202" s="108" t="s">
        <v>367</v>
      </c>
      <c r="E202" s="226"/>
      <c r="F202" s="61" t="s">
        <v>172</v>
      </c>
      <c r="G202" s="62" t="s">
        <v>172</v>
      </c>
      <c r="H202" s="3">
        <v>10</v>
      </c>
      <c r="I202" s="3">
        <v>0</v>
      </c>
      <c r="J202" s="69">
        <f t="shared" si="4"/>
        <v>0</v>
      </c>
      <c r="K202" s="90">
        <f>+I202+'JUNIO 2025'!K202</f>
        <v>10</v>
      </c>
      <c r="L202" s="94">
        <f t="shared" si="5"/>
        <v>1</v>
      </c>
      <c r="N202"/>
      <c r="O202" s="8"/>
      <c r="P202"/>
      <c r="Q202" s="8"/>
    </row>
    <row r="203" spans="2:17" x14ac:dyDescent="0.25">
      <c r="B203" s="86">
        <v>2</v>
      </c>
      <c r="C203" s="107" t="s">
        <v>368</v>
      </c>
      <c r="D203" s="108" t="s">
        <v>369</v>
      </c>
      <c r="E203" s="226"/>
      <c r="F203" s="61" t="s">
        <v>919</v>
      </c>
      <c r="G203" s="62" t="s">
        <v>916</v>
      </c>
      <c r="H203" s="3">
        <v>10</v>
      </c>
      <c r="I203" s="3">
        <v>2</v>
      </c>
      <c r="J203" s="69">
        <f t="shared" si="4"/>
        <v>0.2</v>
      </c>
      <c r="K203" s="90">
        <f>+I203+'JUNIO 2025'!K203</f>
        <v>9</v>
      </c>
      <c r="L203" s="94">
        <f t="shared" si="5"/>
        <v>0.9</v>
      </c>
      <c r="N203"/>
      <c r="O203" s="8"/>
      <c r="P203"/>
      <c r="Q203" s="8"/>
    </row>
    <row r="204" spans="2:17" x14ac:dyDescent="0.25">
      <c r="B204" s="86">
        <v>2</v>
      </c>
      <c r="C204" s="107" t="s">
        <v>140</v>
      </c>
      <c r="D204" s="108" t="s">
        <v>141</v>
      </c>
      <c r="E204" s="226"/>
      <c r="F204" s="61" t="s">
        <v>920</v>
      </c>
      <c r="G204" s="62" t="s">
        <v>916</v>
      </c>
      <c r="H204" s="3">
        <v>20</v>
      </c>
      <c r="I204" s="3">
        <v>7</v>
      </c>
      <c r="J204" s="69">
        <f t="shared" si="4"/>
        <v>0.35</v>
      </c>
      <c r="K204" s="90">
        <f>+I204+'JUNIO 2025'!K204</f>
        <v>20</v>
      </c>
      <c r="L204" s="94">
        <f t="shared" si="5"/>
        <v>1</v>
      </c>
      <c r="N204"/>
      <c r="O204" s="8"/>
      <c r="P204"/>
      <c r="Q204" s="8"/>
    </row>
    <row r="205" spans="2:17" x14ac:dyDescent="0.25">
      <c r="B205" s="86">
        <v>2</v>
      </c>
      <c r="C205" s="107" t="s">
        <v>371</v>
      </c>
      <c r="D205" s="108" t="s">
        <v>372</v>
      </c>
      <c r="E205" s="226"/>
      <c r="F205" s="61" t="s">
        <v>918</v>
      </c>
      <c r="G205" s="62" t="s">
        <v>916</v>
      </c>
      <c r="H205" s="3">
        <v>10</v>
      </c>
      <c r="I205" s="3">
        <v>4</v>
      </c>
      <c r="J205" s="69">
        <f t="shared" si="4"/>
        <v>0.4</v>
      </c>
      <c r="K205" s="90">
        <f>+I205+'JUNIO 2025'!K205</f>
        <v>6</v>
      </c>
      <c r="L205" s="94">
        <f t="shared" si="5"/>
        <v>0.6</v>
      </c>
      <c r="N205"/>
      <c r="O205" s="8"/>
      <c r="P205"/>
      <c r="Q205" s="8"/>
    </row>
    <row r="206" spans="2:17" x14ac:dyDescent="0.25">
      <c r="B206" s="87">
        <v>2</v>
      </c>
      <c r="C206" s="109" t="s">
        <v>374</v>
      </c>
      <c r="D206" s="110" t="s">
        <v>375</v>
      </c>
      <c r="E206" s="226"/>
      <c r="F206" s="64" t="s">
        <v>921</v>
      </c>
      <c r="G206" s="65" t="s">
        <v>916</v>
      </c>
      <c r="H206" s="97">
        <v>20</v>
      </c>
      <c r="I206" s="97">
        <v>2</v>
      </c>
      <c r="J206" s="72">
        <f t="shared" si="4"/>
        <v>0.1</v>
      </c>
      <c r="K206" s="91">
        <f>+I206+'JUNIO 2025'!K206</f>
        <v>4</v>
      </c>
      <c r="L206" s="96">
        <f t="shared" si="5"/>
        <v>0.2</v>
      </c>
      <c r="N206"/>
      <c r="O206" s="8"/>
      <c r="P206"/>
      <c r="Q206" s="8"/>
    </row>
    <row r="207" spans="2:17" x14ac:dyDescent="0.25">
      <c r="B207" s="88">
        <v>1</v>
      </c>
      <c r="C207" s="111" t="s">
        <v>230</v>
      </c>
      <c r="D207" s="112" t="s">
        <v>377</v>
      </c>
      <c r="E207" s="226" t="s">
        <v>745</v>
      </c>
      <c r="F207" s="59" t="s">
        <v>599</v>
      </c>
      <c r="G207" s="60" t="s">
        <v>600</v>
      </c>
      <c r="H207" s="66">
        <v>30</v>
      </c>
      <c r="I207" s="66">
        <v>2</v>
      </c>
      <c r="J207" s="69">
        <f t="shared" ref="J207:J268" si="6">IFERROR(I207/H207,0)</f>
        <v>6.6666666666666666E-2</v>
      </c>
      <c r="K207" s="103">
        <f>+I207+'JUNIO 2025'!K207</f>
        <v>15</v>
      </c>
      <c r="L207" s="94">
        <f t="shared" ref="L207:L268" si="7">IFERROR(K207/H207,0)</f>
        <v>0.5</v>
      </c>
      <c r="N207"/>
      <c r="O207" s="8"/>
      <c r="P207"/>
      <c r="Q207" s="8"/>
    </row>
    <row r="208" spans="2:17" x14ac:dyDescent="0.25">
      <c r="B208" s="86">
        <v>1</v>
      </c>
      <c r="C208" s="107" t="s">
        <v>74</v>
      </c>
      <c r="D208" s="108" t="s">
        <v>226</v>
      </c>
      <c r="E208" s="226"/>
      <c r="F208" s="61" t="s">
        <v>601</v>
      </c>
      <c r="G208" s="62" t="s">
        <v>602</v>
      </c>
      <c r="H208" s="68">
        <v>30</v>
      </c>
      <c r="I208" s="55">
        <v>10</v>
      </c>
      <c r="J208" s="69">
        <f t="shared" si="6"/>
        <v>0.33333333333333331</v>
      </c>
      <c r="K208" s="90">
        <f>+I208+'JUNIO 2025'!K208</f>
        <v>24</v>
      </c>
      <c r="L208" s="94">
        <f t="shared" si="7"/>
        <v>0.8</v>
      </c>
      <c r="N208"/>
      <c r="O208" s="8"/>
      <c r="P208"/>
      <c r="Q208" s="8"/>
    </row>
    <row r="209" spans="2:17" x14ac:dyDescent="0.25">
      <c r="B209" s="86">
        <v>1</v>
      </c>
      <c r="C209" s="107" t="s">
        <v>77</v>
      </c>
      <c r="D209" s="108" t="s">
        <v>78</v>
      </c>
      <c r="E209" s="226"/>
      <c r="F209" s="61" t="s">
        <v>746</v>
      </c>
      <c r="G209" s="63" t="s">
        <v>747</v>
      </c>
      <c r="H209" s="55">
        <v>30</v>
      </c>
      <c r="I209" s="70">
        <v>5</v>
      </c>
      <c r="J209" s="69">
        <f t="shared" si="6"/>
        <v>0.16666666666666666</v>
      </c>
      <c r="K209" s="90">
        <f>+I209+'JUNIO 2025'!K209</f>
        <v>19</v>
      </c>
      <c r="L209" s="94">
        <f t="shared" si="7"/>
        <v>0.6333333333333333</v>
      </c>
      <c r="N209"/>
      <c r="O209" s="8"/>
      <c r="P209"/>
      <c r="Q209" s="8"/>
    </row>
    <row r="210" spans="2:17" x14ac:dyDescent="0.25">
      <c r="B210" s="86">
        <v>1</v>
      </c>
      <c r="C210" s="107" t="s">
        <v>89</v>
      </c>
      <c r="D210" s="108" t="s">
        <v>90</v>
      </c>
      <c r="E210" s="226"/>
      <c r="F210" s="61" t="s">
        <v>857</v>
      </c>
      <c r="G210" s="62" t="s">
        <v>747</v>
      </c>
      <c r="H210" s="55">
        <v>30</v>
      </c>
      <c r="I210" s="55">
        <v>10</v>
      </c>
      <c r="J210" s="69">
        <f t="shared" si="6"/>
        <v>0.33333333333333331</v>
      </c>
      <c r="K210" s="90">
        <f>+I210+'JUNIO 2025'!K210</f>
        <v>20</v>
      </c>
      <c r="L210" s="94">
        <f t="shared" si="7"/>
        <v>0.66666666666666663</v>
      </c>
      <c r="N210"/>
      <c r="O210" s="8"/>
      <c r="P210"/>
      <c r="Q210" s="8"/>
    </row>
    <row r="211" spans="2:17" x14ac:dyDescent="0.25">
      <c r="B211" s="86">
        <v>1</v>
      </c>
      <c r="C211" s="107" t="s">
        <v>379</v>
      </c>
      <c r="D211" s="108" t="s">
        <v>380</v>
      </c>
      <c r="E211" s="226"/>
      <c r="F211" s="61" t="s">
        <v>858</v>
      </c>
      <c r="G211" s="62" t="s">
        <v>747</v>
      </c>
      <c r="H211" s="55">
        <v>30</v>
      </c>
      <c r="I211" s="55">
        <v>1</v>
      </c>
      <c r="J211" s="69">
        <f t="shared" si="6"/>
        <v>3.3333333333333333E-2</v>
      </c>
      <c r="K211" s="90">
        <f>+I211+'JUNIO 2025'!K211</f>
        <v>24</v>
      </c>
      <c r="L211" s="94">
        <f t="shared" si="7"/>
        <v>0.8</v>
      </c>
      <c r="N211"/>
      <c r="O211" s="8"/>
      <c r="P211"/>
      <c r="Q211" s="8"/>
    </row>
    <row r="212" spans="2:17" x14ac:dyDescent="0.25">
      <c r="B212" s="87">
        <v>2</v>
      </c>
      <c r="C212" s="109" t="s">
        <v>360</v>
      </c>
      <c r="D212" s="110" t="s">
        <v>361</v>
      </c>
      <c r="E212" s="226"/>
      <c r="F212" s="64" t="s">
        <v>859</v>
      </c>
      <c r="G212" s="65" t="s">
        <v>747</v>
      </c>
      <c r="H212" s="56">
        <v>30</v>
      </c>
      <c r="I212" s="56">
        <v>2</v>
      </c>
      <c r="J212" s="72">
        <f t="shared" si="6"/>
        <v>6.6666666666666666E-2</v>
      </c>
      <c r="K212" s="91">
        <f>+I212+'JUNIO 2025'!K212</f>
        <v>18</v>
      </c>
      <c r="L212" s="96">
        <f t="shared" si="7"/>
        <v>0.6</v>
      </c>
      <c r="N212"/>
      <c r="O212" s="8"/>
      <c r="P212"/>
      <c r="Q212" s="8"/>
    </row>
    <row r="213" spans="2:17" x14ac:dyDescent="0.25">
      <c r="B213" s="88">
        <v>3</v>
      </c>
      <c r="C213" s="111" t="s">
        <v>43</v>
      </c>
      <c r="D213" s="112" t="s">
        <v>44</v>
      </c>
      <c r="E213" s="232" t="s">
        <v>382</v>
      </c>
      <c r="F213" s="59" t="s">
        <v>903</v>
      </c>
      <c r="G213" s="60" t="s">
        <v>904</v>
      </c>
      <c r="H213" s="89">
        <v>28</v>
      </c>
      <c r="I213" s="89">
        <v>3</v>
      </c>
      <c r="J213" s="69">
        <f t="shared" si="6"/>
        <v>0.10714285714285714</v>
      </c>
      <c r="K213" s="103">
        <f>+I213+'JUNIO 2025'!K213</f>
        <v>13</v>
      </c>
      <c r="L213" s="94">
        <f t="shared" si="7"/>
        <v>0.4642857142857143</v>
      </c>
      <c r="N213"/>
      <c r="O213" s="8"/>
      <c r="P213"/>
      <c r="Q213" s="8"/>
    </row>
    <row r="214" spans="2:17" x14ac:dyDescent="0.25">
      <c r="B214" s="86">
        <v>3</v>
      </c>
      <c r="C214" s="107" t="s">
        <v>46</v>
      </c>
      <c r="D214" s="108" t="s">
        <v>47</v>
      </c>
      <c r="E214" s="232"/>
      <c r="F214" s="61" t="s">
        <v>905</v>
      </c>
      <c r="G214" s="76" t="s">
        <v>393</v>
      </c>
      <c r="H214" s="2">
        <v>28</v>
      </c>
      <c r="I214" s="3">
        <v>3</v>
      </c>
      <c r="J214" s="69">
        <f t="shared" si="6"/>
        <v>0.10714285714285714</v>
      </c>
      <c r="K214" s="90">
        <f>+I214+'JUNIO 2025'!K214</f>
        <v>12</v>
      </c>
      <c r="L214" s="94">
        <f t="shared" si="7"/>
        <v>0.42857142857142855</v>
      </c>
      <c r="N214"/>
      <c r="O214" s="8"/>
      <c r="P214"/>
      <c r="Q214" s="8"/>
    </row>
    <row r="215" spans="2:17" x14ac:dyDescent="0.25">
      <c r="B215" s="86">
        <v>3</v>
      </c>
      <c r="C215" s="107" t="s">
        <v>98</v>
      </c>
      <c r="D215" s="108" t="s">
        <v>99</v>
      </c>
      <c r="E215" s="232"/>
      <c r="F215" s="61" t="s">
        <v>906</v>
      </c>
      <c r="G215" s="62" t="s">
        <v>907</v>
      </c>
      <c r="H215" s="3">
        <v>27</v>
      </c>
      <c r="I215" s="4">
        <v>4</v>
      </c>
      <c r="J215" s="69">
        <f t="shared" si="6"/>
        <v>0.14814814814814814</v>
      </c>
      <c r="K215" s="90">
        <f>+I215+'JUNIO 2025'!K215</f>
        <v>11</v>
      </c>
      <c r="L215" s="94">
        <f t="shared" si="7"/>
        <v>0.40740740740740738</v>
      </c>
      <c r="N215"/>
      <c r="O215" s="8"/>
      <c r="P215"/>
      <c r="Q215" s="8"/>
    </row>
    <row r="216" spans="2:17" x14ac:dyDescent="0.25">
      <c r="B216" s="86">
        <v>3</v>
      </c>
      <c r="C216" s="107" t="s">
        <v>49</v>
      </c>
      <c r="D216" s="108" t="s">
        <v>50</v>
      </c>
      <c r="E216" s="232"/>
      <c r="F216" s="61" t="s">
        <v>908</v>
      </c>
      <c r="G216" s="62" t="s">
        <v>393</v>
      </c>
      <c r="H216" s="3">
        <v>32</v>
      </c>
      <c r="I216" s="3">
        <v>4</v>
      </c>
      <c r="J216" s="69">
        <f t="shared" si="6"/>
        <v>0.125</v>
      </c>
      <c r="K216" s="90">
        <f>+I216+'JUNIO 2025'!K216</f>
        <v>12</v>
      </c>
      <c r="L216" s="94">
        <f t="shared" si="7"/>
        <v>0.375</v>
      </c>
      <c r="N216"/>
      <c r="O216" s="8"/>
      <c r="P216"/>
      <c r="Q216" s="8"/>
    </row>
    <row r="217" spans="2:17" x14ac:dyDescent="0.25">
      <c r="B217" s="86">
        <v>3</v>
      </c>
      <c r="C217" s="107" t="s">
        <v>52</v>
      </c>
      <c r="D217" s="108" t="s">
        <v>53</v>
      </c>
      <c r="E217" s="232"/>
      <c r="F217" s="62" t="s">
        <v>909</v>
      </c>
      <c r="G217" s="62" t="s">
        <v>813</v>
      </c>
      <c r="H217" s="3">
        <v>30</v>
      </c>
      <c r="I217" s="3">
        <v>4</v>
      </c>
      <c r="J217" s="69">
        <f t="shared" si="6"/>
        <v>0.13333333333333333</v>
      </c>
      <c r="K217" s="90">
        <f>+I217+'JUNIO 2025'!K217</f>
        <v>16</v>
      </c>
      <c r="L217" s="94">
        <f t="shared" si="7"/>
        <v>0.53333333333333333</v>
      </c>
      <c r="N217"/>
      <c r="O217" s="8"/>
      <c r="P217"/>
      <c r="Q217" s="8"/>
    </row>
    <row r="218" spans="2:17" x14ac:dyDescent="0.25">
      <c r="B218" s="86">
        <v>3</v>
      </c>
      <c r="C218" s="107" t="s">
        <v>55</v>
      </c>
      <c r="D218" s="108" t="s">
        <v>56</v>
      </c>
      <c r="E218" s="232"/>
      <c r="F218" s="62" t="s">
        <v>910</v>
      </c>
      <c r="G218" s="62" t="s">
        <v>904</v>
      </c>
      <c r="H218" s="3">
        <v>30</v>
      </c>
      <c r="I218" s="3">
        <v>2</v>
      </c>
      <c r="J218" s="69">
        <f t="shared" si="6"/>
        <v>6.6666666666666666E-2</v>
      </c>
      <c r="K218" s="90">
        <f>+I218+'JUNIO 2025'!K218</f>
        <v>12</v>
      </c>
      <c r="L218" s="94">
        <f t="shared" si="7"/>
        <v>0.4</v>
      </c>
      <c r="N218"/>
      <c r="O218" s="8"/>
      <c r="P218"/>
      <c r="Q218" s="8"/>
    </row>
    <row r="219" spans="2:17" x14ac:dyDescent="0.25">
      <c r="B219" s="86">
        <v>5</v>
      </c>
      <c r="C219" s="107" t="s">
        <v>57</v>
      </c>
      <c r="D219" s="108" t="s">
        <v>58</v>
      </c>
      <c r="E219" s="232"/>
      <c r="F219" s="61" t="s">
        <v>911</v>
      </c>
      <c r="G219" s="62" t="s">
        <v>912</v>
      </c>
      <c r="H219" s="3">
        <v>30</v>
      </c>
      <c r="I219" s="3">
        <v>2</v>
      </c>
      <c r="J219" s="69">
        <f t="shared" si="6"/>
        <v>6.6666666666666666E-2</v>
      </c>
      <c r="K219" s="90">
        <f>+I219+'JUNIO 2025'!K219</f>
        <v>12</v>
      </c>
      <c r="L219" s="94">
        <f t="shared" si="7"/>
        <v>0.4</v>
      </c>
      <c r="N219"/>
      <c r="O219" s="8"/>
      <c r="P219"/>
      <c r="Q219" s="8"/>
    </row>
    <row r="220" spans="2:17" x14ac:dyDescent="0.25">
      <c r="B220" s="86">
        <v>5</v>
      </c>
      <c r="C220" s="107" t="s">
        <v>59</v>
      </c>
      <c r="D220" s="108" t="s">
        <v>60</v>
      </c>
      <c r="E220" s="232"/>
      <c r="F220" s="62" t="s">
        <v>913</v>
      </c>
      <c r="G220" s="62" t="s">
        <v>904</v>
      </c>
      <c r="H220" s="3">
        <v>35</v>
      </c>
      <c r="I220" s="3">
        <v>3</v>
      </c>
      <c r="J220" s="69">
        <f t="shared" si="6"/>
        <v>8.5714285714285715E-2</v>
      </c>
      <c r="K220" s="90">
        <f>+I220+'JUNIO 2025'!K220</f>
        <v>16</v>
      </c>
      <c r="L220" s="94">
        <f t="shared" si="7"/>
        <v>0.45714285714285713</v>
      </c>
      <c r="N220"/>
      <c r="O220" s="8"/>
      <c r="P220"/>
      <c r="Q220" s="8"/>
    </row>
    <row r="221" spans="2:17" x14ac:dyDescent="0.25">
      <c r="B221" s="104">
        <v>8</v>
      </c>
      <c r="C221" s="113" t="s">
        <v>61</v>
      </c>
      <c r="D221" s="114" t="s">
        <v>62</v>
      </c>
      <c r="E221" s="232"/>
      <c r="F221" s="64" t="s">
        <v>914</v>
      </c>
      <c r="G221" s="63" t="s">
        <v>393</v>
      </c>
      <c r="H221" s="97">
        <v>30</v>
      </c>
      <c r="I221" s="97">
        <v>5</v>
      </c>
      <c r="J221" s="72">
        <f t="shared" si="6"/>
        <v>0.16666666666666666</v>
      </c>
      <c r="K221" s="91">
        <f>+I221+'JUNIO 2025'!K221</f>
        <v>16</v>
      </c>
      <c r="L221" s="96">
        <f t="shared" si="7"/>
        <v>0.53333333333333333</v>
      </c>
      <c r="N221"/>
      <c r="O221" s="8"/>
      <c r="P221"/>
      <c r="Q221" s="8"/>
    </row>
    <row r="222" spans="2:17" x14ac:dyDescent="0.25">
      <c r="B222" s="85">
        <v>3</v>
      </c>
      <c r="C222" s="105" t="s">
        <v>43</v>
      </c>
      <c r="D222" s="106" t="s">
        <v>44</v>
      </c>
      <c r="E222" s="232" t="s">
        <v>400</v>
      </c>
      <c r="F222" s="142" t="s">
        <v>54</v>
      </c>
      <c r="G222" s="60" t="s">
        <v>890</v>
      </c>
      <c r="H222" s="89">
        <v>20</v>
      </c>
      <c r="I222" s="66">
        <v>3</v>
      </c>
      <c r="J222" s="69">
        <f t="shared" si="6"/>
        <v>0.15</v>
      </c>
      <c r="K222" s="103">
        <f>+I222+'JUNIO 2025'!K222</f>
        <v>14</v>
      </c>
      <c r="L222" s="94">
        <f t="shared" si="7"/>
        <v>0.7</v>
      </c>
      <c r="N222"/>
      <c r="O222" s="8"/>
      <c r="P222"/>
      <c r="Q222" s="8"/>
    </row>
    <row r="223" spans="2:17" x14ac:dyDescent="0.25">
      <c r="B223" s="86">
        <v>3</v>
      </c>
      <c r="C223" s="107" t="s">
        <v>46</v>
      </c>
      <c r="D223" s="108" t="s">
        <v>47</v>
      </c>
      <c r="E223" s="232"/>
      <c r="F223" s="143" t="s">
        <v>764</v>
      </c>
      <c r="G223" s="76" t="s">
        <v>890</v>
      </c>
      <c r="H223" s="2">
        <v>20</v>
      </c>
      <c r="I223" s="55">
        <v>4</v>
      </c>
      <c r="J223" s="69">
        <f t="shared" si="6"/>
        <v>0.2</v>
      </c>
      <c r="K223" s="90">
        <f>+I223+'JUNIO 2025'!K223</f>
        <v>13</v>
      </c>
      <c r="L223" s="94">
        <f t="shared" si="7"/>
        <v>0.65</v>
      </c>
      <c r="N223"/>
      <c r="O223" s="8"/>
      <c r="P223"/>
      <c r="Q223" s="8"/>
    </row>
    <row r="224" spans="2:17" x14ac:dyDescent="0.25">
      <c r="B224" s="86">
        <v>3</v>
      </c>
      <c r="C224" s="107" t="s">
        <v>98</v>
      </c>
      <c r="D224" s="108" t="s">
        <v>99</v>
      </c>
      <c r="E224" s="232"/>
      <c r="F224" s="143" t="s">
        <v>765</v>
      </c>
      <c r="G224" s="62" t="s">
        <v>890</v>
      </c>
      <c r="H224" s="3">
        <v>20</v>
      </c>
      <c r="I224" s="70">
        <v>3</v>
      </c>
      <c r="J224" s="69">
        <f t="shared" si="6"/>
        <v>0.15</v>
      </c>
      <c r="K224" s="90">
        <f>+I224+'JUNIO 2025'!K224</f>
        <v>13</v>
      </c>
      <c r="L224" s="94">
        <f t="shared" si="7"/>
        <v>0.65</v>
      </c>
      <c r="N224"/>
      <c r="O224" s="8"/>
      <c r="P224"/>
      <c r="Q224" s="8"/>
    </row>
    <row r="225" spans="2:17" x14ac:dyDescent="0.25">
      <c r="B225" s="86">
        <v>3</v>
      </c>
      <c r="C225" s="107" t="s">
        <v>49</v>
      </c>
      <c r="D225" s="108" t="s">
        <v>50</v>
      </c>
      <c r="E225" s="232"/>
      <c r="F225" s="143" t="s">
        <v>766</v>
      </c>
      <c r="G225" s="62" t="s">
        <v>890</v>
      </c>
      <c r="H225" s="3">
        <v>20</v>
      </c>
      <c r="I225" s="55">
        <v>3</v>
      </c>
      <c r="J225" s="69">
        <f t="shared" si="6"/>
        <v>0.15</v>
      </c>
      <c r="K225" s="90">
        <f>+I225+'JUNIO 2025'!K225</f>
        <v>13</v>
      </c>
      <c r="L225" s="94">
        <f t="shared" si="7"/>
        <v>0.65</v>
      </c>
      <c r="N225"/>
      <c r="O225" s="8"/>
      <c r="P225"/>
      <c r="Q225" s="8"/>
    </row>
    <row r="226" spans="2:17" x14ac:dyDescent="0.25">
      <c r="B226" s="86">
        <v>3</v>
      </c>
      <c r="C226" s="107" t="s">
        <v>52</v>
      </c>
      <c r="D226" s="108" t="s">
        <v>53</v>
      </c>
      <c r="E226" s="232"/>
      <c r="F226" s="144" t="s">
        <v>54</v>
      </c>
      <c r="G226" s="62" t="s">
        <v>890</v>
      </c>
      <c r="H226" s="3">
        <v>20</v>
      </c>
      <c r="I226" s="55">
        <v>4</v>
      </c>
      <c r="J226" s="69">
        <f t="shared" si="6"/>
        <v>0.2</v>
      </c>
      <c r="K226" s="90">
        <f>+I226+'JUNIO 2025'!K226</f>
        <v>13</v>
      </c>
      <c r="L226" s="94">
        <f t="shared" si="7"/>
        <v>0.65</v>
      </c>
      <c r="N226"/>
      <c r="O226" s="8"/>
      <c r="P226"/>
      <c r="Q226" s="8"/>
    </row>
    <row r="227" spans="2:17" x14ac:dyDescent="0.25">
      <c r="B227" s="86">
        <v>3</v>
      </c>
      <c r="C227" s="107" t="s">
        <v>55</v>
      </c>
      <c r="D227" s="108" t="s">
        <v>56</v>
      </c>
      <c r="E227" s="232"/>
      <c r="F227" s="144" t="s">
        <v>54</v>
      </c>
      <c r="G227" s="62" t="s">
        <v>890</v>
      </c>
      <c r="H227" s="3">
        <v>20</v>
      </c>
      <c r="I227" s="55">
        <v>3</v>
      </c>
      <c r="J227" s="69">
        <f t="shared" si="6"/>
        <v>0.15</v>
      </c>
      <c r="K227" s="90">
        <f>+I227+'JUNIO 2025'!K227</f>
        <v>15</v>
      </c>
      <c r="L227" s="94">
        <f t="shared" si="7"/>
        <v>0.75</v>
      </c>
      <c r="N227"/>
      <c r="O227" s="8"/>
      <c r="P227"/>
      <c r="Q227" s="8"/>
    </row>
    <row r="228" spans="2:17" x14ac:dyDescent="0.25">
      <c r="B228" s="86">
        <v>5</v>
      </c>
      <c r="C228" s="107" t="s">
        <v>57</v>
      </c>
      <c r="D228" s="108" t="s">
        <v>58</v>
      </c>
      <c r="E228" s="232"/>
      <c r="F228" s="143" t="s">
        <v>891</v>
      </c>
      <c r="G228" s="62" t="s">
        <v>890</v>
      </c>
      <c r="H228" s="3">
        <v>20</v>
      </c>
      <c r="I228" s="55">
        <v>3</v>
      </c>
      <c r="J228" s="69">
        <f t="shared" si="6"/>
        <v>0.15</v>
      </c>
      <c r="K228" s="90">
        <f>+I228+'JUNIO 2025'!K228</f>
        <v>12</v>
      </c>
      <c r="L228" s="94">
        <f t="shared" si="7"/>
        <v>0.6</v>
      </c>
      <c r="N228"/>
      <c r="O228" s="8"/>
      <c r="P228"/>
      <c r="Q228" s="8"/>
    </row>
    <row r="229" spans="2:17" x14ac:dyDescent="0.25">
      <c r="B229" s="86">
        <v>5</v>
      </c>
      <c r="C229" s="107" t="s">
        <v>59</v>
      </c>
      <c r="D229" s="108" t="s">
        <v>60</v>
      </c>
      <c r="E229" s="232"/>
      <c r="F229" s="144" t="s">
        <v>768</v>
      </c>
      <c r="G229" s="62" t="s">
        <v>890</v>
      </c>
      <c r="H229" s="3">
        <v>20</v>
      </c>
      <c r="I229" s="55">
        <v>3</v>
      </c>
      <c r="J229" s="69">
        <f t="shared" si="6"/>
        <v>0.15</v>
      </c>
      <c r="K229" s="90">
        <f>+I229+'JUNIO 2025'!K229</f>
        <v>12</v>
      </c>
      <c r="L229" s="94">
        <f t="shared" si="7"/>
        <v>0.6</v>
      </c>
      <c r="N229"/>
      <c r="O229" s="8"/>
      <c r="P229"/>
      <c r="Q229" s="8"/>
    </row>
    <row r="230" spans="2:17" x14ac:dyDescent="0.25">
      <c r="B230" s="87">
        <v>8</v>
      </c>
      <c r="C230" s="109" t="s">
        <v>61</v>
      </c>
      <c r="D230" s="110" t="s">
        <v>62</v>
      </c>
      <c r="E230" s="232"/>
      <c r="F230" s="145" t="s">
        <v>892</v>
      </c>
      <c r="G230" s="65" t="s">
        <v>890</v>
      </c>
      <c r="H230" s="97">
        <v>20</v>
      </c>
      <c r="I230" s="56">
        <v>4</v>
      </c>
      <c r="J230" s="72">
        <f t="shared" si="6"/>
        <v>0.2</v>
      </c>
      <c r="K230" s="91">
        <f>+I230+'JUNIO 2025'!K230</f>
        <v>15</v>
      </c>
      <c r="L230" s="96">
        <f t="shared" si="7"/>
        <v>0.75</v>
      </c>
      <c r="N230"/>
      <c r="O230" s="8"/>
      <c r="P230"/>
      <c r="Q230" s="8"/>
    </row>
    <row r="231" spans="2:17" x14ac:dyDescent="0.25">
      <c r="B231" s="85">
        <v>3</v>
      </c>
      <c r="C231" s="105" t="s">
        <v>43</v>
      </c>
      <c r="D231" s="106" t="s">
        <v>44</v>
      </c>
      <c r="E231" s="232" t="s">
        <v>407</v>
      </c>
      <c r="F231" s="62" t="s">
        <v>943</v>
      </c>
      <c r="G231" s="63" t="s">
        <v>934</v>
      </c>
      <c r="H231" s="66">
        <v>30</v>
      </c>
      <c r="I231" s="66">
        <v>4</v>
      </c>
      <c r="J231" s="69">
        <f t="shared" si="6"/>
        <v>0.13333333333333333</v>
      </c>
      <c r="K231" s="103">
        <f>+I231+'JUNIO 2025'!K231</f>
        <v>16</v>
      </c>
      <c r="L231" s="94">
        <f t="shared" si="7"/>
        <v>0.53333333333333333</v>
      </c>
      <c r="N231"/>
      <c r="O231" s="8"/>
      <c r="P231"/>
      <c r="Q231" s="8"/>
    </row>
    <row r="232" spans="2:17" x14ac:dyDescent="0.25">
      <c r="B232" s="86">
        <v>3</v>
      </c>
      <c r="C232" s="107" t="s">
        <v>46</v>
      </c>
      <c r="D232" s="108" t="s">
        <v>47</v>
      </c>
      <c r="E232" s="232"/>
      <c r="F232" s="61" t="s">
        <v>926</v>
      </c>
      <c r="G232" s="62" t="s">
        <v>935</v>
      </c>
      <c r="H232" s="68">
        <v>30</v>
      </c>
      <c r="I232" s="55">
        <v>5</v>
      </c>
      <c r="J232" s="69">
        <f t="shared" si="6"/>
        <v>0.16666666666666666</v>
      </c>
      <c r="K232" s="90">
        <f>+I232+'JUNIO 2025'!K232</f>
        <v>13</v>
      </c>
      <c r="L232" s="94">
        <f t="shared" si="7"/>
        <v>0.43333333333333335</v>
      </c>
      <c r="N232"/>
      <c r="O232" s="8"/>
      <c r="P232"/>
      <c r="Q232" s="8"/>
    </row>
    <row r="233" spans="2:17" x14ac:dyDescent="0.25">
      <c r="B233" s="86">
        <v>3</v>
      </c>
      <c r="C233" s="107" t="s">
        <v>98</v>
      </c>
      <c r="D233" s="108" t="s">
        <v>99</v>
      </c>
      <c r="E233" s="232"/>
      <c r="F233" s="61" t="s">
        <v>927</v>
      </c>
      <c r="G233" s="63" t="s">
        <v>936</v>
      </c>
      <c r="H233" s="55">
        <v>30</v>
      </c>
      <c r="I233" s="70">
        <v>2</v>
      </c>
      <c r="J233" s="69">
        <f t="shared" si="6"/>
        <v>6.6666666666666666E-2</v>
      </c>
      <c r="K233" s="90">
        <f>+I233+'JUNIO 2025'!K233</f>
        <v>12</v>
      </c>
      <c r="L233" s="94">
        <f t="shared" si="7"/>
        <v>0.4</v>
      </c>
      <c r="N233"/>
      <c r="O233" s="8"/>
      <c r="P233"/>
      <c r="Q233" s="8"/>
    </row>
    <row r="234" spans="2:17" x14ac:dyDescent="0.25">
      <c r="B234" s="86">
        <v>3</v>
      </c>
      <c r="C234" s="107" t="s">
        <v>49</v>
      </c>
      <c r="D234" s="108" t="s">
        <v>50</v>
      </c>
      <c r="E234" s="232"/>
      <c r="F234" s="61" t="s">
        <v>928</v>
      </c>
      <c r="G234" s="62" t="s">
        <v>937</v>
      </c>
      <c r="H234" s="55">
        <v>30</v>
      </c>
      <c r="I234" s="55">
        <v>5</v>
      </c>
      <c r="J234" s="69">
        <f t="shared" si="6"/>
        <v>0.16666666666666666</v>
      </c>
      <c r="K234" s="90">
        <f>+I234+'JUNIO 2025'!K234</f>
        <v>14</v>
      </c>
      <c r="L234" s="94">
        <f t="shared" si="7"/>
        <v>0.46666666666666667</v>
      </c>
      <c r="N234"/>
      <c r="O234" s="8"/>
      <c r="P234"/>
      <c r="Q234" s="8"/>
    </row>
    <row r="235" spans="2:17" x14ac:dyDescent="0.25">
      <c r="B235" s="86">
        <v>3</v>
      </c>
      <c r="C235" s="107" t="s">
        <v>52</v>
      </c>
      <c r="D235" s="108" t="s">
        <v>53</v>
      </c>
      <c r="E235" s="232"/>
      <c r="F235" s="61" t="s">
        <v>929</v>
      </c>
      <c r="G235" s="62" t="s">
        <v>938</v>
      </c>
      <c r="H235" s="55">
        <v>30</v>
      </c>
      <c r="I235" s="55">
        <v>4</v>
      </c>
      <c r="J235" s="69">
        <f t="shared" si="6"/>
        <v>0.13333333333333333</v>
      </c>
      <c r="K235" s="90">
        <f>+I235+'JUNIO 2025'!K235</f>
        <v>14</v>
      </c>
      <c r="L235" s="94">
        <f t="shared" si="7"/>
        <v>0.46666666666666667</v>
      </c>
      <c r="N235"/>
      <c r="O235" s="8"/>
      <c r="P235"/>
      <c r="Q235" s="8"/>
    </row>
    <row r="236" spans="2:17" x14ac:dyDescent="0.25">
      <c r="B236" s="86">
        <v>3</v>
      </c>
      <c r="C236" s="107" t="s">
        <v>55</v>
      </c>
      <c r="D236" s="108" t="s">
        <v>56</v>
      </c>
      <c r="E236" s="232"/>
      <c r="F236" s="61" t="s">
        <v>930</v>
      </c>
      <c r="G236" s="62" t="s">
        <v>939</v>
      </c>
      <c r="H236" s="55">
        <v>30</v>
      </c>
      <c r="I236" s="55">
        <v>4</v>
      </c>
      <c r="J236" s="69">
        <f t="shared" si="6"/>
        <v>0.13333333333333333</v>
      </c>
      <c r="K236" s="90">
        <f>+I236+'JUNIO 2025'!K236</f>
        <v>10</v>
      </c>
      <c r="L236" s="94">
        <f t="shared" si="7"/>
        <v>0.33333333333333331</v>
      </c>
      <c r="N236"/>
      <c r="O236" s="8"/>
      <c r="P236"/>
      <c r="Q236" s="8"/>
    </row>
    <row r="237" spans="2:17" x14ac:dyDescent="0.25">
      <c r="B237" s="86">
        <v>5</v>
      </c>
      <c r="C237" s="107" t="s">
        <v>57</v>
      </c>
      <c r="D237" s="108" t="s">
        <v>58</v>
      </c>
      <c r="E237" s="232"/>
      <c r="F237" s="129" t="s">
        <v>931</v>
      </c>
      <c r="G237" s="76" t="s">
        <v>940</v>
      </c>
      <c r="H237" s="55">
        <v>30</v>
      </c>
      <c r="I237" s="55">
        <v>2</v>
      </c>
      <c r="J237" s="69">
        <f t="shared" si="6"/>
        <v>6.6666666666666666E-2</v>
      </c>
      <c r="K237" s="90">
        <f>+I237+'JUNIO 2025'!K237</f>
        <v>16</v>
      </c>
      <c r="L237" s="94">
        <f t="shared" si="7"/>
        <v>0.53333333333333333</v>
      </c>
      <c r="N237"/>
      <c r="O237" s="8"/>
      <c r="P237"/>
      <c r="Q237" s="8"/>
    </row>
    <row r="238" spans="2:17" x14ac:dyDescent="0.25">
      <c r="B238" s="86">
        <v>5</v>
      </c>
      <c r="C238" s="107" t="s">
        <v>59</v>
      </c>
      <c r="D238" s="108" t="s">
        <v>60</v>
      </c>
      <c r="E238" s="233"/>
      <c r="F238" s="61" t="s">
        <v>932</v>
      </c>
      <c r="G238" s="62" t="s">
        <v>941</v>
      </c>
      <c r="H238" s="128">
        <v>30</v>
      </c>
      <c r="I238" s="55">
        <v>2</v>
      </c>
      <c r="J238" s="69">
        <f t="shared" si="6"/>
        <v>6.6666666666666666E-2</v>
      </c>
      <c r="K238" s="90">
        <f>+I238+'JUNIO 2025'!K238</f>
        <v>13</v>
      </c>
      <c r="L238" s="94">
        <f t="shared" si="7"/>
        <v>0.43333333333333335</v>
      </c>
      <c r="N238"/>
      <c r="O238" s="8"/>
      <c r="P238"/>
      <c r="Q238" s="8"/>
    </row>
    <row r="239" spans="2:17" x14ac:dyDescent="0.25">
      <c r="B239" s="87">
        <v>8</v>
      </c>
      <c r="C239" s="109" t="s">
        <v>61</v>
      </c>
      <c r="D239" s="110" t="s">
        <v>62</v>
      </c>
      <c r="E239" s="234"/>
      <c r="F239" s="63" t="s">
        <v>933</v>
      </c>
      <c r="G239" s="63" t="s">
        <v>942</v>
      </c>
      <c r="H239" s="56">
        <v>30</v>
      </c>
      <c r="I239" s="56">
        <v>2</v>
      </c>
      <c r="J239" s="72">
        <f t="shared" si="6"/>
        <v>6.6666666666666666E-2</v>
      </c>
      <c r="K239" s="91">
        <f>+I239+'JUNIO 2025'!K239</f>
        <v>12</v>
      </c>
      <c r="L239" s="96">
        <f t="shared" si="7"/>
        <v>0.4</v>
      </c>
      <c r="N239"/>
      <c r="O239" s="8"/>
      <c r="P239"/>
      <c r="Q239" s="8"/>
    </row>
    <row r="240" spans="2:17" x14ac:dyDescent="0.25">
      <c r="B240" s="85">
        <v>3</v>
      </c>
      <c r="C240" s="105" t="s">
        <v>46</v>
      </c>
      <c r="D240" s="106" t="s">
        <v>47</v>
      </c>
      <c r="E240" s="226" t="s">
        <v>426</v>
      </c>
      <c r="F240" s="59" t="s">
        <v>425</v>
      </c>
      <c r="G240" s="60" t="s">
        <v>642</v>
      </c>
      <c r="H240" s="66">
        <v>45</v>
      </c>
      <c r="I240" s="66">
        <v>6</v>
      </c>
      <c r="J240" s="69">
        <f t="shared" si="6"/>
        <v>0.13333333333333333</v>
      </c>
      <c r="K240" s="103">
        <f>+I240+'JUNIO 2025'!K240</f>
        <v>21</v>
      </c>
      <c r="L240" s="94">
        <f t="shared" si="7"/>
        <v>0.46666666666666667</v>
      </c>
      <c r="N240"/>
      <c r="O240" s="8"/>
      <c r="P240"/>
      <c r="Q240" s="8"/>
    </row>
    <row r="241" spans="1:17" x14ac:dyDescent="0.25">
      <c r="B241" s="86">
        <v>3</v>
      </c>
      <c r="C241" s="107" t="s">
        <v>98</v>
      </c>
      <c r="D241" s="108" t="s">
        <v>99</v>
      </c>
      <c r="E241" s="226"/>
      <c r="F241" s="61" t="s">
        <v>428</v>
      </c>
      <c r="G241" s="62" t="s">
        <v>429</v>
      </c>
      <c r="H241" s="68">
        <v>45</v>
      </c>
      <c r="I241" s="55">
        <v>5</v>
      </c>
      <c r="J241" s="69">
        <f t="shared" si="6"/>
        <v>0.1111111111111111</v>
      </c>
      <c r="K241" s="90">
        <f>+I241+'JUNIO 2025'!K241</f>
        <v>20</v>
      </c>
      <c r="L241" s="94">
        <f t="shared" si="7"/>
        <v>0.44444444444444442</v>
      </c>
      <c r="N241"/>
      <c r="O241" s="8"/>
      <c r="P241"/>
      <c r="Q241" s="8"/>
    </row>
    <row r="242" spans="1:17" x14ac:dyDescent="0.25">
      <c r="B242" s="86">
        <v>3</v>
      </c>
      <c r="C242" s="107" t="s">
        <v>49</v>
      </c>
      <c r="D242" s="108" t="s">
        <v>50</v>
      </c>
      <c r="E242" s="226"/>
      <c r="F242" s="61" t="s">
        <v>430</v>
      </c>
      <c r="G242" s="63" t="s">
        <v>431</v>
      </c>
      <c r="H242" s="55">
        <v>45</v>
      </c>
      <c r="I242" s="70">
        <v>5</v>
      </c>
      <c r="J242" s="69">
        <f t="shared" si="6"/>
        <v>0.1111111111111111</v>
      </c>
      <c r="K242" s="90">
        <f>+I242+'JUNIO 2025'!K242</f>
        <v>21</v>
      </c>
      <c r="L242" s="94">
        <f t="shared" si="7"/>
        <v>0.46666666666666667</v>
      </c>
    </row>
    <row r="243" spans="1:17" s="16" customFormat="1" x14ac:dyDescent="0.25">
      <c r="B243" s="86">
        <v>3</v>
      </c>
      <c r="C243" s="107" t="s">
        <v>52</v>
      </c>
      <c r="D243" s="108" t="s">
        <v>53</v>
      </c>
      <c r="E243" s="226"/>
      <c r="F243" s="61" t="s">
        <v>432</v>
      </c>
      <c r="G243" s="62" t="s">
        <v>296</v>
      </c>
      <c r="H243" s="55">
        <v>45</v>
      </c>
      <c r="I243" s="55">
        <v>5</v>
      </c>
      <c r="J243" s="69">
        <f t="shared" si="6"/>
        <v>0.1111111111111111</v>
      </c>
      <c r="K243" s="90">
        <f>+I243+'JUNIO 2025'!K243</f>
        <v>20</v>
      </c>
      <c r="L243" s="94">
        <f t="shared" si="7"/>
        <v>0.44444444444444442</v>
      </c>
      <c r="O243"/>
      <c r="Q243"/>
    </row>
    <row r="244" spans="1:17" x14ac:dyDescent="0.25">
      <c r="B244" s="86">
        <v>5</v>
      </c>
      <c r="C244" s="107" t="s">
        <v>59</v>
      </c>
      <c r="D244" s="108" t="s">
        <v>60</v>
      </c>
      <c r="E244" s="226"/>
      <c r="F244" s="61" t="s">
        <v>433</v>
      </c>
      <c r="G244" s="62" t="s">
        <v>434</v>
      </c>
      <c r="H244" s="55">
        <v>45</v>
      </c>
      <c r="I244" s="55">
        <v>4</v>
      </c>
      <c r="J244" s="69">
        <f t="shared" si="6"/>
        <v>8.8888888888888892E-2</v>
      </c>
      <c r="K244" s="90">
        <f>+I244+'JUNIO 2025'!K244</f>
        <v>18</v>
      </c>
      <c r="L244" s="94">
        <f t="shared" si="7"/>
        <v>0.4</v>
      </c>
    </row>
    <row r="245" spans="1:17" ht="14.45" customHeight="1" x14ac:dyDescent="0.25">
      <c r="B245" s="86">
        <v>8</v>
      </c>
      <c r="C245" s="107" t="s">
        <v>61</v>
      </c>
      <c r="D245" s="108" t="s">
        <v>62</v>
      </c>
      <c r="E245" s="226"/>
      <c r="F245" s="64" t="s">
        <v>435</v>
      </c>
      <c r="G245" s="65" t="s">
        <v>436</v>
      </c>
      <c r="H245" s="56">
        <v>45</v>
      </c>
      <c r="I245" s="56">
        <v>5</v>
      </c>
      <c r="J245" s="72">
        <f t="shared" si="6"/>
        <v>0.1111111111111111</v>
      </c>
      <c r="K245" s="91">
        <f>+I245+'JUNIO 2025'!K245</f>
        <v>20</v>
      </c>
      <c r="L245" s="96">
        <f t="shared" si="7"/>
        <v>0.44444444444444442</v>
      </c>
    </row>
    <row r="246" spans="1:17" ht="14.45" customHeight="1" x14ac:dyDescent="0.25">
      <c r="A246" s="5"/>
      <c r="B246" s="85">
        <v>3</v>
      </c>
      <c r="C246" s="105" t="s">
        <v>52</v>
      </c>
      <c r="D246" s="106" t="s">
        <v>53</v>
      </c>
      <c r="E246" s="227" t="s">
        <v>438</v>
      </c>
      <c r="F246" s="59" t="s">
        <v>788</v>
      </c>
      <c r="G246" s="60" t="s">
        <v>447</v>
      </c>
      <c r="H246" s="66">
        <v>45</v>
      </c>
      <c r="I246" s="66">
        <v>4</v>
      </c>
      <c r="J246" s="69">
        <f t="shared" si="6"/>
        <v>8.8888888888888892E-2</v>
      </c>
      <c r="K246" s="103">
        <f>+I246+'JUNIO 2025'!K246</f>
        <v>19</v>
      </c>
      <c r="L246" s="94">
        <f t="shared" si="7"/>
        <v>0.42222222222222222</v>
      </c>
    </row>
    <row r="247" spans="1:17" x14ac:dyDescent="0.25">
      <c r="A247" s="5"/>
      <c r="B247" s="86">
        <v>3</v>
      </c>
      <c r="C247" s="107" t="s">
        <v>55</v>
      </c>
      <c r="D247" s="108" t="s">
        <v>56</v>
      </c>
      <c r="E247" s="226"/>
      <c r="F247" s="61" t="s">
        <v>873</v>
      </c>
      <c r="G247" s="62" t="s">
        <v>874</v>
      </c>
      <c r="H247" s="68">
        <v>45</v>
      </c>
      <c r="I247" s="55">
        <v>4</v>
      </c>
      <c r="J247" s="69">
        <f t="shared" si="6"/>
        <v>8.8888888888888892E-2</v>
      </c>
      <c r="K247" s="90">
        <f>+I247+'JUNIO 2025'!K247</f>
        <v>19</v>
      </c>
      <c r="L247" s="94">
        <f t="shared" si="7"/>
        <v>0.42222222222222222</v>
      </c>
    </row>
    <row r="248" spans="1:17" x14ac:dyDescent="0.25">
      <c r="A248" s="5"/>
      <c r="B248" s="86">
        <v>4</v>
      </c>
      <c r="C248" s="107" t="s">
        <v>441</v>
      </c>
      <c r="D248" s="108" t="s">
        <v>442</v>
      </c>
      <c r="E248" s="226"/>
      <c r="F248" s="61" t="s">
        <v>790</v>
      </c>
      <c r="G248" s="63" t="s">
        <v>447</v>
      </c>
      <c r="H248" s="55">
        <v>45</v>
      </c>
      <c r="I248" s="70">
        <v>7</v>
      </c>
      <c r="J248" s="69">
        <f t="shared" si="6"/>
        <v>0.15555555555555556</v>
      </c>
      <c r="K248" s="90">
        <f>+I248+'JUNIO 2025'!K248</f>
        <v>22</v>
      </c>
      <c r="L248" s="94">
        <f t="shared" si="7"/>
        <v>0.48888888888888887</v>
      </c>
    </row>
    <row r="249" spans="1:17" ht="14.45" customHeight="1" x14ac:dyDescent="0.25">
      <c r="A249" s="5"/>
      <c r="B249" s="86">
        <v>5</v>
      </c>
      <c r="C249" s="107" t="s">
        <v>57</v>
      </c>
      <c r="D249" s="108" t="s">
        <v>58</v>
      </c>
      <c r="E249" s="226"/>
      <c r="F249" s="61" t="s">
        <v>446</v>
      </c>
      <c r="G249" s="62" t="s">
        <v>447</v>
      </c>
      <c r="H249" s="55">
        <v>45</v>
      </c>
      <c r="I249" s="55">
        <v>5</v>
      </c>
      <c r="J249" s="69">
        <f t="shared" si="6"/>
        <v>0.1111111111111111</v>
      </c>
      <c r="K249" s="90">
        <f>+I249+'JUNIO 2025'!K249</f>
        <v>20</v>
      </c>
      <c r="L249" s="94">
        <f t="shared" si="7"/>
        <v>0.44444444444444442</v>
      </c>
    </row>
    <row r="250" spans="1:17" ht="14.45" customHeight="1" x14ac:dyDescent="0.25">
      <c r="A250" s="5"/>
      <c r="B250" s="86">
        <v>5</v>
      </c>
      <c r="C250" s="107" t="s">
        <v>59</v>
      </c>
      <c r="D250" s="108" t="s">
        <v>60</v>
      </c>
      <c r="E250" s="226"/>
      <c r="F250" s="61" t="s">
        <v>791</v>
      </c>
      <c r="G250" s="62" t="s">
        <v>447</v>
      </c>
      <c r="H250" s="55">
        <v>45</v>
      </c>
      <c r="I250" s="55">
        <v>3</v>
      </c>
      <c r="J250" s="69">
        <f t="shared" si="6"/>
        <v>6.6666666666666666E-2</v>
      </c>
      <c r="K250" s="90">
        <f>+I250+'JUNIO 2025'!K250</f>
        <v>18</v>
      </c>
      <c r="L250" s="94">
        <f t="shared" si="7"/>
        <v>0.4</v>
      </c>
    </row>
    <row r="251" spans="1:17" ht="14.45" customHeight="1" x14ac:dyDescent="0.25">
      <c r="A251" s="5"/>
      <c r="B251" s="87">
        <v>8</v>
      </c>
      <c r="C251" s="109" t="s">
        <v>61</v>
      </c>
      <c r="D251" s="110" t="s">
        <v>62</v>
      </c>
      <c r="E251" s="226"/>
      <c r="F251" s="64" t="s">
        <v>792</v>
      </c>
      <c r="G251" s="65" t="s">
        <v>447</v>
      </c>
      <c r="H251" s="56">
        <v>45</v>
      </c>
      <c r="I251" s="56">
        <v>7</v>
      </c>
      <c r="J251" s="72">
        <f t="shared" si="6"/>
        <v>0.15555555555555556</v>
      </c>
      <c r="K251" s="91">
        <f>+I251+'JUNIO 2025'!K251</f>
        <v>22</v>
      </c>
      <c r="L251" s="96">
        <f t="shared" si="7"/>
        <v>0.48888888888888887</v>
      </c>
    </row>
    <row r="252" spans="1:17" x14ac:dyDescent="0.25">
      <c r="A252" s="5"/>
      <c r="B252" s="85">
        <v>3</v>
      </c>
      <c r="C252" s="105" t="s">
        <v>43</v>
      </c>
      <c r="D252" s="106" t="s">
        <v>44</v>
      </c>
      <c r="E252" s="226" t="s">
        <v>450</v>
      </c>
      <c r="F252" s="60" t="s">
        <v>845</v>
      </c>
      <c r="G252" s="60" t="s">
        <v>846</v>
      </c>
      <c r="H252" s="66">
        <v>34</v>
      </c>
      <c r="I252" s="66">
        <v>4</v>
      </c>
      <c r="J252" s="69">
        <f t="shared" si="6"/>
        <v>0.11764705882352941</v>
      </c>
      <c r="K252" s="103">
        <f>+I252+'JUNIO 2025'!K252</f>
        <v>16</v>
      </c>
      <c r="L252" s="94">
        <f t="shared" si="7"/>
        <v>0.47058823529411764</v>
      </c>
    </row>
    <row r="253" spans="1:17" x14ac:dyDescent="0.25">
      <c r="A253" s="5"/>
      <c r="B253" s="86">
        <v>3</v>
      </c>
      <c r="C253" s="107" t="s">
        <v>46</v>
      </c>
      <c r="D253" s="108" t="s">
        <v>47</v>
      </c>
      <c r="E253" s="226"/>
      <c r="F253" s="74" t="s">
        <v>795</v>
      </c>
      <c r="G253" s="62" t="s">
        <v>796</v>
      </c>
      <c r="H253" s="68">
        <v>34</v>
      </c>
      <c r="I253" s="55">
        <v>4</v>
      </c>
      <c r="J253" s="69">
        <f t="shared" si="6"/>
        <v>0.11764705882352941</v>
      </c>
      <c r="K253" s="90">
        <f>+I253+'JUNIO 2025'!K253</f>
        <v>16</v>
      </c>
      <c r="L253" s="94">
        <f t="shared" si="7"/>
        <v>0.47058823529411764</v>
      </c>
    </row>
    <row r="254" spans="1:17" ht="14.45" customHeight="1" x14ac:dyDescent="0.25">
      <c r="B254" s="86">
        <v>3</v>
      </c>
      <c r="C254" s="107" t="s">
        <v>49</v>
      </c>
      <c r="D254" s="108" t="s">
        <v>50</v>
      </c>
      <c r="E254" s="226"/>
      <c r="F254" s="62" t="s">
        <v>847</v>
      </c>
      <c r="G254" s="63" t="s">
        <v>794</v>
      </c>
      <c r="H254" s="55">
        <v>34</v>
      </c>
      <c r="I254" s="70">
        <v>4</v>
      </c>
      <c r="J254" s="69">
        <f t="shared" si="6"/>
        <v>0.11764705882352941</v>
      </c>
      <c r="K254" s="90">
        <f>+I254+'JUNIO 2025'!K254</f>
        <v>16</v>
      </c>
      <c r="L254" s="94">
        <f t="shared" si="7"/>
        <v>0.47058823529411764</v>
      </c>
    </row>
    <row r="255" spans="1:17" ht="14.45" customHeight="1" x14ac:dyDescent="0.25">
      <c r="B255" s="86">
        <v>3</v>
      </c>
      <c r="C255" s="107" t="s">
        <v>52</v>
      </c>
      <c r="D255" s="108" t="s">
        <v>53</v>
      </c>
      <c r="E255" s="226"/>
      <c r="F255" s="62" t="s">
        <v>848</v>
      </c>
      <c r="G255" s="62" t="s">
        <v>849</v>
      </c>
      <c r="H255" s="55">
        <v>34</v>
      </c>
      <c r="I255" s="55">
        <v>4</v>
      </c>
      <c r="J255" s="69">
        <f t="shared" si="6"/>
        <v>0.11764705882352941</v>
      </c>
      <c r="K255" s="90">
        <f>+I255+'JUNIO 2025'!K255</f>
        <v>16</v>
      </c>
      <c r="L255" s="94">
        <f t="shared" si="7"/>
        <v>0.47058823529411764</v>
      </c>
    </row>
    <row r="256" spans="1:17" x14ac:dyDescent="0.25">
      <c r="B256" s="86">
        <v>3</v>
      </c>
      <c r="C256" s="107" t="s">
        <v>55</v>
      </c>
      <c r="D256" s="108" t="s">
        <v>56</v>
      </c>
      <c r="E256" s="226"/>
      <c r="F256" s="62" t="s">
        <v>850</v>
      </c>
      <c r="G256" s="62" t="s">
        <v>851</v>
      </c>
      <c r="H256" s="55">
        <v>34</v>
      </c>
      <c r="I256" s="55">
        <v>4</v>
      </c>
      <c r="J256" s="69">
        <f t="shared" si="6"/>
        <v>0.11764705882352941</v>
      </c>
      <c r="K256" s="90">
        <f>+I256+'JUNIO 2025'!K256</f>
        <v>16</v>
      </c>
      <c r="L256" s="94">
        <f t="shared" si="7"/>
        <v>0.47058823529411764</v>
      </c>
    </row>
    <row r="257" spans="1:18" x14ac:dyDescent="0.25">
      <c r="B257" s="86">
        <v>5</v>
      </c>
      <c r="C257" s="107" t="s">
        <v>57</v>
      </c>
      <c r="D257" s="108" t="s">
        <v>58</v>
      </c>
      <c r="E257" s="226"/>
      <c r="F257" s="74" t="s">
        <v>852</v>
      </c>
      <c r="G257" s="62" t="s">
        <v>853</v>
      </c>
      <c r="H257" s="55">
        <v>34</v>
      </c>
      <c r="I257" s="55">
        <v>4</v>
      </c>
      <c r="J257" s="69">
        <f t="shared" si="6"/>
        <v>0.11764705882352941</v>
      </c>
      <c r="K257" s="90">
        <f>+I257+'JUNIO 2025'!K257</f>
        <v>16</v>
      </c>
      <c r="L257" s="94">
        <f t="shared" si="7"/>
        <v>0.47058823529411764</v>
      </c>
    </row>
    <row r="258" spans="1:18" s="6" customFormat="1" ht="14.45" customHeight="1" x14ac:dyDescent="0.25">
      <c r="A258" s="8"/>
      <c r="B258" s="86">
        <v>5</v>
      </c>
      <c r="C258" s="107" t="s">
        <v>59</v>
      </c>
      <c r="D258" s="108" t="s">
        <v>60</v>
      </c>
      <c r="E258" s="226"/>
      <c r="F258" s="62" t="s">
        <v>854</v>
      </c>
      <c r="G258" s="62" t="s">
        <v>855</v>
      </c>
      <c r="H258" s="55">
        <v>33</v>
      </c>
      <c r="I258" s="55">
        <v>3</v>
      </c>
      <c r="J258" s="69">
        <f t="shared" si="6"/>
        <v>9.0909090909090912E-2</v>
      </c>
      <c r="K258" s="90">
        <f>+I258+'JUNIO 2025'!K258</f>
        <v>12</v>
      </c>
      <c r="L258" s="94">
        <f t="shared" si="7"/>
        <v>0.36363636363636365</v>
      </c>
      <c r="M258" s="8"/>
      <c r="N258" s="8"/>
      <c r="O258"/>
      <c r="P258" s="8"/>
      <c r="Q258"/>
      <c r="R258" s="8"/>
    </row>
    <row r="259" spans="1:18" s="6" customFormat="1" ht="14.45" customHeight="1" x14ac:dyDescent="0.25">
      <c r="A259" s="8"/>
      <c r="B259" s="86">
        <v>8</v>
      </c>
      <c r="C259" s="107" t="s">
        <v>61</v>
      </c>
      <c r="D259" s="108" t="s">
        <v>62</v>
      </c>
      <c r="E259" s="226"/>
      <c r="F259" s="65" t="s">
        <v>856</v>
      </c>
      <c r="G259" s="65" t="s">
        <v>464</v>
      </c>
      <c r="H259" s="56">
        <v>33</v>
      </c>
      <c r="I259" s="56">
        <v>3</v>
      </c>
      <c r="J259" s="72">
        <f t="shared" si="6"/>
        <v>9.0909090909090912E-2</v>
      </c>
      <c r="K259" s="91">
        <f>+I259+'JUNIO 2025'!K259</f>
        <v>12</v>
      </c>
      <c r="L259" s="96">
        <f t="shared" si="7"/>
        <v>0.36363636363636365</v>
      </c>
      <c r="M259" s="8"/>
      <c r="N259" s="8"/>
      <c r="O259"/>
      <c r="P259" s="8"/>
      <c r="Q259"/>
      <c r="R259" s="8"/>
    </row>
    <row r="260" spans="1:18" x14ac:dyDescent="0.25">
      <c r="B260" s="85">
        <v>3</v>
      </c>
      <c r="C260" s="105" t="s">
        <v>43</v>
      </c>
      <c r="D260" s="106" t="s">
        <v>44</v>
      </c>
      <c r="E260" s="238" t="s">
        <v>466</v>
      </c>
      <c r="F260" s="60" t="s">
        <v>465</v>
      </c>
      <c r="G260" s="60" t="s">
        <v>657</v>
      </c>
      <c r="H260" s="66">
        <v>20</v>
      </c>
      <c r="I260" s="66">
        <v>4</v>
      </c>
      <c r="J260" s="69">
        <f t="shared" si="6"/>
        <v>0.2</v>
      </c>
      <c r="K260" s="103">
        <f>+I260+'JUNIO 2025'!K260</f>
        <v>15</v>
      </c>
      <c r="L260" s="94">
        <f t="shared" si="7"/>
        <v>0.75</v>
      </c>
    </row>
    <row r="261" spans="1:18" x14ac:dyDescent="0.25">
      <c r="B261" s="86">
        <v>3</v>
      </c>
      <c r="C261" s="107" t="s">
        <v>46</v>
      </c>
      <c r="D261" s="108" t="s">
        <v>47</v>
      </c>
      <c r="E261" s="239"/>
      <c r="F261" s="61" t="s">
        <v>48</v>
      </c>
      <c r="G261" s="62" t="s">
        <v>32</v>
      </c>
      <c r="H261" s="68">
        <v>20</v>
      </c>
      <c r="I261" s="55">
        <v>3</v>
      </c>
      <c r="J261" s="69">
        <f t="shared" si="6"/>
        <v>0.15</v>
      </c>
      <c r="K261" s="90">
        <f>+I261+'JUNIO 2025'!K261</f>
        <v>12</v>
      </c>
      <c r="L261" s="94">
        <f t="shared" si="7"/>
        <v>0.6</v>
      </c>
    </row>
    <row r="262" spans="1:18" x14ac:dyDescent="0.25">
      <c r="B262" s="86">
        <v>3</v>
      </c>
      <c r="C262" s="107" t="s">
        <v>98</v>
      </c>
      <c r="D262" s="108" t="s">
        <v>99</v>
      </c>
      <c r="E262" s="239"/>
      <c r="F262" s="61" t="s">
        <v>48</v>
      </c>
      <c r="G262" s="63" t="s">
        <v>32</v>
      </c>
      <c r="H262" s="55">
        <v>20</v>
      </c>
      <c r="I262" s="70">
        <v>3</v>
      </c>
      <c r="J262" s="69">
        <f t="shared" si="6"/>
        <v>0.15</v>
      </c>
      <c r="K262" s="90">
        <f>+I262+'JUNIO 2025'!K262</f>
        <v>12</v>
      </c>
      <c r="L262" s="94">
        <f t="shared" si="7"/>
        <v>0.6</v>
      </c>
    </row>
    <row r="263" spans="1:18" x14ac:dyDescent="0.25">
      <c r="B263" s="86">
        <v>3</v>
      </c>
      <c r="C263" s="107" t="s">
        <v>49</v>
      </c>
      <c r="D263" s="108" t="s">
        <v>50</v>
      </c>
      <c r="E263" s="239"/>
      <c r="F263" s="61" t="s">
        <v>468</v>
      </c>
      <c r="G263" s="62" t="s">
        <v>469</v>
      </c>
      <c r="H263" s="55">
        <v>20</v>
      </c>
      <c r="I263" s="55">
        <v>3</v>
      </c>
      <c r="J263" s="69">
        <f t="shared" si="6"/>
        <v>0.15</v>
      </c>
      <c r="K263" s="90">
        <f>+I263+'JUNIO 2025'!K263</f>
        <v>12</v>
      </c>
      <c r="L263" s="94">
        <f t="shared" si="7"/>
        <v>0.6</v>
      </c>
    </row>
    <row r="264" spans="1:18" x14ac:dyDescent="0.25">
      <c r="B264" s="86">
        <v>3</v>
      </c>
      <c r="C264" s="107" t="s">
        <v>52</v>
      </c>
      <c r="D264" s="108" t="s">
        <v>53</v>
      </c>
      <c r="E264" s="239"/>
      <c r="F264" s="61" t="s">
        <v>470</v>
      </c>
      <c r="G264" s="62" t="s">
        <v>471</v>
      </c>
      <c r="H264" s="55">
        <v>20</v>
      </c>
      <c r="I264" s="55">
        <v>4</v>
      </c>
      <c r="J264" s="69">
        <f t="shared" si="6"/>
        <v>0.2</v>
      </c>
      <c r="K264" s="90">
        <f>+I264+'JUNIO 2025'!K264</f>
        <v>16</v>
      </c>
      <c r="L264" s="94">
        <f t="shared" si="7"/>
        <v>0.8</v>
      </c>
    </row>
    <row r="265" spans="1:18" x14ac:dyDescent="0.25">
      <c r="B265" s="86">
        <v>3</v>
      </c>
      <c r="C265" s="107" t="s">
        <v>55</v>
      </c>
      <c r="D265" s="108" t="s">
        <v>56</v>
      </c>
      <c r="E265" s="239"/>
      <c r="F265" s="61" t="s">
        <v>804</v>
      </c>
      <c r="G265" s="62" t="s">
        <v>805</v>
      </c>
      <c r="H265" s="55">
        <v>20</v>
      </c>
      <c r="I265" s="55">
        <v>3</v>
      </c>
      <c r="J265" s="69">
        <f t="shared" si="6"/>
        <v>0.15</v>
      </c>
      <c r="K265" s="90">
        <f>+I265+'JUNIO 2025'!K265</f>
        <v>15</v>
      </c>
      <c r="L265" s="94">
        <f t="shared" si="7"/>
        <v>0.75</v>
      </c>
    </row>
    <row r="266" spans="1:18" x14ac:dyDescent="0.25">
      <c r="B266" s="86">
        <v>5</v>
      </c>
      <c r="C266" s="107" t="s">
        <v>57</v>
      </c>
      <c r="D266" s="108" t="s">
        <v>58</v>
      </c>
      <c r="E266" s="239"/>
      <c r="F266" s="129" t="s">
        <v>238</v>
      </c>
      <c r="G266" s="76" t="s">
        <v>32</v>
      </c>
      <c r="H266" s="55">
        <v>20</v>
      </c>
      <c r="I266" s="55">
        <v>3</v>
      </c>
      <c r="J266" s="69">
        <f t="shared" si="6"/>
        <v>0.15</v>
      </c>
      <c r="K266" s="90">
        <f>+I266+'JUNIO 2025'!K266</f>
        <v>12</v>
      </c>
      <c r="L266" s="94">
        <f t="shared" si="7"/>
        <v>0.6</v>
      </c>
    </row>
    <row r="267" spans="1:18" x14ac:dyDescent="0.25">
      <c r="B267" s="86">
        <v>5</v>
      </c>
      <c r="C267" s="107" t="s">
        <v>59</v>
      </c>
      <c r="D267" s="108" t="s">
        <v>60</v>
      </c>
      <c r="E267" s="239"/>
      <c r="F267" s="61" t="s">
        <v>474</v>
      </c>
      <c r="G267" s="62" t="s">
        <v>32</v>
      </c>
      <c r="H267" s="128">
        <v>20</v>
      </c>
      <c r="I267" s="55">
        <v>4</v>
      </c>
      <c r="J267" s="69">
        <f t="shared" si="6"/>
        <v>0.2</v>
      </c>
      <c r="K267" s="90">
        <f>+I267+'JUNIO 2025'!K267</f>
        <v>14</v>
      </c>
      <c r="L267" s="94">
        <f t="shared" si="7"/>
        <v>0.7</v>
      </c>
    </row>
    <row r="268" spans="1:18" x14ac:dyDescent="0.25">
      <c r="B268" s="87">
        <v>8</v>
      </c>
      <c r="C268" s="109" t="s">
        <v>61</v>
      </c>
      <c r="D268" s="110" t="s">
        <v>62</v>
      </c>
      <c r="E268" s="227"/>
      <c r="F268" s="135" t="s">
        <v>63</v>
      </c>
      <c r="G268" s="135" t="s">
        <v>32</v>
      </c>
      <c r="H268" s="56">
        <v>20</v>
      </c>
      <c r="I268" s="56">
        <v>3</v>
      </c>
      <c r="J268" s="72">
        <f t="shared" si="6"/>
        <v>0.15</v>
      </c>
      <c r="K268" s="91">
        <f>+I268+'JUNIO 2025'!K268</f>
        <v>12</v>
      </c>
      <c r="L268" s="96">
        <f t="shared" si="7"/>
        <v>0.6</v>
      </c>
    </row>
    <row r="269" spans="1:18" x14ac:dyDescent="0.25">
      <c r="D269" s="18"/>
      <c r="E269" s="5"/>
      <c r="F269" s="14"/>
      <c r="G269" s="5"/>
      <c r="H269" s="240" t="str">
        <f>+CONCATENATE("TOTAL A ",D7)</f>
        <v>TOTAL A JULIO</v>
      </c>
      <c r="I269" s="241"/>
      <c r="J269" s="242"/>
      <c r="K269" s="240" t="s">
        <v>33</v>
      </c>
      <c r="L269" s="242"/>
    </row>
    <row r="270" spans="1:18" x14ac:dyDescent="0.25">
      <c r="D270" s="48"/>
      <c r="E270" s="54"/>
      <c r="F270" s="16"/>
      <c r="G270" s="54"/>
      <c r="H270" s="49">
        <f>+SUM(H13:H268)</f>
        <v>6480</v>
      </c>
      <c r="I270" s="50">
        <f>SUM(I13:I268)</f>
        <v>870</v>
      </c>
      <c r="J270" s="51">
        <f>IFERROR(I270/H270,0)</f>
        <v>0.13425925925925927</v>
      </c>
      <c r="K270" s="50">
        <f>+SUM(K13:K268)</f>
        <v>3480</v>
      </c>
      <c r="L270" s="51">
        <f>IFERROR(K270/H270,0)</f>
        <v>0.53703703703703709</v>
      </c>
    </row>
    <row r="271" spans="1:18" x14ac:dyDescent="0.25">
      <c r="D271" s="48"/>
      <c r="E271" s="54"/>
      <c r="F271" s="16"/>
      <c r="G271" s="54"/>
      <c r="H271" s="118"/>
      <c r="I271" s="119"/>
      <c r="J271" s="120"/>
      <c r="K271" s="119"/>
      <c r="L271" s="120"/>
    </row>
    <row r="272" spans="1:18" ht="107.45" customHeight="1" x14ac:dyDescent="0.25">
      <c r="B272" s="271" t="s">
        <v>34</v>
      </c>
      <c r="C272" s="272"/>
      <c r="D272" s="275" t="s">
        <v>863</v>
      </c>
      <c r="E272" s="275"/>
      <c r="F272" s="275"/>
      <c r="G272" s="275"/>
      <c r="H272" s="275"/>
      <c r="I272" s="275"/>
      <c r="J272" s="275"/>
      <c r="K272" s="275"/>
      <c r="L272" s="275"/>
    </row>
    <row r="273" spans="1:18" ht="132" customHeight="1" x14ac:dyDescent="0.25">
      <c r="B273" s="273"/>
      <c r="C273" s="274"/>
      <c r="D273" s="275" t="s">
        <v>866</v>
      </c>
      <c r="E273" s="275"/>
      <c r="F273" s="275"/>
      <c r="G273" s="275"/>
      <c r="H273" s="275"/>
      <c r="I273" s="275"/>
      <c r="J273" s="275"/>
      <c r="K273" s="275"/>
      <c r="L273" s="275"/>
    </row>
    <row r="274" spans="1:18" ht="35.450000000000003" customHeight="1" x14ac:dyDescent="0.25">
      <c r="B274" s="273"/>
      <c r="C274" s="274"/>
      <c r="D274" s="275" t="s">
        <v>950</v>
      </c>
      <c r="E274" s="275"/>
      <c r="F274" s="275"/>
      <c r="G274" s="275"/>
      <c r="H274" s="275"/>
      <c r="I274" s="275"/>
      <c r="J274" s="275"/>
      <c r="K274" s="275"/>
      <c r="L274" s="275"/>
    </row>
    <row r="275" spans="1:18" ht="35.450000000000003" customHeight="1" x14ac:dyDescent="0.25">
      <c r="B275" s="273"/>
      <c r="C275" s="274"/>
      <c r="D275" s="275" t="s">
        <v>951</v>
      </c>
      <c r="E275" s="275"/>
      <c r="F275" s="275"/>
      <c r="G275" s="275"/>
      <c r="H275" s="275"/>
      <c r="I275" s="275"/>
      <c r="J275" s="275"/>
      <c r="K275" s="275"/>
      <c r="L275" s="275"/>
    </row>
    <row r="276" spans="1:18" ht="116.45" customHeight="1" x14ac:dyDescent="0.25">
      <c r="B276" s="273"/>
      <c r="C276" s="274"/>
      <c r="D276" s="275" t="s">
        <v>865</v>
      </c>
      <c r="E276" s="275"/>
      <c r="F276" s="275"/>
      <c r="G276" s="275"/>
      <c r="H276" s="275"/>
      <c r="I276" s="275"/>
      <c r="J276" s="275"/>
      <c r="K276" s="275"/>
      <c r="L276" s="275"/>
    </row>
    <row r="277" spans="1:18" ht="40.35" customHeight="1" x14ac:dyDescent="0.25">
      <c r="B277" s="240"/>
      <c r="C277" s="242"/>
      <c r="D277" s="275" t="s">
        <v>864</v>
      </c>
      <c r="E277" s="275"/>
      <c r="F277" s="275"/>
      <c r="G277" s="275"/>
      <c r="H277" s="275"/>
      <c r="I277" s="275"/>
      <c r="J277" s="275"/>
      <c r="K277" s="275"/>
      <c r="L277" s="275"/>
    </row>
    <row r="278" spans="1:18" x14ac:dyDescent="0.25">
      <c r="B278" s="248" t="s">
        <v>36</v>
      </c>
      <c r="C278" s="249"/>
      <c r="D278" s="249"/>
      <c r="E278" s="249"/>
      <c r="F278" s="249"/>
      <c r="G278" s="249"/>
      <c r="H278" s="249"/>
      <c r="I278" s="249"/>
      <c r="J278" s="249"/>
      <c r="K278" s="249"/>
      <c r="L278" s="250"/>
    </row>
    <row r="279" spans="1:18" x14ac:dyDescent="0.25">
      <c r="B279" s="251"/>
      <c r="C279" s="252"/>
      <c r="D279" s="252"/>
      <c r="E279" s="252"/>
      <c r="F279" s="252"/>
      <c r="G279" s="252"/>
      <c r="H279" s="252"/>
      <c r="I279" s="252"/>
      <c r="J279" s="252"/>
      <c r="K279" s="252"/>
      <c r="L279" s="253"/>
    </row>
    <row r="280" spans="1:18" x14ac:dyDescent="0.25">
      <c r="B280" s="254" t="s">
        <v>37</v>
      </c>
      <c r="C280" s="255"/>
      <c r="D280" s="255"/>
      <c r="E280" s="255"/>
      <c r="F280" s="255"/>
      <c r="G280" s="255"/>
      <c r="H280" s="255"/>
      <c r="I280" s="255"/>
      <c r="J280" s="255"/>
      <c r="K280" s="255"/>
      <c r="L280" s="256"/>
    </row>
    <row r="281" spans="1:18" ht="24.75" x14ac:dyDescent="0.3">
      <c r="B281" s="52" t="s">
        <v>38</v>
      </c>
      <c r="C281" s="121"/>
      <c r="D281" s="257" t="s">
        <v>35</v>
      </c>
      <c r="E281" s="258"/>
      <c r="F281" s="258"/>
      <c r="G281" s="258"/>
      <c r="H281" s="258"/>
      <c r="I281" s="258"/>
      <c r="J281" s="258"/>
      <c r="K281" s="258"/>
      <c r="L281" s="259"/>
    </row>
    <row r="282" spans="1:18" ht="24.75" x14ac:dyDescent="0.3">
      <c r="B282" s="52" t="s">
        <v>39</v>
      </c>
      <c r="C282" s="121"/>
      <c r="D282" s="260"/>
      <c r="E282" s="261"/>
      <c r="F282" s="261"/>
      <c r="G282" s="261"/>
      <c r="H282" s="261"/>
      <c r="I282" s="261"/>
      <c r="J282" s="261"/>
      <c r="K282" s="261"/>
      <c r="L282" s="262"/>
    </row>
    <row r="283" spans="1:18" x14ac:dyDescent="0.25">
      <c r="B283" s="263" t="s">
        <v>36</v>
      </c>
      <c r="C283" s="264"/>
      <c r="D283" s="264"/>
      <c r="E283" s="264"/>
      <c r="F283" s="264"/>
      <c r="G283" s="264"/>
      <c r="H283" s="264"/>
      <c r="I283" s="264"/>
      <c r="J283" s="264"/>
      <c r="K283" s="264"/>
      <c r="L283" s="265"/>
    </row>
    <row r="284" spans="1:18" s="6" customFormat="1" ht="14.45" hidden="1" customHeight="1" x14ac:dyDescent="0.25">
      <c r="A284" t="s">
        <v>0</v>
      </c>
      <c r="B284" s="266"/>
      <c r="C284" s="267"/>
      <c r="D284" s="267"/>
      <c r="E284" s="267"/>
      <c r="F284" s="267"/>
      <c r="G284" s="267"/>
      <c r="H284" s="267"/>
      <c r="I284" s="267"/>
      <c r="J284" s="267"/>
      <c r="K284" s="267"/>
      <c r="L284" s="268"/>
      <c r="M284" s="8"/>
      <c r="N284" s="8"/>
      <c r="O284"/>
      <c r="P284" s="8"/>
      <c r="Q284"/>
      <c r="R284" s="8"/>
    </row>
    <row r="285" spans="1:18" s="6" customFormat="1" ht="14.45" hidden="1" customHeight="1" x14ac:dyDescent="0.25">
      <c r="A285" t="s">
        <v>2</v>
      </c>
      <c r="B285" s="254" t="s">
        <v>40</v>
      </c>
      <c r="C285" s="255"/>
      <c r="D285" s="255"/>
      <c r="E285" s="255"/>
      <c r="F285" s="255"/>
      <c r="G285" s="255"/>
      <c r="H285" s="255"/>
      <c r="I285" s="255"/>
      <c r="J285" s="255"/>
      <c r="K285" s="255"/>
      <c r="L285" s="256"/>
      <c r="M285" s="8"/>
      <c r="N285" s="8"/>
      <c r="O285"/>
      <c r="P285" s="8"/>
      <c r="Q285"/>
      <c r="R285" s="8"/>
    </row>
    <row r="286" spans="1:18" s="6" customFormat="1" ht="14.45" hidden="1" customHeight="1" x14ac:dyDescent="0.3">
      <c r="A286" t="s">
        <v>6</v>
      </c>
      <c r="B286" s="52" t="s">
        <v>38</v>
      </c>
      <c r="C286" s="121"/>
      <c r="D286" s="257" t="s">
        <v>35</v>
      </c>
      <c r="E286" s="258"/>
      <c r="F286" s="258"/>
      <c r="G286" s="258"/>
      <c r="H286" s="258"/>
      <c r="I286" s="258"/>
      <c r="J286" s="258"/>
      <c r="K286" s="258"/>
      <c r="L286" s="259"/>
      <c r="M286" s="8"/>
      <c r="N286" s="8"/>
      <c r="O286"/>
      <c r="P286" s="8"/>
      <c r="Q286"/>
      <c r="R286" s="8"/>
    </row>
    <row r="287" spans="1:18" s="6" customFormat="1" ht="14.45" hidden="1" customHeight="1" x14ac:dyDescent="0.3">
      <c r="A287" t="s">
        <v>8</v>
      </c>
      <c r="B287" s="52" t="s">
        <v>39</v>
      </c>
      <c r="C287" s="121"/>
      <c r="D287" s="260"/>
      <c r="E287" s="261"/>
      <c r="F287" s="261"/>
      <c r="G287" s="261"/>
      <c r="H287" s="261"/>
      <c r="I287" s="261"/>
      <c r="J287" s="261"/>
      <c r="K287" s="261"/>
      <c r="L287" s="262"/>
      <c r="M287" s="8"/>
      <c r="N287" s="8"/>
      <c r="O287"/>
      <c r="P287" s="8"/>
      <c r="Q287"/>
      <c r="R287" s="8"/>
    </row>
    <row r="288" spans="1:18" s="6" customFormat="1" ht="14.45" hidden="1" customHeight="1" x14ac:dyDescent="0.25">
      <c r="A288" t="s">
        <v>9</v>
      </c>
      <c r="B288" s="53"/>
      <c r="C288" s="53"/>
      <c r="D288" s="18"/>
      <c r="E288" s="5"/>
      <c r="G288" s="5"/>
      <c r="H288" s="53"/>
      <c r="I288" s="122"/>
      <c r="M288" s="8"/>
      <c r="N288" s="8"/>
      <c r="O288"/>
      <c r="P288" s="8"/>
      <c r="Q288"/>
      <c r="R288" s="8"/>
    </row>
    <row r="289" spans="1:18" s="6" customFormat="1" ht="14.45" hidden="1" customHeight="1" x14ac:dyDescent="0.25">
      <c r="A289" t="s">
        <v>10</v>
      </c>
      <c r="B289" s="53"/>
      <c r="C289" s="53"/>
      <c r="D289" s="18"/>
      <c r="E289" s="5"/>
      <c r="G289" s="5"/>
      <c r="H289" s="53"/>
      <c r="I289" s="122"/>
      <c r="M289" s="8"/>
      <c r="N289" s="8"/>
      <c r="O289"/>
      <c r="P289" s="8"/>
      <c r="Q289"/>
      <c r="R289" s="8"/>
    </row>
    <row r="290" spans="1:18" s="6" customFormat="1" ht="14.45" hidden="1" customHeight="1" x14ac:dyDescent="0.25">
      <c r="A290" t="s">
        <v>11</v>
      </c>
      <c r="B290" s="269"/>
      <c r="C290" s="269"/>
      <c r="D290" s="269"/>
      <c r="E290" s="5"/>
      <c r="G290" s="5"/>
      <c r="H290" s="269"/>
      <c r="I290" s="269"/>
      <c r="J290" s="269"/>
      <c r="K290" s="269"/>
      <c r="M290" s="8"/>
      <c r="N290" s="8"/>
      <c r="O290"/>
      <c r="P290" s="8"/>
      <c r="Q290"/>
      <c r="R290" s="8"/>
    </row>
    <row r="291" spans="1:18" s="6" customFormat="1" ht="14.45" hidden="1" customHeight="1" x14ac:dyDescent="0.25">
      <c r="A291" t="s">
        <v>13</v>
      </c>
      <c r="B291" s="5" t="s">
        <v>41</v>
      </c>
      <c r="C291" s="270"/>
      <c r="D291" s="270"/>
      <c r="E291" s="5"/>
      <c r="G291" s="5"/>
      <c r="H291" s="5" t="s">
        <v>42</v>
      </c>
      <c r="I291" s="270" t="s">
        <v>222</v>
      </c>
      <c r="J291" s="270"/>
      <c r="K291" s="270"/>
      <c r="M291" s="8"/>
      <c r="N291" s="8"/>
      <c r="O291"/>
      <c r="P291" s="8"/>
      <c r="Q291"/>
      <c r="R291" s="8"/>
    </row>
    <row r="292" spans="1:18" s="6" customFormat="1" hidden="1" x14ac:dyDescent="0.25">
      <c r="A292" t="s">
        <v>14</v>
      </c>
      <c r="B292" s="54"/>
      <c r="C292" s="5"/>
      <c r="F292" s="7"/>
      <c r="M292" s="8"/>
      <c r="N292" s="8"/>
      <c r="O292"/>
      <c r="P292" s="8"/>
      <c r="Q292"/>
      <c r="R292" s="8"/>
    </row>
    <row r="293" spans="1:18" s="6" customFormat="1" hidden="1" x14ac:dyDescent="0.25">
      <c r="A293" t="s">
        <v>16</v>
      </c>
      <c r="B293" s="54"/>
      <c r="C293" s="5"/>
      <c r="F293" s="7"/>
      <c r="M293" s="8"/>
      <c r="N293" s="8"/>
      <c r="O293"/>
      <c r="P293" s="8"/>
      <c r="Q293"/>
      <c r="R293" s="8"/>
    </row>
    <row r="294" spans="1:18" s="6" customFormat="1" hidden="1" x14ac:dyDescent="0.25">
      <c r="A294" t="s">
        <v>17</v>
      </c>
      <c r="B294" s="54"/>
      <c r="C294" s="5"/>
      <c r="F294" s="7"/>
      <c r="M294" s="8"/>
      <c r="N294" s="8"/>
      <c r="O294"/>
      <c r="P294" s="8"/>
      <c r="Q294"/>
      <c r="R294" s="8"/>
    </row>
    <row r="295" spans="1:18" s="6" customFormat="1" hidden="1" x14ac:dyDescent="0.25">
      <c r="A295" t="s">
        <v>21</v>
      </c>
      <c r="B295" s="54"/>
      <c r="C295" s="5"/>
      <c r="F295" s="7"/>
      <c r="M295" s="8"/>
      <c r="N295" s="8"/>
      <c r="O295"/>
      <c r="P295" s="8"/>
      <c r="Q295"/>
      <c r="R295" s="8"/>
    </row>
    <row r="296" spans="1:18" s="6" customFormat="1" hidden="1" x14ac:dyDescent="0.25">
      <c r="A296" t="s">
        <v>31</v>
      </c>
      <c r="B296" s="54"/>
      <c r="C296" s="5"/>
      <c r="F296" s="7"/>
      <c r="M296" s="8"/>
      <c r="N296" s="8"/>
      <c r="O296"/>
      <c r="P296" s="8"/>
      <c r="Q296"/>
      <c r="R296" s="8"/>
    </row>
    <row r="297" spans="1:18" x14ac:dyDescent="0.25">
      <c r="B297" s="254" t="s">
        <v>40</v>
      </c>
      <c r="C297" s="255"/>
      <c r="D297" s="255"/>
      <c r="E297" s="255"/>
      <c r="F297" s="255"/>
      <c r="G297" s="255"/>
      <c r="H297" s="255"/>
      <c r="I297" s="255"/>
      <c r="J297" s="255"/>
      <c r="K297" s="255"/>
      <c r="L297" s="256"/>
    </row>
    <row r="298" spans="1:18" ht="24.75" x14ac:dyDescent="0.3">
      <c r="B298" s="52" t="s">
        <v>38</v>
      </c>
      <c r="C298" s="121"/>
      <c r="D298" s="257" t="s">
        <v>35</v>
      </c>
      <c r="E298" s="258"/>
      <c r="F298" s="258"/>
      <c r="G298" s="258"/>
      <c r="H298" s="258"/>
      <c r="I298" s="258"/>
      <c r="J298" s="258"/>
      <c r="K298" s="258"/>
      <c r="L298" s="259"/>
    </row>
    <row r="299" spans="1:18" ht="24.75" x14ac:dyDescent="0.3">
      <c r="B299" s="52" t="s">
        <v>39</v>
      </c>
      <c r="C299" s="121"/>
      <c r="D299" s="260"/>
      <c r="E299" s="261"/>
      <c r="F299" s="261"/>
      <c r="G299" s="261"/>
      <c r="H299" s="261"/>
      <c r="I299" s="261"/>
      <c r="J299" s="261"/>
      <c r="K299" s="261"/>
      <c r="L299" s="262"/>
    </row>
    <row r="300" spans="1:18" x14ac:dyDescent="0.25">
      <c r="B300" s="53"/>
      <c r="C300" s="53"/>
      <c r="D300" s="18"/>
      <c r="E300" s="5"/>
      <c r="F300" s="6"/>
      <c r="G300" s="5"/>
      <c r="H300" s="53"/>
      <c r="I300" s="122"/>
    </row>
    <row r="301" spans="1:18" x14ac:dyDescent="0.25">
      <c r="B301" s="53"/>
      <c r="C301" s="53"/>
      <c r="D301" s="18"/>
      <c r="E301" s="5"/>
      <c r="F301" s="6"/>
      <c r="G301" s="5"/>
      <c r="H301" s="53"/>
      <c r="I301" s="122"/>
    </row>
    <row r="302" spans="1:18" x14ac:dyDescent="0.25">
      <c r="B302" s="269"/>
      <c r="C302" s="269"/>
      <c r="D302" s="269"/>
      <c r="E302" s="5"/>
      <c r="F302" s="6"/>
      <c r="G302" s="5"/>
      <c r="H302" s="269"/>
      <c r="I302" s="269"/>
      <c r="J302" s="269"/>
      <c r="K302" s="269"/>
    </row>
    <row r="303" spans="1:18" x14ac:dyDescent="0.25">
      <c r="B303" s="5" t="s">
        <v>41</v>
      </c>
      <c r="C303" s="270"/>
      <c r="D303" s="270"/>
      <c r="E303" s="5"/>
      <c r="F303" s="6"/>
      <c r="G303" s="5"/>
      <c r="H303" s="5" t="s">
        <v>42</v>
      </c>
      <c r="I303" s="270" t="s">
        <v>222</v>
      </c>
      <c r="J303" s="270"/>
      <c r="K303" s="270"/>
    </row>
  </sheetData>
  <sheetProtection formatCells="0" formatColumns="0" formatRows="0" insertColumns="0" insertRows="0" insertHyperlinks="0" deleteColumns="0" deleteRows="0" sort="0" autoFilter="0" pivotTables="0"/>
  <autoFilter ref="B12:L270"/>
  <mergeCells count="64">
    <mergeCell ref="D286:L287"/>
    <mergeCell ref="B278:L279"/>
    <mergeCell ref="B280:L280"/>
    <mergeCell ref="D281:L282"/>
    <mergeCell ref="B302:D302"/>
    <mergeCell ref="H302:K302"/>
    <mergeCell ref="B283:L284"/>
    <mergeCell ref="B285:L285"/>
    <mergeCell ref="C303:D303"/>
    <mergeCell ref="I303:K303"/>
    <mergeCell ref="B290:D290"/>
    <mergeCell ref="H290:K290"/>
    <mergeCell ref="C291:D291"/>
    <mergeCell ref="I291:K291"/>
    <mergeCell ref="B297:L297"/>
    <mergeCell ref="D298:L299"/>
    <mergeCell ref="E246:E251"/>
    <mergeCell ref="E252:E259"/>
    <mergeCell ref="E260:E268"/>
    <mergeCell ref="H269:J269"/>
    <mergeCell ref="K269:L269"/>
    <mergeCell ref="B272:C277"/>
    <mergeCell ref="D272:L272"/>
    <mergeCell ref="D273:L273"/>
    <mergeCell ref="D274:L274"/>
    <mergeCell ref="D275:L275"/>
    <mergeCell ref="D276:L276"/>
    <mergeCell ref="D277:L277"/>
    <mergeCell ref="E240:E245"/>
    <mergeCell ref="E146:E156"/>
    <mergeCell ref="E157:E166"/>
    <mergeCell ref="E167:E176"/>
    <mergeCell ref="E177:E181"/>
    <mergeCell ref="E182:E190"/>
    <mergeCell ref="E191:E198"/>
    <mergeCell ref="E199:E206"/>
    <mergeCell ref="E207:E212"/>
    <mergeCell ref="E213:E221"/>
    <mergeCell ref="E222:E230"/>
    <mergeCell ref="E231:E239"/>
    <mergeCell ref="E134:E145"/>
    <mergeCell ref="E30:E38"/>
    <mergeCell ref="E39:E46"/>
    <mergeCell ref="E47:E55"/>
    <mergeCell ref="E56:E64"/>
    <mergeCell ref="E65:E73"/>
    <mergeCell ref="E74:E82"/>
    <mergeCell ref="E83:E91"/>
    <mergeCell ref="E92:E102"/>
    <mergeCell ref="E103:E113"/>
    <mergeCell ref="E114:E122"/>
    <mergeCell ref="E123:E133"/>
    <mergeCell ref="E21:E29"/>
    <mergeCell ref="B2:L2"/>
    <mergeCell ref="B3:D3"/>
    <mergeCell ref="F3:I3"/>
    <mergeCell ref="J3:L3"/>
    <mergeCell ref="B5:C5"/>
    <mergeCell ref="B7:C7"/>
    <mergeCell ref="B9:C9"/>
    <mergeCell ref="B11:H11"/>
    <mergeCell ref="I11:J11"/>
    <mergeCell ref="K11:L11"/>
    <mergeCell ref="E13:E20"/>
  </mergeCells>
  <conditionalFormatting sqref="L13:L268">
    <cfRule type="cellIs" dxfId="15" priority="1" operator="equal">
      <formula>1</formula>
    </cfRule>
    <cfRule type="cellIs" dxfId="14" priority="2" operator="greaterThan">
      <formula>1</formula>
    </cfRule>
  </conditionalFormatting>
  <dataValidations count="3">
    <dataValidation type="whole" allowBlank="1" showInputMessage="1" showErrorMessage="1" errorTitle="¡Error!" error="Introduzca un número válido." promptTitle="¡Atención!" prompt="Introduzca un número entre 0 y 30" sqref="I13:I268">
      <formula1>0</formula1>
      <formula2>30</formula2>
    </dataValidation>
    <dataValidation type="whole" allowBlank="1" showInputMessage="1" showErrorMessage="1" errorTitle="¡Error!" error="Introduzca un número válido." promptTitle="¡Atención!" prompt="Introduzca un número entre 0 y 366" sqref="H271 H13:H268">
      <formula1>0</formula1>
      <formula2>366</formula2>
    </dataValidation>
    <dataValidation type="list" allowBlank="1" showInputMessage="1" showErrorMessage="1" sqref="D7">
      <formula1>$A$285:$A$296</formula1>
    </dataValidation>
  </dataValidations>
  <pageMargins left="0.7" right="0.7" top="0.75" bottom="0.75" header="0.3" footer="0.3"/>
  <pageSetup scale="12"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02"/>
  <sheetViews>
    <sheetView showGridLines="0" tabSelected="1" view="pageBreakPreview" topLeftCell="A10" zoomScaleNormal="100" zoomScaleSheetLayoutView="100" workbookViewId="0">
      <selection activeCell="F83" sqref="F83:I91"/>
    </sheetView>
  </sheetViews>
  <sheetFormatPr baseColWidth="10" defaultColWidth="8.5703125" defaultRowHeight="15" x14ac:dyDescent="0.25"/>
  <cols>
    <col min="1" max="1" width="7.42578125" style="8" customWidth="1"/>
    <col min="2" max="2" width="15.5703125" style="5" customWidth="1"/>
    <col min="3" max="3" width="8.5703125" style="5" customWidth="1"/>
    <col min="4" max="4" width="43.42578125" style="6" customWidth="1"/>
    <col min="5" max="5" width="16.85546875" style="6" bestFit="1" customWidth="1"/>
    <col min="6" max="6" width="31" style="7" customWidth="1"/>
    <col min="7" max="7" width="30.140625" style="6" customWidth="1"/>
    <col min="8" max="8" width="13.5703125" style="6" customWidth="1"/>
    <col min="9" max="9" width="13.42578125" style="6" customWidth="1"/>
    <col min="10" max="10" width="10.42578125" style="6" customWidth="1"/>
    <col min="11" max="12" width="12.42578125" style="6" customWidth="1"/>
    <col min="13" max="13" width="6.5703125" style="8" customWidth="1"/>
    <col min="14" max="14" width="16.42578125" style="8" customWidth="1"/>
    <col min="16" max="16" width="16.42578125" style="8" customWidth="1"/>
    <col min="17" max="17" width="0" hidden="1" customWidth="1"/>
    <col min="18" max="18" width="16.42578125" style="8" customWidth="1"/>
    <col min="19" max="16384" width="8.5703125" style="8"/>
  </cols>
  <sheetData>
    <row r="1" spans="2:17" x14ac:dyDescent="0.25">
      <c r="Q1" t="s">
        <v>0</v>
      </c>
    </row>
    <row r="2" spans="2:17" ht="49.5" customHeight="1" x14ac:dyDescent="0.25">
      <c r="B2" s="221" t="s">
        <v>1</v>
      </c>
      <c r="C2" s="221"/>
      <c r="D2" s="221"/>
      <c r="E2" s="221"/>
      <c r="F2" s="221"/>
      <c r="G2" s="221"/>
      <c r="H2" s="221"/>
      <c r="I2" s="221"/>
      <c r="J2" s="221"/>
      <c r="K2" s="221"/>
      <c r="L2" s="221"/>
      <c r="Q2" t="s">
        <v>2</v>
      </c>
    </row>
    <row r="3" spans="2:17" ht="18.75" customHeight="1" x14ac:dyDescent="0.25">
      <c r="B3" s="222" t="s">
        <v>3</v>
      </c>
      <c r="C3" s="223"/>
      <c r="D3" s="223"/>
      <c r="E3" s="58"/>
      <c r="F3" s="223" t="s">
        <v>4</v>
      </c>
      <c r="G3" s="223"/>
      <c r="H3" s="223"/>
      <c r="I3" s="223"/>
      <c r="J3" s="223" t="s">
        <v>5</v>
      </c>
      <c r="K3" s="223"/>
      <c r="L3" s="224"/>
    </row>
    <row r="4" spans="2:17" x14ac:dyDescent="0.25">
      <c r="B4" s="9"/>
      <c r="C4" s="57"/>
      <c r="L4" s="10"/>
      <c r="Q4" t="s">
        <v>6</v>
      </c>
    </row>
    <row r="5" spans="2:17" s="16" customFormat="1" ht="27.6" customHeight="1" x14ac:dyDescent="0.25">
      <c r="B5" s="225" t="s">
        <v>7</v>
      </c>
      <c r="C5" s="225"/>
      <c r="D5" s="11">
        <v>90141005</v>
      </c>
      <c r="E5"/>
      <c r="F5" s="12"/>
      <c r="G5" s="13"/>
      <c r="H5" s="14"/>
      <c r="I5" s="14"/>
      <c r="J5" s="14"/>
      <c r="K5" s="14"/>
      <c r="L5" s="15"/>
      <c r="O5"/>
      <c r="Q5" t="s">
        <v>8</v>
      </c>
    </row>
    <row r="6" spans="2:17" s="16" customFormat="1" x14ac:dyDescent="0.25">
      <c r="B6" s="17"/>
      <c r="C6" s="5"/>
      <c r="D6" s="14"/>
      <c r="E6"/>
      <c r="F6" s="18"/>
      <c r="G6" s="14"/>
      <c r="H6" s="14"/>
      <c r="I6" s="14"/>
      <c r="J6" s="14"/>
      <c r="K6" s="14"/>
      <c r="L6" s="15"/>
      <c r="O6"/>
      <c r="Q6" t="s">
        <v>11</v>
      </c>
    </row>
    <row r="7" spans="2:17" s="16" customFormat="1" x14ac:dyDescent="0.25">
      <c r="B7" s="225" t="s">
        <v>12</v>
      </c>
      <c r="C7" s="225"/>
      <c r="D7" s="19" t="s">
        <v>14</v>
      </c>
      <c r="E7"/>
      <c r="F7" s="20"/>
      <c r="G7" s="21"/>
      <c r="H7" s="14"/>
      <c r="I7" s="14"/>
      <c r="J7" s="14"/>
      <c r="K7" s="14"/>
      <c r="L7" s="15"/>
      <c r="O7"/>
      <c r="Q7" t="s">
        <v>13</v>
      </c>
    </row>
    <row r="8" spans="2:17" s="16" customFormat="1" x14ac:dyDescent="0.25">
      <c r="B8" s="22"/>
      <c r="C8" s="23"/>
      <c r="D8" s="24"/>
      <c r="E8"/>
      <c r="F8" s="20"/>
      <c r="G8" s="21"/>
      <c r="H8" s="14"/>
      <c r="I8" s="14"/>
      <c r="J8" s="14"/>
      <c r="K8" s="14"/>
      <c r="L8" s="15"/>
      <c r="O8"/>
      <c r="Q8" t="s">
        <v>14</v>
      </c>
    </row>
    <row r="9" spans="2:17" s="16" customFormat="1" x14ac:dyDescent="0.25">
      <c r="B9" s="225" t="s">
        <v>15</v>
      </c>
      <c r="C9" s="225"/>
      <c r="D9" s="25">
        <v>45900</v>
      </c>
      <c r="E9"/>
      <c r="F9" s="26"/>
      <c r="G9" s="27"/>
      <c r="H9" s="14"/>
      <c r="I9" s="14"/>
      <c r="J9" s="14"/>
      <c r="K9" s="14"/>
      <c r="L9" s="15"/>
      <c r="O9"/>
      <c r="Q9" t="s">
        <v>16</v>
      </c>
    </row>
    <row r="10" spans="2:17" x14ac:dyDescent="0.25">
      <c r="B10" s="28"/>
      <c r="C10" s="29"/>
      <c r="L10" s="30"/>
      <c r="Q10" t="s">
        <v>17</v>
      </c>
    </row>
    <row r="11" spans="2:17" s="31" customFormat="1" ht="26.85" customHeight="1" x14ac:dyDescent="0.25">
      <c r="B11" s="225" t="s">
        <v>18</v>
      </c>
      <c r="C11" s="225"/>
      <c r="D11" s="225"/>
      <c r="E11" s="225"/>
      <c r="F11" s="225"/>
      <c r="G11" s="225"/>
      <c r="H11" s="225"/>
      <c r="I11" s="225" t="s">
        <v>19</v>
      </c>
      <c r="J11" s="225"/>
      <c r="K11" s="225" t="s">
        <v>20</v>
      </c>
      <c r="L11" s="225"/>
      <c r="O11" s="32"/>
      <c r="Q11" s="32" t="s">
        <v>21</v>
      </c>
    </row>
    <row r="12" spans="2:17" s="31" customFormat="1" ht="57.6" customHeight="1" x14ac:dyDescent="0.25">
      <c r="B12" s="33" t="s">
        <v>22</v>
      </c>
      <c r="C12" s="33" t="s">
        <v>23</v>
      </c>
      <c r="D12" s="33" t="s">
        <v>24</v>
      </c>
      <c r="E12" s="33" t="s">
        <v>72</v>
      </c>
      <c r="F12" s="34" t="s">
        <v>25</v>
      </c>
      <c r="G12" s="33" t="s">
        <v>26</v>
      </c>
      <c r="H12" s="33" t="s">
        <v>27</v>
      </c>
      <c r="I12" s="33" t="s">
        <v>28</v>
      </c>
      <c r="J12" s="33" t="s">
        <v>29</v>
      </c>
      <c r="K12" s="33" t="s">
        <v>30</v>
      </c>
      <c r="L12" s="33" t="s">
        <v>29</v>
      </c>
      <c r="O12" s="32"/>
      <c r="Q12" s="32" t="s">
        <v>31</v>
      </c>
    </row>
    <row r="13" spans="2:17" x14ac:dyDescent="0.25">
      <c r="B13" s="35">
        <v>3</v>
      </c>
      <c r="C13" s="36" t="s">
        <v>43</v>
      </c>
      <c r="D13" s="37" t="s">
        <v>44</v>
      </c>
      <c r="E13" s="218" t="s">
        <v>73</v>
      </c>
      <c r="F13" s="59" t="s">
        <v>64</v>
      </c>
      <c r="G13" s="60" t="s">
        <v>65</v>
      </c>
      <c r="H13" s="89">
        <v>33</v>
      </c>
      <c r="I13" s="89">
        <v>4</v>
      </c>
      <c r="J13" s="67">
        <f>IFERROR(I13/H13,0)</f>
        <v>0.12121212121212122</v>
      </c>
      <c r="K13" s="93">
        <f>+I13+'JULIO 2025'!K13</f>
        <v>30</v>
      </c>
      <c r="L13" s="92">
        <f>IFERROR(K13/H13,0)</f>
        <v>0.90909090909090906</v>
      </c>
    </row>
    <row r="14" spans="2:17" x14ac:dyDescent="0.25">
      <c r="B14" s="38">
        <v>3</v>
      </c>
      <c r="C14" s="39" t="s">
        <v>46</v>
      </c>
      <c r="D14" s="40" t="s">
        <v>47</v>
      </c>
      <c r="E14" s="219"/>
      <c r="F14" s="61" t="s">
        <v>66</v>
      </c>
      <c r="G14" s="63" t="s">
        <v>67</v>
      </c>
      <c r="H14" s="2">
        <v>39</v>
      </c>
      <c r="I14" s="3">
        <v>4</v>
      </c>
      <c r="J14" s="69">
        <f>IFERROR(I14/H14,0)</f>
        <v>0.10256410256410256</v>
      </c>
      <c r="K14" s="90">
        <f>+I14+'JULIO 2025'!K14</f>
        <v>14</v>
      </c>
      <c r="L14" s="94">
        <f>IFERROR(K14/H14,0)</f>
        <v>0.35897435897435898</v>
      </c>
    </row>
    <row r="15" spans="2:17" x14ac:dyDescent="0.25">
      <c r="B15" s="38">
        <v>3</v>
      </c>
      <c r="C15" s="39" t="s">
        <v>49</v>
      </c>
      <c r="D15" s="40" t="s">
        <v>50</v>
      </c>
      <c r="E15" s="219"/>
      <c r="F15" s="61" t="s">
        <v>68</v>
      </c>
      <c r="G15" s="62" t="s">
        <v>65</v>
      </c>
      <c r="H15" s="3">
        <v>33</v>
      </c>
      <c r="I15" s="4">
        <v>4</v>
      </c>
      <c r="J15" s="69">
        <f t="shared" ref="J15:J78" si="0">IFERROR(I15/H15,0)</f>
        <v>0.12121212121212122</v>
      </c>
      <c r="K15" s="90">
        <f>+I15+'JULIO 2025'!K15</f>
        <v>20</v>
      </c>
      <c r="L15" s="94">
        <f t="shared" ref="L15:L78" si="1">IFERROR(K15/H15,0)</f>
        <v>0.60606060606060608</v>
      </c>
    </row>
    <row r="16" spans="2:17" x14ac:dyDescent="0.25">
      <c r="B16" s="38">
        <v>3</v>
      </c>
      <c r="C16" s="39" t="s">
        <v>52</v>
      </c>
      <c r="D16" s="40" t="s">
        <v>53</v>
      </c>
      <c r="E16" s="219"/>
      <c r="F16" s="61" t="s">
        <v>54</v>
      </c>
      <c r="G16" s="62" t="s">
        <v>65</v>
      </c>
      <c r="H16" s="3">
        <v>33</v>
      </c>
      <c r="I16" s="3">
        <v>4</v>
      </c>
      <c r="J16" s="69">
        <f t="shared" si="0"/>
        <v>0.12121212121212122</v>
      </c>
      <c r="K16" s="90">
        <f>+I16+'JULIO 2025'!K16</f>
        <v>16</v>
      </c>
      <c r="L16" s="94">
        <f t="shared" si="1"/>
        <v>0.48484848484848486</v>
      </c>
    </row>
    <row r="17" spans="2:17" s="16" customFormat="1" x14ac:dyDescent="0.25">
      <c r="B17" s="38">
        <v>3</v>
      </c>
      <c r="C17" s="39" t="s">
        <v>55</v>
      </c>
      <c r="D17" s="40" t="s">
        <v>56</v>
      </c>
      <c r="E17" s="219"/>
      <c r="F17" s="61" t="s">
        <v>69</v>
      </c>
      <c r="G17" s="62" t="s">
        <v>65</v>
      </c>
      <c r="H17" s="3">
        <v>33</v>
      </c>
      <c r="I17" s="3">
        <v>4</v>
      </c>
      <c r="J17" s="69">
        <f t="shared" si="0"/>
        <v>0.12121212121212122</v>
      </c>
      <c r="K17" s="90">
        <f>+I17+'JULIO 2025'!K17</f>
        <v>20</v>
      </c>
      <c r="L17" s="94">
        <f t="shared" si="1"/>
        <v>0.60606060606060608</v>
      </c>
      <c r="O17" s="41"/>
      <c r="Q17" s="41"/>
    </row>
    <row r="18" spans="2:17" x14ac:dyDescent="0.25">
      <c r="B18" s="38">
        <v>5</v>
      </c>
      <c r="C18" s="39" t="s">
        <v>57</v>
      </c>
      <c r="D18" s="40" t="s">
        <v>58</v>
      </c>
      <c r="E18" s="219"/>
      <c r="F18" s="61" t="s">
        <v>54</v>
      </c>
      <c r="G18" s="62" t="s">
        <v>203</v>
      </c>
      <c r="H18" s="3">
        <v>33</v>
      </c>
      <c r="I18" s="3">
        <v>4</v>
      </c>
      <c r="J18" s="69">
        <f t="shared" si="0"/>
        <v>0.12121212121212122</v>
      </c>
      <c r="K18" s="90">
        <f>+I18+'JULIO 2025'!K18</f>
        <v>18</v>
      </c>
      <c r="L18" s="94">
        <f t="shared" si="1"/>
        <v>0.54545454545454541</v>
      </c>
    </row>
    <row r="19" spans="2:17" x14ac:dyDescent="0.25">
      <c r="B19" s="38">
        <v>5</v>
      </c>
      <c r="C19" s="39" t="s">
        <v>59</v>
      </c>
      <c r="D19" s="40" t="s">
        <v>60</v>
      </c>
      <c r="E19" s="219"/>
      <c r="F19" s="61" t="s">
        <v>70</v>
      </c>
      <c r="G19" s="62" t="s">
        <v>204</v>
      </c>
      <c r="H19" s="3">
        <v>33</v>
      </c>
      <c r="I19" s="3">
        <v>4</v>
      </c>
      <c r="J19" s="69">
        <f t="shared" si="0"/>
        <v>0.12121212121212122</v>
      </c>
      <c r="K19" s="90">
        <f>+I19+'JULIO 2025'!K19</f>
        <v>19</v>
      </c>
      <c r="L19" s="94">
        <f t="shared" si="1"/>
        <v>0.5757575757575758</v>
      </c>
    </row>
    <row r="20" spans="2:17" x14ac:dyDescent="0.25">
      <c r="B20" s="42">
        <v>8</v>
      </c>
      <c r="C20" s="43" t="s">
        <v>61</v>
      </c>
      <c r="D20" s="44" t="s">
        <v>62</v>
      </c>
      <c r="E20" s="220"/>
      <c r="F20" s="64" t="s">
        <v>63</v>
      </c>
      <c r="G20" s="65" t="s">
        <v>71</v>
      </c>
      <c r="H20" s="97">
        <v>33</v>
      </c>
      <c r="I20" s="97">
        <v>2</v>
      </c>
      <c r="J20" s="72">
        <f t="shared" si="0"/>
        <v>6.0606060606060608E-2</v>
      </c>
      <c r="K20" s="91">
        <f>+I20+'JULIO 2025'!K20</f>
        <v>13</v>
      </c>
      <c r="L20" s="96">
        <f t="shared" si="1"/>
        <v>0.39393939393939392</v>
      </c>
    </row>
    <row r="21" spans="2:17" x14ac:dyDescent="0.25">
      <c r="B21" s="35">
        <v>3</v>
      </c>
      <c r="C21" s="36" t="s">
        <v>43</v>
      </c>
      <c r="D21" s="37" t="s">
        <v>44</v>
      </c>
      <c r="E21" s="218" t="s">
        <v>100</v>
      </c>
      <c r="F21" s="59" t="s">
        <v>1022</v>
      </c>
      <c r="G21" s="60" t="s">
        <v>1023</v>
      </c>
      <c r="H21" s="89">
        <v>30</v>
      </c>
      <c r="I21" s="89">
        <v>4</v>
      </c>
      <c r="J21" s="69">
        <f t="shared" si="0"/>
        <v>0.13333333333333333</v>
      </c>
      <c r="K21" s="103">
        <f>+I21+'JULIO 2025'!K21</f>
        <v>17</v>
      </c>
      <c r="L21" s="94">
        <f t="shared" si="1"/>
        <v>0.56666666666666665</v>
      </c>
      <c r="N21"/>
      <c r="O21" s="8"/>
      <c r="P21"/>
      <c r="Q21" s="8"/>
    </row>
    <row r="22" spans="2:17" x14ac:dyDescent="0.25">
      <c r="B22" s="38">
        <v>3</v>
      </c>
      <c r="C22" s="39" t="s">
        <v>46</v>
      </c>
      <c r="D22" s="40" t="s">
        <v>47</v>
      </c>
      <c r="E22" s="219"/>
      <c r="F22" s="61" t="s">
        <v>877</v>
      </c>
      <c r="G22" s="62" t="s">
        <v>1024</v>
      </c>
      <c r="H22" s="2">
        <v>30</v>
      </c>
      <c r="I22" s="3">
        <v>3</v>
      </c>
      <c r="J22" s="69">
        <f t="shared" si="0"/>
        <v>0.1</v>
      </c>
      <c r="K22" s="90">
        <f>+I22+'JULIO 2025'!K22</f>
        <v>17</v>
      </c>
      <c r="L22" s="94">
        <f t="shared" si="1"/>
        <v>0.56666666666666665</v>
      </c>
      <c r="N22"/>
      <c r="O22" s="8"/>
      <c r="P22"/>
      <c r="Q22" s="8"/>
    </row>
    <row r="23" spans="2:17" x14ac:dyDescent="0.25">
      <c r="B23" s="38">
        <v>3</v>
      </c>
      <c r="C23" s="39" t="s">
        <v>98</v>
      </c>
      <c r="D23" s="40" t="s">
        <v>99</v>
      </c>
      <c r="E23" s="219"/>
      <c r="F23" s="61" t="s">
        <v>1025</v>
      </c>
      <c r="G23" s="63" t="s">
        <v>1026</v>
      </c>
      <c r="H23" s="3">
        <v>30</v>
      </c>
      <c r="I23" s="4">
        <v>3</v>
      </c>
      <c r="J23" s="69">
        <f t="shared" si="0"/>
        <v>0.1</v>
      </c>
      <c r="K23" s="90">
        <f>+I23+'JULIO 2025'!K23</f>
        <v>17</v>
      </c>
      <c r="L23" s="94">
        <f t="shared" si="1"/>
        <v>0.56666666666666665</v>
      </c>
      <c r="N23"/>
      <c r="O23" s="8"/>
      <c r="P23"/>
      <c r="Q23" s="8"/>
    </row>
    <row r="24" spans="2:17" x14ac:dyDescent="0.25">
      <c r="B24" s="38">
        <v>3</v>
      </c>
      <c r="C24" s="39" t="s">
        <v>49</v>
      </c>
      <c r="D24" s="40" t="s">
        <v>50</v>
      </c>
      <c r="E24" s="219"/>
      <c r="F24" s="61" t="s">
        <v>1027</v>
      </c>
      <c r="G24" s="62" t="s">
        <v>1028</v>
      </c>
      <c r="H24" s="3">
        <v>30</v>
      </c>
      <c r="I24" s="3">
        <v>3</v>
      </c>
      <c r="J24" s="69">
        <f t="shared" si="0"/>
        <v>0.1</v>
      </c>
      <c r="K24" s="90">
        <f>+I24+'JULIO 2025'!K24</f>
        <v>16</v>
      </c>
      <c r="L24" s="94">
        <f t="shared" si="1"/>
        <v>0.53333333333333333</v>
      </c>
      <c r="N24"/>
      <c r="O24" s="8"/>
      <c r="P24"/>
      <c r="Q24" s="8"/>
    </row>
    <row r="25" spans="2:17" x14ac:dyDescent="0.25">
      <c r="B25" s="38">
        <v>3</v>
      </c>
      <c r="C25" s="39" t="s">
        <v>52</v>
      </c>
      <c r="D25" s="40" t="s">
        <v>53</v>
      </c>
      <c r="E25" s="219"/>
      <c r="F25" s="61" t="s">
        <v>1029</v>
      </c>
      <c r="G25" s="62" t="s">
        <v>1030</v>
      </c>
      <c r="H25" s="3">
        <v>30</v>
      </c>
      <c r="I25" s="3">
        <v>3</v>
      </c>
      <c r="J25" s="69">
        <f t="shared" si="0"/>
        <v>0.1</v>
      </c>
      <c r="K25" s="90">
        <f>+I25+'JULIO 2025'!K25</f>
        <v>17</v>
      </c>
      <c r="L25" s="94">
        <f t="shared" si="1"/>
        <v>0.56666666666666665</v>
      </c>
      <c r="N25"/>
      <c r="O25" s="8"/>
      <c r="P25"/>
      <c r="Q25" s="8"/>
    </row>
    <row r="26" spans="2:17" s="16" customFormat="1" x14ac:dyDescent="0.25">
      <c r="B26" s="38">
        <v>3</v>
      </c>
      <c r="C26" s="39" t="s">
        <v>55</v>
      </c>
      <c r="D26" s="40" t="s">
        <v>56</v>
      </c>
      <c r="E26" s="219"/>
      <c r="F26" s="61" t="s">
        <v>1031</v>
      </c>
      <c r="G26" s="62" t="s">
        <v>1032</v>
      </c>
      <c r="H26" s="3">
        <v>30</v>
      </c>
      <c r="I26" s="3">
        <v>5</v>
      </c>
      <c r="J26" s="69">
        <f t="shared" si="0"/>
        <v>0.16666666666666666</v>
      </c>
      <c r="K26" s="90">
        <f>+I26+'JULIO 2025'!K26</f>
        <v>18</v>
      </c>
      <c r="L26" s="94">
        <f t="shared" si="1"/>
        <v>0.6</v>
      </c>
      <c r="N26" s="41"/>
      <c r="P26" s="41"/>
    </row>
    <row r="27" spans="2:17" x14ac:dyDescent="0.25">
      <c r="B27" s="38">
        <v>5</v>
      </c>
      <c r="C27" s="39" t="s">
        <v>57</v>
      </c>
      <c r="D27" s="40" t="s">
        <v>58</v>
      </c>
      <c r="E27" s="219"/>
      <c r="F27" s="61" t="s">
        <v>1033</v>
      </c>
      <c r="G27" s="62" t="s">
        <v>1034</v>
      </c>
      <c r="H27" s="3">
        <v>30</v>
      </c>
      <c r="I27" s="3">
        <v>3</v>
      </c>
      <c r="J27" s="69">
        <f t="shared" si="0"/>
        <v>0.1</v>
      </c>
      <c r="K27" s="90">
        <f>+I27+'JULIO 2025'!K27</f>
        <v>16</v>
      </c>
      <c r="L27" s="94">
        <f t="shared" si="1"/>
        <v>0.53333333333333333</v>
      </c>
      <c r="N27"/>
      <c r="O27" s="8"/>
      <c r="P27"/>
      <c r="Q27" s="8"/>
    </row>
    <row r="28" spans="2:17" x14ac:dyDescent="0.25">
      <c r="B28" s="38">
        <v>5</v>
      </c>
      <c r="C28" s="39" t="s">
        <v>59</v>
      </c>
      <c r="D28" s="40" t="s">
        <v>60</v>
      </c>
      <c r="E28" s="219"/>
      <c r="F28" s="61" t="s">
        <v>1035</v>
      </c>
      <c r="G28" s="62" t="s">
        <v>1036</v>
      </c>
      <c r="H28" s="3">
        <v>30</v>
      </c>
      <c r="I28" s="3">
        <v>3</v>
      </c>
      <c r="J28" s="69">
        <f t="shared" si="0"/>
        <v>0.1</v>
      </c>
      <c r="K28" s="90">
        <f>+I28+'JULIO 2025'!K28</f>
        <v>16</v>
      </c>
      <c r="L28" s="94">
        <f t="shared" si="1"/>
        <v>0.53333333333333333</v>
      </c>
      <c r="N28"/>
      <c r="O28" s="8"/>
      <c r="P28"/>
      <c r="Q28" s="8"/>
    </row>
    <row r="29" spans="2:17" x14ac:dyDescent="0.25">
      <c r="B29" s="42">
        <v>8</v>
      </c>
      <c r="C29" s="43" t="s">
        <v>61</v>
      </c>
      <c r="D29" s="44" t="s">
        <v>62</v>
      </c>
      <c r="E29" s="220"/>
      <c r="F29" s="64" t="s">
        <v>681</v>
      </c>
      <c r="G29" s="65" t="s">
        <v>1037</v>
      </c>
      <c r="H29" s="97">
        <v>30</v>
      </c>
      <c r="I29" s="97">
        <v>3</v>
      </c>
      <c r="J29" s="72">
        <f t="shared" si="0"/>
        <v>0.1</v>
      </c>
      <c r="K29" s="91">
        <f>+I29+'JULIO 2025'!K29</f>
        <v>16</v>
      </c>
      <c r="L29" s="96">
        <f t="shared" si="1"/>
        <v>0.53333333333333333</v>
      </c>
      <c r="N29"/>
      <c r="O29" s="8"/>
      <c r="P29"/>
      <c r="Q29" s="8"/>
    </row>
    <row r="30" spans="2:17" x14ac:dyDescent="0.25">
      <c r="B30" s="35">
        <v>1</v>
      </c>
      <c r="C30" s="36" t="s">
        <v>74</v>
      </c>
      <c r="D30" s="37" t="s">
        <v>75</v>
      </c>
      <c r="E30" s="218" t="s">
        <v>97</v>
      </c>
      <c r="F30" s="59" t="s">
        <v>1044</v>
      </c>
      <c r="G30" s="60" t="s">
        <v>76</v>
      </c>
      <c r="H30" s="89">
        <v>55</v>
      </c>
      <c r="I30" s="89">
        <v>7</v>
      </c>
      <c r="J30" s="69">
        <f t="shared" si="0"/>
        <v>0.12727272727272726</v>
      </c>
      <c r="K30" s="103">
        <f>+I30+'JULIO 2025'!K30</f>
        <v>29</v>
      </c>
      <c r="L30" s="94">
        <f t="shared" si="1"/>
        <v>0.52727272727272723</v>
      </c>
      <c r="N30"/>
      <c r="O30" s="8"/>
      <c r="P30"/>
      <c r="Q30" s="8"/>
    </row>
    <row r="31" spans="2:17" x14ac:dyDescent="0.25">
      <c r="B31" s="38">
        <v>1</v>
      </c>
      <c r="C31" s="39" t="s">
        <v>77</v>
      </c>
      <c r="D31" s="40" t="s">
        <v>78</v>
      </c>
      <c r="E31" s="219"/>
      <c r="F31" s="61" t="s">
        <v>1045</v>
      </c>
      <c r="G31" s="76" t="s">
        <v>1046</v>
      </c>
      <c r="H31" s="2">
        <v>20</v>
      </c>
      <c r="I31" s="3">
        <v>2</v>
      </c>
      <c r="J31" s="69">
        <f t="shared" si="0"/>
        <v>0.1</v>
      </c>
      <c r="K31" s="90">
        <f>+I31+'JULIO 2025'!K31</f>
        <v>11</v>
      </c>
      <c r="L31" s="94">
        <f t="shared" si="1"/>
        <v>0.55000000000000004</v>
      </c>
      <c r="N31"/>
      <c r="O31" s="8"/>
      <c r="P31"/>
      <c r="Q31" s="8"/>
    </row>
    <row r="32" spans="2:17" x14ac:dyDescent="0.25">
      <c r="B32" s="38">
        <v>1</v>
      </c>
      <c r="C32" s="39" t="s">
        <v>79</v>
      </c>
      <c r="D32" s="40" t="s">
        <v>80</v>
      </c>
      <c r="E32" s="219"/>
      <c r="F32" s="61" t="s">
        <v>1047</v>
      </c>
      <c r="G32" s="62" t="s">
        <v>81</v>
      </c>
      <c r="H32" s="3">
        <v>30</v>
      </c>
      <c r="I32" s="4">
        <v>3</v>
      </c>
      <c r="J32" s="69">
        <f t="shared" si="0"/>
        <v>0.1</v>
      </c>
      <c r="K32" s="90">
        <f>+I32+'JULIO 2025'!K32</f>
        <v>17</v>
      </c>
      <c r="L32" s="94">
        <f t="shared" si="1"/>
        <v>0.56666666666666665</v>
      </c>
      <c r="N32"/>
      <c r="O32" s="8"/>
      <c r="P32"/>
      <c r="Q32" s="8"/>
    </row>
    <row r="33" spans="2:17" x14ac:dyDescent="0.25">
      <c r="B33" s="38">
        <v>1</v>
      </c>
      <c r="C33" s="39" t="s">
        <v>82</v>
      </c>
      <c r="D33" s="40" t="s">
        <v>83</v>
      </c>
      <c r="E33" s="219"/>
      <c r="F33" s="61" t="s">
        <v>897</v>
      </c>
      <c r="G33" s="62" t="s">
        <v>81</v>
      </c>
      <c r="H33" s="3">
        <v>25</v>
      </c>
      <c r="I33" s="3">
        <v>3</v>
      </c>
      <c r="J33" s="69">
        <f t="shared" si="0"/>
        <v>0.12</v>
      </c>
      <c r="K33" s="90">
        <f>+I33+'JULIO 2025'!K33</f>
        <v>15</v>
      </c>
      <c r="L33" s="94">
        <f t="shared" si="1"/>
        <v>0.6</v>
      </c>
      <c r="N33"/>
      <c r="O33" s="8"/>
      <c r="P33"/>
      <c r="Q33" s="8"/>
    </row>
    <row r="34" spans="2:17" x14ac:dyDescent="0.25">
      <c r="B34" s="38">
        <v>1</v>
      </c>
      <c r="C34" s="39" t="s">
        <v>84</v>
      </c>
      <c r="D34" s="40" t="s">
        <v>85</v>
      </c>
      <c r="E34" s="219"/>
      <c r="F34" s="61" t="s">
        <v>1048</v>
      </c>
      <c r="G34" s="76" t="s">
        <v>1046</v>
      </c>
      <c r="H34" s="3">
        <v>30</v>
      </c>
      <c r="I34" s="3">
        <v>3</v>
      </c>
      <c r="J34" s="69">
        <f t="shared" si="0"/>
        <v>0.1</v>
      </c>
      <c r="K34" s="90">
        <f>+I34+'JULIO 2025'!K34</f>
        <v>17</v>
      </c>
      <c r="L34" s="94">
        <f t="shared" si="1"/>
        <v>0.56666666666666665</v>
      </c>
      <c r="N34"/>
      <c r="O34" s="8"/>
      <c r="P34"/>
      <c r="Q34" s="8"/>
    </row>
    <row r="35" spans="2:17" s="16" customFormat="1" x14ac:dyDescent="0.25">
      <c r="B35" s="38">
        <v>1</v>
      </c>
      <c r="C35" s="39" t="s">
        <v>86</v>
      </c>
      <c r="D35" s="40" t="s">
        <v>87</v>
      </c>
      <c r="E35" s="219"/>
      <c r="F35" s="61" t="s">
        <v>1049</v>
      </c>
      <c r="G35" s="62" t="s">
        <v>88</v>
      </c>
      <c r="H35" s="3">
        <v>20</v>
      </c>
      <c r="I35" s="3">
        <v>2</v>
      </c>
      <c r="J35" s="69">
        <f t="shared" si="0"/>
        <v>0.1</v>
      </c>
      <c r="K35" s="90">
        <f>+I35+'JULIO 2025'!K35</f>
        <v>11</v>
      </c>
      <c r="L35" s="94">
        <f t="shared" si="1"/>
        <v>0.55000000000000004</v>
      </c>
      <c r="N35" s="41"/>
      <c r="P35" s="41"/>
    </row>
    <row r="36" spans="2:17" x14ac:dyDescent="0.25">
      <c r="B36" s="38">
        <v>1</v>
      </c>
      <c r="C36" s="39" t="s">
        <v>89</v>
      </c>
      <c r="D36" s="40" t="s">
        <v>90</v>
      </c>
      <c r="E36" s="219"/>
      <c r="F36" s="61" t="s">
        <v>900</v>
      </c>
      <c r="G36" s="62" t="s">
        <v>91</v>
      </c>
      <c r="H36" s="3">
        <v>20</v>
      </c>
      <c r="I36" s="3">
        <v>2</v>
      </c>
      <c r="J36" s="69">
        <f t="shared" si="0"/>
        <v>0.1</v>
      </c>
      <c r="K36" s="90">
        <f>+I36+'JULIO 2025'!K36</f>
        <v>11</v>
      </c>
      <c r="L36" s="94">
        <f t="shared" si="1"/>
        <v>0.55000000000000004</v>
      </c>
      <c r="N36"/>
      <c r="O36" s="8"/>
      <c r="P36"/>
      <c r="Q36" s="8"/>
    </row>
    <row r="37" spans="2:17" x14ac:dyDescent="0.25">
      <c r="B37" s="38">
        <v>1</v>
      </c>
      <c r="C37" s="39" t="s">
        <v>92</v>
      </c>
      <c r="D37" s="40" t="s">
        <v>93</v>
      </c>
      <c r="E37" s="219"/>
      <c r="F37" s="61" t="s">
        <v>901</v>
      </c>
      <c r="G37" s="62" t="s">
        <v>94</v>
      </c>
      <c r="H37" s="3">
        <v>50</v>
      </c>
      <c r="I37" s="3">
        <v>6</v>
      </c>
      <c r="J37" s="69">
        <f t="shared" si="0"/>
        <v>0.12</v>
      </c>
      <c r="K37" s="90">
        <f>+I37+'JULIO 2025'!K37</f>
        <v>28</v>
      </c>
      <c r="L37" s="94">
        <f t="shared" si="1"/>
        <v>0.56000000000000005</v>
      </c>
      <c r="N37"/>
      <c r="O37" s="8"/>
      <c r="P37"/>
      <c r="Q37" s="8"/>
    </row>
    <row r="38" spans="2:17" x14ac:dyDescent="0.25">
      <c r="B38" s="42">
        <v>1</v>
      </c>
      <c r="C38" s="43" t="s">
        <v>95</v>
      </c>
      <c r="D38" s="44" t="s">
        <v>96</v>
      </c>
      <c r="E38" s="220"/>
      <c r="F38" s="64" t="s">
        <v>1050</v>
      </c>
      <c r="G38" s="65" t="s">
        <v>94</v>
      </c>
      <c r="H38" s="97">
        <v>20</v>
      </c>
      <c r="I38" s="97">
        <v>2</v>
      </c>
      <c r="J38" s="72">
        <f t="shared" si="0"/>
        <v>0.1</v>
      </c>
      <c r="K38" s="91">
        <f>+I38+'JULIO 2025'!K38</f>
        <v>11</v>
      </c>
      <c r="L38" s="96">
        <f t="shared" si="1"/>
        <v>0.55000000000000004</v>
      </c>
      <c r="N38"/>
      <c r="O38" s="8"/>
      <c r="P38"/>
      <c r="Q38" s="8"/>
    </row>
    <row r="39" spans="2:17" x14ac:dyDescent="0.25">
      <c r="B39" s="35">
        <v>3</v>
      </c>
      <c r="C39" s="36" t="s">
        <v>43</v>
      </c>
      <c r="D39" s="37" t="s">
        <v>44</v>
      </c>
      <c r="E39" s="218" t="s">
        <v>103</v>
      </c>
      <c r="F39" s="59" t="s">
        <v>1073</v>
      </c>
      <c r="G39" s="60" t="s">
        <v>101</v>
      </c>
      <c r="H39" s="89">
        <v>35</v>
      </c>
      <c r="I39" s="89">
        <v>4</v>
      </c>
      <c r="J39" s="69">
        <f t="shared" si="0"/>
        <v>0.11428571428571428</v>
      </c>
      <c r="K39" s="103">
        <f>+I39+'JULIO 2025'!K39</f>
        <v>20</v>
      </c>
      <c r="L39" s="94">
        <f t="shared" si="1"/>
        <v>0.5714285714285714</v>
      </c>
      <c r="N39"/>
      <c r="O39" s="8"/>
      <c r="P39"/>
      <c r="Q39" s="8"/>
    </row>
    <row r="40" spans="2:17" x14ac:dyDescent="0.25">
      <c r="B40" s="38">
        <v>3</v>
      </c>
      <c r="C40" s="39" t="s">
        <v>46</v>
      </c>
      <c r="D40" s="40" t="s">
        <v>47</v>
      </c>
      <c r="E40" s="219"/>
      <c r="F40" s="61" t="s">
        <v>689</v>
      </c>
      <c r="G40" s="76" t="s">
        <v>101</v>
      </c>
      <c r="H40" s="2">
        <v>33</v>
      </c>
      <c r="I40" s="3">
        <v>4</v>
      </c>
      <c r="J40" s="69">
        <f t="shared" si="0"/>
        <v>0.12121212121212122</v>
      </c>
      <c r="K40" s="90">
        <f>+I40+'JULIO 2025'!K40</f>
        <v>19</v>
      </c>
      <c r="L40" s="94">
        <f t="shared" si="1"/>
        <v>0.5757575757575758</v>
      </c>
      <c r="N40"/>
      <c r="O40" s="8"/>
      <c r="P40"/>
      <c r="Q40" s="8"/>
    </row>
    <row r="41" spans="2:17" x14ac:dyDescent="0.25">
      <c r="B41" s="38">
        <v>3</v>
      </c>
      <c r="C41" s="39" t="s">
        <v>49</v>
      </c>
      <c r="D41" s="40" t="s">
        <v>50</v>
      </c>
      <c r="E41" s="219"/>
      <c r="F41" s="61" t="s">
        <v>240</v>
      </c>
      <c r="G41" s="62" t="s">
        <v>101</v>
      </c>
      <c r="H41" s="3">
        <v>33</v>
      </c>
      <c r="I41" s="4">
        <v>4</v>
      </c>
      <c r="J41" s="69">
        <f t="shared" si="0"/>
        <v>0.12121212121212122</v>
      </c>
      <c r="K41" s="90">
        <f>+I41+'JULIO 2025'!K41</f>
        <v>19</v>
      </c>
      <c r="L41" s="94">
        <f t="shared" si="1"/>
        <v>0.5757575757575758</v>
      </c>
      <c r="N41"/>
      <c r="O41" s="8"/>
      <c r="P41"/>
      <c r="Q41" s="8"/>
    </row>
    <row r="42" spans="2:17" x14ac:dyDescent="0.25">
      <c r="B42" s="38">
        <v>3</v>
      </c>
      <c r="C42" s="39" t="s">
        <v>52</v>
      </c>
      <c r="D42" s="40" t="s">
        <v>53</v>
      </c>
      <c r="E42" s="219"/>
      <c r="F42" s="61" t="s">
        <v>170</v>
      </c>
      <c r="G42" s="62" t="s">
        <v>101</v>
      </c>
      <c r="H42" s="3">
        <v>33</v>
      </c>
      <c r="I42" s="3">
        <v>3</v>
      </c>
      <c r="J42" s="69">
        <f t="shared" si="0"/>
        <v>9.0909090909090912E-2</v>
      </c>
      <c r="K42" s="90">
        <f>+I42+'JULIO 2025'!K42</f>
        <v>18</v>
      </c>
      <c r="L42" s="94">
        <f t="shared" si="1"/>
        <v>0.54545454545454541</v>
      </c>
      <c r="N42"/>
      <c r="O42" s="8"/>
      <c r="P42"/>
      <c r="Q42" s="8"/>
    </row>
    <row r="43" spans="2:17" s="16" customFormat="1" x14ac:dyDescent="0.25">
      <c r="B43" s="38">
        <v>3</v>
      </c>
      <c r="C43" s="39" t="s">
        <v>55</v>
      </c>
      <c r="D43" s="40" t="s">
        <v>56</v>
      </c>
      <c r="E43" s="219"/>
      <c r="F43" s="61" t="s">
        <v>1074</v>
      </c>
      <c r="G43" s="76" t="s">
        <v>101</v>
      </c>
      <c r="H43" s="3">
        <v>35</v>
      </c>
      <c r="I43" s="3">
        <v>4</v>
      </c>
      <c r="J43" s="69">
        <f t="shared" si="0"/>
        <v>0.11428571428571428</v>
      </c>
      <c r="K43" s="90">
        <f>+I43+'JULIO 2025'!K43</f>
        <v>19</v>
      </c>
      <c r="L43" s="94">
        <f t="shared" si="1"/>
        <v>0.54285714285714282</v>
      </c>
      <c r="N43" s="41"/>
      <c r="P43" s="41"/>
    </row>
    <row r="44" spans="2:17" x14ac:dyDescent="0.25">
      <c r="B44" s="38">
        <v>5</v>
      </c>
      <c r="C44" s="39" t="s">
        <v>57</v>
      </c>
      <c r="D44" s="40" t="s">
        <v>58</v>
      </c>
      <c r="E44" s="219"/>
      <c r="F44" s="61" t="s">
        <v>241</v>
      </c>
      <c r="G44" s="62" t="s">
        <v>101</v>
      </c>
      <c r="H44" s="3">
        <v>33</v>
      </c>
      <c r="I44" s="3">
        <v>3</v>
      </c>
      <c r="J44" s="69">
        <f t="shared" si="0"/>
        <v>9.0909090909090912E-2</v>
      </c>
      <c r="K44" s="90">
        <f>+I44+'JULIO 2025'!K44</f>
        <v>18</v>
      </c>
      <c r="L44" s="94">
        <f t="shared" si="1"/>
        <v>0.54545454545454541</v>
      </c>
      <c r="N44"/>
      <c r="O44" s="8"/>
      <c r="P44"/>
      <c r="Q44" s="8"/>
    </row>
    <row r="45" spans="2:17" x14ac:dyDescent="0.25">
      <c r="B45" s="38">
        <v>5</v>
      </c>
      <c r="C45" s="39" t="s">
        <v>59</v>
      </c>
      <c r="D45" s="40" t="s">
        <v>60</v>
      </c>
      <c r="E45" s="219"/>
      <c r="F45" s="61" t="s">
        <v>102</v>
      </c>
      <c r="G45" s="62" t="s">
        <v>101</v>
      </c>
      <c r="H45" s="3">
        <v>35</v>
      </c>
      <c r="I45" s="3">
        <v>4</v>
      </c>
      <c r="J45" s="69">
        <f t="shared" si="0"/>
        <v>0.11428571428571428</v>
      </c>
      <c r="K45" s="90">
        <f>+I45+'JULIO 2025'!K45</f>
        <v>19</v>
      </c>
      <c r="L45" s="94">
        <f t="shared" si="1"/>
        <v>0.54285714285714282</v>
      </c>
      <c r="N45"/>
      <c r="O45" s="8"/>
      <c r="P45"/>
      <c r="Q45" s="8"/>
    </row>
    <row r="46" spans="2:17" x14ac:dyDescent="0.25">
      <c r="B46" s="42">
        <v>8</v>
      </c>
      <c r="C46" s="43" t="s">
        <v>61</v>
      </c>
      <c r="D46" s="44" t="s">
        <v>62</v>
      </c>
      <c r="E46" s="220"/>
      <c r="F46" s="64" t="s">
        <v>212</v>
      </c>
      <c r="G46" s="62" t="s">
        <v>101</v>
      </c>
      <c r="H46" s="97">
        <v>33</v>
      </c>
      <c r="I46" s="97">
        <v>4</v>
      </c>
      <c r="J46" s="72">
        <f t="shared" si="0"/>
        <v>0.12121212121212122</v>
      </c>
      <c r="K46" s="91">
        <f>+I46+'JULIO 2025'!K46</f>
        <v>18</v>
      </c>
      <c r="L46" s="96">
        <f t="shared" si="1"/>
        <v>0.54545454545454541</v>
      </c>
      <c r="N46"/>
      <c r="O46" s="8"/>
      <c r="P46"/>
      <c r="Q46" s="8"/>
    </row>
    <row r="47" spans="2:17" x14ac:dyDescent="0.25">
      <c r="B47" s="35">
        <v>3</v>
      </c>
      <c r="C47" s="36" t="s">
        <v>43</v>
      </c>
      <c r="D47" s="37" t="s">
        <v>44</v>
      </c>
      <c r="E47" s="218" t="s">
        <v>108</v>
      </c>
      <c r="F47" s="59" t="s">
        <v>45</v>
      </c>
      <c r="G47" s="60" t="s">
        <v>104</v>
      </c>
      <c r="H47" s="89">
        <v>20</v>
      </c>
      <c r="I47" s="89">
        <v>3</v>
      </c>
      <c r="J47" s="69">
        <f t="shared" si="0"/>
        <v>0.15</v>
      </c>
      <c r="K47" s="103">
        <f>+I47+'JULIO 2025'!K47</f>
        <v>15</v>
      </c>
      <c r="L47" s="94">
        <f t="shared" si="1"/>
        <v>0.75</v>
      </c>
      <c r="N47"/>
      <c r="O47" s="8"/>
      <c r="P47"/>
      <c r="Q47" s="8"/>
    </row>
    <row r="48" spans="2:17" x14ac:dyDescent="0.25">
      <c r="B48" s="38">
        <v>3</v>
      </c>
      <c r="C48" s="39" t="s">
        <v>46</v>
      </c>
      <c r="D48" s="40" t="s">
        <v>47</v>
      </c>
      <c r="E48" s="219"/>
      <c r="F48" s="61" t="s">
        <v>48</v>
      </c>
      <c r="G48" s="62" t="s">
        <v>104</v>
      </c>
      <c r="H48" s="2">
        <v>20</v>
      </c>
      <c r="I48" s="3">
        <v>3</v>
      </c>
      <c r="J48" s="69">
        <f t="shared" si="0"/>
        <v>0.15</v>
      </c>
      <c r="K48" s="90">
        <f>+I48+'JULIO 2025'!K48</f>
        <v>15</v>
      </c>
      <c r="L48" s="94">
        <f t="shared" si="1"/>
        <v>0.75</v>
      </c>
      <c r="N48"/>
      <c r="O48" s="8"/>
      <c r="P48"/>
      <c r="Q48" s="8"/>
    </row>
    <row r="49" spans="2:17" x14ac:dyDescent="0.25">
      <c r="B49" s="38">
        <v>3</v>
      </c>
      <c r="C49" s="39" t="s">
        <v>98</v>
      </c>
      <c r="D49" s="40" t="s">
        <v>99</v>
      </c>
      <c r="E49" s="219"/>
      <c r="F49" s="61" t="s">
        <v>48</v>
      </c>
      <c r="G49" s="63" t="s">
        <v>104</v>
      </c>
      <c r="H49" s="3">
        <v>20</v>
      </c>
      <c r="I49" s="4">
        <v>4</v>
      </c>
      <c r="J49" s="69">
        <f t="shared" si="0"/>
        <v>0.2</v>
      </c>
      <c r="K49" s="90">
        <f>+I49+'JULIO 2025'!K49</f>
        <v>20</v>
      </c>
      <c r="L49" s="94">
        <f t="shared" si="1"/>
        <v>1</v>
      </c>
      <c r="N49"/>
      <c r="O49" s="8"/>
      <c r="P49"/>
      <c r="Q49" s="8"/>
    </row>
    <row r="50" spans="2:17" x14ac:dyDescent="0.25">
      <c r="B50" s="38">
        <v>3</v>
      </c>
      <c r="C50" s="39" t="s">
        <v>49</v>
      </c>
      <c r="D50" s="40" t="s">
        <v>50</v>
      </c>
      <c r="E50" s="219"/>
      <c r="F50" s="61" t="s">
        <v>51</v>
      </c>
      <c r="G50" s="63" t="s">
        <v>252</v>
      </c>
      <c r="H50" s="3">
        <v>20</v>
      </c>
      <c r="I50" s="3">
        <v>3</v>
      </c>
      <c r="J50" s="69">
        <f t="shared" si="0"/>
        <v>0.15</v>
      </c>
      <c r="K50" s="90">
        <f>+I50+'JULIO 2025'!K50</f>
        <v>15</v>
      </c>
      <c r="L50" s="94">
        <f t="shared" si="1"/>
        <v>0.75</v>
      </c>
      <c r="N50"/>
      <c r="O50" s="8"/>
      <c r="P50"/>
      <c r="Q50" s="8"/>
    </row>
    <row r="51" spans="2:17" x14ac:dyDescent="0.25">
      <c r="B51" s="38">
        <v>3</v>
      </c>
      <c r="C51" s="39" t="s">
        <v>52</v>
      </c>
      <c r="D51" s="40" t="s">
        <v>53</v>
      </c>
      <c r="E51" s="219"/>
      <c r="F51" s="61" t="s">
        <v>54</v>
      </c>
      <c r="G51" s="62" t="s">
        <v>104</v>
      </c>
      <c r="H51" s="3">
        <v>20</v>
      </c>
      <c r="I51" s="3">
        <v>4</v>
      </c>
      <c r="J51" s="69">
        <f t="shared" si="0"/>
        <v>0.2</v>
      </c>
      <c r="K51" s="90">
        <f>+I51+'JULIO 2025'!K51</f>
        <v>20</v>
      </c>
      <c r="L51" s="94">
        <f t="shared" si="1"/>
        <v>1</v>
      </c>
      <c r="N51"/>
      <c r="O51" s="8"/>
      <c r="P51"/>
      <c r="Q51" s="8"/>
    </row>
    <row r="52" spans="2:17" s="16" customFormat="1" x14ac:dyDescent="0.25">
      <c r="B52" s="38">
        <v>3</v>
      </c>
      <c r="C52" s="39" t="s">
        <v>55</v>
      </c>
      <c r="D52" s="40" t="s">
        <v>56</v>
      </c>
      <c r="E52" s="219"/>
      <c r="F52" s="61" t="s">
        <v>54</v>
      </c>
      <c r="G52" s="62" t="s">
        <v>105</v>
      </c>
      <c r="H52" s="3">
        <v>20</v>
      </c>
      <c r="I52" s="3">
        <v>3</v>
      </c>
      <c r="J52" s="69">
        <f t="shared" si="0"/>
        <v>0.15</v>
      </c>
      <c r="K52" s="90">
        <f>+I52+'JULIO 2025'!K52</f>
        <v>15</v>
      </c>
      <c r="L52" s="94">
        <f t="shared" si="1"/>
        <v>0.75</v>
      </c>
      <c r="N52" s="41"/>
      <c r="P52" s="41"/>
    </row>
    <row r="53" spans="2:17" x14ac:dyDescent="0.25">
      <c r="B53" s="38">
        <v>5</v>
      </c>
      <c r="C53" s="39" t="s">
        <v>57</v>
      </c>
      <c r="D53" s="40" t="s">
        <v>58</v>
      </c>
      <c r="E53" s="219"/>
      <c r="F53" s="61" t="s">
        <v>54</v>
      </c>
      <c r="G53" s="62" t="s">
        <v>106</v>
      </c>
      <c r="H53" s="3">
        <v>20</v>
      </c>
      <c r="I53" s="3">
        <v>3</v>
      </c>
      <c r="J53" s="69">
        <f t="shared" si="0"/>
        <v>0.15</v>
      </c>
      <c r="K53" s="90">
        <f>+I53+'JULIO 2025'!K53</f>
        <v>15</v>
      </c>
      <c r="L53" s="94">
        <f t="shared" si="1"/>
        <v>0.75</v>
      </c>
      <c r="N53"/>
      <c r="O53" s="8"/>
      <c r="P53"/>
      <c r="Q53" s="8"/>
    </row>
    <row r="54" spans="2:17" x14ac:dyDescent="0.25">
      <c r="B54" s="38">
        <v>5</v>
      </c>
      <c r="C54" s="39" t="s">
        <v>59</v>
      </c>
      <c r="D54" s="40" t="s">
        <v>60</v>
      </c>
      <c r="E54" s="219"/>
      <c r="F54" s="61" t="s">
        <v>54</v>
      </c>
      <c r="G54" s="62" t="s">
        <v>253</v>
      </c>
      <c r="H54" s="3">
        <v>20</v>
      </c>
      <c r="I54" s="3">
        <v>4</v>
      </c>
      <c r="J54" s="69">
        <f t="shared" si="0"/>
        <v>0.2</v>
      </c>
      <c r="K54" s="90">
        <f>+I54+'JULIO 2025'!K54</f>
        <v>20</v>
      </c>
      <c r="L54" s="94">
        <f t="shared" si="1"/>
        <v>1</v>
      </c>
      <c r="N54"/>
      <c r="O54" s="8"/>
      <c r="P54"/>
      <c r="Q54" s="8"/>
    </row>
    <row r="55" spans="2:17" x14ac:dyDescent="0.25">
      <c r="B55" s="42">
        <v>8</v>
      </c>
      <c r="C55" s="43" t="s">
        <v>61</v>
      </c>
      <c r="D55" s="44" t="s">
        <v>62</v>
      </c>
      <c r="E55" s="220"/>
      <c r="F55" s="64" t="s">
        <v>63</v>
      </c>
      <c r="G55" s="65" t="s">
        <v>107</v>
      </c>
      <c r="H55" s="97">
        <v>20</v>
      </c>
      <c r="I55" s="97">
        <v>3</v>
      </c>
      <c r="J55" s="72">
        <f t="shared" si="0"/>
        <v>0.15</v>
      </c>
      <c r="K55" s="91">
        <f>+I55+'JULIO 2025'!K55</f>
        <v>15</v>
      </c>
      <c r="L55" s="96">
        <f t="shared" si="1"/>
        <v>0.75</v>
      </c>
      <c r="N55"/>
      <c r="O55" s="8"/>
      <c r="P55"/>
      <c r="Q55" s="8"/>
    </row>
    <row r="56" spans="2:17" x14ac:dyDescent="0.25">
      <c r="B56" s="35">
        <v>3</v>
      </c>
      <c r="C56" s="36" t="s">
        <v>43</v>
      </c>
      <c r="D56" s="37" t="s">
        <v>44</v>
      </c>
      <c r="E56" s="218" t="s">
        <v>171</v>
      </c>
      <c r="F56" s="59" t="s">
        <v>1097</v>
      </c>
      <c r="G56" s="60" t="s">
        <v>109</v>
      </c>
      <c r="H56" s="123">
        <v>18</v>
      </c>
      <c r="I56" s="66">
        <v>3</v>
      </c>
      <c r="J56" s="69">
        <f t="shared" si="0"/>
        <v>0.16666666666666666</v>
      </c>
      <c r="K56" s="103">
        <f>+I56+'JULIO 2025'!K56</f>
        <v>15</v>
      </c>
      <c r="L56" s="94">
        <f t="shared" si="1"/>
        <v>0.83333333333333337</v>
      </c>
      <c r="N56"/>
      <c r="O56" s="8"/>
      <c r="P56"/>
      <c r="Q56" s="8"/>
    </row>
    <row r="57" spans="2:17" x14ac:dyDescent="0.25">
      <c r="B57" s="38">
        <v>3</v>
      </c>
      <c r="C57" s="39" t="s">
        <v>46</v>
      </c>
      <c r="D57" s="40" t="s">
        <v>47</v>
      </c>
      <c r="E57" s="219"/>
      <c r="F57" s="61" t="s">
        <v>692</v>
      </c>
      <c r="G57" s="62" t="s">
        <v>184</v>
      </c>
      <c r="H57" s="124">
        <v>36</v>
      </c>
      <c r="I57" s="55">
        <v>6</v>
      </c>
      <c r="J57" s="69">
        <f t="shared" si="0"/>
        <v>0.16666666666666666</v>
      </c>
      <c r="K57" s="90">
        <f>+I57+'JULIO 2025'!K57</f>
        <v>30</v>
      </c>
      <c r="L57" s="94">
        <f t="shared" si="1"/>
        <v>0.83333333333333337</v>
      </c>
      <c r="N57"/>
      <c r="O57" s="8"/>
      <c r="P57"/>
      <c r="Q57" s="8"/>
    </row>
    <row r="58" spans="2:17" x14ac:dyDescent="0.25">
      <c r="B58" s="38">
        <v>3</v>
      </c>
      <c r="C58" s="39" t="s">
        <v>98</v>
      </c>
      <c r="D58" s="40" t="s">
        <v>99</v>
      </c>
      <c r="E58" s="219"/>
      <c r="F58" s="61" t="s">
        <v>1098</v>
      </c>
      <c r="G58" s="63" t="s">
        <v>173</v>
      </c>
      <c r="H58" s="125">
        <v>12</v>
      </c>
      <c r="I58" s="70">
        <v>2</v>
      </c>
      <c r="J58" s="69">
        <f t="shared" si="0"/>
        <v>0.16666666666666666</v>
      </c>
      <c r="K58" s="90">
        <f>+I58+'JULIO 2025'!K58</f>
        <v>10</v>
      </c>
      <c r="L58" s="94">
        <f t="shared" si="1"/>
        <v>0.83333333333333337</v>
      </c>
      <c r="N58"/>
      <c r="O58" s="8"/>
      <c r="P58"/>
      <c r="Q58" s="8"/>
    </row>
    <row r="59" spans="2:17" x14ac:dyDescent="0.25">
      <c r="B59" s="38">
        <v>3</v>
      </c>
      <c r="C59" s="39" t="s">
        <v>49</v>
      </c>
      <c r="D59" s="40" t="s">
        <v>50</v>
      </c>
      <c r="E59" s="219"/>
      <c r="F59" s="61" t="s">
        <v>1099</v>
      </c>
      <c r="G59" s="63" t="s">
        <v>516</v>
      </c>
      <c r="H59" s="125">
        <v>36</v>
      </c>
      <c r="I59" s="55">
        <v>6</v>
      </c>
      <c r="J59" s="69">
        <f t="shared" si="0"/>
        <v>0.16666666666666666</v>
      </c>
      <c r="K59" s="90">
        <f>+I59+'JULIO 2025'!K59</f>
        <v>30</v>
      </c>
      <c r="L59" s="94">
        <f t="shared" si="1"/>
        <v>0.83333333333333337</v>
      </c>
      <c r="N59"/>
      <c r="O59" s="8"/>
      <c r="P59"/>
      <c r="Q59" s="8"/>
    </row>
    <row r="60" spans="2:17" x14ac:dyDescent="0.25">
      <c r="B60" s="38">
        <v>3</v>
      </c>
      <c r="C60" s="39" t="s">
        <v>52</v>
      </c>
      <c r="D60" s="40" t="s">
        <v>53</v>
      </c>
      <c r="E60" s="219"/>
      <c r="F60" s="61" t="s">
        <v>250</v>
      </c>
      <c r="G60" s="62" t="s">
        <v>185</v>
      </c>
      <c r="H60" s="125">
        <v>18</v>
      </c>
      <c r="I60" s="55">
        <v>3</v>
      </c>
      <c r="J60" s="69">
        <f t="shared" si="0"/>
        <v>0.16666666666666666</v>
      </c>
      <c r="K60" s="90">
        <f>+I60+'JULIO 2025'!K60</f>
        <v>15</v>
      </c>
      <c r="L60" s="94">
        <f t="shared" si="1"/>
        <v>0.83333333333333337</v>
      </c>
      <c r="N60"/>
      <c r="O60" s="8"/>
      <c r="P60"/>
      <c r="Q60" s="8"/>
    </row>
    <row r="61" spans="2:17" s="16" customFormat="1" x14ac:dyDescent="0.25">
      <c r="B61" s="38">
        <v>3</v>
      </c>
      <c r="C61" s="39" t="s">
        <v>55</v>
      </c>
      <c r="D61" s="40" t="s">
        <v>56</v>
      </c>
      <c r="E61" s="219"/>
      <c r="F61" s="61" t="s">
        <v>947</v>
      </c>
      <c r="G61" s="62" t="s">
        <v>186</v>
      </c>
      <c r="H61" s="125">
        <v>18</v>
      </c>
      <c r="I61" s="55">
        <v>3</v>
      </c>
      <c r="J61" s="69">
        <f t="shared" si="0"/>
        <v>0.16666666666666666</v>
      </c>
      <c r="K61" s="90">
        <f>+I61+'JULIO 2025'!K61</f>
        <v>15</v>
      </c>
      <c r="L61" s="94">
        <f t="shared" si="1"/>
        <v>0.83333333333333337</v>
      </c>
      <c r="N61" s="41"/>
      <c r="P61" s="41"/>
    </row>
    <row r="62" spans="2:17" x14ac:dyDescent="0.25">
      <c r="B62" s="38">
        <v>5</v>
      </c>
      <c r="C62" s="39" t="s">
        <v>57</v>
      </c>
      <c r="D62" s="40" t="s">
        <v>58</v>
      </c>
      <c r="E62" s="219"/>
      <c r="F62" s="61" t="s">
        <v>1100</v>
      </c>
      <c r="G62" s="62" t="s">
        <v>175</v>
      </c>
      <c r="H62" s="125">
        <v>12</v>
      </c>
      <c r="I62" s="55">
        <v>2</v>
      </c>
      <c r="J62" s="69">
        <f t="shared" si="0"/>
        <v>0.16666666666666666</v>
      </c>
      <c r="K62" s="90">
        <f>+I62+'JULIO 2025'!K62</f>
        <v>10</v>
      </c>
      <c r="L62" s="94">
        <f t="shared" si="1"/>
        <v>0.83333333333333337</v>
      </c>
      <c r="N62"/>
      <c r="O62" s="8"/>
      <c r="P62"/>
      <c r="Q62" s="8"/>
    </row>
    <row r="63" spans="2:17" x14ac:dyDescent="0.25">
      <c r="B63" s="38">
        <v>5</v>
      </c>
      <c r="C63" s="39" t="s">
        <v>59</v>
      </c>
      <c r="D63" s="40" t="s">
        <v>60</v>
      </c>
      <c r="E63" s="219"/>
      <c r="F63" s="61" t="s">
        <v>697</v>
      </c>
      <c r="G63" s="62" t="s">
        <v>516</v>
      </c>
      <c r="H63" s="125">
        <v>18</v>
      </c>
      <c r="I63" s="55">
        <v>3</v>
      </c>
      <c r="J63" s="69">
        <f t="shared" si="0"/>
        <v>0.16666666666666666</v>
      </c>
      <c r="K63" s="90">
        <f>+I63+'JULIO 2025'!K63</f>
        <v>15</v>
      </c>
      <c r="L63" s="94">
        <f t="shared" si="1"/>
        <v>0.83333333333333337</v>
      </c>
      <c r="N63"/>
      <c r="O63" s="8"/>
      <c r="P63"/>
      <c r="Q63" s="8"/>
    </row>
    <row r="64" spans="2:17" x14ac:dyDescent="0.25">
      <c r="B64" s="42">
        <v>8</v>
      </c>
      <c r="C64" s="43" t="s">
        <v>61</v>
      </c>
      <c r="D64" s="44" t="s">
        <v>62</v>
      </c>
      <c r="E64" s="220"/>
      <c r="F64" s="64" t="s">
        <v>1101</v>
      </c>
      <c r="G64" s="65" t="s">
        <v>109</v>
      </c>
      <c r="H64" s="126">
        <v>12</v>
      </c>
      <c r="I64" s="56">
        <v>2</v>
      </c>
      <c r="J64" s="72">
        <f t="shared" si="0"/>
        <v>0.16666666666666666</v>
      </c>
      <c r="K64" s="91">
        <f>+I64+'JULIO 2025'!K64</f>
        <v>10</v>
      </c>
      <c r="L64" s="96">
        <f t="shared" si="1"/>
        <v>0.83333333333333337</v>
      </c>
      <c r="N64"/>
      <c r="O64" s="8"/>
      <c r="P64"/>
      <c r="Q64" s="8"/>
    </row>
    <row r="65" spans="2:17" x14ac:dyDescent="0.25">
      <c r="B65" s="35">
        <v>3</v>
      </c>
      <c r="C65" s="36" t="s">
        <v>43</v>
      </c>
      <c r="D65" s="37" t="s">
        <v>44</v>
      </c>
      <c r="E65" s="218" t="s">
        <v>115</v>
      </c>
      <c r="F65" s="59" t="s">
        <v>1012</v>
      </c>
      <c r="G65" s="60" t="s">
        <v>1013</v>
      </c>
      <c r="H65" s="66">
        <v>30</v>
      </c>
      <c r="I65" s="66">
        <v>4</v>
      </c>
      <c r="J65" s="69">
        <f t="shared" si="0"/>
        <v>0.13333333333333333</v>
      </c>
      <c r="K65" s="103">
        <f>+I65+'JULIO 2025'!K65</f>
        <v>20</v>
      </c>
      <c r="L65" s="94">
        <f t="shared" si="1"/>
        <v>0.66666666666666663</v>
      </c>
      <c r="N65"/>
      <c r="O65" s="8"/>
      <c r="P65"/>
      <c r="Q65" s="8"/>
    </row>
    <row r="66" spans="2:17" x14ac:dyDescent="0.25">
      <c r="B66" s="38">
        <v>3</v>
      </c>
      <c r="C66" s="39" t="s">
        <v>46</v>
      </c>
      <c r="D66" s="40" t="s">
        <v>47</v>
      </c>
      <c r="E66" s="219"/>
      <c r="F66" s="61" t="s">
        <v>1014</v>
      </c>
      <c r="G66" s="61" t="s">
        <v>700</v>
      </c>
      <c r="H66" s="68">
        <v>30</v>
      </c>
      <c r="I66" s="55">
        <v>3</v>
      </c>
      <c r="J66" s="69">
        <f t="shared" si="0"/>
        <v>0.1</v>
      </c>
      <c r="K66" s="90">
        <f>+I66+'JULIO 2025'!K66</f>
        <v>18</v>
      </c>
      <c r="L66" s="94">
        <f t="shared" si="1"/>
        <v>0.6</v>
      </c>
      <c r="N66"/>
      <c r="O66" s="8"/>
      <c r="P66"/>
      <c r="Q66" s="8"/>
    </row>
    <row r="67" spans="2:17" x14ac:dyDescent="0.25">
      <c r="B67" s="38">
        <v>3</v>
      </c>
      <c r="C67" s="39" t="s">
        <v>98</v>
      </c>
      <c r="D67" s="40" t="s">
        <v>99</v>
      </c>
      <c r="E67" s="219"/>
      <c r="F67" s="61" t="s">
        <v>1015</v>
      </c>
      <c r="G67" s="63" t="s">
        <v>700</v>
      </c>
      <c r="H67" s="55">
        <v>30</v>
      </c>
      <c r="I67" s="70">
        <v>3</v>
      </c>
      <c r="J67" s="69">
        <f t="shared" si="0"/>
        <v>0.1</v>
      </c>
      <c r="K67" s="90">
        <f>+I67+'JULIO 2025'!K67</f>
        <v>17</v>
      </c>
      <c r="L67" s="94">
        <f t="shared" si="1"/>
        <v>0.56666666666666665</v>
      </c>
      <c r="N67"/>
      <c r="O67" s="8"/>
      <c r="P67"/>
      <c r="Q67" s="8"/>
    </row>
    <row r="68" spans="2:17" x14ac:dyDescent="0.25">
      <c r="B68" s="38">
        <v>3</v>
      </c>
      <c r="C68" s="39" t="s">
        <v>49</v>
      </c>
      <c r="D68" s="40" t="s">
        <v>50</v>
      </c>
      <c r="E68" s="219"/>
      <c r="F68" s="61" t="s">
        <v>1016</v>
      </c>
      <c r="G68" s="63" t="s">
        <v>114</v>
      </c>
      <c r="H68" s="55">
        <v>30</v>
      </c>
      <c r="I68" s="55">
        <v>3</v>
      </c>
      <c r="J68" s="69">
        <f t="shared" si="0"/>
        <v>0.1</v>
      </c>
      <c r="K68" s="90">
        <f>+I68+'JULIO 2025'!K68</f>
        <v>17</v>
      </c>
      <c r="L68" s="94">
        <f t="shared" si="1"/>
        <v>0.56666666666666665</v>
      </c>
      <c r="N68"/>
      <c r="O68" s="8"/>
      <c r="P68"/>
      <c r="Q68" s="8"/>
    </row>
    <row r="69" spans="2:17" x14ac:dyDescent="0.25">
      <c r="B69" s="38">
        <v>3</v>
      </c>
      <c r="C69" s="39" t="s">
        <v>52</v>
      </c>
      <c r="D69" s="40" t="s">
        <v>53</v>
      </c>
      <c r="E69" s="219"/>
      <c r="F69" s="61" t="s">
        <v>1017</v>
      </c>
      <c r="G69" s="62" t="s">
        <v>871</v>
      </c>
      <c r="H69" s="55">
        <v>30</v>
      </c>
      <c r="I69" s="55">
        <v>3</v>
      </c>
      <c r="J69" s="69">
        <f t="shared" si="0"/>
        <v>0.1</v>
      </c>
      <c r="K69" s="90">
        <f>+I69+'JULIO 2025'!K69</f>
        <v>15</v>
      </c>
      <c r="L69" s="94">
        <f t="shared" si="1"/>
        <v>0.5</v>
      </c>
      <c r="N69"/>
      <c r="O69" s="8"/>
      <c r="P69"/>
      <c r="Q69" s="8"/>
    </row>
    <row r="70" spans="2:17" s="16" customFormat="1" x14ac:dyDescent="0.25">
      <c r="B70" s="38">
        <v>3</v>
      </c>
      <c r="C70" s="39" t="s">
        <v>55</v>
      </c>
      <c r="D70" s="40" t="s">
        <v>56</v>
      </c>
      <c r="E70" s="219"/>
      <c r="F70" s="61" t="s">
        <v>872</v>
      </c>
      <c r="G70" s="62" t="s">
        <v>114</v>
      </c>
      <c r="H70" s="55">
        <v>30</v>
      </c>
      <c r="I70" s="55">
        <v>3</v>
      </c>
      <c r="J70" s="69">
        <f t="shared" si="0"/>
        <v>0.1</v>
      </c>
      <c r="K70" s="90">
        <f>+I70+'JULIO 2025'!K70</f>
        <v>15</v>
      </c>
      <c r="L70" s="94">
        <f t="shared" si="1"/>
        <v>0.5</v>
      </c>
      <c r="N70" s="41"/>
      <c r="P70" s="41"/>
    </row>
    <row r="71" spans="2:17" x14ac:dyDescent="0.25">
      <c r="B71" s="38">
        <v>5</v>
      </c>
      <c r="C71" s="39" t="s">
        <v>57</v>
      </c>
      <c r="D71" s="40" t="s">
        <v>58</v>
      </c>
      <c r="E71" s="219"/>
      <c r="F71" s="61" t="s">
        <v>262</v>
      </c>
      <c r="G71" s="62" t="s">
        <v>208</v>
      </c>
      <c r="H71" s="55">
        <v>30</v>
      </c>
      <c r="I71" s="55">
        <v>3</v>
      </c>
      <c r="J71" s="69">
        <f t="shared" si="0"/>
        <v>0.1</v>
      </c>
      <c r="K71" s="90">
        <f>+I71+'JULIO 2025'!K71</f>
        <v>15</v>
      </c>
      <c r="L71" s="94">
        <f t="shared" si="1"/>
        <v>0.5</v>
      </c>
      <c r="N71"/>
      <c r="O71" s="8"/>
      <c r="P71"/>
      <c r="Q71" s="8"/>
    </row>
    <row r="72" spans="2:17" x14ac:dyDescent="0.25">
      <c r="B72" s="38">
        <v>5</v>
      </c>
      <c r="C72" s="39" t="s">
        <v>59</v>
      </c>
      <c r="D72" s="40" t="s">
        <v>60</v>
      </c>
      <c r="E72" s="219"/>
      <c r="F72" s="61" t="s">
        <v>1018</v>
      </c>
      <c r="G72" s="62" t="s">
        <v>114</v>
      </c>
      <c r="H72" s="55">
        <v>30</v>
      </c>
      <c r="I72" s="55">
        <v>4</v>
      </c>
      <c r="J72" s="69">
        <f t="shared" si="0"/>
        <v>0.13333333333333333</v>
      </c>
      <c r="K72" s="90">
        <f>+I72+'JULIO 2025'!K72</f>
        <v>17</v>
      </c>
      <c r="L72" s="94">
        <f t="shared" si="1"/>
        <v>0.56666666666666665</v>
      </c>
      <c r="N72"/>
      <c r="O72" s="8"/>
      <c r="P72"/>
      <c r="Q72" s="8"/>
    </row>
    <row r="73" spans="2:17" x14ac:dyDescent="0.25">
      <c r="B73" s="42">
        <v>8</v>
      </c>
      <c r="C73" s="43" t="s">
        <v>61</v>
      </c>
      <c r="D73" s="44" t="s">
        <v>62</v>
      </c>
      <c r="E73" s="220"/>
      <c r="F73" s="64" t="s">
        <v>706</v>
      </c>
      <c r="G73" s="65" t="s">
        <v>114</v>
      </c>
      <c r="H73" s="56">
        <v>30</v>
      </c>
      <c r="I73" s="56">
        <v>4</v>
      </c>
      <c r="J73" s="72">
        <f t="shared" si="0"/>
        <v>0.13333333333333333</v>
      </c>
      <c r="K73" s="91">
        <f>+I73+'JULIO 2025'!K73</f>
        <v>16</v>
      </c>
      <c r="L73" s="96">
        <f t="shared" si="1"/>
        <v>0.53333333333333333</v>
      </c>
      <c r="N73"/>
      <c r="O73" s="8"/>
      <c r="P73"/>
      <c r="Q73" s="8"/>
    </row>
    <row r="74" spans="2:17" x14ac:dyDescent="0.25">
      <c r="B74" s="35">
        <v>3</v>
      </c>
      <c r="C74" s="36" t="s">
        <v>43</v>
      </c>
      <c r="D74" s="37" t="s">
        <v>44</v>
      </c>
      <c r="E74" s="218" t="s">
        <v>116</v>
      </c>
      <c r="F74" s="59" t="s">
        <v>109</v>
      </c>
      <c r="G74" s="60" t="s">
        <v>32</v>
      </c>
      <c r="H74" s="66">
        <v>20</v>
      </c>
      <c r="I74" s="66">
        <v>3</v>
      </c>
      <c r="J74" s="69">
        <f t="shared" si="0"/>
        <v>0.15</v>
      </c>
      <c r="K74" s="103">
        <f>+I74+'JULIO 2025'!K74</f>
        <v>17</v>
      </c>
      <c r="L74" s="94">
        <f t="shared" si="1"/>
        <v>0.85</v>
      </c>
      <c r="N74"/>
      <c r="O74" s="8"/>
      <c r="P74"/>
      <c r="Q74" s="8"/>
    </row>
    <row r="75" spans="2:17" x14ac:dyDescent="0.25">
      <c r="B75" s="38">
        <v>3</v>
      </c>
      <c r="C75" s="39" t="s">
        <v>46</v>
      </c>
      <c r="D75" s="40" t="s">
        <v>47</v>
      </c>
      <c r="E75" s="219"/>
      <c r="F75" s="61" t="s">
        <v>110</v>
      </c>
      <c r="G75" s="61" t="s">
        <v>32</v>
      </c>
      <c r="H75" s="68">
        <v>14</v>
      </c>
      <c r="I75" s="55">
        <v>2</v>
      </c>
      <c r="J75" s="69">
        <f t="shared" si="0"/>
        <v>0.14285714285714285</v>
      </c>
      <c r="K75" s="90">
        <f>+I75+'JULIO 2025'!K75</f>
        <v>12</v>
      </c>
      <c r="L75" s="94">
        <f t="shared" si="1"/>
        <v>0.8571428571428571</v>
      </c>
      <c r="N75"/>
      <c r="O75" s="8"/>
      <c r="P75"/>
      <c r="Q75" s="8"/>
    </row>
    <row r="76" spans="2:17" x14ac:dyDescent="0.25">
      <c r="B76" s="38">
        <v>3</v>
      </c>
      <c r="C76" s="39" t="s">
        <v>98</v>
      </c>
      <c r="D76" s="40" t="s">
        <v>99</v>
      </c>
      <c r="E76" s="219"/>
      <c r="F76" s="61" t="s">
        <v>187</v>
      </c>
      <c r="G76" s="63" t="s">
        <v>32</v>
      </c>
      <c r="H76" s="55">
        <v>28</v>
      </c>
      <c r="I76" s="70">
        <v>5</v>
      </c>
      <c r="J76" s="69">
        <f t="shared" si="0"/>
        <v>0.17857142857142858</v>
      </c>
      <c r="K76" s="90">
        <f>+I76+'JULIO 2025'!K76</f>
        <v>25</v>
      </c>
      <c r="L76" s="94">
        <f t="shared" si="1"/>
        <v>0.8928571428571429</v>
      </c>
      <c r="N76"/>
      <c r="O76" s="8"/>
      <c r="P76"/>
      <c r="Q76" s="8"/>
    </row>
    <row r="77" spans="2:17" x14ac:dyDescent="0.25">
      <c r="B77" s="38">
        <v>3</v>
      </c>
      <c r="C77" s="39" t="s">
        <v>49</v>
      </c>
      <c r="D77" s="40" t="s">
        <v>50</v>
      </c>
      <c r="E77" s="219"/>
      <c r="F77" s="61" t="s">
        <v>185</v>
      </c>
      <c r="G77" s="63" t="s">
        <v>32</v>
      </c>
      <c r="H77" s="55">
        <v>16</v>
      </c>
      <c r="I77" s="55">
        <v>4</v>
      </c>
      <c r="J77" s="69">
        <f t="shared" si="0"/>
        <v>0.25</v>
      </c>
      <c r="K77" s="90">
        <f>+I77+'JULIO 2025'!K77</f>
        <v>14</v>
      </c>
      <c r="L77" s="94">
        <f t="shared" si="1"/>
        <v>0.875</v>
      </c>
      <c r="N77"/>
      <c r="O77" s="8"/>
      <c r="P77"/>
      <c r="Q77" s="8"/>
    </row>
    <row r="78" spans="2:17" x14ac:dyDescent="0.25">
      <c r="B78" s="38">
        <v>3</v>
      </c>
      <c r="C78" s="39" t="s">
        <v>52</v>
      </c>
      <c r="D78" s="40" t="s">
        <v>53</v>
      </c>
      <c r="E78" s="219"/>
      <c r="F78" s="61" t="s">
        <v>111</v>
      </c>
      <c r="G78" s="62" t="s">
        <v>32</v>
      </c>
      <c r="H78" s="55">
        <v>16</v>
      </c>
      <c r="I78" s="55">
        <v>3</v>
      </c>
      <c r="J78" s="69">
        <f t="shared" si="0"/>
        <v>0.1875</v>
      </c>
      <c r="K78" s="90">
        <f>+I78+'JULIO 2025'!K78</f>
        <v>13</v>
      </c>
      <c r="L78" s="94">
        <f t="shared" si="1"/>
        <v>0.8125</v>
      </c>
      <c r="N78"/>
      <c r="O78" s="8"/>
      <c r="P78"/>
      <c r="Q78" s="8"/>
    </row>
    <row r="79" spans="2:17" s="16" customFormat="1" x14ac:dyDescent="0.25">
      <c r="B79" s="38">
        <v>3</v>
      </c>
      <c r="C79" s="39" t="s">
        <v>55</v>
      </c>
      <c r="D79" s="40" t="s">
        <v>56</v>
      </c>
      <c r="E79" s="219"/>
      <c r="F79" s="61" t="s">
        <v>188</v>
      </c>
      <c r="G79" s="62" t="s">
        <v>32</v>
      </c>
      <c r="H79" s="55">
        <v>12</v>
      </c>
      <c r="I79" s="55">
        <v>1</v>
      </c>
      <c r="J79" s="69">
        <f t="shared" ref="J79:J142" si="2">IFERROR(I79/H79,0)</f>
        <v>8.3333333333333329E-2</v>
      </c>
      <c r="K79" s="90">
        <f>+I79+'JULIO 2025'!K79</f>
        <v>10</v>
      </c>
      <c r="L79" s="94">
        <f t="shared" ref="L79:L142" si="3">IFERROR(K79/H79,0)</f>
        <v>0.83333333333333337</v>
      </c>
      <c r="N79" s="41"/>
      <c r="P79" s="41"/>
    </row>
    <row r="80" spans="2:17" x14ac:dyDescent="0.25">
      <c r="B80" s="38">
        <v>5</v>
      </c>
      <c r="C80" s="39" t="s">
        <v>57</v>
      </c>
      <c r="D80" s="40" t="s">
        <v>58</v>
      </c>
      <c r="E80" s="219"/>
      <c r="F80" s="73" t="s">
        <v>113</v>
      </c>
      <c r="G80" s="62" t="s">
        <v>32</v>
      </c>
      <c r="H80" s="55">
        <v>24</v>
      </c>
      <c r="I80" s="55">
        <v>4</v>
      </c>
      <c r="J80" s="69">
        <f t="shared" si="2"/>
        <v>0.16666666666666666</v>
      </c>
      <c r="K80" s="90">
        <f>+I80+'JULIO 2025'!K80</f>
        <v>19</v>
      </c>
      <c r="L80" s="94">
        <f t="shared" si="3"/>
        <v>0.79166666666666663</v>
      </c>
      <c r="N80"/>
      <c r="O80" s="8"/>
      <c r="P80"/>
      <c r="Q80" s="8"/>
    </row>
    <row r="81" spans="2:17" x14ac:dyDescent="0.25">
      <c r="B81" s="38">
        <v>5</v>
      </c>
      <c r="C81" s="39" t="s">
        <v>59</v>
      </c>
      <c r="D81" s="40" t="s">
        <v>60</v>
      </c>
      <c r="E81" s="219"/>
      <c r="F81" s="61" t="s">
        <v>189</v>
      </c>
      <c r="G81" s="62" t="s">
        <v>32</v>
      </c>
      <c r="H81" s="55">
        <v>26</v>
      </c>
      <c r="I81" s="55">
        <v>5</v>
      </c>
      <c r="J81" s="69">
        <f t="shared" si="2"/>
        <v>0.19230769230769232</v>
      </c>
      <c r="K81" s="90">
        <f>+I81+'JULIO 2025'!K81</f>
        <v>21</v>
      </c>
      <c r="L81" s="94">
        <f t="shared" si="3"/>
        <v>0.80769230769230771</v>
      </c>
      <c r="N81"/>
      <c r="O81" s="8"/>
      <c r="P81"/>
      <c r="Q81" s="8"/>
    </row>
    <row r="82" spans="2:17" x14ac:dyDescent="0.25">
      <c r="B82" s="42">
        <v>8</v>
      </c>
      <c r="C82" s="43" t="s">
        <v>61</v>
      </c>
      <c r="D82" s="44" t="s">
        <v>62</v>
      </c>
      <c r="E82" s="220"/>
      <c r="F82" s="64" t="s">
        <v>534</v>
      </c>
      <c r="G82" s="65" t="s">
        <v>32</v>
      </c>
      <c r="H82" s="56">
        <v>24</v>
      </c>
      <c r="I82" s="56">
        <v>3</v>
      </c>
      <c r="J82" s="72">
        <f t="shared" si="2"/>
        <v>0.125</v>
      </c>
      <c r="K82" s="91">
        <f>+I82+'JULIO 2025'!K82</f>
        <v>19</v>
      </c>
      <c r="L82" s="96">
        <f t="shared" si="3"/>
        <v>0.79166666666666663</v>
      </c>
      <c r="N82"/>
      <c r="O82" s="8"/>
      <c r="P82"/>
      <c r="Q82" s="8"/>
    </row>
    <row r="83" spans="2:17" x14ac:dyDescent="0.25">
      <c r="B83" s="35">
        <v>3</v>
      </c>
      <c r="C83" s="36" t="s">
        <v>43</v>
      </c>
      <c r="D83" s="37" t="s">
        <v>44</v>
      </c>
      <c r="E83" s="218" t="s">
        <v>117</v>
      </c>
      <c r="F83" s="60" t="s">
        <v>213</v>
      </c>
      <c r="G83" s="60" t="s">
        <v>169</v>
      </c>
      <c r="H83" s="66">
        <v>30</v>
      </c>
      <c r="I83" s="66">
        <v>4</v>
      </c>
      <c r="J83" s="69">
        <f t="shared" si="2"/>
        <v>0.13333333333333333</v>
      </c>
      <c r="K83" s="103">
        <f>+I83+'JULIO 2025'!K83</f>
        <v>16</v>
      </c>
      <c r="L83" s="94">
        <f t="shared" si="3"/>
        <v>0.53333333333333333</v>
      </c>
      <c r="N83"/>
      <c r="O83" s="8"/>
      <c r="P83"/>
      <c r="Q83" s="8"/>
    </row>
    <row r="84" spans="2:17" x14ac:dyDescent="0.25">
      <c r="B84" s="38">
        <v>3</v>
      </c>
      <c r="C84" s="39" t="s">
        <v>46</v>
      </c>
      <c r="D84" s="40" t="s">
        <v>47</v>
      </c>
      <c r="E84" s="219"/>
      <c r="F84" s="74" t="s">
        <v>860</v>
      </c>
      <c r="G84" s="74" t="s">
        <v>861</v>
      </c>
      <c r="H84" s="68">
        <v>30</v>
      </c>
      <c r="I84" s="55">
        <v>4</v>
      </c>
      <c r="J84" s="69">
        <f t="shared" si="2"/>
        <v>0.13333333333333333</v>
      </c>
      <c r="K84" s="90">
        <f>+I84+'JULIO 2025'!K84</f>
        <v>16</v>
      </c>
      <c r="L84" s="94">
        <f t="shared" si="3"/>
        <v>0.53333333333333333</v>
      </c>
      <c r="N84"/>
      <c r="O84" s="8"/>
      <c r="P84"/>
      <c r="Q84" s="8"/>
    </row>
    <row r="85" spans="2:17" x14ac:dyDescent="0.25">
      <c r="B85" s="38">
        <v>3</v>
      </c>
      <c r="C85" s="39" t="s">
        <v>98</v>
      </c>
      <c r="D85" s="40" t="s">
        <v>99</v>
      </c>
      <c r="E85" s="219"/>
      <c r="F85" s="62" t="s">
        <v>862</v>
      </c>
      <c r="G85" s="62" t="s">
        <v>169</v>
      </c>
      <c r="H85" s="55">
        <v>30</v>
      </c>
      <c r="I85" s="70">
        <v>4</v>
      </c>
      <c r="J85" s="69">
        <f t="shared" si="2"/>
        <v>0.13333333333333333</v>
      </c>
      <c r="K85" s="90">
        <f>+I85+'JULIO 2025'!K85</f>
        <v>16</v>
      </c>
      <c r="L85" s="94">
        <f t="shared" si="3"/>
        <v>0.53333333333333333</v>
      </c>
      <c r="N85"/>
      <c r="O85" s="8"/>
      <c r="P85"/>
      <c r="Q85" s="8"/>
    </row>
    <row r="86" spans="2:17" x14ac:dyDescent="0.25">
      <c r="B86" s="38">
        <v>3</v>
      </c>
      <c r="C86" s="39" t="s">
        <v>49</v>
      </c>
      <c r="D86" s="40" t="s">
        <v>50</v>
      </c>
      <c r="E86" s="219"/>
      <c r="F86" s="62" t="s">
        <v>213</v>
      </c>
      <c r="G86" s="62" t="s">
        <v>169</v>
      </c>
      <c r="H86" s="55">
        <v>30</v>
      </c>
      <c r="I86" s="55">
        <v>3</v>
      </c>
      <c r="J86" s="69">
        <f t="shared" si="2"/>
        <v>0.1</v>
      </c>
      <c r="K86" s="90">
        <f>+I86+'JULIO 2025'!K86</f>
        <v>15</v>
      </c>
      <c r="L86" s="94">
        <f t="shared" si="3"/>
        <v>0.5</v>
      </c>
      <c r="N86"/>
      <c r="O86" s="8"/>
      <c r="P86"/>
      <c r="Q86" s="8"/>
    </row>
    <row r="87" spans="2:17" x14ac:dyDescent="0.25">
      <c r="B87" s="38">
        <v>3</v>
      </c>
      <c r="C87" s="39" t="s">
        <v>52</v>
      </c>
      <c r="D87" s="40" t="s">
        <v>53</v>
      </c>
      <c r="E87" s="219"/>
      <c r="F87" s="62" t="s">
        <v>214</v>
      </c>
      <c r="G87" s="62" t="s">
        <v>191</v>
      </c>
      <c r="H87" s="55">
        <v>30</v>
      </c>
      <c r="I87" s="55">
        <v>3</v>
      </c>
      <c r="J87" s="69">
        <f t="shared" si="2"/>
        <v>0.1</v>
      </c>
      <c r="K87" s="90">
        <f>+I87+'JULIO 2025'!K87</f>
        <v>15</v>
      </c>
      <c r="L87" s="94">
        <f t="shared" si="3"/>
        <v>0.5</v>
      </c>
      <c r="N87"/>
      <c r="O87" s="8"/>
      <c r="P87"/>
      <c r="Q87" s="8"/>
    </row>
    <row r="88" spans="2:17" s="16" customFormat="1" x14ac:dyDescent="0.25">
      <c r="B88" s="38">
        <v>3</v>
      </c>
      <c r="C88" s="39" t="s">
        <v>55</v>
      </c>
      <c r="D88" s="40" t="s">
        <v>56</v>
      </c>
      <c r="E88" s="219"/>
      <c r="F88" s="62" t="s">
        <v>215</v>
      </c>
      <c r="G88" s="62"/>
      <c r="H88" s="55">
        <v>30</v>
      </c>
      <c r="I88" s="55">
        <v>3</v>
      </c>
      <c r="J88" s="69">
        <f t="shared" si="2"/>
        <v>0.1</v>
      </c>
      <c r="K88" s="90">
        <f>+I88+'JULIO 2025'!K88</f>
        <v>15</v>
      </c>
      <c r="L88" s="94">
        <f t="shared" si="3"/>
        <v>0.5</v>
      </c>
      <c r="N88" s="41"/>
      <c r="P88" s="41"/>
    </row>
    <row r="89" spans="2:17" x14ac:dyDescent="0.25">
      <c r="B89" s="38">
        <v>5</v>
      </c>
      <c r="C89" s="39" t="s">
        <v>57</v>
      </c>
      <c r="D89" s="40" t="s">
        <v>58</v>
      </c>
      <c r="E89" s="219"/>
      <c r="F89" s="62" t="s">
        <v>216</v>
      </c>
      <c r="G89" s="62"/>
      <c r="H89" s="55">
        <v>30</v>
      </c>
      <c r="I89" s="55">
        <v>3</v>
      </c>
      <c r="J89" s="69">
        <f t="shared" si="2"/>
        <v>0.1</v>
      </c>
      <c r="K89" s="90">
        <f>+I89+'JULIO 2025'!K89</f>
        <v>19</v>
      </c>
      <c r="L89" s="94">
        <f t="shared" si="3"/>
        <v>0.6333333333333333</v>
      </c>
      <c r="N89"/>
      <c r="O89" s="8"/>
      <c r="P89"/>
      <c r="Q89" s="8"/>
    </row>
    <row r="90" spans="2:17" x14ac:dyDescent="0.25">
      <c r="B90" s="38">
        <v>5</v>
      </c>
      <c r="C90" s="39" t="s">
        <v>59</v>
      </c>
      <c r="D90" s="40" t="s">
        <v>60</v>
      </c>
      <c r="E90" s="219"/>
      <c r="F90" s="62" t="s">
        <v>194</v>
      </c>
      <c r="G90" s="62" t="s">
        <v>195</v>
      </c>
      <c r="H90" s="55">
        <v>30</v>
      </c>
      <c r="I90" s="55">
        <v>3</v>
      </c>
      <c r="J90" s="69">
        <f t="shared" si="2"/>
        <v>0.1</v>
      </c>
      <c r="K90" s="90">
        <f>+I90+'JULIO 2025'!K90</f>
        <v>19</v>
      </c>
      <c r="L90" s="94">
        <f t="shared" si="3"/>
        <v>0.6333333333333333</v>
      </c>
      <c r="N90"/>
      <c r="O90" s="8"/>
      <c r="P90"/>
      <c r="Q90" s="8"/>
    </row>
    <row r="91" spans="2:17" x14ac:dyDescent="0.25">
      <c r="B91" s="42">
        <v>8</v>
      </c>
      <c r="C91" s="43" t="s">
        <v>61</v>
      </c>
      <c r="D91" s="44" t="s">
        <v>62</v>
      </c>
      <c r="E91" s="220"/>
      <c r="F91" s="65" t="s">
        <v>196</v>
      </c>
      <c r="G91" s="65" t="s">
        <v>206</v>
      </c>
      <c r="H91" s="56">
        <v>30</v>
      </c>
      <c r="I91" s="56">
        <v>3</v>
      </c>
      <c r="J91" s="72">
        <f t="shared" si="2"/>
        <v>0.1</v>
      </c>
      <c r="K91" s="91">
        <f>+I91+'JULIO 2025'!K91</f>
        <v>19</v>
      </c>
      <c r="L91" s="96">
        <f t="shared" si="3"/>
        <v>0.6333333333333333</v>
      </c>
      <c r="N91"/>
      <c r="O91" s="8"/>
      <c r="P91"/>
      <c r="Q91" s="8"/>
    </row>
    <row r="92" spans="2:17" x14ac:dyDescent="0.25">
      <c r="B92" s="35">
        <v>3</v>
      </c>
      <c r="C92" s="36" t="s">
        <v>43</v>
      </c>
      <c r="D92" s="37" t="s">
        <v>44</v>
      </c>
      <c r="E92" s="228" t="s">
        <v>179</v>
      </c>
      <c r="F92" s="59" t="s">
        <v>45</v>
      </c>
      <c r="G92" s="59" t="s">
        <v>180</v>
      </c>
      <c r="H92" s="66">
        <v>18</v>
      </c>
      <c r="I92" s="66">
        <v>4</v>
      </c>
      <c r="J92" s="69">
        <f t="shared" si="2"/>
        <v>0.22222222222222221</v>
      </c>
      <c r="K92" s="103">
        <f>+I92+'JULIO 2025'!K92</f>
        <v>13</v>
      </c>
      <c r="L92" s="94">
        <f t="shared" si="3"/>
        <v>0.72222222222222221</v>
      </c>
      <c r="N92"/>
      <c r="O92" s="8"/>
      <c r="P92"/>
      <c r="Q92" s="8"/>
    </row>
    <row r="93" spans="2:17" x14ac:dyDescent="0.25">
      <c r="B93" s="38">
        <v>3</v>
      </c>
      <c r="C93" s="39" t="s">
        <v>46</v>
      </c>
      <c r="D93" s="40" t="s">
        <v>47</v>
      </c>
      <c r="E93" s="229"/>
      <c r="F93" s="61" t="s">
        <v>48</v>
      </c>
      <c r="G93" s="61" t="s">
        <v>181</v>
      </c>
      <c r="H93" s="68">
        <v>16</v>
      </c>
      <c r="I93" s="55">
        <v>2</v>
      </c>
      <c r="J93" s="69">
        <f t="shared" si="2"/>
        <v>0.125</v>
      </c>
      <c r="K93" s="90">
        <f>+I93+'JULIO 2025'!K93</f>
        <v>14</v>
      </c>
      <c r="L93" s="94">
        <f t="shared" si="3"/>
        <v>0.875</v>
      </c>
      <c r="N93"/>
      <c r="O93" s="8"/>
      <c r="P93"/>
      <c r="Q93" s="8"/>
    </row>
    <row r="94" spans="2:17" x14ac:dyDescent="0.25">
      <c r="B94" s="38">
        <v>3</v>
      </c>
      <c r="C94" s="39" t="s">
        <v>98</v>
      </c>
      <c r="D94" s="40" t="s">
        <v>99</v>
      </c>
      <c r="E94" s="229"/>
      <c r="F94" s="61" t="s">
        <v>48</v>
      </c>
      <c r="G94" s="61" t="s">
        <v>197</v>
      </c>
      <c r="H94" s="55">
        <v>16</v>
      </c>
      <c r="I94" s="70">
        <v>3</v>
      </c>
      <c r="J94" s="69">
        <f t="shared" si="2"/>
        <v>0.1875</v>
      </c>
      <c r="K94" s="90">
        <f>+I94+'JULIO 2025'!K94</f>
        <v>14</v>
      </c>
      <c r="L94" s="94">
        <f t="shared" si="3"/>
        <v>0.875</v>
      </c>
      <c r="N94"/>
      <c r="O94" s="8"/>
      <c r="P94"/>
      <c r="Q94" s="8"/>
    </row>
    <row r="95" spans="2:17" x14ac:dyDescent="0.25">
      <c r="B95" s="38">
        <v>3</v>
      </c>
      <c r="C95" s="39" t="s">
        <v>49</v>
      </c>
      <c r="D95" s="40" t="s">
        <v>50</v>
      </c>
      <c r="E95" s="229"/>
      <c r="F95" s="61" t="s">
        <v>51</v>
      </c>
      <c r="G95" s="61" t="s">
        <v>197</v>
      </c>
      <c r="H95" s="55">
        <v>16</v>
      </c>
      <c r="I95" s="55">
        <v>3</v>
      </c>
      <c r="J95" s="69">
        <f t="shared" si="2"/>
        <v>0.1875</v>
      </c>
      <c r="K95" s="90">
        <f>+I95+'JULIO 2025'!K95</f>
        <v>14</v>
      </c>
      <c r="L95" s="94">
        <f t="shared" si="3"/>
        <v>0.875</v>
      </c>
      <c r="N95"/>
      <c r="O95" s="8"/>
      <c r="P95"/>
      <c r="Q95" s="8"/>
    </row>
    <row r="96" spans="2:17" x14ac:dyDescent="0.25">
      <c r="B96" s="38">
        <v>3</v>
      </c>
      <c r="C96" s="39" t="s">
        <v>52</v>
      </c>
      <c r="D96" s="40" t="s">
        <v>53</v>
      </c>
      <c r="E96" s="229"/>
      <c r="F96" s="61" t="s">
        <v>54</v>
      </c>
      <c r="G96" s="61" t="s">
        <v>198</v>
      </c>
      <c r="H96" s="55">
        <v>16</v>
      </c>
      <c r="I96" s="55">
        <v>3</v>
      </c>
      <c r="J96" s="69">
        <f t="shared" si="2"/>
        <v>0.1875</v>
      </c>
      <c r="K96" s="90">
        <f>+I96+'JULIO 2025'!K96</f>
        <v>14</v>
      </c>
      <c r="L96" s="94">
        <f t="shared" si="3"/>
        <v>0.875</v>
      </c>
      <c r="N96"/>
      <c r="O96" s="8"/>
      <c r="P96"/>
      <c r="Q96" s="8"/>
    </row>
    <row r="97" spans="2:17" x14ac:dyDescent="0.25">
      <c r="B97" s="38">
        <v>3</v>
      </c>
      <c r="C97" s="39" t="s">
        <v>55</v>
      </c>
      <c r="D97" s="40" t="s">
        <v>56</v>
      </c>
      <c r="E97" s="229"/>
      <c r="F97" s="61" t="s">
        <v>54</v>
      </c>
      <c r="G97" s="129" t="s">
        <v>244</v>
      </c>
      <c r="H97" s="55">
        <v>16</v>
      </c>
      <c r="I97" s="55">
        <v>2</v>
      </c>
      <c r="J97" s="69">
        <f t="shared" si="2"/>
        <v>0.125</v>
      </c>
      <c r="K97" s="90">
        <f>+I97+'JULIO 2025'!K97</f>
        <v>13</v>
      </c>
      <c r="L97" s="94">
        <f t="shared" si="3"/>
        <v>0.8125</v>
      </c>
      <c r="N97"/>
      <c r="O97" s="8"/>
      <c r="P97"/>
      <c r="Q97" s="8"/>
    </row>
    <row r="98" spans="2:17" x14ac:dyDescent="0.25">
      <c r="B98" s="38">
        <v>5</v>
      </c>
      <c r="C98" s="39" t="s">
        <v>57</v>
      </c>
      <c r="D98" s="40" t="s">
        <v>58</v>
      </c>
      <c r="E98" s="229"/>
      <c r="F98" s="127" t="s">
        <v>54</v>
      </c>
      <c r="G98" s="61" t="s">
        <v>244</v>
      </c>
      <c r="H98" s="128">
        <v>16</v>
      </c>
      <c r="I98" s="55">
        <v>2</v>
      </c>
      <c r="J98" s="69">
        <f t="shared" si="2"/>
        <v>0.125</v>
      </c>
      <c r="K98" s="90">
        <f>+I98+'JULIO 2025'!K98</f>
        <v>13</v>
      </c>
      <c r="L98" s="94">
        <f t="shared" si="3"/>
        <v>0.8125</v>
      </c>
      <c r="N98"/>
      <c r="O98" s="8"/>
      <c r="P98"/>
      <c r="Q98" s="8"/>
    </row>
    <row r="99" spans="2:17" s="16" customFormat="1" x14ac:dyDescent="0.25">
      <c r="B99" s="38">
        <v>5</v>
      </c>
      <c r="C99" s="39" t="s">
        <v>118</v>
      </c>
      <c r="D99" s="40" t="s">
        <v>119</v>
      </c>
      <c r="E99" s="229"/>
      <c r="F99" s="61" t="s">
        <v>54</v>
      </c>
      <c r="G99" s="130" t="s">
        <v>180</v>
      </c>
      <c r="H99" s="55">
        <v>16</v>
      </c>
      <c r="I99" s="55">
        <v>2</v>
      </c>
      <c r="J99" s="69">
        <f t="shared" si="2"/>
        <v>0.125</v>
      </c>
      <c r="K99" s="90">
        <f>+I99+'JULIO 2025'!K99</f>
        <v>14</v>
      </c>
      <c r="L99" s="94">
        <f t="shared" si="3"/>
        <v>0.875</v>
      </c>
      <c r="N99" s="41"/>
      <c r="P99" s="41"/>
    </row>
    <row r="100" spans="2:17" x14ac:dyDescent="0.25">
      <c r="B100" s="38">
        <v>5</v>
      </c>
      <c r="C100" s="39" t="s">
        <v>120</v>
      </c>
      <c r="D100" s="40" t="s">
        <v>121</v>
      </c>
      <c r="E100" s="229"/>
      <c r="F100" s="61" t="s">
        <v>54</v>
      </c>
      <c r="G100" s="61" t="s">
        <v>245</v>
      </c>
      <c r="H100" s="68">
        <v>18</v>
      </c>
      <c r="I100" s="55">
        <v>3</v>
      </c>
      <c r="J100" s="69">
        <f t="shared" si="2"/>
        <v>0.16666666666666666</v>
      </c>
      <c r="K100" s="90">
        <f>+I100+'JULIO 2025'!K100</f>
        <v>15</v>
      </c>
      <c r="L100" s="94">
        <f t="shared" si="3"/>
        <v>0.83333333333333337</v>
      </c>
      <c r="N100"/>
      <c r="O100" s="8"/>
      <c r="P100"/>
      <c r="Q100" s="8"/>
    </row>
    <row r="101" spans="2:17" x14ac:dyDescent="0.25">
      <c r="B101" s="38">
        <v>5</v>
      </c>
      <c r="C101" s="39" t="s">
        <v>122</v>
      </c>
      <c r="D101" s="40" t="s">
        <v>123</v>
      </c>
      <c r="E101" s="229"/>
      <c r="F101" s="61" t="s">
        <v>54</v>
      </c>
      <c r="G101" s="61" t="s">
        <v>246</v>
      </c>
      <c r="H101" s="55">
        <v>16</v>
      </c>
      <c r="I101" s="55">
        <v>3</v>
      </c>
      <c r="J101" s="69">
        <f t="shared" si="2"/>
        <v>0.1875</v>
      </c>
      <c r="K101" s="90">
        <f>+I101+'JULIO 2025'!K101</f>
        <v>13</v>
      </c>
      <c r="L101" s="94">
        <f t="shared" si="3"/>
        <v>0.8125</v>
      </c>
      <c r="N101"/>
      <c r="O101" s="8"/>
      <c r="P101"/>
      <c r="Q101" s="8"/>
    </row>
    <row r="102" spans="2:17" x14ac:dyDescent="0.25">
      <c r="B102" s="42">
        <v>5</v>
      </c>
      <c r="C102" s="43" t="s">
        <v>59</v>
      </c>
      <c r="D102" s="44" t="s">
        <v>60</v>
      </c>
      <c r="E102" s="230"/>
      <c r="F102" s="64" t="s">
        <v>54</v>
      </c>
      <c r="G102" s="61" t="s">
        <v>246</v>
      </c>
      <c r="H102" s="56">
        <v>16</v>
      </c>
      <c r="I102" s="56">
        <v>3</v>
      </c>
      <c r="J102" s="72">
        <f t="shared" si="2"/>
        <v>0.1875</v>
      </c>
      <c r="K102" s="91">
        <f>+I102+'JULIO 2025'!K102</f>
        <v>13</v>
      </c>
      <c r="L102" s="96">
        <f t="shared" si="3"/>
        <v>0.8125</v>
      </c>
      <c r="N102"/>
      <c r="O102" s="8"/>
      <c r="P102"/>
      <c r="Q102" s="8"/>
    </row>
    <row r="103" spans="2:17" x14ac:dyDescent="0.25">
      <c r="B103" s="35">
        <v>3</v>
      </c>
      <c r="C103" s="36" t="s">
        <v>43</v>
      </c>
      <c r="D103" s="37" t="s">
        <v>44</v>
      </c>
      <c r="E103" s="218" t="s">
        <v>124</v>
      </c>
      <c r="F103" s="59" t="s">
        <v>1008</v>
      </c>
      <c r="G103" s="75" t="s">
        <v>160</v>
      </c>
      <c r="H103" s="66">
        <v>13</v>
      </c>
      <c r="I103" s="66">
        <v>3</v>
      </c>
      <c r="J103" s="69">
        <f t="shared" si="2"/>
        <v>0.23076923076923078</v>
      </c>
      <c r="K103" s="103">
        <f>+I103+'JULIO 2025'!K103</f>
        <v>12</v>
      </c>
      <c r="L103" s="94">
        <f t="shared" si="3"/>
        <v>0.92307692307692313</v>
      </c>
      <c r="N103"/>
      <c r="O103" s="8"/>
      <c r="P103"/>
      <c r="Q103" s="8"/>
    </row>
    <row r="104" spans="2:17" x14ac:dyDescent="0.25">
      <c r="B104" s="38">
        <v>3</v>
      </c>
      <c r="C104" s="39" t="s">
        <v>46</v>
      </c>
      <c r="D104" s="40" t="s">
        <v>47</v>
      </c>
      <c r="E104" s="219"/>
      <c r="F104" s="61" t="s">
        <v>536</v>
      </c>
      <c r="G104" s="76" t="s">
        <v>161</v>
      </c>
      <c r="H104" s="68">
        <v>14</v>
      </c>
      <c r="I104" s="55">
        <v>2</v>
      </c>
      <c r="J104" s="69">
        <f t="shared" si="2"/>
        <v>0.14285714285714285</v>
      </c>
      <c r="K104" s="90">
        <f>+I104+'JULIO 2025'!K104</f>
        <v>12</v>
      </c>
      <c r="L104" s="94">
        <f t="shared" si="3"/>
        <v>0.8571428571428571</v>
      </c>
      <c r="N104"/>
      <c r="O104" s="8"/>
      <c r="P104"/>
      <c r="Q104" s="8"/>
    </row>
    <row r="105" spans="2:17" x14ac:dyDescent="0.25">
      <c r="B105" s="38">
        <v>3</v>
      </c>
      <c r="C105" s="39" t="s">
        <v>98</v>
      </c>
      <c r="D105" s="40" t="s">
        <v>99</v>
      </c>
      <c r="E105" s="219"/>
      <c r="F105" s="61" t="s">
        <v>217</v>
      </c>
      <c r="G105" s="62" t="s">
        <v>160</v>
      </c>
      <c r="H105" s="55">
        <v>14</v>
      </c>
      <c r="I105" s="70">
        <v>2</v>
      </c>
      <c r="J105" s="69">
        <f t="shared" si="2"/>
        <v>0.14285714285714285</v>
      </c>
      <c r="K105" s="90">
        <f>+I105+'JULIO 2025'!K105</f>
        <v>12</v>
      </c>
      <c r="L105" s="94">
        <f t="shared" si="3"/>
        <v>0.8571428571428571</v>
      </c>
      <c r="N105"/>
      <c r="O105" s="8"/>
      <c r="P105"/>
      <c r="Q105" s="8"/>
    </row>
    <row r="106" spans="2:17" x14ac:dyDescent="0.25">
      <c r="B106" s="38">
        <v>3</v>
      </c>
      <c r="C106" s="39" t="s">
        <v>49</v>
      </c>
      <c r="D106" s="40" t="s">
        <v>50</v>
      </c>
      <c r="E106" s="219"/>
      <c r="F106" s="61" t="s">
        <v>1009</v>
      </c>
      <c r="G106" s="62" t="s">
        <v>160</v>
      </c>
      <c r="H106" s="55">
        <v>16</v>
      </c>
      <c r="I106" s="55">
        <v>2</v>
      </c>
      <c r="J106" s="69">
        <f t="shared" si="2"/>
        <v>0.125</v>
      </c>
      <c r="K106" s="90">
        <f>+I106+'JULIO 2025'!K106</f>
        <v>12</v>
      </c>
      <c r="L106" s="94">
        <f t="shared" si="3"/>
        <v>0.75</v>
      </c>
      <c r="N106"/>
      <c r="O106" s="8"/>
      <c r="P106"/>
      <c r="Q106" s="8"/>
    </row>
    <row r="107" spans="2:17" x14ac:dyDescent="0.25">
      <c r="B107" s="38">
        <v>3</v>
      </c>
      <c r="C107" s="39" t="s">
        <v>52</v>
      </c>
      <c r="D107" s="40" t="s">
        <v>53</v>
      </c>
      <c r="E107" s="219"/>
      <c r="F107" s="61" t="s">
        <v>537</v>
      </c>
      <c r="G107" s="62" t="s">
        <v>160</v>
      </c>
      <c r="H107" s="55">
        <v>16</v>
      </c>
      <c r="I107" s="55">
        <v>2</v>
      </c>
      <c r="J107" s="69">
        <f t="shared" si="2"/>
        <v>0.125</v>
      </c>
      <c r="K107" s="90">
        <f>+I107+'JULIO 2025'!K107</f>
        <v>13</v>
      </c>
      <c r="L107" s="94">
        <f t="shared" si="3"/>
        <v>0.8125</v>
      </c>
      <c r="N107"/>
      <c r="O107" s="8"/>
      <c r="P107"/>
      <c r="Q107" s="8"/>
    </row>
    <row r="108" spans="2:17" x14ac:dyDescent="0.25">
      <c r="B108" s="38">
        <v>3</v>
      </c>
      <c r="C108" s="39" t="s">
        <v>55</v>
      </c>
      <c r="D108" s="40" t="s">
        <v>56</v>
      </c>
      <c r="E108" s="219"/>
      <c r="F108" s="61" t="s">
        <v>164</v>
      </c>
      <c r="G108" s="62" t="s">
        <v>160</v>
      </c>
      <c r="H108" s="55">
        <v>15</v>
      </c>
      <c r="I108" s="55">
        <v>2</v>
      </c>
      <c r="J108" s="69">
        <f t="shared" si="2"/>
        <v>0.13333333333333333</v>
      </c>
      <c r="K108" s="90">
        <f>+I108+'JULIO 2025'!K108</f>
        <v>12</v>
      </c>
      <c r="L108" s="94">
        <f t="shared" si="3"/>
        <v>0.8</v>
      </c>
      <c r="N108"/>
      <c r="O108" s="8"/>
      <c r="P108"/>
      <c r="Q108" s="8"/>
    </row>
    <row r="109" spans="2:17" x14ac:dyDescent="0.25">
      <c r="B109" s="38">
        <v>5</v>
      </c>
      <c r="C109" s="39" t="s">
        <v>57</v>
      </c>
      <c r="D109" s="40" t="s">
        <v>58</v>
      </c>
      <c r="E109" s="219"/>
      <c r="F109" s="61" t="s">
        <v>538</v>
      </c>
      <c r="G109" s="62" t="s">
        <v>160</v>
      </c>
      <c r="H109" s="55">
        <v>16</v>
      </c>
      <c r="I109" s="55">
        <v>2</v>
      </c>
      <c r="J109" s="69">
        <f t="shared" si="2"/>
        <v>0.125</v>
      </c>
      <c r="K109" s="90">
        <f>+I109+'JULIO 2025'!K109</f>
        <v>12</v>
      </c>
      <c r="L109" s="94">
        <f t="shared" si="3"/>
        <v>0.75</v>
      </c>
      <c r="N109"/>
      <c r="O109" s="8"/>
      <c r="P109"/>
      <c r="Q109" s="8"/>
    </row>
    <row r="110" spans="2:17" s="16" customFormat="1" x14ac:dyDescent="0.25">
      <c r="B110" s="38">
        <v>5</v>
      </c>
      <c r="C110" s="39" t="s">
        <v>118</v>
      </c>
      <c r="D110" s="40" t="s">
        <v>119</v>
      </c>
      <c r="E110" s="219"/>
      <c r="F110" s="61" t="s">
        <v>539</v>
      </c>
      <c r="G110" s="62" t="s">
        <v>160</v>
      </c>
      <c r="H110" s="55">
        <v>16</v>
      </c>
      <c r="I110" s="55">
        <v>2</v>
      </c>
      <c r="J110" s="69">
        <f t="shared" si="2"/>
        <v>0.125</v>
      </c>
      <c r="K110" s="90">
        <f>+I110+'JULIO 2025'!K110</f>
        <v>13</v>
      </c>
      <c r="L110" s="94">
        <f t="shared" si="3"/>
        <v>0.8125</v>
      </c>
      <c r="N110" s="41"/>
      <c r="P110" s="41"/>
    </row>
    <row r="111" spans="2:17" x14ac:dyDescent="0.25">
      <c r="B111" s="38">
        <v>5</v>
      </c>
      <c r="C111" s="39" t="s">
        <v>120</v>
      </c>
      <c r="D111" s="40" t="s">
        <v>121</v>
      </c>
      <c r="E111" s="219"/>
      <c r="F111" s="61" t="s">
        <v>1010</v>
      </c>
      <c r="G111" s="62" t="s">
        <v>160</v>
      </c>
      <c r="H111" s="68">
        <v>16</v>
      </c>
      <c r="I111" s="68">
        <v>3</v>
      </c>
      <c r="J111" s="69">
        <f t="shared" si="2"/>
        <v>0.1875</v>
      </c>
      <c r="K111" s="90">
        <f>+I111+'JULIO 2025'!K111</f>
        <v>13</v>
      </c>
      <c r="L111" s="94">
        <f t="shared" si="3"/>
        <v>0.8125</v>
      </c>
      <c r="N111"/>
      <c r="O111" s="8"/>
      <c r="P111"/>
      <c r="Q111" s="8"/>
    </row>
    <row r="112" spans="2:17" x14ac:dyDescent="0.25">
      <c r="B112" s="38">
        <v>5</v>
      </c>
      <c r="C112" s="39" t="s">
        <v>122</v>
      </c>
      <c r="D112" s="40" t="s">
        <v>123</v>
      </c>
      <c r="E112" s="219"/>
      <c r="F112" s="61" t="s">
        <v>273</v>
      </c>
      <c r="G112" s="62" t="s">
        <v>160</v>
      </c>
      <c r="H112" s="68">
        <v>20</v>
      </c>
      <c r="I112" s="68">
        <v>5</v>
      </c>
      <c r="J112" s="69">
        <f t="shared" si="2"/>
        <v>0.25</v>
      </c>
      <c r="K112" s="90">
        <f>+I112+'JULIO 2025'!K112</f>
        <v>18</v>
      </c>
      <c r="L112" s="94">
        <f t="shared" si="3"/>
        <v>0.9</v>
      </c>
      <c r="N112"/>
      <c r="O112" s="8"/>
      <c r="P112"/>
      <c r="Q112" s="8"/>
    </row>
    <row r="113" spans="2:17" x14ac:dyDescent="0.25">
      <c r="B113" s="42">
        <v>5</v>
      </c>
      <c r="C113" s="43" t="s">
        <v>59</v>
      </c>
      <c r="D113" s="44" t="s">
        <v>60</v>
      </c>
      <c r="E113" s="220"/>
      <c r="F113" s="64" t="s">
        <v>221</v>
      </c>
      <c r="G113" s="65" t="s">
        <v>160</v>
      </c>
      <c r="H113" s="56">
        <v>24</v>
      </c>
      <c r="I113" s="56">
        <v>5</v>
      </c>
      <c r="J113" s="72">
        <f t="shared" si="2"/>
        <v>0.20833333333333334</v>
      </c>
      <c r="K113" s="91">
        <f>+I113+'JULIO 2025'!K113</f>
        <v>21</v>
      </c>
      <c r="L113" s="96">
        <f t="shared" si="3"/>
        <v>0.875</v>
      </c>
      <c r="N113"/>
      <c r="O113" s="8"/>
      <c r="P113"/>
      <c r="Q113" s="8"/>
    </row>
    <row r="114" spans="2:17" x14ac:dyDescent="0.25">
      <c r="B114" s="46">
        <v>3</v>
      </c>
      <c r="C114" s="45" t="s">
        <v>43</v>
      </c>
      <c r="D114" s="47" t="s">
        <v>44</v>
      </c>
      <c r="E114" s="231" t="s">
        <v>128</v>
      </c>
      <c r="F114" s="59" t="s">
        <v>45</v>
      </c>
      <c r="G114" s="60" t="s">
        <v>32</v>
      </c>
      <c r="H114" s="66">
        <v>20</v>
      </c>
      <c r="I114" s="66">
        <v>3</v>
      </c>
      <c r="J114" s="69">
        <f t="shared" si="2"/>
        <v>0.15</v>
      </c>
      <c r="K114" s="103">
        <f>+I114+'JULIO 2025'!K114</f>
        <v>16</v>
      </c>
      <c r="L114" s="94">
        <f t="shared" si="3"/>
        <v>0.8</v>
      </c>
      <c r="N114"/>
      <c r="O114" s="8"/>
      <c r="P114"/>
      <c r="Q114" s="8"/>
    </row>
    <row r="115" spans="2:17" x14ac:dyDescent="0.25">
      <c r="B115" s="38">
        <v>3</v>
      </c>
      <c r="C115" s="39" t="s">
        <v>46</v>
      </c>
      <c r="D115" s="40" t="s">
        <v>47</v>
      </c>
      <c r="E115" s="219"/>
      <c r="F115" s="61" t="s">
        <v>48</v>
      </c>
      <c r="G115" s="74" t="s">
        <v>32</v>
      </c>
      <c r="H115" s="68">
        <v>14</v>
      </c>
      <c r="I115" s="55">
        <v>2</v>
      </c>
      <c r="J115" s="69">
        <f t="shared" si="2"/>
        <v>0.14285714285714285</v>
      </c>
      <c r="K115" s="90">
        <f>+I115+'JULIO 2025'!K115</f>
        <v>12</v>
      </c>
      <c r="L115" s="94">
        <f t="shared" si="3"/>
        <v>0.8571428571428571</v>
      </c>
      <c r="N115"/>
      <c r="O115" s="8"/>
      <c r="P115"/>
      <c r="Q115" s="8"/>
    </row>
    <row r="116" spans="2:17" x14ac:dyDescent="0.25">
      <c r="B116" s="38">
        <v>3</v>
      </c>
      <c r="C116" s="39" t="s">
        <v>98</v>
      </c>
      <c r="D116" s="40" t="s">
        <v>99</v>
      </c>
      <c r="E116" s="219"/>
      <c r="F116" s="61" t="s">
        <v>48</v>
      </c>
      <c r="G116" s="62" t="s">
        <v>32</v>
      </c>
      <c r="H116" s="55">
        <v>28</v>
      </c>
      <c r="I116" s="70">
        <v>8</v>
      </c>
      <c r="J116" s="69">
        <f t="shared" si="2"/>
        <v>0.2857142857142857</v>
      </c>
      <c r="K116" s="90">
        <f>+I116+'JULIO 2025'!K116</f>
        <v>23</v>
      </c>
      <c r="L116" s="94">
        <f t="shared" si="3"/>
        <v>0.8214285714285714</v>
      </c>
      <c r="N116"/>
      <c r="O116" s="8"/>
      <c r="P116"/>
      <c r="Q116" s="8"/>
    </row>
    <row r="117" spans="2:17" x14ac:dyDescent="0.25">
      <c r="B117" s="38">
        <v>3</v>
      </c>
      <c r="C117" s="39" t="s">
        <v>49</v>
      </c>
      <c r="D117" s="40" t="s">
        <v>50</v>
      </c>
      <c r="E117" s="219"/>
      <c r="F117" s="61" t="s">
        <v>51</v>
      </c>
      <c r="G117" s="62" t="s">
        <v>32</v>
      </c>
      <c r="H117" s="55">
        <v>16</v>
      </c>
      <c r="I117" s="55">
        <v>2</v>
      </c>
      <c r="J117" s="69">
        <f t="shared" si="2"/>
        <v>0.125</v>
      </c>
      <c r="K117" s="90">
        <f>+I117+'JULIO 2025'!K117</f>
        <v>14</v>
      </c>
      <c r="L117" s="94">
        <f t="shared" si="3"/>
        <v>0.875</v>
      </c>
      <c r="N117"/>
      <c r="O117" s="8"/>
      <c r="P117"/>
      <c r="Q117" s="8"/>
    </row>
    <row r="118" spans="2:17" x14ac:dyDescent="0.25">
      <c r="B118" s="38">
        <v>3</v>
      </c>
      <c r="C118" s="39" t="s">
        <v>52</v>
      </c>
      <c r="D118" s="40" t="s">
        <v>53</v>
      </c>
      <c r="E118" s="219"/>
      <c r="F118" s="61" t="s">
        <v>54</v>
      </c>
      <c r="G118" s="62" t="s">
        <v>32</v>
      </c>
      <c r="H118" s="55">
        <v>16</v>
      </c>
      <c r="I118" s="55">
        <v>3</v>
      </c>
      <c r="J118" s="69">
        <f t="shared" si="2"/>
        <v>0.1875</v>
      </c>
      <c r="K118" s="90">
        <f>+I118+'JULIO 2025'!K118</f>
        <v>15</v>
      </c>
      <c r="L118" s="94">
        <f t="shared" si="3"/>
        <v>0.9375</v>
      </c>
      <c r="N118"/>
      <c r="O118" s="8"/>
      <c r="P118"/>
      <c r="Q118" s="8"/>
    </row>
    <row r="119" spans="2:17" s="16" customFormat="1" x14ac:dyDescent="0.25">
      <c r="B119" s="38">
        <v>3</v>
      </c>
      <c r="C119" s="39" t="s">
        <v>55</v>
      </c>
      <c r="D119" s="40" t="s">
        <v>56</v>
      </c>
      <c r="E119" s="219"/>
      <c r="F119" s="61" t="s">
        <v>54</v>
      </c>
      <c r="G119" s="62" t="s">
        <v>32</v>
      </c>
      <c r="H119" s="55">
        <v>12</v>
      </c>
      <c r="I119" s="55">
        <v>1</v>
      </c>
      <c r="J119" s="69">
        <f t="shared" si="2"/>
        <v>8.3333333333333329E-2</v>
      </c>
      <c r="K119" s="90">
        <f>+I119+'JULIO 2025'!K119</f>
        <v>11</v>
      </c>
      <c r="L119" s="94">
        <f t="shared" si="3"/>
        <v>0.91666666666666663</v>
      </c>
      <c r="N119" s="41"/>
      <c r="P119" s="41"/>
    </row>
    <row r="120" spans="2:17" x14ac:dyDescent="0.25">
      <c r="B120" s="38">
        <v>5</v>
      </c>
      <c r="C120" s="39" t="s">
        <v>57</v>
      </c>
      <c r="D120" s="40" t="s">
        <v>58</v>
      </c>
      <c r="E120" s="219"/>
      <c r="F120" s="73" t="s">
        <v>54</v>
      </c>
      <c r="G120" s="62" t="s">
        <v>32</v>
      </c>
      <c r="H120" s="55">
        <v>24</v>
      </c>
      <c r="I120" s="55">
        <v>3</v>
      </c>
      <c r="J120" s="69">
        <f t="shared" si="2"/>
        <v>0.125</v>
      </c>
      <c r="K120" s="90">
        <f>+I120+'JULIO 2025'!K120</f>
        <v>19</v>
      </c>
      <c r="L120" s="94">
        <f t="shared" si="3"/>
        <v>0.79166666666666663</v>
      </c>
      <c r="N120"/>
      <c r="O120" s="8"/>
      <c r="P120"/>
      <c r="Q120" s="8"/>
    </row>
    <row r="121" spans="2:17" x14ac:dyDescent="0.25">
      <c r="B121" s="38">
        <v>5</v>
      </c>
      <c r="C121" s="39" t="s">
        <v>59</v>
      </c>
      <c r="D121" s="40" t="s">
        <v>60</v>
      </c>
      <c r="E121" s="219"/>
      <c r="F121" s="61" t="s">
        <v>54</v>
      </c>
      <c r="G121" s="62" t="s">
        <v>32</v>
      </c>
      <c r="H121" s="55">
        <v>26</v>
      </c>
      <c r="I121" s="55">
        <v>5</v>
      </c>
      <c r="J121" s="69">
        <f t="shared" si="2"/>
        <v>0.19230769230769232</v>
      </c>
      <c r="K121" s="90">
        <f>+I121+'JULIO 2025'!K121</f>
        <v>22</v>
      </c>
      <c r="L121" s="94">
        <f t="shared" si="3"/>
        <v>0.84615384615384615</v>
      </c>
      <c r="N121"/>
      <c r="O121" s="8"/>
      <c r="P121"/>
      <c r="Q121" s="8"/>
    </row>
    <row r="122" spans="2:17" x14ac:dyDescent="0.25">
      <c r="B122" s="42">
        <v>8</v>
      </c>
      <c r="C122" s="43" t="s">
        <v>61</v>
      </c>
      <c r="D122" s="44" t="s">
        <v>62</v>
      </c>
      <c r="E122" s="220"/>
      <c r="F122" s="64" t="s">
        <v>63</v>
      </c>
      <c r="G122" s="65" t="s">
        <v>32</v>
      </c>
      <c r="H122" s="56">
        <v>24</v>
      </c>
      <c r="I122" s="56">
        <v>3</v>
      </c>
      <c r="J122" s="72">
        <f t="shared" si="2"/>
        <v>0.125</v>
      </c>
      <c r="K122" s="91">
        <f>+I122+'JULIO 2025'!K122</f>
        <v>18</v>
      </c>
      <c r="L122" s="96">
        <f t="shared" si="3"/>
        <v>0.75</v>
      </c>
      <c r="N122"/>
      <c r="O122" s="8"/>
      <c r="P122"/>
      <c r="Q122" s="8"/>
    </row>
    <row r="123" spans="2:17" x14ac:dyDescent="0.25">
      <c r="B123" s="35">
        <v>1</v>
      </c>
      <c r="C123" s="36" t="s">
        <v>74</v>
      </c>
      <c r="D123" s="37" t="s">
        <v>75</v>
      </c>
      <c r="E123" s="218" t="s">
        <v>143</v>
      </c>
      <c r="F123" s="59" t="s">
        <v>48</v>
      </c>
      <c r="G123" s="60" t="s">
        <v>129</v>
      </c>
      <c r="H123" s="66">
        <v>14</v>
      </c>
      <c r="I123" s="66">
        <v>3</v>
      </c>
      <c r="J123" s="69">
        <f t="shared" si="2"/>
        <v>0.21428571428571427</v>
      </c>
      <c r="K123" s="103">
        <f>+I123+'JULIO 2025'!K123</f>
        <v>12</v>
      </c>
      <c r="L123" s="94">
        <f t="shared" si="3"/>
        <v>0.8571428571428571</v>
      </c>
      <c r="N123"/>
      <c r="O123" s="8"/>
      <c r="P123"/>
      <c r="Q123" s="8"/>
    </row>
    <row r="124" spans="2:17" x14ac:dyDescent="0.25">
      <c r="B124" s="38">
        <v>1</v>
      </c>
      <c r="C124" s="39" t="s">
        <v>77</v>
      </c>
      <c r="D124" s="40" t="s">
        <v>78</v>
      </c>
      <c r="E124" s="219"/>
      <c r="F124" s="61" t="s">
        <v>227</v>
      </c>
      <c r="G124" s="62" t="s">
        <v>130</v>
      </c>
      <c r="H124" s="68">
        <v>14</v>
      </c>
      <c r="I124" s="55">
        <v>3</v>
      </c>
      <c r="J124" s="69">
        <f t="shared" si="2"/>
        <v>0.21428571428571427</v>
      </c>
      <c r="K124" s="90">
        <f>+I124+'JULIO 2025'!K124</f>
        <v>12</v>
      </c>
      <c r="L124" s="94">
        <f t="shared" si="3"/>
        <v>0.8571428571428571</v>
      </c>
      <c r="N124"/>
      <c r="O124" s="8"/>
      <c r="P124"/>
      <c r="Q124" s="8"/>
    </row>
    <row r="125" spans="2:17" x14ac:dyDescent="0.25">
      <c r="B125" s="38">
        <v>1</v>
      </c>
      <c r="C125" s="39" t="s">
        <v>79</v>
      </c>
      <c r="D125" s="40" t="s">
        <v>80</v>
      </c>
      <c r="E125" s="219"/>
      <c r="F125" s="61" t="s">
        <v>228</v>
      </c>
      <c r="G125" s="62" t="s">
        <v>131</v>
      </c>
      <c r="H125" s="55">
        <v>16</v>
      </c>
      <c r="I125" s="70">
        <v>2</v>
      </c>
      <c r="J125" s="69">
        <f t="shared" si="2"/>
        <v>0.125</v>
      </c>
      <c r="K125" s="90">
        <f>+I125+'JULIO 2025'!K125</f>
        <v>13</v>
      </c>
      <c r="L125" s="94">
        <f t="shared" si="3"/>
        <v>0.8125</v>
      </c>
      <c r="N125"/>
      <c r="O125" s="8"/>
      <c r="P125"/>
      <c r="Q125" s="8"/>
    </row>
    <row r="126" spans="2:17" x14ac:dyDescent="0.25">
      <c r="B126" s="38">
        <v>1</v>
      </c>
      <c r="C126" s="39" t="s">
        <v>82</v>
      </c>
      <c r="D126" s="40" t="s">
        <v>83</v>
      </c>
      <c r="E126" s="219"/>
      <c r="F126" s="61" t="s">
        <v>132</v>
      </c>
      <c r="G126" s="62" t="s">
        <v>32</v>
      </c>
      <c r="H126" s="55">
        <v>18</v>
      </c>
      <c r="I126" s="55">
        <v>3</v>
      </c>
      <c r="J126" s="69">
        <f t="shared" si="2"/>
        <v>0.16666666666666666</v>
      </c>
      <c r="K126" s="90">
        <f>+I126+'JULIO 2025'!K126</f>
        <v>15</v>
      </c>
      <c r="L126" s="94">
        <f t="shared" si="3"/>
        <v>0.83333333333333337</v>
      </c>
      <c r="N126"/>
      <c r="O126" s="8"/>
      <c r="P126"/>
      <c r="Q126" s="8"/>
    </row>
    <row r="127" spans="2:17" x14ac:dyDescent="0.25">
      <c r="B127" s="38">
        <v>1</v>
      </c>
      <c r="C127" s="39" t="s">
        <v>84</v>
      </c>
      <c r="D127" s="40" t="s">
        <v>85</v>
      </c>
      <c r="E127" s="219"/>
      <c r="F127" s="61" t="s">
        <v>133</v>
      </c>
      <c r="G127" s="62" t="s">
        <v>134</v>
      </c>
      <c r="H127" s="55">
        <v>24</v>
      </c>
      <c r="I127" s="55">
        <v>4</v>
      </c>
      <c r="J127" s="69">
        <f t="shared" si="2"/>
        <v>0.16666666666666666</v>
      </c>
      <c r="K127" s="90">
        <f>+I127+'JULIO 2025'!K127</f>
        <v>20</v>
      </c>
      <c r="L127" s="94">
        <f t="shared" si="3"/>
        <v>0.83333333333333337</v>
      </c>
      <c r="N127"/>
      <c r="O127" s="8"/>
      <c r="P127"/>
      <c r="Q127" s="8"/>
    </row>
    <row r="128" spans="2:17" x14ac:dyDescent="0.25">
      <c r="B128" s="38">
        <v>1</v>
      </c>
      <c r="C128" s="39" t="s">
        <v>86</v>
      </c>
      <c r="D128" s="40" t="s">
        <v>87</v>
      </c>
      <c r="E128" s="219"/>
      <c r="F128" s="61" t="s">
        <v>135</v>
      </c>
      <c r="G128" s="62" t="s">
        <v>136</v>
      </c>
      <c r="H128" s="55">
        <v>16</v>
      </c>
      <c r="I128" s="55">
        <v>3</v>
      </c>
      <c r="J128" s="69">
        <f t="shared" si="2"/>
        <v>0.1875</v>
      </c>
      <c r="K128" s="90">
        <f>+I128+'JULIO 2025'!K128</f>
        <v>13</v>
      </c>
      <c r="L128" s="94">
        <f t="shared" si="3"/>
        <v>0.8125</v>
      </c>
      <c r="N128"/>
      <c r="O128" s="8"/>
      <c r="P128"/>
      <c r="Q128" s="8"/>
    </row>
    <row r="129" spans="2:17" x14ac:dyDescent="0.25">
      <c r="B129" s="38">
        <v>1</v>
      </c>
      <c r="C129" s="39" t="s">
        <v>89</v>
      </c>
      <c r="D129" s="40" t="s">
        <v>90</v>
      </c>
      <c r="E129" s="219"/>
      <c r="F129" s="61" t="s">
        <v>137</v>
      </c>
      <c r="G129" s="62" t="s">
        <v>130</v>
      </c>
      <c r="H129" s="55">
        <v>18</v>
      </c>
      <c r="I129" s="55">
        <v>3</v>
      </c>
      <c r="J129" s="69">
        <f t="shared" si="2"/>
        <v>0.16666666666666666</v>
      </c>
      <c r="K129" s="90">
        <f>+I129+'JULIO 2025'!K129</f>
        <v>15</v>
      </c>
      <c r="L129" s="94">
        <f t="shared" si="3"/>
        <v>0.83333333333333337</v>
      </c>
      <c r="N129"/>
      <c r="O129" s="8"/>
      <c r="P129"/>
      <c r="Q129" s="8"/>
    </row>
    <row r="130" spans="2:17" s="16" customFormat="1" x14ac:dyDescent="0.25">
      <c r="B130" s="38">
        <v>1</v>
      </c>
      <c r="C130" s="39" t="s">
        <v>92</v>
      </c>
      <c r="D130" s="40" t="s">
        <v>93</v>
      </c>
      <c r="E130" s="219"/>
      <c r="F130" s="61" t="s">
        <v>138</v>
      </c>
      <c r="G130" s="62" t="s">
        <v>136</v>
      </c>
      <c r="H130" s="55">
        <v>16</v>
      </c>
      <c r="I130" s="55">
        <v>2</v>
      </c>
      <c r="J130" s="69">
        <f t="shared" si="2"/>
        <v>0.125</v>
      </c>
      <c r="K130" s="90">
        <f>+I130+'JULIO 2025'!K130</f>
        <v>13</v>
      </c>
      <c r="L130" s="94">
        <f t="shared" si="3"/>
        <v>0.8125</v>
      </c>
      <c r="N130" s="41"/>
      <c r="P130" s="41"/>
    </row>
    <row r="131" spans="2:17" x14ac:dyDescent="0.25">
      <c r="B131" s="38">
        <v>1</v>
      </c>
      <c r="C131" s="39" t="s">
        <v>95</v>
      </c>
      <c r="D131" s="40" t="s">
        <v>96</v>
      </c>
      <c r="E131" s="219"/>
      <c r="F131" s="61" t="s">
        <v>139</v>
      </c>
      <c r="G131" s="62" t="s">
        <v>129</v>
      </c>
      <c r="H131" s="68">
        <v>10</v>
      </c>
      <c r="I131" s="55">
        <v>1</v>
      </c>
      <c r="J131" s="69">
        <f t="shared" si="2"/>
        <v>0.1</v>
      </c>
      <c r="K131" s="90">
        <f>+I131+'JULIO 2025'!K131</f>
        <v>8</v>
      </c>
      <c r="L131" s="94">
        <f t="shared" si="3"/>
        <v>0.8</v>
      </c>
      <c r="N131"/>
      <c r="O131" s="8"/>
      <c r="P131"/>
      <c r="Q131" s="8"/>
    </row>
    <row r="132" spans="2:17" x14ac:dyDescent="0.25">
      <c r="B132" s="38">
        <v>2</v>
      </c>
      <c r="C132" s="39" t="s">
        <v>140</v>
      </c>
      <c r="D132" s="40" t="s">
        <v>141</v>
      </c>
      <c r="E132" s="219"/>
      <c r="F132" s="61" t="s">
        <v>135</v>
      </c>
      <c r="G132" s="62" t="s">
        <v>130</v>
      </c>
      <c r="H132" s="55">
        <v>14</v>
      </c>
      <c r="I132" s="55">
        <v>3</v>
      </c>
      <c r="J132" s="69">
        <f t="shared" si="2"/>
        <v>0.21428571428571427</v>
      </c>
      <c r="K132" s="90">
        <f>+I132+'JULIO 2025'!K132</f>
        <v>12</v>
      </c>
      <c r="L132" s="94">
        <f t="shared" si="3"/>
        <v>0.8571428571428571</v>
      </c>
      <c r="N132"/>
      <c r="O132" s="8"/>
      <c r="P132"/>
      <c r="Q132" s="8"/>
    </row>
    <row r="133" spans="2:17" x14ac:dyDescent="0.25">
      <c r="B133" s="42">
        <v>2</v>
      </c>
      <c r="C133" s="43" t="s">
        <v>57</v>
      </c>
      <c r="D133" s="44" t="s">
        <v>58</v>
      </c>
      <c r="E133" s="220"/>
      <c r="F133" s="64" t="s">
        <v>54</v>
      </c>
      <c r="G133" s="65" t="s">
        <v>142</v>
      </c>
      <c r="H133" s="56">
        <v>20</v>
      </c>
      <c r="I133" s="56">
        <v>3</v>
      </c>
      <c r="J133" s="72">
        <f t="shared" si="2"/>
        <v>0.15</v>
      </c>
      <c r="K133" s="91">
        <f>+I133+'JULIO 2025'!K133</f>
        <v>17</v>
      </c>
      <c r="L133" s="96">
        <f t="shared" si="3"/>
        <v>0.85</v>
      </c>
      <c r="N133"/>
      <c r="O133" s="8"/>
      <c r="P133"/>
      <c r="Q133" s="8"/>
    </row>
    <row r="134" spans="2:17" x14ac:dyDescent="0.25">
      <c r="B134" s="35">
        <v>1</v>
      </c>
      <c r="C134" s="36" t="s">
        <v>144</v>
      </c>
      <c r="D134" s="37" t="s">
        <v>145</v>
      </c>
      <c r="E134" s="228" t="s">
        <v>205</v>
      </c>
      <c r="F134" s="61" t="s">
        <v>952</v>
      </c>
      <c r="G134" s="60" t="s">
        <v>541</v>
      </c>
      <c r="H134" s="66">
        <v>20</v>
      </c>
      <c r="I134" s="66">
        <v>2</v>
      </c>
      <c r="J134" s="69">
        <f t="shared" si="2"/>
        <v>0.1</v>
      </c>
      <c r="K134" s="103">
        <f>+I134+'JULIO 2025'!K134</f>
        <v>18</v>
      </c>
      <c r="L134" s="94">
        <f t="shared" si="3"/>
        <v>0.9</v>
      </c>
      <c r="N134"/>
      <c r="O134" s="8"/>
      <c r="P134"/>
      <c r="Q134" s="8"/>
    </row>
    <row r="135" spans="2:17" x14ac:dyDescent="0.25">
      <c r="B135" s="38">
        <v>1</v>
      </c>
      <c r="C135" s="39" t="s">
        <v>74</v>
      </c>
      <c r="D135" s="40" t="s">
        <v>75</v>
      </c>
      <c r="E135" s="229"/>
      <c r="F135" s="61" t="s">
        <v>223</v>
      </c>
      <c r="G135" s="62" t="s">
        <v>542</v>
      </c>
      <c r="H135" s="68">
        <v>20</v>
      </c>
      <c r="I135" s="55">
        <v>3</v>
      </c>
      <c r="J135" s="69">
        <f t="shared" si="2"/>
        <v>0.15</v>
      </c>
      <c r="K135" s="90">
        <f>+I135+'JULIO 2025'!K135</f>
        <v>17</v>
      </c>
      <c r="L135" s="94">
        <f t="shared" si="3"/>
        <v>0.85</v>
      </c>
      <c r="N135"/>
      <c r="O135" s="8"/>
      <c r="P135"/>
      <c r="Q135" s="8"/>
    </row>
    <row r="136" spans="2:17" x14ac:dyDescent="0.25">
      <c r="B136" s="38">
        <v>1</v>
      </c>
      <c r="C136" s="39" t="s">
        <v>77</v>
      </c>
      <c r="D136" s="40" t="s">
        <v>78</v>
      </c>
      <c r="E136" s="229"/>
      <c r="F136" s="61" t="s">
        <v>953</v>
      </c>
      <c r="G136" s="63" t="s">
        <v>544</v>
      </c>
      <c r="H136" s="55">
        <v>20</v>
      </c>
      <c r="I136" s="70">
        <v>5</v>
      </c>
      <c r="J136" s="69">
        <f t="shared" si="2"/>
        <v>0.25</v>
      </c>
      <c r="K136" s="90">
        <f>+I136+'JULIO 2025'!K136</f>
        <v>16</v>
      </c>
      <c r="L136" s="94">
        <f t="shared" si="3"/>
        <v>0.8</v>
      </c>
      <c r="N136"/>
      <c r="O136" s="8"/>
      <c r="P136"/>
      <c r="Q136" s="8"/>
    </row>
    <row r="137" spans="2:17" x14ac:dyDescent="0.25">
      <c r="B137" s="38">
        <v>1</v>
      </c>
      <c r="C137" s="39" t="s">
        <v>79</v>
      </c>
      <c r="D137" s="40" t="s">
        <v>80</v>
      </c>
      <c r="E137" s="229"/>
      <c r="F137" s="61" t="s">
        <v>808</v>
      </c>
      <c r="G137" s="62" t="s">
        <v>545</v>
      </c>
      <c r="H137" s="55">
        <v>20</v>
      </c>
      <c r="I137" s="55">
        <v>2</v>
      </c>
      <c r="J137" s="69">
        <f t="shared" si="2"/>
        <v>0.1</v>
      </c>
      <c r="K137" s="90">
        <f>+I137+'JULIO 2025'!K137</f>
        <v>18</v>
      </c>
      <c r="L137" s="94">
        <f t="shared" si="3"/>
        <v>0.9</v>
      </c>
      <c r="N137"/>
      <c r="O137" s="8"/>
      <c r="P137"/>
      <c r="Q137" s="8"/>
    </row>
    <row r="138" spans="2:17" x14ac:dyDescent="0.25">
      <c r="B138" s="38">
        <v>1</v>
      </c>
      <c r="C138" s="39" t="s">
        <v>82</v>
      </c>
      <c r="D138" s="40" t="s">
        <v>83</v>
      </c>
      <c r="E138" s="229"/>
      <c r="F138" s="61" t="s">
        <v>172</v>
      </c>
      <c r="G138" s="62" t="s">
        <v>172</v>
      </c>
      <c r="H138" s="55">
        <v>2</v>
      </c>
      <c r="I138" s="55">
        <v>0</v>
      </c>
      <c r="J138" s="69">
        <f t="shared" si="2"/>
        <v>0</v>
      </c>
      <c r="K138" s="90">
        <f>+I138+'JULIO 2025'!K138</f>
        <v>2</v>
      </c>
      <c r="L138" s="94">
        <f t="shared" si="3"/>
        <v>1</v>
      </c>
      <c r="N138"/>
      <c r="O138" s="8"/>
      <c r="P138"/>
      <c r="Q138" s="8"/>
    </row>
    <row r="139" spans="2:17" x14ac:dyDescent="0.25">
      <c r="B139" s="38">
        <v>1</v>
      </c>
      <c r="C139" s="39" t="s">
        <v>84</v>
      </c>
      <c r="D139" s="40" t="s">
        <v>85</v>
      </c>
      <c r="E139" s="229"/>
      <c r="F139" s="61" t="s">
        <v>201</v>
      </c>
      <c r="G139" s="62" t="s">
        <v>32</v>
      </c>
      <c r="H139" s="55">
        <v>40</v>
      </c>
      <c r="I139" s="55">
        <v>11</v>
      </c>
      <c r="J139" s="69">
        <f t="shared" si="2"/>
        <v>0.27500000000000002</v>
      </c>
      <c r="K139" s="90">
        <f>+I139+'JULIO 2025'!K139</f>
        <v>29</v>
      </c>
      <c r="L139" s="94">
        <f t="shared" si="3"/>
        <v>0.72499999999999998</v>
      </c>
      <c r="N139"/>
      <c r="O139" s="8"/>
      <c r="P139"/>
      <c r="Q139" s="8"/>
    </row>
    <row r="140" spans="2:17" x14ac:dyDescent="0.25">
      <c r="B140" s="38">
        <v>1</v>
      </c>
      <c r="C140" s="39" t="s">
        <v>86</v>
      </c>
      <c r="D140" s="40" t="s">
        <v>87</v>
      </c>
      <c r="E140" s="229"/>
      <c r="F140" s="40" t="s">
        <v>172</v>
      </c>
      <c r="G140" s="62" t="s">
        <v>172</v>
      </c>
      <c r="H140" s="55">
        <v>2</v>
      </c>
      <c r="I140" s="55">
        <v>0</v>
      </c>
      <c r="J140" s="69">
        <f t="shared" si="2"/>
        <v>0</v>
      </c>
      <c r="K140" s="90">
        <f>+I140+'JULIO 2025'!K140</f>
        <v>2</v>
      </c>
      <c r="L140" s="94">
        <f t="shared" si="3"/>
        <v>1</v>
      </c>
      <c r="N140"/>
      <c r="O140" s="8"/>
      <c r="P140"/>
      <c r="Q140" s="8"/>
    </row>
    <row r="141" spans="2:17" x14ac:dyDescent="0.25">
      <c r="B141" s="38">
        <v>1</v>
      </c>
      <c r="C141" s="39" t="s">
        <v>89</v>
      </c>
      <c r="D141" s="40" t="s">
        <v>90</v>
      </c>
      <c r="E141" s="229"/>
      <c r="F141" s="61" t="s">
        <v>172</v>
      </c>
      <c r="G141" s="62" t="s">
        <v>172</v>
      </c>
      <c r="H141" s="55">
        <v>8</v>
      </c>
      <c r="I141" s="55">
        <v>0</v>
      </c>
      <c r="J141" s="69">
        <f t="shared" si="2"/>
        <v>0</v>
      </c>
      <c r="K141" s="90">
        <f>+I141+'JULIO 2025'!K141</f>
        <v>8</v>
      </c>
      <c r="L141" s="94">
        <f t="shared" si="3"/>
        <v>1</v>
      </c>
      <c r="N141"/>
      <c r="O141" s="8"/>
      <c r="P141"/>
      <c r="Q141" s="8"/>
    </row>
    <row r="142" spans="2:17" s="16" customFormat="1" x14ac:dyDescent="0.25">
      <c r="B142" s="38">
        <v>1</v>
      </c>
      <c r="C142" s="39" t="s">
        <v>92</v>
      </c>
      <c r="D142" s="40" t="s">
        <v>93</v>
      </c>
      <c r="E142" s="229"/>
      <c r="F142" s="1" t="s">
        <v>955</v>
      </c>
      <c r="G142" s="62" t="s">
        <v>548</v>
      </c>
      <c r="H142" s="68">
        <v>15</v>
      </c>
      <c r="I142" s="55">
        <v>3</v>
      </c>
      <c r="J142" s="69">
        <f t="shared" si="2"/>
        <v>0.2</v>
      </c>
      <c r="K142" s="90">
        <f>+I142+'JULIO 2025'!K142</f>
        <v>13</v>
      </c>
      <c r="L142" s="94">
        <f t="shared" si="3"/>
        <v>0.8666666666666667</v>
      </c>
      <c r="N142" s="41"/>
      <c r="P142" s="41"/>
    </row>
    <row r="143" spans="2:17" x14ac:dyDescent="0.25">
      <c r="B143" s="38">
        <v>1</v>
      </c>
      <c r="C143" s="39" t="s">
        <v>146</v>
      </c>
      <c r="D143" s="40" t="s">
        <v>147</v>
      </c>
      <c r="E143" s="229"/>
      <c r="F143" s="61" t="s">
        <v>172</v>
      </c>
      <c r="G143" s="62" t="s">
        <v>172</v>
      </c>
      <c r="H143" s="55">
        <v>5</v>
      </c>
      <c r="I143" s="55">
        <v>0</v>
      </c>
      <c r="J143" s="69">
        <f t="shared" ref="J143:J206" si="4">IFERROR(I143/H143,0)</f>
        <v>0</v>
      </c>
      <c r="K143" s="90">
        <f>+I143+'JULIO 2025'!K143</f>
        <v>5</v>
      </c>
      <c r="L143" s="94">
        <f t="shared" ref="L143:L206" si="5">IFERROR(K143/H143,0)</f>
        <v>1</v>
      </c>
      <c r="N143"/>
      <c r="O143" s="8"/>
      <c r="P143"/>
      <c r="Q143" s="8"/>
    </row>
    <row r="144" spans="2:17" x14ac:dyDescent="0.25">
      <c r="B144" s="38">
        <v>1</v>
      </c>
      <c r="C144" s="39" t="s">
        <v>95</v>
      </c>
      <c r="D144" s="40" t="s">
        <v>96</v>
      </c>
      <c r="E144" s="229"/>
      <c r="F144" s="61" t="s">
        <v>218</v>
      </c>
      <c r="G144" s="63" t="s">
        <v>549</v>
      </c>
      <c r="H144" s="55">
        <v>13</v>
      </c>
      <c r="I144" s="70">
        <v>2</v>
      </c>
      <c r="J144" s="69">
        <f t="shared" si="4"/>
        <v>0.15384615384615385</v>
      </c>
      <c r="K144" s="90">
        <f>+I144+'JULIO 2025'!K144</f>
        <v>11</v>
      </c>
      <c r="L144" s="94">
        <f t="shared" si="5"/>
        <v>0.84615384615384615</v>
      </c>
      <c r="N144"/>
      <c r="O144" s="8"/>
      <c r="P144"/>
      <c r="Q144" s="8"/>
    </row>
    <row r="145" spans="2:17" x14ac:dyDescent="0.25">
      <c r="B145" s="42">
        <v>8</v>
      </c>
      <c r="C145" s="43" t="s">
        <v>148</v>
      </c>
      <c r="D145" s="44" t="s">
        <v>141</v>
      </c>
      <c r="E145" s="230"/>
      <c r="F145" s="64" t="s">
        <v>954</v>
      </c>
      <c r="G145" s="65" t="s">
        <v>550</v>
      </c>
      <c r="H145" s="56">
        <v>15</v>
      </c>
      <c r="I145" s="56">
        <v>2</v>
      </c>
      <c r="J145" s="72">
        <f t="shared" si="4"/>
        <v>0.13333333333333333</v>
      </c>
      <c r="K145" s="91">
        <f>+I145+'JULIO 2025'!K145</f>
        <v>11</v>
      </c>
      <c r="L145" s="96">
        <f t="shared" si="5"/>
        <v>0.73333333333333328</v>
      </c>
      <c r="N145"/>
      <c r="O145" s="8"/>
      <c r="P145"/>
      <c r="Q145" s="8"/>
    </row>
    <row r="146" spans="2:17" x14ac:dyDescent="0.25">
      <c r="B146" s="35">
        <v>3</v>
      </c>
      <c r="C146" s="36" t="s">
        <v>43</v>
      </c>
      <c r="D146" s="37" t="s">
        <v>44</v>
      </c>
      <c r="E146" s="235" t="s">
        <v>239</v>
      </c>
      <c r="F146" s="59" t="s">
        <v>45</v>
      </c>
      <c r="G146" s="60" t="s">
        <v>551</v>
      </c>
      <c r="H146" s="66">
        <v>16</v>
      </c>
      <c r="I146" s="66">
        <v>3</v>
      </c>
      <c r="J146" s="69">
        <f t="shared" si="4"/>
        <v>0.1875</v>
      </c>
      <c r="K146" s="103">
        <f>+I146+'JULIO 2025'!K146</f>
        <v>13</v>
      </c>
      <c r="L146" s="94">
        <f t="shared" si="5"/>
        <v>0.8125</v>
      </c>
      <c r="N146"/>
      <c r="O146" s="8"/>
      <c r="P146"/>
      <c r="Q146" s="8"/>
    </row>
    <row r="147" spans="2:17" x14ac:dyDescent="0.25">
      <c r="B147" s="38">
        <v>3</v>
      </c>
      <c r="C147" s="39" t="s">
        <v>149</v>
      </c>
      <c r="D147" s="40" t="s">
        <v>150</v>
      </c>
      <c r="E147" s="236"/>
      <c r="F147" s="61" t="s">
        <v>48</v>
      </c>
      <c r="G147" s="62" t="s">
        <v>552</v>
      </c>
      <c r="H147" s="68">
        <v>17</v>
      </c>
      <c r="I147" s="55">
        <v>3</v>
      </c>
      <c r="J147" s="69">
        <f t="shared" si="4"/>
        <v>0.17647058823529413</v>
      </c>
      <c r="K147" s="90">
        <f>+I147+'JULIO 2025'!K147</f>
        <v>14</v>
      </c>
      <c r="L147" s="94">
        <f t="shared" si="5"/>
        <v>0.82352941176470584</v>
      </c>
      <c r="N147"/>
      <c r="O147" s="8"/>
      <c r="P147"/>
      <c r="Q147" s="8"/>
    </row>
    <row r="148" spans="2:17" x14ac:dyDescent="0.25">
      <c r="B148" s="38">
        <v>3</v>
      </c>
      <c r="C148" s="39" t="s">
        <v>46</v>
      </c>
      <c r="D148" s="40" t="s">
        <v>47</v>
      </c>
      <c r="E148" s="236"/>
      <c r="F148" s="61" t="s">
        <v>48</v>
      </c>
      <c r="G148" s="63" t="s">
        <v>553</v>
      </c>
      <c r="H148" s="55">
        <v>16</v>
      </c>
      <c r="I148" s="70">
        <v>2</v>
      </c>
      <c r="J148" s="69">
        <f t="shared" si="4"/>
        <v>0.125</v>
      </c>
      <c r="K148" s="90">
        <f>+I148+'JULIO 2025'!K148</f>
        <v>13</v>
      </c>
      <c r="L148" s="94">
        <f t="shared" si="5"/>
        <v>0.8125</v>
      </c>
      <c r="N148"/>
      <c r="O148" s="8"/>
      <c r="P148"/>
      <c r="Q148" s="8"/>
    </row>
    <row r="149" spans="2:17" x14ac:dyDescent="0.25">
      <c r="B149" s="38">
        <v>3</v>
      </c>
      <c r="C149" s="39" t="s">
        <v>98</v>
      </c>
      <c r="D149" s="40" t="s">
        <v>99</v>
      </c>
      <c r="E149" s="236"/>
      <c r="F149" s="61" t="s">
        <v>48</v>
      </c>
      <c r="G149" s="62" t="s">
        <v>280</v>
      </c>
      <c r="H149" s="55">
        <v>17</v>
      </c>
      <c r="I149" s="55">
        <v>1</v>
      </c>
      <c r="J149" s="69">
        <f t="shared" si="4"/>
        <v>5.8823529411764705E-2</v>
      </c>
      <c r="K149" s="90">
        <f>+I149+'JULIO 2025'!K149</f>
        <v>15</v>
      </c>
      <c r="L149" s="94">
        <f t="shared" si="5"/>
        <v>0.88235294117647056</v>
      </c>
      <c r="N149"/>
      <c r="O149" s="8"/>
      <c r="P149"/>
      <c r="Q149" s="8"/>
    </row>
    <row r="150" spans="2:17" x14ac:dyDescent="0.25">
      <c r="B150" s="38">
        <v>3</v>
      </c>
      <c r="C150" s="39" t="s">
        <v>49</v>
      </c>
      <c r="D150" s="40" t="s">
        <v>50</v>
      </c>
      <c r="E150" s="236"/>
      <c r="F150" s="61" t="s">
        <v>51</v>
      </c>
      <c r="G150" s="62" t="s">
        <v>555</v>
      </c>
      <c r="H150" s="55">
        <v>16</v>
      </c>
      <c r="I150" s="55">
        <v>3</v>
      </c>
      <c r="J150" s="69">
        <f t="shared" si="4"/>
        <v>0.1875</v>
      </c>
      <c r="K150" s="90">
        <f>+I150+'JULIO 2025'!K150</f>
        <v>13</v>
      </c>
      <c r="L150" s="94">
        <f t="shared" si="5"/>
        <v>0.8125</v>
      </c>
      <c r="N150"/>
      <c r="O150" s="8"/>
      <c r="P150"/>
      <c r="Q150" s="8"/>
    </row>
    <row r="151" spans="2:17" x14ac:dyDescent="0.25">
      <c r="B151" s="38">
        <v>3</v>
      </c>
      <c r="C151" s="39" t="s">
        <v>52</v>
      </c>
      <c r="D151" s="40" t="s">
        <v>53</v>
      </c>
      <c r="E151" s="236"/>
      <c r="F151" s="61" t="s">
        <v>54</v>
      </c>
      <c r="G151" s="62" t="s">
        <v>556</v>
      </c>
      <c r="H151" s="55">
        <v>17</v>
      </c>
      <c r="I151" s="55">
        <v>2</v>
      </c>
      <c r="J151" s="69">
        <f t="shared" si="4"/>
        <v>0.11764705882352941</v>
      </c>
      <c r="K151" s="90">
        <f>+I151+'JULIO 2025'!K151</f>
        <v>14</v>
      </c>
      <c r="L151" s="94">
        <f t="shared" si="5"/>
        <v>0.82352941176470584</v>
      </c>
      <c r="N151"/>
      <c r="O151" s="8"/>
      <c r="P151"/>
      <c r="Q151" s="8"/>
    </row>
    <row r="152" spans="2:17" x14ac:dyDescent="0.25">
      <c r="B152" s="38">
        <v>3</v>
      </c>
      <c r="C152" s="39" t="s">
        <v>55</v>
      </c>
      <c r="D152" s="40" t="s">
        <v>56</v>
      </c>
      <c r="E152" s="236"/>
      <c r="F152" s="61" t="s">
        <v>54</v>
      </c>
      <c r="G152" s="62" t="s">
        <v>557</v>
      </c>
      <c r="H152" s="55">
        <v>16</v>
      </c>
      <c r="I152" s="55">
        <v>3</v>
      </c>
      <c r="J152" s="69">
        <f t="shared" si="4"/>
        <v>0.1875</v>
      </c>
      <c r="K152" s="90">
        <f>+I152+'JULIO 2025'!K152</f>
        <v>13</v>
      </c>
      <c r="L152" s="94">
        <f t="shared" si="5"/>
        <v>0.8125</v>
      </c>
      <c r="N152"/>
      <c r="O152" s="8"/>
      <c r="P152"/>
      <c r="Q152" s="8"/>
    </row>
    <row r="153" spans="2:17" s="16" customFormat="1" x14ac:dyDescent="0.25">
      <c r="B153" s="38">
        <v>5</v>
      </c>
      <c r="C153" s="39" t="s">
        <v>151</v>
      </c>
      <c r="D153" s="40" t="s">
        <v>152</v>
      </c>
      <c r="E153" s="236"/>
      <c r="F153" s="61" t="s">
        <v>48</v>
      </c>
      <c r="G153" s="62" t="s">
        <v>558</v>
      </c>
      <c r="H153" s="55">
        <v>16</v>
      </c>
      <c r="I153" s="55">
        <v>3</v>
      </c>
      <c r="J153" s="69">
        <f t="shared" si="4"/>
        <v>0.1875</v>
      </c>
      <c r="K153" s="90">
        <f>+I153+'JULIO 2025'!K153</f>
        <v>13</v>
      </c>
      <c r="L153" s="94">
        <f t="shared" si="5"/>
        <v>0.8125</v>
      </c>
      <c r="N153" s="41"/>
      <c r="P153" s="41"/>
    </row>
    <row r="154" spans="2:17" x14ac:dyDescent="0.25">
      <c r="B154" s="38">
        <v>5</v>
      </c>
      <c r="C154" s="39" t="s">
        <v>57</v>
      </c>
      <c r="D154" s="40" t="s">
        <v>58</v>
      </c>
      <c r="E154" s="236"/>
      <c r="F154" s="61" t="s">
        <v>54</v>
      </c>
      <c r="G154" s="62" t="s">
        <v>559</v>
      </c>
      <c r="H154" s="68">
        <v>16</v>
      </c>
      <c r="I154" s="55">
        <v>3</v>
      </c>
      <c r="J154" s="69">
        <f t="shared" si="4"/>
        <v>0.1875</v>
      </c>
      <c r="K154" s="90">
        <f>+I154+'JULIO 2025'!K154</f>
        <v>14</v>
      </c>
      <c r="L154" s="94">
        <f t="shared" si="5"/>
        <v>0.875</v>
      </c>
      <c r="N154"/>
      <c r="O154" s="8"/>
      <c r="P154"/>
      <c r="Q154" s="8"/>
    </row>
    <row r="155" spans="2:17" x14ac:dyDescent="0.25">
      <c r="B155" s="38">
        <v>5</v>
      </c>
      <c r="C155" s="39" t="s">
        <v>59</v>
      </c>
      <c r="D155" s="40" t="s">
        <v>60</v>
      </c>
      <c r="E155" s="236"/>
      <c r="F155" s="61" t="s">
        <v>54</v>
      </c>
      <c r="G155" s="62" t="s">
        <v>560</v>
      </c>
      <c r="H155" s="55">
        <v>16</v>
      </c>
      <c r="I155" s="55">
        <v>3</v>
      </c>
      <c r="J155" s="69">
        <f t="shared" si="4"/>
        <v>0.1875</v>
      </c>
      <c r="K155" s="90">
        <f>+I155+'JULIO 2025'!K155</f>
        <v>14</v>
      </c>
      <c r="L155" s="94">
        <f t="shared" si="5"/>
        <v>0.875</v>
      </c>
      <c r="N155"/>
      <c r="O155" s="8"/>
      <c r="P155"/>
      <c r="Q155" s="8"/>
    </row>
    <row r="156" spans="2:17" x14ac:dyDescent="0.25">
      <c r="B156" s="42">
        <v>8</v>
      </c>
      <c r="C156" s="43" t="s">
        <v>61</v>
      </c>
      <c r="D156" s="44" t="s">
        <v>62</v>
      </c>
      <c r="E156" s="237"/>
      <c r="F156" s="64" t="s">
        <v>63</v>
      </c>
      <c r="G156" s="135" t="s">
        <v>561</v>
      </c>
      <c r="H156" s="56">
        <v>17</v>
      </c>
      <c r="I156" s="56">
        <v>4</v>
      </c>
      <c r="J156" s="72">
        <f t="shared" si="4"/>
        <v>0.23529411764705882</v>
      </c>
      <c r="K156" s="91">
        <f>+I156+'JULIO 2025'!K156</f>
        <v>14</v>
      </c>
      <c r="L156" s="96">
        <f t="shared" si="5"/>
        <v>0.82352941176470584</v>
      </c>
      <c r="N156"/>
      <c r="O156" s="8"/>
      <c r="P156"/>
      <c r="Q156" s="8"/>
    </row>
    <row r="157" spans="2:17" x14ac:dyDescent="0.25">
      <c r="B157" s="35">
        <v>3</v>
      </c>
      <c r="C157" s="36" t="s">
        <v>43</v>
      </c>
      <c r="D157" s="37" t="s">
        <v>44</v>
      </c>
      <c r="E157" s="218" t="s">
        <v>157</v>
      </c>
      <c r="F157" s="59" t="s">
        <v>45</v>
      </c>
      <c r="G157" s="60" t="s">
        <v>977</v>
      </c>
      <c r="H157" s="66">
        <v>27</v>
      </c>
      <c r="I157" s="66">
        <v>3</v>
      </c>
      <c r="J157" s="69">
        <f t="shared" si="4"/>
        <v>0.1111111111111111</v>
      </c>
      <c r="K157" s="103">
        <f>+I157+'JULIO 2025'!K157</f>
        <v>15</v>
      </c>
      <c r="L157" s="94">
        <f t="shared" si="5"/>
        <v>0.55555555555555558</v>
      </c>
      <c r="N157"/>
      <c r="O157" s="8"/>
      <c r="P157"/>
      <c r="Q157" s="8"/>
    </row>
    <row r="158" spans="2:17" x14ac:dyDescent="0.25">
      <c r="B158" s="38">
        <v>3</v>
      </c>
      <c r="C158" s="39" t="s">
        <v>153</v>
      </c>
      <c r="D158" s="40" t="s">
        <v>154</v>
      </c>
      <c r="E158" s="219"/>
      <c r="F158" s="61" t="s">
        <v>159</v>
      </c>
      <c r="G158" s="63" t="s">
        <v>288</v>
      </c>
      <c r="H158" s="55">
        <v>27</v>
      </c>
      <c r="I158" s="55">
        <v>3</v>
      </c>
      <c r="J158" s="69">
        <f t="shared" si="4"/>
        <v>0.1111111111111111</v>
      </c>
      <c r="K158" s="90">
        <f>+I158+'JULIO 2025'!K158</f>
        <v>15</v>
      </c>
      <c r="L158" s="94">
        <f t="shared" si="5"/>
        <v>0.55555555555555558</v>
      </c>
      <c r="N158"/>
      <c r="O158" s="8"/>
      <c r="P158"/>
      <c r="Q158" s="8"/>
    </row>
    <row r="159" spans="2:17" x14ac:dyDescent="0.25">
      <c r="B159" s="38">
        <v>3</v>
      </c>
      <c r="C159" s="39" t="s">
        <v>46</v>
      </c>
      <c r="D159" s="40" t="s">
        <v>47</v>
      </c>
      <c r="E159" s="219"/>
      <c r="F159" s="61" t="s">
        <v>48</v>
      </c>
      <c r="G159" s="62" t="s">
        <v>289</v>
      </c>
      <c r="H159" s="55">
        <v>27</v>
      </c>
      <c r="I159" s="55">
        <v>3</v>
      </c>
      <c r="J159" s="69">
        <f t="shared" si="4"/>
        <v>0.1111111111111111</v>
      </c>
      <c r="K159" s="90">
        <f>+I159+'JULIO 2025'!K159</f>
        <v>15</v>
      </c>
      <c r="L159" s="94">
        <f t="shared" si="5"/>
        <v>0.55555555555555558</v>
      </c>
      <c r="N159"/>
      <c r="O159" s="8"/>
      <c r="P159"/>
      <c r="Q159" s="8"/>
    </row>
    <row r="160" spans="2:17" x14ac:dyDescent="0.25">
      <c r="B160" s="38">
        <v>3</v>
      </c>
      <c r="C160" s="39" t="s">
        <v>98</v>
      </c>
      <c r="D160" s="40" t="s">
        <v>99</v>
      </c>
      <c r="E160" s="219"/>
      <c r="F160" s="61" t="s">
        <v>48</v>
      </c>
      <c r="G160" s="62" t="s">
        <v>978</v>
      </c>
      <c r="H160" s="55">
        <v>27</v>
      </c>
      <c r="I160" s="55">
        <v>3</v>
      </c>
      <c r="J160" s="69">
        <f t="shared" si="4"/>
        <v>0.1111111111111111</v>
      </c>
      <c r="K160" s="90">
        <f>+I160+'JULIO 2025'!K160</f>
        <v>15</v>
      </c>
      <c r="L160" s="94">
        <f t="shared" si="5"/>
        <v>0.55555555555555558</v>
      </c>
      <c r="N160"/>
      <c r="O160" s="8"/>
      <c r="P160"/>
      <c r="Q160" s="8"/>
    </row>
    <row r="161" spans="2:17" s="16" customFormat="1" x14ac:dyDescent="0.25">
      <c r="B161" s="38">
        <v>3</v>
      </c>
      <c r="C161" s="39" t="s">
        <v>49</v>
      </c>
      <c r="D161" s="40" t="s">
        <v>50</v>
      </c>
      <c r="E161" s="219"/>
      <c r="F161" s="61" t="s">
        <v>51</v>
      </c>
      <c r="G161" s="62" t="s">
        <v>155</v>
      </c>
      <c r="H161" s="55">
        <v>27</v>
      </c>
      <c r="I161" s="55">
        <v>3</v>
      </c>
      <c r="J161" s="69">
        <f t="shared" si="4"/>
        <v>0.1111111111111111</v>
      </c>
      <c r="K161" s="90">
        <f>+I161+'JULIO 2025'!K161</f>
        <v>15</v>
      </c>
      <c r="L161" s="94">
        <f t="shared" si="5"/>
        <v>0.55555555555555558</v>
      </c>
      <c r="N161" s="41"/>
      <c r="P161" s="41"/>
    </row>
    <row r="162" spans="2:17" x14ac:dyDescent="0.25">
      <c r="B162" s="38">
        <v>3</v>
      </c>
      <c r="C162" s="39" t="s">
        <v>52</v>
      </c>
      <c r="D162" s="40" t="s">
        <v>53</v>
      </c>
      <c r="E162" s="219"/>
      <c r="F162" s="61" t="s">
        <v>54</v>
      </c>
      <c r="G162" s="62" t="s">
        <v>167</v>
      </c>
      <c r="H162" s="55">
        <v>27</v>
      </c>
      <c r="I162" s="55">
        <v>3</v>
      </c>
      <c r="J162" s="69">
        <f t="shared" si="4"/>
        <v>0.1111111111111111</v>
      </c>
      <c r="K162" s="90">
        <f>+I162+'JULIO 2025'!K162</f>
        <v>15</v>
      </c>
      <c r="L162" s="94">
        <f t="shared" si="5"/>
        <v>0.55555555555555558</v>
      </c>
      <c r="N162"/>
      <c r="O162" s="8"/>
      <c r="P162"/>
      <c r="Q162" s="8"/>
    </row>
    <row r="163" spans="2:17" x14ac:dyDescent="0.25">
      <c r="B163" s="38">
        <v>3</v>
      </c>
      <c r="C163" s="39" t="s">
        <v>55</v>
      </c>
      <c r="D163" s="40" t="s">
        <v>56</v>
      </c>
      <c r="E163" s="219"/>
      <c r="F163" s="61" t="s">
        <v>54</v>
      </c>
      <c r="G163" s="62" t="s">
        <v>168</v>
      </c>
      <c r="H163" s="55">
        <v>27</v>
      </c>
      <c r="I163" s="55">
        <v>3</v>
      </c>
      <c r="J163" s="69">
        <f t="shared" si="4"/>
        <v>0.1111111111111111</v>
      </c>
      <c r="K163" s="90">
        <f>+I163+'JULIO 2025'!K163</f>
        <v>15</v>
      </c>
      <c r="L163" s="94">
        <f t="shared" si="5"/>
        <v>0.55555555555555558</v>
      </c>
      <c r="N163"/>
      <c r="O163" s="8"/>
      <c r="P163"/>
      <c r="Q163" s="8"/>
    </row>
    <row r="164" spans="2:17" x14ac:dyDescent="0.25">
      <c r="B164" s="38">
        <v>5</v>
      </c>
      <c r="C164" s="39" t="s">
        <v>57</v>
      </c>
      <c r="D164" s="40" t="s">
        <v>58</v>
      </c>
      <c r="E164" s="219"/>
      <c r="F164" s="61" t="s">
        <v>54</v>
      </c>
      <c r="G164" s="62" t="s">
        <v>155</v>
      </c>
      <c r="H164" s="68">
        <v>27</v>
      </c>
      <c r="I164" s="55">
        <v>3</v>
      </c>
      <c r="J164" s="69">
        <f t="shared" si="4"/>
        <v>0.1111111111111111</v>
      </c>
      <c r="K164" s="90">
        <f>+I164+'JULIO 2025'!K164</f>
        <v>15</v>
      </c>
      <c r="L164" s="94">
        <f t="shared" si="5"/>
        <v>0.55555555555555558</v>
      </c>
      <c r="N164"/>
      <c r="O164" s="8"/>
      <c r="P164"/>
      <c r="Q164" s="8"/>
    </row>
    <row r="165" spans="2:17" x14ac:dyDescent="0.25">
      <c r="B165" s="38">
        <v>5</v>
      </c>
      <c r="C165" s="39" t="s">
        <v>59</v>
      </c>
      <c r="D165" s="40" t="s">
        <v>60</v>
      </c>
      <c r="E165" s="219"/>
      <c r="F165" s="61" t="s">
        <v>54</v>
      </c>
      <c r="G165" s="62" t="s">
        <v>978</v>
      </c>
      <c r="H165" s="55">
        <v>27</v>
      </c>
      <c r="I165" s="55">
        <v>3</v>
      </c>
      <c r="J165" s="69">
        <f t="shared" si="4"/>
        <v>0.1111111111111111</v>
      </c>
      <c r="K165" s="90">
        <f>+I165+'JULIO 2025'!K165</f>
        <v>15</v>
      </c>
      <c r="L165" s="94">
        <f t="shared" si="5"/>
        <v>0.55555555555555558</v>
      </c>
      <c r="N165"/>
      <c r="O165" s="8"/>
      <c r="P165"/>
      <c r="Q165" s="8"/>
    </row>
    <row r="166" spans="2:17" x14ac:dyDescent="0.25">
      <c r="B166" s="42">
        <v>8</v>
      </c>
      <c r="C166" s="43" t="s">
        <v>61</v>
      </c>
      <c r="D166" s="44" t="s">
        <v>62</v>
      </c>
      <c r="E166" s="220"/>
      <c r="F166" s="64" t="s">
        <v>63</v>
      </c>
      <c r="G166" s="135" t="s">
        <v>156</v>
      </c>
      <c r="H166" s="56">
        <v>27</v>
      </c>
      <c r="I166" s="56">
        <v>3</v>
      </c>
      <c r="J166" s="72">
        <f t="shared" si="4"/>
        <v>0.1111111111111111</v>
      </c>
      <c r="K166" s="91">
        <f>+I166+'JULIO 2025'!K166</f>
        <v>15</v>
      </c>
      <c r="L166" s="96">
        <f t="shared" si="5"/>
        <v>0.55555555555555558</v>
      </c>
      <c r="N166"/>
      <c r="O166" s="8"/>
      <c r="P166"/>
      <c r="Q166" s="8"/>
    </row>
    <row r="167" spans="2:17" x14ac:dyDescent="0.25">
      <c r="B167" s="35">
        <v>3</v>
      </c>
      <c r="C167" s="36" t="s">
        <v>43</v>
      </c>
      <c r="D167" s="37" t="s">
        <v>44</v>
      </c>
      <c r="E167" s="218" t="s">
        <v>158</v>
      </c>
      <c r="F167" s="59" t="s">
        <v>957</v>
      </c>
      <c r="G167" s="60" t="s">
        <v>958</v>
      </c>
      <c r="H167" s="66">
        <v>27</v>
      </c>
      <c r="I167" s="66">
        <v>3</v>
      </c>
      <c r="J167" s="69">
        <f t="shared" si="4"/>
        <v>0.1111111111111111</v>
      </c>
      <c r="K167" s="103">
        <f>+I167+'JULIO 2025'!K167</f>
        <v>12</v>
      </c>
      <c r="L167" s="94">
        <f t="shared" si="5"/>
        <v>0.44444444444444442</v>
      </c>
      <c r="N167"/>
      <c r="O167" s="8"/>
      <c r="P167"/>
      <c r="Q167" s="8"/>
    </row>
    <row r="168" spans="2:17" x14ac:dyDescent="0.25">
      <c r="B168" s="38">
        <v>3</v>
      </c>
      <c r="C168" s="39" t="s">
        <v>153</v>
      </c>
      <c r="D168" s="40" t="s">
        <v>154</v>
      </c>
      <c r="E168" s="219"/>
      <c r="F168" s="1" t="s">
        <v>224</v>
      </c>
      <c r="G168" s="62" t="s">
        <v>959</v>
      </c>
      <c r="H168" s="68">
        <v>27</v>
      </c>
      <c r="I168" s="55">
        <v>7</v>
      </c>
      <c r="J168" s="69">
        <f t="shared" si="4"/>
        <v>0.25925925925925924</v>
      </c>
      <c r="K168" s="90">
        <f>+I168+'JULIO 2025'!K168</f>
        <v>23</v>
      </c>
      <c r="L168" s="94">
        <f t="shared" si="5"/>
        <v>0.85185185185185186</v>
      </c>
      <c r="N168"/>
      <c r="O168" s="8"/>
      <c r="P168"/>
      <c r="Q168" s="8"/>
    </row>
    <row r="169" spans="2:17" x14ac:dyDescent="0.25">
      <c r="B169" s="38">
        <v>3</v>
      </c>
      <c r="C169" s="39" t="s">
        <v>46</v>
      </c>
      <c r="D169" s="40" t="s">
        <v>47</v>
      </c>
      <c r="E169" s="219"/>
      <c r="F169" s="61" t="s">
        <v>172</v>
      </c>
      <c r="G169" s="63" t="s">
        <v>172</v>
      </c>
      <c r="H169" s="55">
        <v>27</v>
      </c>
      <c r="I169" s="70">
        <v>0</v>
      </c>
      <c r="J169" s="69">
        <f t="shared" si="4"/>
        <v>0</v>
      </c>
      <c r="K169" s="90">
        <f>+I169+'JULIO 2025'!K169</f>
        <v>13</v>
      </c>
      <c r="L169" s="94">
        <f t="shared" si="5"/>
        <v>0.48148148148148145</v>
      </c>
      <c r="N169"/>
      <c r="O169" s="8"/>
      <c r="P169"/>
      <c r="Q169" s="8"/>
    </row>
    <row r="170" spans="2:17" x14ac:dyDescent="0.25">
      <c r="B170" s="38">
        <v>3</v>
      </c>
      <c r="C170" s="39" t="s">
        <v>98</v>
      </c>
      <c r="D170" s="40" t="s">
        <v>99</v>
      </c>
      <c r="E170" s="219"/>
      <c r="F170" s="61" t="s">
        <v>172</v>
      </c>
      <c r="G170" s="63" t="s">
        <v>172</v>
      </c>
      <c r="H170" s="55">
        <v>27</v>
      </c>
      <c r="I170" s="55">
        <v>0</v>
      </c>
      <c r="J170" s="69">
        <f t="shared" si="4"/>
        <v>0</v>
      </c>
      <c r="K170" s="90">
        <f>+I170+'JULIO 2025'!K170</f>
        <v>11</v>
      </c>
      <c r="L170" s="94">
        <f t="shared" si="5"/>
        <v>0.40740740740740738</v>
      </c>
      <c r="N170"/>
      <c r="O170" s="8"/>
      <c r="P170"/>
      <c r="Q170" s="8"/>
    </row>
    <row r="171" spans="2:17" s="16" customFormat="1" x14ac:dyDescent="0.25">
      <c r="B171" s="38">
        <v>3</v>
      </c>
      <c r="C171" s="39" t="s">
        <v>49</v>
      </c>
      <c r="D171" s="40" t="s">
        <v>50</v>
      </c>
      <c r="E171" s="219"/>
      <c r="F171" s="61" t="s">
        <v>960</v>
      </c>
      <c r="G171" s="63" t="s">
        <v>961</v>
      </c>
      <c r="H171" s="55">
        <v>27</v>
      </c>
      <c r="I171" s="55">
        <v>2</v>
      </c>
      <c r="J171" s="69">
        <f t="shared" si="4"/>
        <v>7.407407407407407E-2</v>
      </c>
      <c r="K171" s="90">
        <f>+I171+'JULIO 2025'!K171</f>
        <v>15</v>
      </c>
      <c r="L171" s="94">
        <f t="shared" si="5"/>
        <v>0.55555555555555558</v>
      </c>
      <c r="N171" s="41"/>
      <c r="P171" s="41"/>
    </row>
    <row r="172" spans="2:17" x14ac:dyDescent="0.25">
      <c r="B172" s="38">
        <v>3</v>
      </c>
      <c r="C172" s="39" t="s">
        <v>52</v>
      </c>
      <c r="D172" s="40" t="s">
        <v>53</v>
      </c>
      <c r="E172" s="219"/>
      <c r="F172" s="61" t="s">
        <v>962</v>
      </c>
      <c r="G172" s="63" t="s">
        <v>963</v>
      </c>
      <c r="H172" s="55">
        <v>27</v>
      </c>
      <c r="I172" s="55">
        <v>2</v>
      </c>
      <c r="J172" s="69">
        <f t="shared" si="4"/>
        <v>7.407407407407407E-2</v>
      </c>
      <c r="K172" s="90">
        <f>+I172+'JULIO 2025'!K172</f>
        <v>15</v>
      </c>
      <c r="L172" s="94">
        <f t="shared" si="5"/>
        <v>0.55555555555555558</v>
      </c>
      <c r="N172"/>
      <c r="O172" s="8"/>
      <c r="P172"/>
      <c r="Q172" s="8"/>
    </row>
    <row r="173" spans="2:17" x14ac:dyDescent="0.25">
      <c r="B173" s="38">
        <v>3</v>
      </c>
      <c r="C173" s="39" t="s">
        <v>55</v>
      </c>
      <c r="D173" s="40" t="s">
        <v>56</v>
      </c>
      <c r="E173" s="219"/>
      <c r="F173" s="61" t="s">
        <v>964</v>
      </c>
      <c r="G173" s="63" t="s">
        <v>965</v>
      </c>
      <c r="H173" s="55">
        <v>27</v>
      </c>
      <c r="I173" s="55">
        <v>4</v>
      </c>
      <c r="J173" s="69">
        <f t="shared" si="4"/>
        <v>0.14814814814814814</v>
      </c>
      <c r="K173" s="90">
        <f>+I173+'JULIO 2025'!K173</f>
        <v>13</v>
      </c>
      <c r="L173" s="94">
        <f t="shared" si="5"/>
        <v>0.48148148148148145</v>
      </c>
      <c r="N173"/>
      <c r="O173" s="8"/>
      <c r="P173"/>
      <c r="Q173" s="8"/>
    </row>
    <row r="174" spans="2:17" x14ac:dyDescent="0.25">
      <c r="B174" s="38">
        <v>5</v>
      </c>
      <c r="C174" s="39" t="s">
        <v>57</v>
      </c>
      <c r="D174" s="40" t="s">
        <v>58</v>
      </c>
      <c r="E174" s="219"/>
      <c r="F174" s="61" t="s">
        <v>819</v>
      </c>
      <c r="G174" s="63" t="s">
        <v>966</v>
      </c>
      <c r="H174" s="55">
        <v>27</v>
      </c>
      <c r="I174" s="55">
        <v>7</v>
      </c>
      <c r="J174" s="69">
        <f t="shared" si="4"/>
        <v>0.25925925925925924</v>
      </c>
      <c r="K174" s="90">
        <f>+I174+'JULIO 2025'!K174</f>
        <v>20</v>
      </c>
      <c r="L174" s="94">
        <f t="shared" si="5"/>
        <v>0.7407407407407407</v>
      </c>
      <c r="N174"/>
      <c r="O174" s="8"/>
      <c r="P174"/>
      <c r="Q174" s="8"/>
    </row>
    <row r="175" spans="2:17" x14ac:dyDescent="0.25">
      <c r="B175" s="38">
        <v>5</v>
      </c>
      <c r="C175" s="39" t="s">
        <v>59</v>
      </c>
      <c r="D175" s="40" t="s">
        <v>60</v>
      </c>
      <c r="E175" s="219"/>
      <c r="F175" s="61" t="s">
        <v>821</v>
      </c>
      <c r="G175" s="63" t="s">
        <v>822</v>
      </c>
      <c r="H175" s="68">
        <v>27</v>
      </c>
      <c r="I175" s="55">
        <v>5</v>
      </c>
      <c r="J175" s="69">
        <f t="shared" si="4"/>
        <v>0.18518518518518517</v>
      </c>
      <c r="K175" s="90">
        <f>+I175+'JULIO 2025'!K175</f>
        <v>19</v>
      </c>
      <c r="L175" s="94">
        <f t="shared" si="5"/>
        <v>0.70370370370370372</v>
      </c>
      <c r="N175"/>
      <c r="O175" s="8"/>
      <c r="P175"/>
      <c r="Q175" s="8"/>
    </row>
    <row r="176" spans="2:17" x14ac:dyDescent="0.25">
      <c r="B176" s="42">
        <v>8</v>
      </c>
      <c r="C176" s="43" t="s">
        <v>61</v>
      </c>
      <c r="D176" s="44" t="s">
        <v>62</v>
      </c>
      <c r="E176" s="220"/>
      <c r="F176" s="64" t="s">
        <v>172</v>
      </c>
      <c r="G176" s="65" t="s">
        <v>172</v>
      </c>
      <c r="H176" s="56">
        <v>27</v>
      </c>
      <c r="I176" s="56">
        <v>0</v>
      </c>
      <c r="J176" s="72">
        <f t="shared" si="4"/>
        <v>0</v>
      </c>
      <c r="K176" s="91">
        <f>+I176+'JULIO 2025'!K176</f>
        <v>9</v>
      </c>
      <c r="L176" s="96">
        <f t="shared" si="5"/>
        <v>0.33333333333333331</v>
      </c>
      <c r="N176"/>
      <c r="O176" s="8"/>
      <c r="P176"/>
      <c r="Q176" s="8"/>
    </row>
    <row r="177" spans="2:17" x14ac:dyDescent="0.25">
      <c r="B177" s="35">
        <v>3</v>
      </c>
      <c r="C177" s="36" t="s">
        <v>43</v>
      </c>
      <c r="D177" s="37" t="s">
        <v>44</v>
      </c>
      <c r="E177" s="218" t="s">
        <v>183</v>
      </c>
      <c r="F177" s="59" t="s">
        <v>1075</v>
      </c>
      <c r="G177" s="63" t="s">
        <v>1076</v>
      </c>
      <c r="H177" s="66">
        <v>45</v>
      </c>
      <c r="I177" s="66">
        <v>6</v>
      </c>
      <c r="J177" s="69">
        <f t="shared" si="4"/>
        <v>0.13333333333333333</v>
      </c>
      <c r="K177" s="103">
        <f>+I177+'JULIO 2025'!K177</f>
        <v>26</v>
      </c>
      <c r="L177" s="94">
        <f t="shared" si="5"/>
        <v>0.57777777777777772</v>
      </c>
      <c r="N177"/>
      <c r="O177" s="8"/>
      <c r="P177"/>
      <c r="Q177" s="8"/>
    </row>
    <row r="178" spans="2:17" x14ac:dyDescent="0.25">
      <c r="B178" s="38">
        <v>3</v>
      </c>
      <c r="C178" s="39" t="s">
        <v>46</v>
      </c>
      <c r="D178" s="40" t="s">
        <v>47</v>
      </c>
      <c r="E178" s="219"/>
      <c r="F178" s="61" t="s">
        <v>48</v>
      </c>
      <c r="G178" s="63" t="s">
        <v>1076</v>
      </c>
      <c r="H178" s="68">
        <v>45</v>
      </c>
      <c r="I178" s="55">
        <v>8</v>
      </c>
      <c r="J178" s="69">
        <f t="shared" si="4"/>
        <v>0.17777777777777778</v>
      </c>
      <c r="K178" s="90">
        <f>+I178+'JULIO 2025'!K178</f>
        <v>26</v>
      </c>
      <c r="L178" s="94">
        <f t="shared" si="5"/>
        <v>0.57777777777777772</v>
      </c>
      <c r="N178"/>
      <c r="O178" s="8"/>
      <c r="P178"/>
      <c r="Q178" s="8"/>
    </row>
    <row r="179" spans="2:17" x14ac:dyDescent="0.25">
      <c r="B179" s="38">
        <v>3</v>
      </c>
      <c r="C179" s="39" t="s">
        <v>49</v>
      </c>
      <c r="D179" s="40" t="s">
        <v>50</v>
      </c>
      <c r="E179" s="219"/>
      <c r="F179" s="61" t="s">
        <v>1077</v>
      </c>
      <c r="G179" s="63" t="s">
        <v>1076</v>
      </c>
      <c r="H179" s="55">
        <v>40</v>
      </c>
      <c r="I179" s="70">
        <v>3</v>
      </c>
      <c r="J179" s="69">
        <f t="shared" si="4"/>
        <v>7.4999999999999997E-2</v>
      </c>
      <c r="K179" s="90">
        <f>+I179+'JULIO 2025'!K179</f>
        <v>24</v>
      </c>
      <c r="L179" s="94">
        <f t="shared" si="5"/>
        <v>0.6</v>
      </c>
      <c r="N179"/>
      <c r="O179" s="8"/>
      <c r="P179"/>
      <c r="Q179" s="8"/>
    </row>
    <row r="180" spans="2:17" x14ac:dyDescent="0.25">
      <c r="B180" s="38">
        <v>3</v>
      </c>
      <c r="C180" s="39" t="s">
        <v>52</v>
      </c>
      <c r="D180" s="40" t="s">
        <v>53</v>
      </c>
      <c r="E180" s="219"/>
      <c r="F180" s="61" t="s">
        <v>1078</v>
      </c>
      <c r="G180" s="63" t="s">
        <v>1076</v>
      </c>
      <c r="H180" s="55">
        <v>70</v>
      </c>
      <c r="I180" s="55">
        <v>3</v>
      </c>
      <c r="J180" s="69">
        <f t="shared" si="4"/>
        <v>4.2857142857142858E-2</v>
      </c>
      <c r="K180" s="90">
        <f>+I180+'JULIO 2025'!K180</f>
        <v>35</v>
      </c>
      <c r="L180" s="94">
        <f t="shared" si="5"/>
        <v>0.5</v>
      </c>
      <c r="N180"/>
      <c r="O180" s="8"/>
      <c r="P180"/>
      <c r="Q180" s="8"/>
    </row>
    <row r="181" spans="2:17" x14ac:dyDescent="0.25">
      <c r="B181" s="42">
        <v>3</v>
      </c>
      <c r="C181" s="43" t="s">
        <v>55</v>
      </c>
      <c r="D181" s="44" t="s">
        <v>56</v>
      </c>
      <c r="E181" s="220"/>
      <c r="F181" s="64" t="s">
        <v>925</v>
      </c>
      <c r="G181" s="63" t="s">
        <v>1076</v>
      </c>
      <c r="H181" s="56">
        <v>70</v>
      </c>
      <c r="I181" s="56">
        <v>10</v>
      </c>
      <c r="J181" s="72">
        <f t="shared" si="4"/>
        <v>0.14285714285714285</v>
      </c>
      <c r="K181" s="91">
        <f>+I181+'JULIO 2025'!K181</f>
        <v>39</v>
      </c>
      <c r="L181" s="96">
        <f t="shared" si="5"/>
        <v>0.55714285714285716</v>
      </c>
      <c r="N181"/>
      <c r="O181" s="8"/>
      <c r="P181"/>
      <c r="Q181" s="8"/>
    </row>
    <row r="182" spans="2:17" x14ac:dyDescent="0.25">
      <c r="B182" s="85">
        <v>3</v>
      </c>
      <c r="C182" s="105" t="s">
        <v>332</v>
      </c>
      <c r="D182" s="106" t="s">
        <v>333</v>
      </c>
      <c r="E182" s="238" t="s">
        <v>334</v>
      </c>
      <c r="F182" s="59" t="s">
        <v>967</v>
      </c>
      <c r="G182" s="60" t="s">
        <v>968</v>
      </c>
      <c r="H182" s="89">
        <v>30</v>
      </c>
      <c r="I182" s="89">
        <v>5</v>
      </c>
      <c r="J182" s="69">
        <f t="shared" si="4"/>
        <v>0.16666666666666666</v>
      </c>
      <c r="K182" s="103">
        <f>+I182+'JULIO 2025'!K182</f>
        <v>25</v>
      </c>
      <c r="L182" s="94">
        <f t="shared" si="5"/>
        <v>0.83333333333333337</v>
      </c>
      <c r="N182"/>
      <c r="O182" s="8"/>
      <c r="P182"/>
      <c r="Q182" s="8"/>
    </row>
    <row r="183" spans="2:17" x14ac:dyDescent="0.25">
      <c r="B183" s="86">
        <v>3</v>
      </c>
      <c r="C183" s="107" t="s">
        <v>52</v>
      </c>
      <c r="D183" s="108" t="s">
        <v>53</v>
      </c>
      <c r="E183" s="239"/>
      <c r="F183" s="61" t="s">
        <v>969</v>
      </c>
      <c r="G183" s="76" t="s">
        <v>826</v>
      </c>
      <c r="H183" s="2">
        <v>20</v>
      </c>
      <c r="I183" s="3">
        <v>3</v>
      </c>
      <c r="J183" s="69">
        <f t="shared" si="4"/>
        <v>0.15</v>
      </c>
      <c r="K183" s="90">
        <f>+I183+'JULIO 2025'!K183</f>
        <v>17</v>
      </c>
      <c r="L183" s="94">
        <f t="shared" si="5"/>
        <v>0.85</v>
      </c>
      <c r="N183"/>
      <c r="O183" s="8"/>
      <c r="P183"/>
      <c r="Q183" s="8"/>
    </row>
    <row r="184" spans="2:17" x14ac:dyDescent="0.25">
      <c r="B184" s="86">
        <v>3</v>
      </c>
      <c r="C184" s="107" t="s">
        <v>55</v>
      </c>
      <c r="D184" s="108" t="s">
        <v>56</v>
      </c>
      <c r="E184" s="239"/>
      <c r="F184" s="61" t="s">
        <v>970</v>
      </c>
      <c r="G184" s="62" t="s">
        <v>971</v>
      </c>
      <c r="H184" s="3">
        <v>20</v>
      </c>
      <c r="I184" s="4">
        <v>3</v>
      </c>
      <c r="J184" s="69">
        <f t="shared" si="4"/>
        <v>0.15</v>
      </c>
      <c r="K184" s="90">
        <f>+I184+'JULIO 2025'!K184</f>
        <v>16</v>
      </c>
      <c r="L184" s="94">
        <f t="shared" si="5"/>
        <v>0.8</v>
      </c>
      <c r="N184"/>
      <c r="O184" s="8"/>
      <c r="P184"/>
      <c r="Q184" s="8"/>
    </row>
    <row r="185" spans="2:17" x14ac:dyDescent="0.25">
      <c r="B185" s="86">
        <v>5</v>
      </c>
      <c r="C185" s="107" t="s">
        <v>57</v>
      </c>
      <c r="D185" s="108" t="s">
        <v>58</v>
      </c>
      <c r="E185" s="239"/>
      <c r="F185" s="61" t="s">
        <v>339</v>
      </c>
      <c r="G185" s="62" t="s">
        <v>340</v>
      </c>
      <c r="H185" s="3">
        <v>15</v>
      </c>
      <c r="I185" s="3">
        <v>3</v>
      </c>
      <c r="J185" s="69">
        <f t="shared" si="4"/>
        <v>0.2</v>
      </c>
      <c r="K185" s="90">
        <f>+I185+'JULIO 2025'!K185</f>
        <v>13</v>
      </c>
      <c r="L185" s="94">
        <f t="shared" si="5"/>
        <v>0.8666666666666667</v>
      </c>
      <c r="N185"/>
      <c r="O185" s="8"/>
      <c r="P185"/>
      <c r="Q185" s="8"/>
    </row>
    <row r="186" spans="2:17" x14ac:dyDescent="0.25">
      <c r="B186" s="86">
        <v>5</v>
      </c>
      <c r="C186" s="107" t="s">
        <v>59</v>
      </c>
      <c r="D186" s="108" t="s">
        <v>60</v>
      </c>
      <c r="E186" s="239"/>
      <c r="F186" s="62" t="s">
        <v>972</v>
      </c>
      <c r="G186" s="62" t="s">
        <v>973</v>
      </c>
      <c r="H186" s="3">
        <v>20</v>
      </c>
      <c r="I186" s="3">
        <v>3</v>
      </c>
      <c r="J186" s="69">
        <f t="shared" si="4"/>
        <v>0.15</v>
      </c>
      <c r="K186" s="90">
        <f>+I186+'JULIO 2025'!K186</f>
        <v>17</v>
      </c>
      <c r="L186" s="94">
        <f t="shared" si="5"/>
        <v>0.85</v>
      </c>
      <c r="N186"/>
      <c r="O186" s="8"/>
      <c r="P186"/>
      <c r="Q186" s="8"/>
    </row>
    <row r="187" spans="2:17" x14ac:dyDescent="0.25">
      <c r="B187" s="86">
        <v>8</v>
      </c>
      <c r="C187" s="107" t="s">
        <v>61</v>
      </c>
      <c r="D187" s="108" t="s">
        <v>62</v>
      </c>
      <c r="E187" s="239"/>
      <c r="F187" s="62" t="s">
        <v>974</v>
      </c>
      <c r="G187" s="62" t="s">
        <v>584</v>
      </c>
      <c r="H187" s="3">
        <v>15</v>
      </c>
      <c r="I187" s="3">
        <v>3</v>
      </c>
      <c r="J187" s="69">
        <f t="shared" si="4"/>
        <v>0.2</v>
      </c>
      <c r="K187" s="90">
        <f>+I187+'JULIO 2025'!K187</f>
        <v>13</v>
      </c>
      <c r="L187" s="94">
        <f t="shared" si="5"/>
        <v>0.8666666666666667</v>
      </c>
      <c r="N187"/>
      <c r="O187" s="8"/>
      <c r="P187"/>
      <c r="Q187" s="8"/>
    </row>
    <row r="188" spans="2:17" x14ac:dyDescent="0.25">
      <c r="B188" s="86">
        <v>8</v>
      </c>
      <c r="C188" s="107" t="s">
        <v>344</v>
      </c>
      <c r="D188" s="108" t="s">
        <v>345</v>
      </c>
      <c r="E188" s="239"/>
      <c r="F188" s="61" t="s">
        <v>975</v>
      </c>
      <c r="G188" s="62" t="s">
        <v>343</v>
      </c>
      <c r="H188" s="3">
        <v>20</v>
      </c>
      <c r="I188" s="3">
        <v>3</v>
      </c>
      <c r="J188" s="69">
        <f t="shared" si="4"/>
        <v>0.15</v>
      </c>
      <c r="K188" s="90">
        <f>+I188+'JULIO 2025'!K188</f>
        <v>16</v>
      </c>
      <c r="L188" s="94">
        <f t="shared" si="5"/>
        <v>0.8</v>
      </c>
      <c r="N188"/>
      <c r="O188" s="8"/>
      <c r="P188"/>
      <c r="Q188" s="8"/>
    </row>
    <row r="189" spans="2:17" x14ac:dyDescent="0.25">
      <c r="B189" s="86">
        <v>8</v>
      </c>
      <c r="C189" s="107" t="s">
        <v>346</v>
      </c>
      <c r="D189" s="108" t="s">
        <v>347</v>
      </c>
      <c r="E189" s="239"/>
      <c r="F189" s="62" t="s">
        <v>976</v>
      </c>
      <c r="G189" s="62" t="s">
        <v>585</v>
      </c>
      <c r="H189" s="3">
        <v>20</v>
      </c>
      <c r="I189" s="3">
        <v>4</v>
      </c>
      <c r="J189" s="69">
        <f t="shared" si="4"/>
        <v>0.2</v>
      </c>
      <c r="K189" s="90">
        <f>+I189+'JULIO 2025'!K189</f>
        <v>17</v>
      </c>
      <c r="L189" s="94">
        <f t="shared" si="5"/>
        <v>0.85</v>
      </c>
      <c r="N189"/>
      <c r="O189" s="8"/>
      <c r="P189"/>
      <c r="Q189" s="8"/>
    </row>
    <row r="190" spans="2:17" x14ac:dyDescent="0.25">
      <c r="B190" s="87">
        <v>8</v>
      </c>
      <c r="C190" s="109" t="s">
        <v>349</v>
      </c>
      <c r="D190" s="110" t="s">
        <v>350</v>
      </c>
      <c r="E190" s="227"/>
      <c r="F190" s="64" t="s">
        <v>232</v>
      </c>
      <c r="G190" s="63" t="s">
        <v>109</v>
      </c>
      <c r="H190" s="97">
        <v>20</v>
      </c>
      <c r="I190" s="97">
        <v>3</v>
      </c>
      <c r="J190" s="72">
        <f t="shared" si="4"/>
        <v>0.15</v>
      </c>
      <c r="K190" s="91">
        <f>+I190+'JULIO 2025'!K190</f>
        <v>16</v>
      </c>
      <c r="L190" s="96">
        <f t="shared" si="5"/>
        <v>0.8</v>
      </c>
      <c r="N190"/>
      <c r="O190" s="8"/>
      <c r="P190"/>
      <c r="Q190" s="8"/>
    </row>
    <row r="191" spans="2:17" x14ac:dyDescent="0.25">
      <c r="B191" s="85">
        <v>3</v>
      </c>
      <c r="C191" s="105" t="s">
        <v>43</v>
      </c>
      <c r="D191" s="106" t="s">
        <v>44</v>
      </c>
      <c r="E191" s="232" t="s">
        <v>353</v>
      </c>
      <c r="F191" s="59" t="s">
        <v>981</v>
      </c>
      <c r="G191" s="60" t="s">
        <v>982</v>
      </c>
      <c r="H191" s="89">
        <v>18</v>
      </c>
      <c r="I191" s="89">
        <v>3</v>
      </c>
      <c r="J191" s="69">
        <f t="shared" si="4"/>
        <v>0.16666666666666666</v>
      </c>
      <c r="K191" s="103">
        <f>+I191+'JULIO 2025'!K191</f>
        <v>15</v>
      </c>
      <c r="L191" s="94">
        <f t="shared" si="5"/>
        <v>0.83333333333333337</v>
      </c>
      <c r="N191"/>
      <c r="O191" s="8"/>
      <c r="P191"/>
      <c r="Q191" s="8"/>
    </row>
    <row r="192" spans="2:17" x14ac:dyDescent="0.25">
      <c r="B192" s="86">
        <v>3</v>
      </c>
      <c r="C192" s="107" t="s">
        <v>46</v>
      </c>
      <c r="D192" s="108" t="s">
        <v>47</v>
      </c>
      <c r="E192" s="232"/>
      <c r="F192" s="61" t="s">
        <v>983</v>
      </c>
      <c r="G192" s="63" t="s">
        <v>982</v>
      </c>
      <c r="H192" s="2">
        <v>18</v>
      </c>
      <c r="I192" s="3">
        <v>3</v>
      </c>
      <c r="J192" s="69">
        <f t="shared" si="4"/>
        <v>0.16666666666666666</v>
      </c>
      <c r="K192" s="90">
        <f>+I192+'JULIO 2025'!K192</f>
        <v>15</v>
      </c>
      <c r="L192" s="94">
        <f t="shared" si="5"/>
        <v>0.83333333333333337</v>
      </c>
      <c r="N192"/>
      <c r="O192" s="8"/>
      <c r="P192"/>
      <c r="Q192" s="8"/>
    </row>
    <row r="193" spans="2:17" x14ac:dyDescent="0.25">
      <c r="B193" s="86">
        <v>3</v>
      </c>
      <c r="C193" s="107" t="s">
        <v>98</v>
      </c>
      <c r="D193" s="108" t="s">
        <v>99</v>
      </c>
      <c r="E193" s="232"/>
      <c r="F193" s="61" t="s">
        <v>984</v>
      </c>
      <c r="G193" s="62" t="s">
        <v>982</v>
      </c>
      <c r="H193" s="3">
        <v>24</v>
      </c>
      <c r="I193" s="3">
        <v>4</v>
      </c>
      <c r="J193" s="69">
        <f t="shared" si="4"/>
        <v>0.16666666666666666</v>
      </c>
      <c r="K193" s="90">
        <f>+I193+'JULIO 2025'!K193</f>
        <v>20</v>
      </c>
      <c r="L193" s="94">
        <f t="shared" si="5"/>
        <v>0.83333333333333337</v>
      </c>
      <c r="N193"/>
      <c r="O193" s="8"/>
      <c r="P193"/>
      <c r="Q193" s="8"/>
    </row>
    <row r="194" spans="2:17" x14ac:dyDescent="0.25">
      <c r="B194" s="86">
        <v>3</v>
      </c>
      <c r="C194" s="107" t="s">
        <v>49</v>
      </c>
      <c r="D194" s="108" t="s">
        <v>50</v>
      </c>
      <c r="E194" s="232"/>
      <c r="F194" s="61" t="s">
        <v>985</v>
      </c>
      <c r="G194" s="62" t="s">
        <v>982</v>
      </c>
      <c r="H194" s="3">
        <v>24</v>
      </c>
      <c r="I194" s="3">
        <v>4</v>
      </c>
      <c r="J194" s="69">
        <f t="shared" si="4"/>
        <v>0.16666666666666666</v>
      </c>
      <c r="K194" s="90">
        <f>+I194+'JULIO 2025'!K194</f>
        <v>20</v>
      </c>
      <c r="L194" s="94">
        <f t="shared" si="5"/>
        <v>0.83333333333333337</v>
      </c>
      <c r="N194"/>
      <c r="O194" s="8"/>
      <c r="P194"/>
      <c r="Q194" s="8"/>
    </row>
    <row r="195" spans="2:17" x14ac:dyDescent="0.25">
      <c r="B195" s="86">
        <v>3</v>
      </c>
      <c r="C195" s="107" t="s">
        <v>52</v>
      </c>
      <c r="D195" s="108" t="s">
        <v>53</v>
      </c>
      <c r="E195" s="232"/>
      <c r="F195" s="61" t="s">
        <v>986</v>
      </c>
      <c r="G195" s="62" t="s">
        <v>982</v>
      </c>
      <c r="H195" s="3">
        <v>24</v>
      </c>
      <c r="I195" s="3">
        <v>4</v>
      </c>
      <c r="J195" s="69">
        <f t="shared" si="4"/>
        <v>0.16666666666666666</v>
      </c>
      <c r="K195" s="90">
        <f>+I195+'JULIO 2025'!K195</f>
        <v>20</v>
      </c>
      <c r="L195" s="94">
        <f t="shared" si="5"/>
        <v>0.83333333333333337</v>
      </c>
      <c r="N195"/>
      <c r="O195" s="8"/>
      <c r="P195"/>
      <c r="Q195" s="8"/>
    </row>
    <row r="196" spans="2:17" x14ac:dyDescent="0.25">
      <c r="B196" s="86">
        <v>3</v>
      </c>
      <c r="C196" s="107" t="s">
        <v>55</v>
      </c>
      <c r="D196" s="108" t="s">
        <v>56</v>
      </c>
      <c r="E196" s="232"/>
      <c r="F196" s="61" t="s">
        <v>987</v>
      </c>
      <c r="G196" s="62" t="s">
        <v>982</v>
      </c>
      <c r="H196" s="3">
        <v>24</v>
      </c>
      <c r="I196" s="3">
        <v>4</v>
      </c>
      <c r="J196" s="69">
        <f t="shared" si="4"/>
        <v>0.16666666666666666</v>
      </c>
      <c r="K196" s="90">
        <f>+I196+'JULIO 2025'!K196</f>
        <v>20</v>
      </c>
      <c r="L196" s="94">
        <f t="shared" si="5"/>
        <v>0.83333333333333337</v>
      </c>
      <c r="N196"/>
      <c r="O196" s="8"/>
      <c r="P196"/>
      <c r="Q196" s="8"/>
    </row>
    <row r="197" spans="2:17" x14ac:dyDescent="0.25">
      <c r="B197" s="86">
        <v>5</v>
      </c>
      <c r="C197" s="107" t="s">
        <v>57</v>
      </c>
      <c r="D197" s="108" t="s">
        <v>58</v>
      </c>
      <c r="E197" s="232"/>
      <c r="F197" s="61" t="s">
        <v>988</v>
      </c>
      <c r="G197" s="62" t="s">
        <v>982</v>
      </c>
      <c r="H197" s="3">
        <v>24</v>
      </c>
      <c r="I197" s="3">
        <v>4</v>
      </c>
      <c r="J197" s="69">
        <f t="shared" si="4"/>
        <v>0.16666666666666666</v>
      </c>
      <c r="K197" s="90">
        <f>+I197+'JULIO 2025'!K197</f>
        <v>20</v>
      </c>
      <c r="L197" s="94">
        <f t="shared" si="5"/>
        <v>0.83333333333333337</v>
      </c>
      <c r="N197"/>
      <c r="O197" s="8"/>
      <c r="P197"/>
      <c r="Q197" s="8"/>
    </row>
    <row r="198" spans="2:17" x14ac:dyDescent="0.25">
      <c r="B198" s="87">
        <v>8</v>
      </c>
      <c r="C198" s="109" t="s">
        <v>61</v>
      </c>
      <c r="D198" s="110" t="s">
        <v>62</v>
      </c>
      <c r="E198" s="232"/>
      <c r="F198" s="64" t="s">
        <v>989</v>
      </c>
      <c r="G198" s="65" t="s">
        <v>982</v>
      </c>
      <c r="H198" s="97">
        <v>24</v>
      </c>
      <c r="I198" s="97">
        <v>4</v>
      </c>
      <c r="J198" s="72">
        <f t="shared" si="4"/>
        <v>0.16666666666666666</v>
      </c>
      <c r="K198" s="91">
        <f>+I198+'JULIO 2025'!K198</f>
        <v>20</v>
      </c>
      <c r="L198" s="96">
        <f t="shared" si="5"/>
        <v>0.83333333333333337</v>
      </c>
      <c r="N198"/>
      <c r="O198" s="8"/>
      <c r="P198"/>
      <c r="Q198" s="8"/>
    </row>
    <row r="199" spans="2:17" x14ac:dyDescent="0.25">
      <c r="B199" s="85">
        <v>2</v>
      </c>
      <c r="C199" s="105" t="s">
        <v>356</v>
      </c>
      <c r="D199" s="106" t="s">
        <v>357</v>
      </c>
      <c r="E199" s="226" t="s">
        <v>359</v>
      </c>
      <c r="F199" s="59" t="s">
        <v>1067</v>
      </c>
      <c r="G199" s="60" t="s">
        <v>1068</v>
      </c>
      <c r="H199" s="89">
        <v>60</v>
      </c>
      <c r="I199" s="89">
        <v>6</v>
      </c>
      <c r="J199" s="69">
        <f t="shared" si="4"/>
        <v>0.1</v>
      </c>
      <c r="K199" s="103">
        <f>+I199+'JULIO 2025'!K199</f>
        <v>47</v>
      </c>
      <c r="L199" s="94">
        <f t="shared" si="5"/>
        <v>0.78333333333333333</v>
      </c>
      <c r="N199"/>
      <c r="O199" s="8"/>
      <c r="P199"/>
      <c r="Q199" s="8"/>
    </row>
    <row r="200" spans="2:17" x14ac:dyDescent="0.25">
      <c r="B200" s="86">
        <v>2</v>
      </c>
      <c r="C200" s="107" t="s">
        <v>360</v>
      </c>
      <c r="D200" s="108" t="s">
        <v>361</v>
      </c>
      <c r="E200" s="226"/>
      <c r="F200" s="61" t="s">
        <v>1069</v>
      </c>
      <c r="G200" s="62" t="s">
        <v>1068</v>
      </c>
      <c r="H200" s="2">
        <v>40</v>
      </c>
      <c r="I200" s="3">
        <v>12</v>
      </c>
      <c r="J200" s="69">
        <f t="shared" si="4"/>
        <v>0.3</v>
      </c>
      <c r="K200" s="90">
        <f>+I200+'JULIO 2025'!K200</f>
        <v>32</v>
      </c>
      <c r="L200" s="94">
        <f t="shared" si="5"/>
        <v>0.8</v>
      </c>
      <c r="N200"/>
      <c r="O200" s="8"/>
      <c r="P200"/>
      <c r="Q200" s="8"/>
    </row>
    <row r="201" spans="2:17" x14ac:dyDescent="0.25">
      <c r="B201" s="86">
        <v>2</v>
      </c>
      <c r="C201" s="107" t="s">
        <v>363</v>
      </c>
      <c r="D201" s="108" t="s">
        <v>364</v>
      </c>
      <c r="E201" s="226"/>
      <c r="F201" s="61" t="s">
        <v>172</v>
      </c>
      <c r="G201" s="63" t="s">
        <v>172</v>
      </c>
      <c r="H201" s="3">
        <v>10</v>
      </c>
      <c r="I201" s="4">
        <v>0</v>
      </c>
      <c r="J201" s="69">
        <f t="shared" si="4"/>
        <v>0</v>
      </c>
      <c r="K201" s="90">
        <f>+I201+'JULIO 2025'!K201</f>
        <v>10</v>
      </c>
      <c r="L201" s="94">
        <f t="shared" si="5"/>
        <v>1</v>
      </c>
      <c r="N201"/>
      <c r="O201" s="8"/>
      <c r="P201"/>
      <c r="Q201" s="8"/>
    </row>
    <row r="202" spans="2:17" x14ac:dyDescent="0.25">
      <c r="B202" s="86">
        <v>2</v>
      </c>
      <c r="C202" s="107" t="s">
        <v>366</v>
      </c>
      <c r="D202" s="108" t="s">
        <v>367</v>
      </c>
      <c r="E202" s="226"/>
      <c r="F202" s="61" t="s">
        <v>172</v>
      </c>
      <c r="G202" s="62" t="s">
        <v>172</v>
      </c>
      <c r="H202" s="3">
        <v>10</v>
      </c>
      <c r="I202" s="3">
        <v>0</v>
      </c>
      <c r="J202" s="69">
        <f t="shared" si="4"/>
        <v>0</v>
      </c>
      <c r="K202" s="90">
        <f>+I202+'JULIO 2025'!K202</f>
        <v>10</v>
      </c>
      <c r="L202" s="94">
        <f t="shared" si="5"/>
        <v>1</v>
      </c>
      <c r="N202"/>
      <c r="O202" s="8"/>
      <c r="P202"/>
      <c r="Q202" s="8"/>
    </row>
    <row r="203" spans="2:17" x14ac:dyDescent="0.25">
      <c r="B203" s="86">
        <v>2</v>
      </c>
      <c r="C203" s="107" t="s">
        <v>368</v>
      </c>
      <c r="D203" s="108" t="s">
        <v>369</v>
      </c>
      <c r="E203" s="226"/>
      <c r="F203" s="61" t="s">
        <v>1070</v>
      </c>
      <c r="G203" s="62"/>
      <c r="H203" s="3">
        <v>10</v>
      </c>
      <c r="I203" s="3">
        <v>1</v>
      </c>
      <c r="J203" s="69">
        <f t="shared" si="4"/>
        <v>0.1</v>
      </c>
      <c r="K203" s="90">
        <f>+I203+'JULIO 2025'!K203</f>
        <v>10</v>
      </c>
      <c r="L203" s="94">
        <f t="shared" si="5"/>
        <v>1</v>
      </c>
      <c r="N203"/>
      <c r="O203" s="8"/>
      <c r="P203"/>
      <c r="Q203" s="8"/>
    </row>
    <row r="204" spans="2:17" x14ac:dyDescent="0.25">
      <c r="B204" s="86">
        <v>2</v>
      </c>
      <c r="C204" s="107" t="s">
        <v>140</v>
      </c>
      <c r="D204" s="108" t="s">
        <v>141</v>
      </c>
      <c r="E204" s="226"/>
      <c r="F204" s="61" t="s">
        <v>172</v>
      </c>
      <c r="G204" s="62" t="s">
        <v>172</v>
      </c>
      <c r="H204" s="3">
        <v>20</v>
      </c>
      <c r="I204" s="3">
        <v>0</v>
      </c>
      <c r="J204" s="69">
        <f t="shared" si="4"/>
        <v>0</v>
      </c>
      <c r="K204" s="90">
        <f>+I204+'JULIO 2025'!K204</f>
        <v>20</v>
      </c>
      <c r="L204" s="94">
        <f t="shared" si="5"/>
        <v>1</v>
      </c>
      <c r="N204"/>
      <c r="O204" s="8"/>
      <c r="P204"/>
      <c r="Q204" s="8"/>
    </row>
    <row r="205" spans="2:17" x14ac:dyDescent="0.25">
      <c r="B205" s="86">
        <v>2</v>
      </c>
      <c r="C205" s="107" t="s">
        <v>371</v>
      </c>
      <c r="D205" s="108" t="s">
        <v>372</v>
      </c>
      <c r="E205" s="226"/>
      <c r="F205" s="61" t="s">
        <v>1071</v>
      </c>
      <c r="G205" s="62" t="s">
        <v>1068</v>
      </c>
      <c r="H205" s="3">
        <v>10</v>
      </c>
      <c r="I205" s="3">
        <v>4</v>
      </c>
      <c r="J205" s="69">
        <f t="shared" si="4"/>
        <v>0.4</v>
      </c>
      <c r="K205" s="90">
        <f>+I205+'JULIO 2025'!K205</f>
        <v>10</v>
      </c>
      <c r="L205" s="94">
        <f t="shared" si="5"/>
        <v>1</v>
      </c>
      <c r="N205"/>
      <c r="O205" s="8"/>
      <c r="P205"/>
      <c r="Q205" s="8"/>
    </row>
    <row r="206" spans="2:17" x14ac:dyDescent="0.25">
      <c r="B206" s="87">
        <v>2</v>
      </c>
      <c r="C206" s="109" t="s">
        <v>374</v>
      </c>
      <c r="D206" s="110" t="s">
        <v>375</v>
      </c>
      <c r="E206" s="226"/>
      <c r="F206" s="64" t="s">
        <v>1072</v>
      </c>
      <c r="G206" s="65" t="s">
        <v>1068</v>
      </c>
      <c r="H206" s="97">
        <v>20</v>
      </c>
      <c r="I206" s="97">
        <v>7</v>
      </c>
      <c r="J206" s="72">
        <f t="shared" si="4"/>
        <v>0.35</v>
      </c>
      <c r="K206" s="91">
        <f>+I206+'JULIO 2025'!K206</f>
        <v>11</v>
      </c>
      <c r="L206" s="96">
        <f t="shared" si="5"/>
        <v>0.55000000000000004</v>
      </c>
      <c r="N206"/>
      <c r="O206" s="8"/>
      <c r="P206"/>
      <c r="Q206" s="8"/>
    </row>
    <row r="207" spans="2:17" x14ac:dyDescent="0.25">
      <c r="B207" s="88">
        <v>1</v>
      </c>
      <c r="C207" s="111" t="s">
        <v>230</v>
      </c>
      <c r="D207" s="112" t="s">
        <v>377</v>
      </c>
      <c r="E207" s="226" t="s">
        <v>745</v>
      </c>
      <c r="F207" s="59" t="s">
        <v>599</v>
      </c>
      <c r="G207" s="60" t="s">
        <v>600</v>
      </c>
      <c r="H207" s="66">
        <v>30</v>
      </c>
      <c r="I207" s="66">
        <v>7</v>
      </c>
      <c r="J207" s="69">
        <f t="shared" ref="J207:J268" si="6">IFERROR(I207/H207,0)</f>
        <v>0.23333333333333334</v>
      </c>
      <c r="K207" s="103">
        <f>+I207+'JULIO 2025'!K207</f>
        <v>22</v>
      </c>
      <c r="L207" s="94">
        <f t="shared" ref="L207:L268" si="7">IFERROR(K207/H207,0)</f>
        <v>0.73333333333333328</v>
      </c>
      <c r="N207"/>
      <c r="O207" s="8"/>
      <c r="P207"/>
      <c r="Q207" s="8"/>
    </row>
    <row r="208" spans="2:17" x14ac:dyDescent="0.25">
      <c r="B208" s="86">
        <v>1</v>
      </c>
      <c r="C208" s="107" t="s">
        <v>74</v>
      </c>
      <c r="D208" s="108" t="s">
        <v>226</v>
      </c>
      <c r="E208" s="226"/>
      <c r="F208" s="61" t="s">
        <v>601</v>
      </c>
      <c r="G208" s="62" t="s">
        <v>602</v>
      </c>
      <c r="H208" s="68">
        <v>30</v>
      </c>
      <c r="I208" s="55">
        <v>2</v>
      </c>
      <c r="J208" s="69">
        <f t="shared" si="6"/>
        <v>6.6666666666666666E-2</v>
      </c>
      <c r="K208" s="90">
        <f>+I208+'JULIO 2025'!K208</f>
        <v>26</v>
      </c>
      <c r="L208" s="94">
        <f t="shared" si="7"/>
        <v>0.8666666666666667</v>
      </c>
      <c r="N208"/>
      <c r="O208" s="8"/>
      <c r="P208"/>
      <c r="Q208" s="8"/>
    </row>
    <row r="209" spans="2:17" x14ac:dyDescent="0.25">
      <c r="B209" s="86">
        <v>1</v>
      </c>
      <c r="C209" s="107" t="s">
        <v>77</v>
      </c>
      <c r="D209" s="108" t="s">
        <v>78</v>
      </c>
      <c r="E209" s="226"/>
      <c r="F209" s="61" t="s">
        <v>1002</v>
      </c>
      <c r="G209" s="63" t="s">
        <v>747</v>
      </c>
      <c r="H209" s="55">
        <v>30</v>
      </c>
      <c r="I209" s="70">
        <v>7</v>
      </c>
      <c r="J209" s="69">
        <f t="shared" si="6"/>
        <v>0.23333333333333334</v>
      </c>
      <c r="K209" s="90">
        <f>+I209+'JULIO 2025'!K209</f>
        <v>26</v>
      </c>
      <c r="L209" s="94">
        <f t="shared" si="7"/>
        <v>0.8666666666666667</v>
      </c>
      <c r="N209"/>
      <c r="O209" s="8"/>
      <c r="P209"/>
      <c r="Q209" s="8"/>
    </row>
    <row r="210" spans="2:17" x14ac:dyDescent="0.25">
      <c r="B210" s="86">
        <v>1</v>
      </c>
      <c r="C210" s="107" t="s">
        <v>89</v>
      </c>
      <c r="D210" s="108" t="s">
        <v>90</v>
      </c>
      <c r="E210" s="226"/>
      <c r="F210" s="61" t="s">
        <v>1003</v>
      </c>
      <c r="G210" s="62" t="s">
        <v>747</v>
      </c>
      <c r="H210" s="55">
        <v>30</v>
      </c>
      <c r="I210" s="55">
        <v>7</v>
      </c>
      <c r="J210" s="69">
        <f t="shared" si="6"/>
        <v>0.23333333333333334</v>
      </c>
      <c r="K210" s="90">
        <f>+I210+'JULIO 2025'!K210</f>
        <v>27</v>
      </c>
      <c r="L210" s="94">
        <f t="shared" si="7"/>
        <v>0.9</v>
      </c>
      <c r="N210"/>
      <c r="O210" s="8"/>
      <c r="P210"/>
      <c r="Q210" s="8"/>
    </row>
    <row r="211" spans="2:17" x14ac:dyDescent="0.25">
      <c r="B211" s="86">
        <v>1</v>
      </c>
      <c r="C211" s="107" t="s">
        <v>379</v>
      </c>
      <c r="D211" s="108" t="s">
        <v>380</v>
      </c>
      <c r="E211" s="226"/>
      <c r="F211" s="61" t="s">
        <v>1004</v>
      </c>
      <c r="G211" s="62" t="s">
        <v>1005</v>
      </c>
      <c r="H211" s="55">
        <v>30</v>
      </c>
      <c r="I211" s="55">
        <v>2</v>
      </c>
      <c r="J211" s="69">
        <f t="shared" si="6"/>
        <v>6.6666666666666666E-2</v>
      </c>
      <c r="K211" s="90">
        <f>+I211+'JULIO 2025'!K211</f>
        <v>26</v>
      </c>
      <c r="L211" s="94">
        <f t="shared" si="7"/>
        <v>0.8666666666666667</v>
      </c>
      <c r="N211"/>
      <c r="O211" s="8"/>
      <c r="P211"/>
      <c r="Q211" s="8"/>
    </row>
    <row r="212" spans="2:17" x14ac:dyDescent="0.25">
      <c r="B212" s="87">
        <v>2</v>
      </c>
      <c r="C212" s="109" t="s">
        <v>360</v>
      </c>
      <c r="D212" s="110" t="s">
        <v>361</v>
      </c>
      <c r="E212" s="226"/>
      <c r="F212" s="64" t="s">
        <v>1006</v>
      </c>
      <c r="G212" s="65" t="s">
        <v>747</v>
      </c>
      <c r="H212" s="56">
        <v>30</v>
      </c>
      <c r="I212" s="56">
        <v>5</v>
      </c>
      <c r="J212" s="72">
        <f t="shared" si="6"/>
        <v>0.16666666666666666</v>
      </c>
      <c r="K212" s="91">
        <f>+I212+'JULIO 2025'!K212</f>
        <v>23</v>
      </c>
      <c r="L212" s="96">
        <f t="shared" si="7"/>
        <v>0.76666666666666672</v>
      </c>
      <c r="N212"/>
      <c r="O212" s="8"/>
      <c r="P212"/>
      <c r="Q212" s="8"/>
    </row>
    <row r="213" spans="2:17" x14ac:dyDescent="0.25">
      <c r="B213" s="88">
        <v>3</v>
      </c>
      <c r="C213" s="111" t="s">
        <v>43</v>
      </c>
      <c r="D213" s="112" t="s">
        <v>44</v>
      </c>
      <c r="E213" s="232" t="s">
        <v>382</v>
      </c>
      <c r="F213" s="59" t="s">
        <v>1051</v>
      </c>
      <c r="G213" s="60" t="s">
        <v>1052</v>
      </c>
      <c r="H213" s="89">
        <v>28</v>
      </c>
      <c r="I213" s="89">
        <v>2</v>
      </c>
      <c r="J213" s="69">
        <f t="shared" si="6"/>
        <v>7.1428571428571425E-2</v>
      </c>
      <c r="K213" s="103">
        <f>+I213+'JULIO 2025'!K213</f>
        <v>15</v>
      </c>
      <c r="L213" s="94">
        <f t="shared" si="7"/>
        <v>0.5357142857142857</v>
      </c>
      <c r="N213"/>
      <c r="O213" s="8"/>
      <c r="P213"/>
      <c r="Q213" s="8"/>
    </row>
    <row r="214" spans="2:17" x14ac:dyDescent="0.25">
      <c r="B214" s="86">
        <v>3</v>
      </c>
      <c r="C214" s="107" t="s">
        <v>46</v>
      </c>
      <c r="D214" s="108" t="s">
        <v>47</v>
      </c>
      <c r="E214" s="232"/>
      <c r="F214" s="61" t="s">
        <v>1053</v>
      </c>
      <c r="G214" s="76" t="s">
        <v>1054</v>
      </c>
      <c r="H214" s="2">
        <v>28</v>
      </c>
      <c r="I214" s="3">
        <v>2</v>
      </c>
      <c r="J214" s="69">
        <f t="shared" si="6"/>
        <v>7.1428571428571425E-2</v>
      </c>
      <c r="K214" s="90">
        <f>+I214+'JULIO 2025'!K214</f>
        <v>14</v>
      </c>
      <c r="L214" s="94">
        <f t="shared" si="7"/>
        <v>0.5</v>
      </c>
      <c r="N214"/>
      <c r="O214" s="8"/>
      <c r="P214"/>
      <c r="Q214" s="8"/>
    </row>
    <row r="215" spans="2:17" x14ac:dyDescent="0.25">
      <c r="B215" s="86">
        <v>3</v>
      </c>
      <c r="C215" s="107" t="s">
        <v>98</v>
      </c>
      <c r="D215" s="108" t="s">
        <v>99</v>
      </c>
      <c r="E215" s="232"/>
      <c r="F215" s="61" t="s">
        <v>1055</v>
      </c>
      <c r="G215" s="62" t="s">
        <v>1056</v>
      </c>
      <c r="H215" s="3">
        <v>27</v>
      </c>
      <c r="I215" s="4">
        <v>3</v>
      </c>
      <c r="J215" s="69">
        <f t="shared" si="6"/>
        <v>0.1111111111111111</v>
      </c>
      <c r="K215" s="90">
        <f>+I215+'JULIO 2025'!K215</f>
        <v>14</v>
      </c>
      <c r="L215" s="94">
        <f t="shared" si="7"/>
        <v>0.51851851851851849</v>
      </c>
      <c r="N215"/>
      <c r="O215" s="8"/>
      <c r="P215"/>
      <c r="Q215" s="8"/>
    </row>
    <row r="216" spans="2:17" x14ac:dyDescent="0.25">
      <c r="B216" s="86">
        <v>3</v>
      </c>
      <c r="C216" s="107" t="s">
        <v>49</v>
      </c>
      <c r="D216" s="108" t="s">
        <v>50</v>
      </c>
      <c r="E216" s="232"/>
      <c r="F216" s="61" t="s">
        <v>1057</v>
      </c>
      <c r="G216" s="62" t="s">
        <v>1058</v>
      </c>
      <c r="H216" s="3">
        <v>32</v>
      </c>
      <c r="I216" s="3">
        <v>4</v>
      </c>
      <c r="J216" s="69">
        <f t="shared" si="6"/>
        <v>0.125</v>
      </c>
      <c r="K216" s="90">
        <f>+I216+'JULIO 2025'!K216</f>
        <v>16</v>
      </c>
      <c r="L216" s="94">
        <f t="shared" si="7"/>
        <v>0.5</v>
      </c>
      <c r="N216"/>
      <c r="O216" s="8"/>
      <c r="P216"/>
      <c r="Q216" s="8"/>
    </row>
    <row r="217" spans="2:17" x14ac:dyDescent="0.25">
      <c r="B217" s="86">
        <v>3</v>
      </c>
      <c r="C217" s="107" t="s">
        <v>52</v>
      </c>
      <c r="D217" s="108" t="s">
        <v>53</v>
      </c>
      <c r="E217" s="232"/>
      <c r="F217" s="62" t="s">
        <v>1059</v>
      </c>
      <c r="G217" s="62" t="s">
        <v>1060</v>
      </c>
      <c r="H217" s="3">
        <v>30</v>
      </c>
      <c r="I217" s="3">
        <v>3</v>
      </c>
      <c r="J217" s="69">
        <f t="shared" si="6"/>
        <v>0.1</v>
      </c>
      <c r="K217" s="90">
        <f>+I217+'JULIO 2025'!K217</f>
        <v>19</v>
      </c>
      <c r="L217" s="94">
        <f t="shared" si="7"/>
        <v>0.6333333333333333</v>
      </c>
      <c r="N217"/>
      <c r="O217" s="8"/>
      <c r="P217"/>
      <c r="Q217" s="8"/>
    </row>
    <row r="218" spans="2:17" x14ac:dyDescent="0.25">
      <c r="B218" s="86">
        <v>3</v>
      </c>
      <c r="C218" s="107" t="s">
        <v>55</v>
      </c>
      <c r="D218" s="108" t="s">
        <v>56</v>
      </c>
      <c r="E218" s="232"/>
      <c r="F218" s="62" t="s">
        <v>1061</v>
      </c>
      <c r="G218" s="62" t="s">
        <v>1060</v>
      </c>
      <c r="H218" s="3">
        <v>30</v>
      </c>
      <c r="I218" s="3">
        <v>5</v>
      </c>
      <c r="J218" s="69">
        <f t="shared" si="6"/>
        <v>0.16666666666666666</v>
      </c>
      <c r="K218" s="90">
        <f>+I218+'JULIO 2025'!K218</f>
        <v>17</v>
      </c>
      <c r="L218" s="94">
        <f t="shared" si="7"/>
        <v>0.56666666666666665</v>
      </c>
      <c r="N218"/>
      <c r="O218" s="8"/>
      <c r="P218"/>
      <c r="Q218" s="8"/>
    </row>
    <row r="219" spans="2:17" x14ac:dyDescent="0.25">
      <c r="B219" s="86">
        <v>5</v>
      </c>
      <c r="C219" s="107" t="s">
        <v>57</v>
      </c>
      <c r="D219" s="108" t="s">
        <v>58</v>
      </c>
      <c r="E219" s="232"/>
      <c r="F219" s="61" t="s">
        <v>1066</v>
      </c>
      <c r="G219" s="62" t="s">
        <v>1062</v>
      </c>
      <c r="H219" s="3">
        <v>30</v>
      </c>
      <c r="I219" s="3">
        <v>5</v>
      </c>
      <c r="J219" s="69">
        <f t="shared" si="6"/>
        <v>0.16666666666666666</v>
      </c>
      <c r="K219" s="90">
        <f>+I219+'JULIO 2025'!K219</f>
        <v>17</v>
      </c>
      <c r="L219" s="94">
        <f t="shared" si="7"/>
        <v>0.56666666666666665</v>
      </c>
      <c r="N219"/>
      <c r="O219" s="8"/>
      <c r="P219"/>
      <c r="Q219" s="8"/>
    </row>
    <row r="220" spans="2:17" x14ac:dyDescent="0.25">
      <c r="B220" s="86">
        <v>5</v>
      </c>
      <c r="C220" s="107" t="s">
        <v>59</v>
      </c>
      <c r="D220" s="108" t="s">
        <v>60</v>
      </c>
      <c r="E220" s="232"/>
      <c r="F220" s="62" t="s">
        <v>1063</v>
      </c>
      <c r="G220" s="62" t="s">
        <v>1064</v>
      </c>
      <c r="H220" s="3">
        <v>35</v>
      </c>
      <c r="I220" s="3">
        <v>3</v>
      </c>
      <c r="J220" s="69">
        <f t="shared" si="6"/>
        <v>8.5714285714285715E-2</v>
      </c>
      <c r="K220" s="90">
        <f>+I220+'JULIO 2025'!K220</f>
        <v>19</v>
      </c>
      <c r="L220" s="94">
        <f t="shared" si="7"/>
        <v>0.54285714285714282</v>
      </c>
      <c r="N220"/>
      <c r="O220" s="8"/>
      <c r="P220"/>
      <c r="Q220" s="8"/>
    </row>
    <row r="221" spans="2:17" x14ac:dyDescent="0.25">
      <c r="B221" s="104">
        <v>8</v>
      </c>
      <c r="C221" s="113" t="s">
        <v>61</v>
      </c>
      <c r="D221" s="114" t="s">
        <v>62</v>
      </c>
      <c r="E221" s="232"/>
      <c r="F221" s="64" t="s">
        <v>1065</v>
      </c>
      <c r="G221" s="63" t="s">
        <v>393</v>
      </c>
      <c r="H221" s="97">
        <v>30</v>
      </c>
      <c r="I221" s="97">
        <v>3</v>
      </c>
      <c r="J221" s="72">
        <f t="shared" si="6"/>
        <v>0.1</v>
      </c>
      <c r="K221" s="91">
        <f>+I221+'JULIO 2025'!K221</f>
        <v>19</v>
      </c>
      <c r="L221" s="96">
        <f t="shared" si="7"/>
        <v>0.6333333333333333</v>
      </c>
      <c r="N221"/>
      <c r="O221" s="8"/>
      <c r="P221"/>
      <c r="Q221" s="8"/>
    </row>
    <row r="222" spans="2:17" x14ac:dyDescent="0.25">
      <c r="B222" s="85">
        <v>3</v>
      </c>
      <c r="C222" s="105" t="s">
        <v>43</v>
      </c>
      <c r="D222" s="106" t="s">
        <v>44</v>
      </c>
      <c r="E222" s="232" t="s">
        <v>400</v>
      </c>
      <c r="F222" s="142" t="s">
        <v>54</v>
      </c>
      <c r="G222" s="60" t="s">
        <v>1038</v>
      </c>
      <c r="H222" s="89">
        <v>20</v>
      </c>
      <c r="I222" s="66">
        <v>3</v>
      </c>
      <c r="J222" s="69">
        <f t="shared" si="6"/>
        <v>0.15</v>
      </c>
      <c r="K222" s="103">
        <f>+I222+'JULIO 2025'!K222</f>
        <v>17</v>
      </c>
      <c r="L222" s="94">
        <f t="shared" si="7"/>
        <v>0.85</v>
      </c>
      <c r="N222"/>
      <c r="O222" s="8"/>
      <c r="P222"/>
      <c r="Q222" s="8"/>
    </row>
    <row r="223" spans="2:17" x14ac:dyDescent="0.25">
      <c r="B223" s="86">
        <v>3</v>
      </c>
      <c r="C223" s="107" t="s">
        <v>46</v>
      </c>
      <c r="D223" s="108" t="s">
        <v>47</v>
      </c>
      <c r="E223" s="232"/>
      <c r="F223" s="143" t="s">
        <v>1039</v>
      </c>
      <c r="G223" s="76" t="s">
        <v>1038</v>
      </c>
      <c r="H223" s="2">
        <v>20</v>
      </c>
      <c r="I223" s="55">
        <v>4</v>
      </c>
      <c r="J223" s="69">
        <f t="shared" si="6"/>
        <v>0.2</v>
      </c>
      <c r="K223" s="90">
        <f>+I223+'JULIO 2025'!K223</f>
        <v>17</v>
      </c>
      <c r="L223" s="94">
        <f t="shared" si="7"/>
        <v>0.85</v>
      </c>
      <c r="N223"/>
      <c r="O223" s="8"/>
      <c r="P223"/>
      <c r="Q223" s="8"/>
    </row>
    <row r="224" spans="2:17" x14ac:dyDescent="0.25">
      <c r="B224" s="86">
        <v>3</v>
      </c>
      <c r="C224" s="107" t="s">
        <v>98</v>
      </c>
      <c r="D224" s="108" t="s">
        <v>99</v>
      </c>
      <c r="E224" s="232"/>
      <c r="F224" s="143" t="s">
        <v>765</v>
      </c>
      <c r="G224" s="62" t="s">
        <v>1038</v>
      </c>
      <c r="H224" s="3">
        <v>20</v>
      </c>
      <c r="I224" s="70">
        <v>3</v>
      </c>
      <c r="J224" s="69">
        <f t="shared" si="6"/>
        <v>0.15</v>
      </c>
      <c r="K224" s="90">
        <f>+I224+'JULIO 2025'!K224</f>
        <v>16</v>
      </c>
      <c r="L224" s="94">
        <f t="shared" si="7"/>
        <v>0.8</v>
      </c>
      <c r="N224"/>
      <c r="O224" s="8"/>
      <c r="P224"/>
      <c r="Q224" s="8"/>
    </row>
    <row r="225" spans="2:17" x14ac:dyDescent="0.25">
      <c r="B225" s="86">
        <v>3</v>
      </c>
      <c r="C225" s="107" t="s">
        <v>49</v>
      </c>
      <c r="D225" s="108" t="s">
        <v>50</v>
      </c>
      <c r="E225" s="232"/>
      <c r="F225" s="143" t="s">
        <v>766</v>
      </c>
      <c r="G225" s="62" t="s">
        <v>1038</v>
      </c>
      <c r="H225" s="3">
        <v>20</v>
      </c>
      <c r="I225" s="55">
        <v>4</v>
      </c>
      <c r="J225" s="69">
        <f t="shared" si="6"/>
        <v>0.2</v>
      </c>
      <c r="K225" s="90">
        <f>+I225+'JULIO 2025'!K225</f>
        <v>17</v>
      </c>
      <c r="L225" s="94">
        <f t="shared" si="7"/>
        <v>0.85</v>
      </c>
      <c r="N225"/>
      <c r="O225" s="8"/>
      <c r="P225"/>
      <c r="Q225" s="8"/>
    </row>
    <row r="226" spans="2:17" x14ac:dyDescent="0.25">
      <c r="B226" s="86">
        <v>3</v>
      </c>
      <c r="C226" s="107" t="s">
        <v>52</v>
      </c>
      <c r="D226" s="108" t="s">
        <v>53</v>
      </c>
      <c r="E226" s="232"/>
      <c r="F226" s="144" t="s">
        <v>54</v>
      </c>
      <c r="G226" s="62" t="s">
        <v>1038</v>
      </c>
      <c r="H226" s="3">
        <v>20</v>
      </c>
      <c r="I226" s="55">
        <v>4</v>
      </c>
      <c r="J226" s="69">
        <f t="shared" si="6"/>
        <v>0.2</v>
      </c>
      <c r="K226" s="90">
        <f>+I226+'JULIO 2025'!K226</f>
        <v>17</v>
      </c>
      <c r="L226" s="94">
        <f t="shared" si="7"/>
        <v>0.85</v>
      </c>
      <c r="N226"/>
      <c r="O226" s="8"/>
      <c r="P226"/>
      <c r="Q226" s="8"/>
    </row>
    <row r="227" spans="2:17" x14ac:dyDescent="0.25">
      <c r="B227" s="86">
        <v>3</v>
      </c>
      <c r="C227" s="107" t="s">
        <v>55</v>
      </c>
      <c r="D227" s="108" t="s">
        <v>56</v>
      </c>
      <c r="E227" s="232"/>
      <c r="F227" s="144" t="s">
        <v>1040</v>
      </c>
      <c r="G227" s="62" t="s">
        <v>1038</v>
      </c>
      <c r="H227" s="3">
        <v>20</v>
      </c>
      <c r="I227" s="55">
        <v>2</v>
      </c>
      <c r="J227" s="69">
        <f t="shared" si="6"/>
        <v>0.1</v>
      </c>
      <c r="K227" s="90">
        <f>+I227+'JULIO 2025'!K227</f>
        <v>17</v>
      </c>
      <c r="L227" s="94">
        <f t="shared" si="7"/>
        <v>0.85</v>
      </c>
      <c r="N227"/>
      <c r="O227" s="8"/>
      <c r="P227"/>
      <c r="Q227" s="8"/>
    </row>
    <row r="228" spans="2:17" x14ac:dyDescent="0.25">
      <c r="B228" s="86">
        <v>5</v>
      </c>
      <c r="C228" s="107" t="s">
        <v>57</v>
      </c>
      <c r="D228" s="108" t="s">
        <v>58</v>
      </c>
      <c r="E228" s="232"/>
      <c r="F228" s="143" t="s">
        <v>1041</v>
      </c>
      <c r="G228" s="62" t="s">
        <v>1038</v>
      </c>
      <c r="H228" s="3">
        <v>20</v>
      </c>
      <c r="I228" s="55">
        <v>4</v>
      </c>
      <c r="J228" s="69">
        <f t="shared" si="6"/>
        <v>0.2</v>
      </c>
      <c r="K228" s="90">
        <f>+I228+'JULIO 2025'!K228</f>
        <v>16</v>
      </c>
      <c r="L228" s="94">
        <f t="shared" si="7"/>
        <v>0.8</v>
      </c>
      <c r="N228"/>
      <c r="O228" s="8"/>
      <c r="P228"/>
      <c r="Q228" s="8"/>
    </row>
    <row r="229" spans="2:17" x14ac:dyDescent="0.25">
      <c r="B229" s="86">
        <v>5</v>
      </c>
      <c r="C229" s="107" t="s">
        <v>59</v>
      </c>
      <c r="D229" s="108" t="s">
        <v>60</v>
      </c>
      <c r="E229" s="232"/>
      <c r="F229" s="144" t="s">
        <v>1042</v>
      </c>
      <c r="G229" s="62" t="s">
        <v>1038</v>
      </c>
      <c r="H229" s="3">
        <v>20</v>
      </c>
      <c r="I229" s="55">
        <v>3</v>
      </c>
      <c r="J229" s="69">
        <f t="shared" si="6"/>
        <v>0.15</v>
      </c>
      <c r="K229" s="90">
        <f>+I229+'JULIO 2025'!K229</f>
        <v>15</v>
      </c>
      <c r="L229" s="94">
        <f t="shared" si="7"/>
        <v>0.75</v>
      </c>
      <c r="N229"/>
      <c r="O229" s="8"/>
      <c r="P229"/>
      <c r="Q229" s="8"/>
    </row>
    <row r="230" spans="2:17" x14ac:dyDescent="0.25">
      <c r="B230" s="87">
        <v>8</v>
      </c>
      <c r="C230" s="109" t="s">
        <v>61</v>
      </c>
      <c r="D230" s="110" t="s">
        <v>62</v>
      </c>
      <c r="E230" s="232"/>
      <c r="F230" s="145" t="s">
        <v>1043</v>
      </c>
      <c r="G230" s="65" t="s">
        <v>1038</v>
      </c>
      <c r="H230" s="97">
        <v>20</v>
      </c>
      <c r="I230" s="56">
        <v>3</v>
      </c>
      <c r="J230" s="72">
        <f t="shared" si="6"/>
        <v>0.15</v>
      </c>
      <c r="K230" s="91">
        <f>+I230+'JULIO 2025'!K230</f>
        <v>18</v>
      </c>
      <c r="L230" s="96">
        <f t="shared" si="7"/>
        <v>0.9</v>
      </c>
      <c r="N230"/>
      <c r="O230" s="8"/>
      <c r="P230"/>
      <c r="Q230" s="8"/>
    </row>
    <row r="231" spans="2:17" x14ac:dyDescent="0.25">
      <c r="B231" s="85">
        <v>3</v>
      </c>
      <c r="C231" s="105" t="s">
        <v>43</v>
      </c>
      <c r="D231" s="106" t="s">
        <v>44</v>
      </c>
      <c r="E231" s="232" t="s">
        <v>407</v>
      </c>
      <c r="F231" s="62" t="s">
        <v>1079</v>
      </c>
      <c r="G231" s="63" t="s">
        <v>1089</v>
      </c>
      <c r="H231" s="66">
        <v>30</v>
      </c>
      <c r="I231" s="66">
        <v>2</v>
      </c>
      <c r="J231" s="69">
        <f t="shared" si="6"/>
        <v>6.6666666666666666E-2</v>
      </c>
      <c r="K231" s="103">
        <f>+I231+'JULIO 2025'!K231</f>
        <v>18</v>
      </c>
      <c r="L231" s="94">
        <f t="shared" si="7"/>
        <v>0.6</v>
      </c>
      <c r="N231"/>
      <c r="O231" s="8"/>
      <c r="P231"/>
      <c r="Q231" s="8"/>
    </row>
    <row r="232" spans="2:17" x14ac:dyDescent="0.25">
      <c r="B232" s="86">
        <v>3</v>
      </c>
      <c r="C232" s="107" t="s">
        <v>46</v>
      </c>
      <c r="D232" s="108" t="s">
        <v>47</v>
      </c>
      <c r="E232" s="232"/>
      <c r="F232" s="61" t="s">
        <v>1080</v>
      </c>
      <c r="G232" s="62" t="s">
        <v>1090</v>
      </c>
      <c r="H232" s="68">
        <v>30</v>
      </c>
      <c r="I232" s="55">
        <v>5</v>
      </c>
      <c r="J232" s="69">
        <f t="shared" si="6"/>
        <v>0.16666666666666666</v>
      </c>
      <c r="K232" s="90">
        <f>+I232+'JULIO 2025'!K232</f>
        <v>18</v>
      </c>
      <c r="L232" s="94">
        <f t="shared" si="7"/>
        <v>0.6</v>
      </c>
      <c r="N232"/>
      <c r="O232" s="8"/>
      <c r="P232"/>
      <c r="Q232" s="8"/>
    </row>
    <row r="233" spans="2:17" x14ac:dyDescent="0.25">
      <c r="B233" s="86">
        <v>3</v>
      </c>
      <c r="C233" s="107" t="s">
        <v>98</v>
      </c>
      <c r="D233" s="108" t="s">
        <v>99</v>
      </c>
      <c r="E233" s="232"/>
      <c r="F233" s="61" t="s">
        <v>1081</v>
      </c>
      <c r="G233" s="63" t="s">
        <v>1091</v>
      </c>
      <c r="H233" s="55">
        <v>30</v>
      </c>
      <c r="I233" s="70">
        <v>5</v>
      </c>
      <c r="J233" s="69">
        <f t="shared" si="6"/>
        <v>0.16666666666666666</v>
      </c>
      <c r="K233" s="90">
        <f>+I233+'JULIO 2025'!K233</f>
        <v>17</v>
      </c>
      <c r="L233" s="94">
        <f t="shared" si="7"/>
        <v>0.56666666666666665</v>
      </c>
      <c r="N233"/>
      <c r="O233" s="8"/>
      <c r="P233"/>
      <c r="Q233" s="8"/>
    </row>
    <row r="234" spans="2:17" x14ac:dyDescent="0.25">
      <c r="B234" s="86">
        <v>3</v>
      </c>
      <c r="C234" s="107" t="s">
        <v>49</v>
      </c>
      <c r="D234" s="108" t="s">
        <v>50</v>
      </c>
      <c r="E234" s="232"/>
      <c r="F234" s="61" t="s">
        <v>1082</v>
      </c>
      <c r="G234" s="62" t="s">
        <v>1092</v>
      </c>
      <c r="H234" s="55">
        <v>30</v>
      </c>
      <c r="I234" s="55">
        <v>3</v>
      </c>
      <c r="J234" s="69">
        <f t="shared" si="6"/>
        <v>0.1</v>
      </c>
      <c r="K234" s="90">
        <f>+I234+'JULIO 2025'!K234</f>
        <v>17</v>
      </c>
      <c r="L234" s="94">
        <f t="shared" si="7"/>
        <v>0.56666666666666665</v>
      </c>
      <c r="N234"/>
      <c r="O234" s="8"/>
      <c r="P234"/>
      <c r="Q234" s="8"/>
    </row>
    <row r="235" spans="2:17" x14ac:dyDescent="0.25">
      <c r="B235" s="86">
        <v>3</v>
      </c>
      <c r="C235" s="107" t="s">
        <v>52</v>
      </c>
      <c r="D235" s="108" t="s">
        <v>53</v>
      </c>
      <c r="E235" s="232"/>
      <c r="F235" s="61" t="s">
        <v>1083</v>
      </c>
      <c r="G235" s="62" t="s">
        <v>1093</v>
      </c>
      <c r="H235" s="55">
        <v>30</v>
      </c>
      <c r="I235" s="55">
        <v>5</v>
      </c>
      <c r="J235" s="69">
        <f t="shared" si="6"/>
        <v>0.16666666666666666</v>
      </c>
      <c r="K235" s="90">
        <f>+I235+'JULIO 2025'!K235</f>
        <v>19</v>
      </c>
      <c r="L235" s="94">
        <f t="shared" si="7"/>
        <v>0.6333333333333333</v>
      </c>
      <c r="N235"/>
      <c r="O235" s="8"/>
      <c r="P235"/>
      <c r="Q235" s="8"/>
    </row>
    <row r="236" spans="2:17" x14ac:dyDescent="0.25">
      <c r="B236" s="86">
        <v>3</v>
      </c>
      <c r="C236" s="107" t="s">
        <v>55</v>
      </c>
      <c r="D236" s="108" t="s">
        <v>56</v>
      </c>
      <c r="E236" s="232"/>
      <c r="F236" s="61" t="s">
        <v>1084</v>
      </c>
      <c r="G236" s="62" t="s">
        <v>1094</v>
      </c>
      <c r="H236" s="55">
        <v>30</v>
      </c>
      <c r="I236" s="55">
        <v>3</v>
      </c>
      <c r="J236" s="69">
        <f t="shared" si="6"/>
        <v>0.1</v>
      </c>
      <c r="K236" s="90">
        <f>+I236+'JULIO 2025'!K236</f>
        <v>13</v>
      </c>
      <c r="L236" s="94">
        <f t="shared" si="7"/>
        <v>0.43333333333333335</v>
      </c>
      <c r="N236"/>
      <c r="O236" s="8"/>
      <c r="P236"/>
      <c r="Q236" s="8"/>
    </row>
    <row r="237" spans="2:17" x14ac:dyDescent="0.25">
      <c r="B237" s="86">
        <v>5</v>
      </c>
      <c r="C237" s="107" t="s">
        <v>57</v>
      </c>
      <c r="D237" s="108" t="s">
        <v>58</v>
      </c>
      <c r="E237" s="232"/>
      <c r="F237" s="129" t="s">
        <v>1085</v>
      </c>
      <c r="G237" s="76" t="s">
        <v>1095</v>
      </c>
      <c r="H237" s="55">
        <v>30</v>
      </c>
      <c r="I237" s="55">
        <v>3</v>
      </c>
      <c r="J237" s="69">
        <f t="shared" si="6"/>
        <v>0.1</v>
      </c>
      <c r="K237" s="90">
        <f>+I237+'JULIO 2025'!K237</f>
        <v>19</v>
      </c>
      <c r="L237" s="94">
        <f t="shared" si="7"/>
        <v>0.6333333333333333</v>
      </c>
      <c r="N237"/>
      <c r="O237" s="8"/>
      <c r="P237"/>
      <c r="Q237" s="8"/>
    </row>
    <row r="238" spans="2:17" x14ac:dyDescent="0.25">
      <c r="B238" s="86">
        <v>5</v>
      </c>
      <c r="C238" s="107" t="s">
        <v>59</v>
      </c>
      <c r="D238" s="108" t="s">
        <v>60</v>
      </c>
      <c r="E238" s="233"/>
      <c r="F238" s="61" t="s">
        <v>1086</v>
      </c>
      <c r="G238" s="62" t="s">
        <v>1087</v>
      </c>
      <c r="H238" s="128">
        <v>30</v>
      </c>
      <c r="I238" s="55">
        <v>2</v>
      </c>
      <c r="J238" s="69">
        <f t="shared" si="6"/>
        <v>6.6666666666666666E-2</v>
      </c>
      <c r="K238" s="90">
        <f>+I238+'JULIO 2025'!K238</f>
        <v>15</v>
      </c>
      <c r="L238" s="94">
        <f t="shared" si="7"/>
        <v>0.5</v>
      </c>
      <c r="N238"/>
      <c r="O238" s="8"/>
      <c r="P238"/>
      <c r="Q238" s="8"/>
    </row>
    <row r="239" spans="2:17" x14ac:dyDescent="0.25">
      <c r="B239" s="87">
        <v>8</v>
      </c>
      <c r="C239" s="109" t="s">
        <v>61</v>
      </c>
      <c r="D239" s="110" t="s">
        <v>62</v>
      </c>
      <c r="E239" s="234"/>
      <c r="F239" s="63" t="s">
        <v>1088</v>
      </c>
      <c r="G239" s="63" t="s">
        <v>1096</v>
      </c>
      <c r="H239" s="56">
        <v>30</v>
      </c>
      <c r="I239" s="56">
        <v>2</v>
      </c>
      <c r="J239" s="72">
        <f t="shared" si="6"/>
        <v>6.6666666666666666E-2</v>
      </c>
      <c r="K239" s="91">
        <f>+I239+'JULIO 2025'!K239</f>
        <v>14</v>
      </c>
      <c r="L239" s="96">
        <f t="shared" si="7"/>
        <v>0.46666666666666667</v>
      </c>
      <c r="N239"/>
      <c r="O239" s="8"/>
      <c r="P239"/>
      <c r="Q239" s="8"/>
    </row>
    <row r="240" spans="2:17" x14ac:dyDescent="0.25">
      <c r="B240" s="85">
        <v>3</v>
      </c>
      <c r="C240" s="105" t="s">
        <v>46</v>
      </c>
      <c r="D240" s="106" t="s">
        <v>47</v>
      </c>
      <c r="E240" s="226" t="s">
        <v>426</v>
      </c>
      <c r="F240" s="59" t="s">
        <v>425</v>
      </c>
      <c r="G240" s="60" t="s">
        <v>979</v>
      </c>
      <c r="H240" s="66">
        <v>45</v>
      </c>
      <c r="I240" s="66">
        <v>6</v>
      </c>
      <c r="J240" s="69">
        <f t="shared" si="6"/>
        <v>0.13333333333333333</v>
      </c>
      <c r="K240" s="103">
        <f>+I240+'JULIO 2025'!K240</f>
        <v>27</v>
      </c>
      <c r="L240" s="94">
        <f t="shared" si="7"/>
        <v>0.6</v>
      </c>
      <c r="N240"/>
      <c r="O240" s="8"/>
      <c r="P240"/>
      <c r="Q240" s="8"/>
    </row>
    <row r="241" spans="1:17" x14ac:dyDescent="0.25">
      <c r="B241" s="86">
        <v>3</v>
      </c>
      <c r="C241" s="107" t="s">
        <v>98</v>
      </c>
      <c r="D241" s="108" t="s">
        <v>99</v>
      </c>
      <c r="E241" s="226"/>
      <c r="F241" s="61" t="s">
        <v>428</v>
      </c>
      <c r="G241" s="62" t="s">
        <v>429</v>
      </c>
      <c r="H241" s="68">
        <v>45</v>
      </c>
      <c r="I241" s="55">
        <v>4</v>
      </c>
      <c r="J241" s="69">
        <f t="shared" si="6"/>
        <v>8.8888888888888892E-2</v>
      </c>
      <c r="K241" s="90">
        <f>+I241+'JULIO 2025'!K241</f>
        <v>24</v>
      </c>
      <c r="L241" s="94">
        <f t="shared" si="7"/>
        <v>0.53333333333333333</v>
      </c>
      <c r="N241"/>
      <c r="O241" s="8"/>
      <c r="P241"/>
      <c r="Q241" s="8"/>
    </row>
    <row r="242" spans="1:17" x14ac:dyDescent="0.25">
      <c r="B242" s="86">
        <v>3</v>
      </c>
      <c r="C242" s="107" t="s">
        <v>49</v>
      </c>
      <c r="D242" s="108" t="s">
        <v>50</v>
      </c>
      <c r="E242" s="226"/>
      <c r="F242" s="61" t="s">
        <v>430</v>
      </c>
      <c r="G242" s="63" t="s">
        <v>431</v>
      </c>
      <c r="H242" s="55">
        <v>45</v>
      </c>
      <c r="I242" s="70">
        <v>4</v>
      </c>
      <c r="J242" s="69">
        <f t="shared" si="6"/>
        <v>8.8888888888888892E-2</v>
      </c>
      <c r="K242" s="90">
        <f>+I242+'JULIO 2025'!K242</f>
        <v>25</v>
      </c>
      <c r="L242" s="94">
        <f t="shared" si="7"/>
        <v>0.55555555555555558</v>
      </c>
    </row>
    <row r="243" spans="1:17" s="16" customFormat="1" x14ac:dyDescent="0.25">
      <c r="B243" s="86">
        <v>3</v>
      </c>
      <c r="C243" s="107" t="s">
        <v>52</v>
      </c>
      <c r="D243" s="108" t="s">
        <v>53</v>
      </c>
      <c r="E243" s="226"/>
      <c r="F243" s="61" t="s">
        <v>432</v>
      </c>
      <c r="G243" s="62" t="s">
        <v>296</v>
      </c>
      <c r="H243" s="55">
        <v>45</v>
      </c>
      <c r="I243" s="55">
        <v>5</v>
      </c>
      <c r="J243" s="69">
        <f t="shared" si="6"/>
        <v>0.1111111111111111</v>
      </c>
      <c r="K243" s="90">
        <f>+I243+'JULIO 2025'!K243</f>
        <v>25</v>
      </c>
      <c r="L243" s="94">
        <f t="shared" si="7"/>
        <v>0.55555555555555558</v>
      </c>
      <c r="O243"/>
      <c r="Q243"/>
    </row>
    <row r="244" spans="1:17" x14ac:dyDescent="0.25">
      <c r="B244" s="86">
        <v>5</v>
      </c>
      <c r="C244" s="107" t="s">
        <v>59</v>
      </c>
      <c r="D244" s="108" t="s">
        <v>60</v>
      </c>
      <c r="E244" s="226"/>
      <c r="F244" s="61" t="s">
        <v>433</v>
      </c>
      <c r="G244" s="62" t="s">
        <v>434</v>
      </c>
      <c r="H244" s="55">
        <v>45</v>
      </c>
      <c r="I244" s="55">
        <v>6</v>
      </c>
      <c r="J244" s="69">
        <f t="shared" si="6"/>
        <v>0.13333333333333333</v>
      </c>
      <c r="K244" s="90">
        <f>+I244+'JULIO 2025'!K244</f>
        <v>24</v>
      </c>
      <c r="L244" s="94">
        <f t="shared" si="7"/>
        <v>0.53333333333333333</v>
      </c>
    </row>
    <row r="245" spans="1:17" ht="14.45" customHeight="1" x14ac:dyDescent="0.25">
      <c r="B245" s="86">
        <v>8</v>
      </c>
      <c r="C245" s="107" t="s">
        <v>61</v>
      </c>
      <c r="D245" s="108" t="s">
        <v>62</v>
      </c>
      <c r="E245" s="226"/>
      <c r="F245" s="64" t="s">
        <v>435</v>
      </c>
      <c r="G245" s="65" t="s">
        <v>436</v>
      </c>
      <c r="H245" s="56">
        <v>45</v>
      </c>
      <c r="I245" s="56">
        <v>5</v>
      </c>
      <c r="J245" s="72">
        <f t="shared" si="6"/>
        <v>0.1111111111111111</v>
      </c>
      <c r="K245" s="91">
        <f>+I245+'JULIO 2025'!K245</f>
        <v>25</v>
      </c>
      <c r="L245" s="96">
        <f t="shared" si="7"/>
        <v>0.55555555555555558</v>
      </c>
    </row>
    <row r="246" spans="1:17" ht="14.45" customHeight="1" x14ac:dyDescent="0.25">
      <c r="A246" s="5"/>
      <c r="B246" s="85">
        <v>3</v>
      </c>
      <c r="C246" s="105" t="s">
        <v>52</v>
      </c>
      <c r="D246" s="106" t="s">
        <v>53</v>
      </c>
      <c r="E246" s="227" t="s">
        <v>438</v>
      </c>
      <c r="F246" s="59" t="s">
        <v>788</v>
      </c>
      <c r="G246" s="60" t="s">
        <v>447</v>
      </c>
      <c r="H246" s="66">
        <v>45</v>
      </c>
      <c r="I246" s="66">
        <v>6</v>
      </c>
      <c r="J246" s="69">
        <f t="shared" si="6"/>
        <v>0.13333333333333333</v>
      </c>
      <c r="K246" s="103">
        <f>+I246+'JULIO 2025'!K246</f>
        <v>25</v>
      </c>
      <c r="L246" s="94">
        <f t="shared" si="7"/>
        <v>0.55555555555555558</v>
      </c>
    </row>
    <row r="247" spans="1:17" x14ac:dyDescent="0.25">
      <c r="A247" s="5"/>
      <c r="B247" s="86">
        <v>3</v>
      </c>
      <c r="C247" s="107" t="s">
        <v>55</v>
      </c>
      <c r="D247" s="108" t="s">
        <v>56</v>
      </c>
      <c r="E247" s="226"/>
      <c r="F247" s="61" t="s">
        <v>873</v>
      </c>
      <c r="G247" s="62" t="s">
        <v>874</v>
      </c>
      <c r="H247" s="68">
        <v>45</v>
      </c>
      <c r="I247" s="55">
        <v>6</v>
      </c>
      <c r="J247" s="69">
        <f t="shared" si="6"/>
        <v>0.13333333333333333</v>
      </c>
      <c r="K247" s="90">
        <f>+I247+'JULIO 2025'!K247</f>
        <v>25</v>
      </c>
      <c r="L247" s="94">
        <f t="shared" si="7"/>
        <v>0.55555555555555558</v>
      </c>
    </row>
    <row r="248" spans="1:17" x14ac:dyDescent="0.25">
      <c r="A248" s="5"/>
      <c r="B248" s="86">
        <v>4</v>
      </c>
      <c r="C248" s="107" t="s">
        <v>441</v>
      </c>
      <c r="D248" s="108" t="s">
        <v>442</v>
      </c>
      <c r="E248" s="226"/>
      <c r="F248" s="61" t="s">
        <v>790</v>
      </c>
      <c r="G248" s="63" t="s">
        <v>447</v>
      </c>
      <c r="H248" s="55">
        <v>45</v>
      </c>
      <c r="I248" s="70">
        <v>3</v>
      </c>
      <c r="J248" s="69">
        <f t="shared" si="6"/>
        <v>6.6666666666666666E-2</v>
      </c>
      <c r="K248" s="90">
        <f>+I248+'JULIO 2025'!K248</f>
        <v>25</v>
      </c>
      <c r="L248" s="94">
        <f t="shared" si="7"/>
        <v>0.55555555555555558</v>
      </c>
    </row>
    <row r="249" spans="1:17" ht="14.45" customHeight="1" x14ac:dyDescent="0.25">
      <c r="A249" s="5"/>
      <c r="B249" s="86">
        <v>5</v>
      </c>
      <c r="C249" s="107" t="s">
        <v>57</v>
      </c>
      <c r="D249" s="108" t="s">
        <v>58</v>
      </c>
      <c r="E249" s="226"/>
      <c r="F249" s="61" t="s">
        <v>446</v>
      </c>
      <c r="G249" s="62" t="s">
        <v>447</v>
      </c>
      <c r="H249" s="55">
        <v>45</v>
      </c>
      <c r="I249" s="55">
        <v>5</v>
      </c>
      <c r="J249" s="69">
        <f t="shared" si="6"/>
        <v>0.1111111111111111</v>
      </c>
      <c r="K249" s="90">
        <f>+I249+'JULIO 2025'!K249</f>
        <v>25</v>
      </c>
      <c r="L249" s="94">
        <f t="shared" si="7"/>
        <v>0.55555555555555558</v>
      </c>
    </row>
    <row r="250" spans="1:17" ht="14.45" customHeight="1" x14ac:dyDescent="0.25">
      <c r="A250" s="5"/>
      <c r="B250" s="86">
        <v>5</v>
      </c>
      <c r="C250" s="107" t="s">
        <v>59</v>
      </c>
      <c r="D250" s="108" t="s">
        <v>60</v>
      </c>
      <c r="E250" s="226"/>
      <c r="F250" s="61" t="s">
        <v>791</v>
      </c>
      <c r="G250" s="62" t="s">
        <v>447</v>
      </c>
      <c r="H250" s="55">
        <v>45</v>
      </c>
      <c r="I250" s="55">
        <v>7</v>
      </c>
      <c r="J250" s="69">
        <f t="shared" si="6"/>
        <v>0.15555555555555556</v>
      </c>
      <c r="K250" s="90">
        <f>+I250+'JULIO 2025'!K250</f>
        <v>25</v>
      </c>
      <c r="L250" s="94">
        <f t="shared" si="7"/>
        <v>0.55555555555555558</v>
      </c>
    </row>
    <row r="251" spans="1:17" ht="14.45" customHeight="1" x14ac:dyDescent="0.25">
      <c r="A251" s="5"/>
      <c r="B251" s="87">
        <v>8</v>
      </c>
      <c r="C251" s="109" t="s">
        <v>61</v>
      </c>
      <c r="D251" s="110" t="s">
        <v>62</v>
      </c>
      <c r="E251" s="226"/>
      <c r="F251" s="64" t="s">
        <v>792</v>
      </c>
      <c r="G251" s="65" t="s">
        <v>447</v>
      </c>
      <c r="H251" s="56">
        <v>45</v>
      </c>
      <c r="I251" s="56">
        <v>3</v>
      </c>
      <c r="J251" s="72">
        <f t="shared" si="6"/>
        <v>6.6666666666666666E-2</v>
      </c>
      <c r="K251" s="91">
        <f>+I251+'JULIO 2025'!K251</f>
        <v>25</v>
      </c>
      <c r="L251" s="96">
        <f t="shared" si="7"/>
        <v>0.55555555555555558</v>
      </c>
    </row>
    <row r="252" spans="1:17" x14ac:dyDescent="0.25">
      <c r="A252" s="5"/>
      <c r="B252" s="85">
        <v>3</v>
      </c>
      <c r="C252" s="105" t="s">
        <v>43</v>
      </c>
      <c r="D252" s="106" t="s">
        <v>44</v>
      </c>
      <c r="E252" s="226" t="s">
        <v>450</v>
      </c>
      <c r="F252" s="60" t="s">
        <v>991</v>
      </c>
      <c r="G252" s="60" t="s">
        <v>992</v>
      </c>
      <c r="H252" s="66">
        <v>34</v>
      </c>
      <c r="I252" s="66">
        <v>4</v>
      </c>
      <c r="J252" s="69">
        <f t="shared" si="6"/>
        <v>0.11764705882352941</v>
      </c>
      <c r="K252" s="103">
        <f>+I252+'JULIO 2025'!K252</f>
        <v>20</v>
      </c>
      <c r="L252" s="94">
        <f t="shared" si="7"/>
        <v>0.58823529411764708</v>
      </c>
    </row>
    <row r="253" spans="1:17" x14ac:dyDescent="0.25">
      <c r="A253" s="5"/>
      <c r="B253" s="86">
        <v>3</v>
      </c>
      <c r="C253" s="107" t="s">
        <v>46</v>
      </c>
      <c r="D253" s="108" t="s">
        <v>47</v>
      </c>
      <c r="E253" s="226"/>
      <c r="F253" s="74" t="s">
        <v>795</v>
      </c>
      <c r="G253" s="62" t="s">
        <v>796</v>
      </c>
      <c r="H253" s="68">
        <v>34</v>
      </c>
      <c r="I253" s="55">
        <v>4</v>
      </c>
      <c r="J253" s="69">
        <f t="shared" si="6"/>
        <v>0.11764705882352941</v>
      </c>
      <c r="K253" s="90">
        <f>+I253+'JULIO 2025'!K253</f>
        <v>20</v>
      </c>
      <c r="L253" s="94">
        <f t="shared" si="7"/>
        <v>0.58823529411764708</v>
      </c>
    </row>
    <row r="254" spans="1:17" ht="14.45" customHeight="1" x14ac:dyDescent="0.25">
      <c r="B254" s="86">
        <v>3</v>
      </c>
      <c r="C254" s="107" t="s">
        <v>49</v>
      </c>
      <c r="D254" s="108" t="s">
        <v>50</v>
      </c>
      <c r="E254" s="226"/>
      <c r="F254" s="62" t="s">
        <v>993</v>
      </c>
      <c r="G254" s="63" t="s">
        <v>994</v>
      </c>
      <c r="H254" s="55">
        <v>34</v>
      </c>
      <c r="I254" s="70">
        <v>4</v>
      </c>
      <c r="J254" s="69">
        <f t="shared" si="6"/>
        <v>0.11764705882352941</v>
      </c>
      <c r="K254" s="90">
        <f>+I254+'JULIO 2025'!K254</f>
        <v>20</v>
      </c>
      <c r="L254" s="94">
        <f t="shared" si="7"/>
        <v>0.58823529411764708</v>
      </c>
    </row>
    <row r="255" spans="1:17" ht="14.45" customHeight="1" x14ac:dyDescent="0.25">
      <c r="B255" s="86">
        <v>3</v>
      </c>
      <c r="C255" s="107" t="s">
        <v>52</v>
      </c>
      <c r="D255" s="108" t="s">
        <v>53</v>
      </c>
      <c r="E255" s="226"/>
      <c r="F255" s="62" t="s">
        <v>995</v>
      </c>
      <c r="G255" s="62" t="s">
        <v>996</v>
      </c>
      <c r="H255" s="55">
        <v>34</v>
      </c>
      <c r="I255" s="55">
        <v>4</v>
      </c>
      <c r="J255" s="69">
        <f t="shared" si="6"/>
        <v>0.11764705882352941</v>
      </c>
      <c r="K255" s="90">
        <f>+I255+'JULIO 2025'!K255</f>
        <v>20</v>
      </c>
      <c r="L255" s="94">
        <f t="shared" si="7"/>
        <v>0.58823529411764708</v>
      </c>
    </row>
    <row r="256" spans="1:17" x14ac:dyDescent="0.25">
      <c r="B256" s="86">
        <v>3</v>
      </c>
      <c r="C256" s="107" t="s">
        <v>55</v>
      </c>
      <c r="D256" s="108" t="s">
        <v>56</v>
      </c>
      <c r="E256" s="226"/>
      <c r="F256" s="62" t="s">
        <v>997</v>
      </c>
      <c r="G256" s="62" t="s">
        <v>998</v>
      </c>
      <c r="H256" s="55">
        <v>34</v>
      </c>
      <c r="I256" s="55">
        <v>4</v>
      </c>
      <c r="J256" s="69">
        <f t="shared" si="6"/>
        <v>0.11764705882352941</v>
      </c>
      <c r="K256" s="90">
        <f>+I256+'JULIO 2025'!K256</f>
        <v>20</v>
      </c>
      <c r="L256" s="94">
        <f t="shared" si="7"/>
        <v>0.58823529411764708</v>
      </c>
    </row>
    <row r="257" spans="1:18" x14ac:dyDescent="0.25">
      <c r="B257" s="86">
        <v>5</v>
      </c>
      <c r="C257" s="107" t="s">
        <v>57</v>
      </c>
      <c r="D257" s="108" t="s">
        <v>58</v>
      </c>
      <c r="E257" s="226"/>
      <c r="F257" s="74" t="s">
        <v>999</v>
      </c>
      <c r="G257" s="62" t="s">
        <v>1000</v>
      </c>
      <c r="H257" s="55">
        <v>34</v>
      </c>
      <c r="I257" s="55">
        <v>4</v>
      </c>
      <c r="J257" s="69">
        <f t="shared" si="6"/>
        <v>0.11764705882352941</v>
      </c>
      <c r="K257" s="90">
        <f>+I257+'JULIO 2025'!K257</f>
        <v>20</v>
      </c>
      <c r="L257" s="94">
        <f t="shared" si="7"/>
        <v>0.58823529411764708</v>
      </c>
    </row>
    <row r="258" spans="1:18" s="6" customFormat="1" ht="14.45" customHeight="1" x14ac:dyDescent="0.25">
      <c r="A258" s="8"/>
      <c r="B258" s="86">
        <v>5</v>
      </c>
      <c r="C258" s="107" t="s">
        <v>59</v>
      </c>
      <c r="D258" s="108" t="s">
        <v>60</v>
      </c>
      <c r="E258" s="226"/>
      <c r="F258" s="62" t="s">
        <v>1001</v>
      </c>
      <c r="G258" s="62" t="s">
        <v>1000</v>
      </c>
      <c r="H258" s="55">
        <v>33</v>
      </c>
      <c r="I258" s="55">
        <v>3</v>
      </c>
      <c r="J258" s="69">
        <f t="shared" si="6"/>
        <v>9.0909090909090912E-2</v>
      </c>
      <c r="K258" s="90">
        <f>+I258+'JULIO 2025'!K258</f>
        <v>15</v>
      </c>
      <c r="L258" s="94">
        <f t="shared" si="7"/>
        <v>0.45454545454545453</v>
      </c>
      <c r="M258" s="8"/>
      <c r="N258" s="8"/>
      <c r="O258"/>
      <c r="P258" s="8"/>
      <c r="Q258"/>
      <c r="R258" s="8"/>
    </row>
    <row r="259" spans="1:18" s="6" customFormat="1" ht="14.45" customHeight="1" x14ac:dyDescent="0.25">
      <c r="A259" s="8"/>
      <c r="B259" s="86">
        <v>8</v>
      </c>
      <c r="C259" s="107" t="s">
        <v>61</v>
      </c>
      <c r="D259" s="108" t="s">
        <v>62</v>
      </c>
      <c r="E259" s="226"/>
      <c r="F259" s="65" t="s">
        <v>856</v>
      </c>
      <c r="G259" s="65" t="s">
        <v>464</v>
      </c>
      <c r="H259" s="56">
        <v>33</v>
      </c>
      <c r="I259" s="56">
        <v>3</v>
      </c>
      <c r="J259" s="72">
        <f t="shared" si="6"/>
        <v>9.0909090909090912E-2</v>
      </c>
      <c r="K259" s="91">
        <f>+I259+'JULIO 2025'!K259</f>
        <v>15</v>
      </c>
      <c r="L259" s="96">
        <f t="shared" si="7"/>
        <v>0.45454545454545453</v>
      </c>
      <c r="M259" s="8"/>
      <c r="N259" s="8"/>
      <c r="O259"/>
      <c r="P259" s="8"/>
      <c r="Q259"/>
      <c r="R259" s="8"/>
    </row>
    <row r="260" spans="1:18" x14ac:dyDescent="0.25">
      <c r="B260" s="85">
        <v>3</v>
      </c>
      <c r="C260" s="105" t="s">
        <v>43</v>
      </c>
      <c r="D260" s="106" t="s">
        <v>44</v>
      </c>
      <c r="E260" s="238" t="s">
        <v>466</v>
      </c>
      <c r="F260" s="60" t="s">
        <v>465</v>
      </c>
      <c r="G260" s="60" t="s">
        <v>657</v>
      </c>
      <c r="H260" s="66">
        <v>20</v>
      </c>
      <c r="I260" s="66">
        <v>3</v>
      </c>
      <c r="J260" s="69">
        <f t="shared" si="6"/>
        <v>0.15</v>
      </c>
      <c r="K260" s="103">
        <f>+I260+'JULIO 2025'!K260</f>
        <v>18</v>
      </c>
      <c r="L260" s="94">
        <f t="shared" si="7"/>
        <v>0.9</v>
      </c>
    </row>
    <row r="261" spans="1:18" x14ac:dyDescent="0.25">
      <c r="B261" s="86">
        <v>3</v>
      </c>
      <c r="C261" s="107" t="s">
        <v>46</v>
      </c>
      <c r="D261" s="108" t="s">
        <v>47</v>
      </c>
      <c r="E261" s="239"/>
      <c r="F261" s="61" t="s">
        <v>48</v>
      </c>
      <c r="G261" s="62" t="s">
        <v>32</v>
      </c>
      <c r="H261" s="68">
        <v>20</v>
      </c>
      <c r="I261" s="55">
        <v>4</v>
      </c>
      <c r="J261" s="69">
        <f t="shared" si="6"/>
        <v>0.2</v>
      </c>
      <c r="K261" s="90">
        <f>+I261+'JULIO 2025'!K261</f>
        <v>16</v>
      </c>
      <c r="L261" s="94">
        <f t="shared" si="7"/>
        <v>0.8</v>
      </c>
    </row>
    <row r="262" spans="1:18" x14ac:dyDescent="0.25">
      <c r="B262" s="86">
        <v>3</v>
      </c>
      <c r="C262" s="107" t="s">
        <v>98</v>
      </c>
      <c r="D262" s="108" t="s">
        <v>99</v>
      </c>
      <c r="E262" s="239"/>
      <c r="F262" s="61" t="s">
        <v>48</v>
      </c>
      <c r="G262" s="63" t="s">
        <v>32</v>
      </c>
      <c r="H262" s="55">
        <v>20</v>
      </c>
      <c r="I262" s="70">
        <v>4</v>
      </c>
      <c r="J262" s="69">
        <f t="shared" si="6"/>
        <v>0.2</v>
      </c>
      <c r="K262" s="90">
        <f>+I262+'JULIO 2025'!K262</f>
        <v>16</v>
      </c>
      <c r="L262" s="94">
        <f t="shared" si="7"/>
        <v>0.8</v>
      </c>
    </row>
    <row r="263" spans="1:18" x14ac:dyDescent="0.25">
      <c r="B263" s="86">
        <v>3</v>
      </c>
      <c r="C263" s="107" t="s">
        <v>49</v>
      </c>
      <c r="D263" s="108" t="s">
        <v>50</v>
      </c>
      <c r="E263" s="239"/>
      <c r="F263" s="61" t="s">
        <v>468</v>
      </c>
      <c r="G263" s="62" t="s">
        <v>469</v>
      </c>
      <c r="H263" s="55">
        <v>20</v>
      </c>
      <c r="I263" s="55">
        <v>4</v>
      </c>
      <c r="J263" s="69">
        <f t="shared" si="6"/>
        <v>0.2</v>
      </c>
      <c r="K263" s="90">
        <f>+I263+'JULIO 2025'!K263</f>
        <v>16</v>
      </c>
      <c r="L263" s="94">
        <f t="shared" si="7"/>
        <v>0.8</v>
      </c>
    </row>
    <row r="264" spans="1:18" x14ac:dyDescent="0.25">
      <c r="B264" s="86">
        <v>3</v>
      </c>
      <c r="C264" s="107" t="s">
        <v>52</v>
      </c>
      <c r="D264" s="108" t="s">
        <v>53</v>
      </c>
      <c r="E264" s="239"/>
      <c r="F264" s="61" t="s">
        <v>470</v>
      </c>
      <c r="G264" s="62" t="s">
        <v>471</v>
      </c>
      <c r="H264" s="55">
        <v>20</v>
      </c>
      <c r="I264" s="55">
        <v>2</v>
      </c>
      <c r="J264" s="69">
        <f t="shared" si="6"/>
        <v>0.1</v>
      </c>
      <c r="K264" s="90">
        <f>+I264+'JULIO 2025'!K264</f>
        <v>18</v>
      </c>
      <c r="L264" s="94">
        <f t="shared" si="7"/>
        <v>0.9</v>
      </c>
    </row>
    <row r="265" spans="1:18" x14ac:dyDescent="0.25">
      <c r="B265" s="86">
        <v>3</v>
      </c>
      <c r="C265" s="107" t="s">
        <v>55</v>
      </c>
      <c r="D265" s="108" t="s">
        <v>56</v>
      </c>
      <c r="E265" s="239"/>
      <c r="F265" s="61" t="s">
        <v>804</v>
      </c>
      <c r="G265" s="62" t="s">
        <v>1019</v>
      </c>
      <c r="H265" s="55">
        <v>20</v>
      </c>
      <c r="I265" s="55">
        <v>3</v>
      </c>
      <c r="J265" s="69">
        <f t="shared" si="6"/>
        <v>0.15</v>
      </c>
      <c r="K265" s="90">
        <f>+I265+'JULIO 2025'!K265</f>
        <v>18</v>
      </c>
      <c r="L265" s="94">
        <f t="shared" si="7"/>
        <v>0.9</v>
      </c>
    </row>
    <row r="266" spans="1:18" x14ac:dyDescent="0.25">
      <c r="B266" s="86">
        <v>5</v>
      </c>
      <c r="C266" s="107" t="s">
        <v>57</v>
      </c>
      <c r="D266" s="108" t="s">
        <v>58</v>
      </c>
      <c r="E266" s="239"/>
      <c r="F266" s="129" t="s">
        <v>238</v>
      </c>
      <c r="G266" s="76" t="s">
        <v>32</v>
      </c>
      <c r="H266" s="55">
        <v>20</v>
      </c>
      <c r="I266" s="55">
        <v>3</v>
      </c>
      <c r="J266" s="69">
        <f t="shared" si="6"/>
        <v>0.15</v>
      </c>
      <c r="K266" s="90">
        <f>+I266+'JULIO 2025'!K266</f>
        <v>15</v>
      </c>
      <c r="L266" s="94">
        <f t="shared" si="7"/>
        <v>0.75</v>
      </c>
    </row>
    <row r="267" spans="1:18" x14ac:dyDescent="0.25">
      <c r="B267" s="86">
        <v>5</v>
      </c>
      <c r="C267" s="107" t="s">
        <v>59</v>
      </c>
      <c r="D267" s="108" t="s">
        <v>60</v>
      </c>
      <c r="E267" s="239"/>
      <c r="F267" s="61" t="s">
        <v>1020</v>
      </c>
      <c r="G267" s="62" t="s">
        <v>1021</v>
      </c>
      <c r="H267" s="128">
        <v>20</v>
      </c>
      <c r="I267" s="55">
        <v>3</v>
      </c>
      <c r="J267" s="69">
        <f t="shared" si="6"/>
        <v>0.15</v>
      </c>
      <c r="K267" s="90">
        <f>+I267+'JULIO 2025'!K267</f>
        <v>17</v>
      </c>
      <c r="L267" s="94">
        <f t="shared" si="7"/>
        <v>0.85</v>
      </c>
    </row>
    <row r="268" spans="1:18" x14ac:dyDescent="0.25">
      <c r="B268" s="87">
        <v>8</v>
      </c>
      <c r="C268" s="109" t="s">
        <v>61</v>
      </c>
      <c r="D268" s="110" t="s">
        <v>62</v>
      </c>
      <c r="E268" s="227"/>
      <c r="F268" s="135" t="s">
        <v>63</v>
      </c>
      <c r="G268" s="135" t="s">
        <v>32</v>
      </c>
      <c r="H268" s="56">
        <v>20</v>
      </c>
      <c r="I268" s="56">
        <v>4</v>
      </c>
      <c r="J268" s="72">
        <f t="shared" si="6"/>
        <v>0.2</v>
      </c>
      <c r="K268" s="91">
        <f>+I268+'JULIO 2025'!K268</f>
        <v>16</v>
      </c>
      <c r="L268" s="96">
        <f t="shared" si="7"/>
        <v>0.8</v>
      </c>
    </row>
    <row r="269" spans="1:18" x14ac:dyDescent="0.25">
      <c r="D269" s="18"/>
      <c r="E269" s="5"/>
      <c r="F269" s="14"/>
      <c r="G269" s="5"/>
      <c r="H269" s="240" t="str">
        <f>+CONCATENATE("TOTAL A ",D7)</f>
        <v>TOTAL A AGOSTO</v>
      </c>
      <c r="I269" s="241"/>
      <c r="J269" s="242"/>
      <c r="K269" s="240" t="s">
        <v>33</v>
      </c>
      <c r="L269" s="242"/>
    </row>
    <row r="270" spans="1:18" x14ac:dyDescent="0.25">
      <c r="D270" s="48"/>
      <c r="E270" s="54"/>
      <c r="F270" s="16"/>
      <c r="G270" s="54"/>
      <c r="H270" s="49">
        <f>+SUM(H13:H268)</f>
        <v>6480</v>
      </c>
      <c r="I270" s="50">
        <f>SUM(I13:I268)</f>
        <v>870</v>
      </c>
      <c r="J270" s="51">
        <f>IFERROR(I270/H270,0)</f>
        <v>0.13425925925925927</v>
      </c>
      <c r="K270" s="50">
        <f>+SUM(K13:K268)</f>
        <v>4350</v>
      </c>
      <c r="L270" s="51">
        <f>IFERROR(K270/H270,0)</f>
        <v>0.67129629629629628</v>
      </c>
    </row>
    <row r="271" spans="1:18" x14ac:dyDescent="0.25">
      <c r="D271" s="48"/>
      <c r="E271" s="54"/>
      <c r="F271" s="16"/>
      <c r="G271" s="54"/>
      <c r="H271" s="118"/>
      <c r="I271" s="119"/>
      <c r="J271" s="120"/>
      <c r="K271" s="119"/>
      <c r="L271" s="120"/>
    </row>
    <row r="272" spans="1:18" ht="95.45" customHeight="1" x14ac:dyDescent="0.25">
      <c r="B272" s="271" t="s">
        <v>34</v>
      </c>
      <c r="C272" s="272"/>
      <c r="D272" s="275" t="s">
        <v>1011</v>
      </c>
      <c r="E272" s="275"/>
      <c r="F272" s="275"/>
      <c r="G272" s="275"/>
      <c r="H272" s="275"/>
      <c r="I272" s="275"/>
      <c r="J272" s="275"/>
      <c r="K272" s="275"/>
      <c r="L272" s="275"/>
    </row>
    <row r="273" spans="1:18" ht="141" customHeight="1" x14ac:dyDescent="0.25">
      <c r="B273" s="273"/>
      <c r="C273" s="274"/>
      <c r="D273" s="275" t="s">
        <v>956</v>
      </c>
      <c r="E273" s="275"/>
      <c r="F273" s="275"/>
      <c r="G273" s="275"/>
      <c r="H273" s="275"/>
      <c r="I273" s="275"/>
      <c r="J273" s="275"/>
      <c r="K273" s="275"/>
      <c r="L273" s="275"/>
    </row>
    <row r="274" spans="1:18" ht="35.450000000000003" customHeight="1" x14ac:dyDescent="0.25">
      <c r="B274" s="273"/>
      <c r="C274" s="274"/>
      <c r="D274" s="275" t="s">
        <v>990</v>
      </c>
      <c r="E274" s="275"/>
      <c r="F274" s="275"/>
      <c r="G274" s="275"/>
      <c r="H274" s="275"/>
      <c r="I274" s="275"/>
      <c r="J274" s="275"/>
      <c r="K274" s="275"/>
      <c r="L274" s="275"/>
    </row>
    <row r="275" spans="1:18" ht="120" customHeight="1" x14ac:dyDescent="0.25">
      <c r="B275" s="273"/>
      <c r="C275" s="274"/>
      <c r="D275" s="275" t="s">
        <v>980</v>
      </c>
      <c r="E275" s="275"/>
      <c r="F275" s="275"/>
      <c r="G275" s="275"/>
      <c r="H275" s="275"/>
      <c r="I275" s="275"/>
      <c r="J275" s="275"/>
      <c r="K275" s="275"/>
      <c r="L275" s="275"/>
    </row>
    <row r="276" spans="1:18" ht="40.35" customHeight="1" x14ac:dyDescent="0.25">
      <c r="B276" s="240"/>
      <c r="C276" s="242"/>
      <c r="D276" s="275" t="s">
        <v>1007</v>
      </c>
      <c r="E276" s="275"/>
      <c r="F276" s="275"/>
      <c r="G276" s="275"/>
      <c r="H276" s="275"/>
      <c r="I276" s="275"/>
      <c r="J276" s="275"/>
      <c r="K276" s="275"/>
      <c r="L276" s="275"/>
    </row>
    <row r="277" spans="1:18" x14ac:dyDescent="0.25">
      <c r="B277" s="248" t="s">
        <v>36</v>
      </c>
      <c r="C277" s="249"/>
      <c r="D277" s="249"/>
      <c r="E277" s="249"/>
      <c r="F277" s="249"/>
      <c r="G277" s="249"/>
      <c r="H277" s="249"/>
      <c r="I277" s="249"/>
      <c r="J277" s="249"/>
      <c r="K277" s="249"/>
      <c r="L277" s="250"/>
    </row>
    <row r="278" spans="1:18" x14ac:dyDescent="0.25">
      <c r="B278" s="251"/>
      <c r="C278" s="252"/>
      <c r="D278" s="252"/>
      <c r="E278" s="252"/>
      <c r="F278" s="252"/>
      <c r="G278" s="252"/>
      <c r="H278" s="252"/>
      <c r="I278" s="252"/>
      <c r="J278" s="252"/>
      <c r="K278" s="252"/>
      <c r="L278" s="253"/>
    </row>
    <row r="279" spans="1:18" x14ac:dyDescent="0.25">
      <c r="B279" s="254" t="s">
        <v>37</v>
      </c>
      <c r="C279" s="255"/>
      <c r="D279" s="255"/>
      <c r="E279" s="255"/>
      <c r="F279" s="255"/>
      <c r="G279" s="255"/>
      <c r="H279" s="255"/>
      <c r="I279" s="255"/>
      <c r="J279" s="255"/>
      <c r="K279" s="255"/>
      <c r="L279" s="256"/>
    </row>
    <row r="280" spans="1:18" ht="24.75" x14ac:dyDescent="0.3">
      <c r="B280" s="52" t="s">
        <v>38</v>
      </c>
      <c r="C280" s="121"/>
      <c r="D280" s="257" t="s">
        <v>35</v>
      </c>
      <c r="E280" s="258"/>
      <c r="F280" s="258"/>
      <c r="G280" s="258"/>
      <c r="H280" s="258"/>
      <c r="I280" s="258"/>
      <c r="J280" s="258"/>
      <c r="K280" s="258"/>
      <c r="L280" s="259"/>
    </row>
    <row r="281" spans="1:18" ht="24.75" x14ac:dyDescent="0.3">
      <c r="B281" s="52" t="s">
        <v>39</v>
      </c>
      <c r="C281" s="121"/>
      <c r="D281" s="260"/>
      <c r="E281" s="261"/>
      <c r="F281" s="261"/>
      <c r="G281" s="261"/>
      <c r="H281" s="261"/>
      <c r="I281" s="261"/>
      <c r="J281" s="261"/>
      <c r="K281" s="261"/>
      <c r="L281" s="262"/>
    </row>
    <row r="282" spans="1:18" x14ac:dyDescent="0.25">
      <c r="B282" s="263" t="s">
        <v>36</v>
      </c>
      <c r="C282" s="264"/>
      <c r="D282" s="264"/>
      <c r="E282" s="264"/>
      <c r="F282" s="264"/>
      <c r="G282" s="264"/>
      <c r="H282" s="264"/>
      <c r="I282" s="264"/>
      <c r="J282" s="264"/>
      <c r="K282" s="264"/>
      <c r="L282" s="265"/>
    </row>
    <row r="283" spans="1:18" s="6" customFormat="1" ht="14.45" hidden="1" customHeight="1" x14ac:dyDescent="0.25">
      <c r="A283" t="s">
        <v>0</v>
      </c>
      <c r="B283" s="266"/>
      <c r="C283" s="267"/>
      <c r="D283" s="267"/>
      <c r="E283" s="267"/>
      <c r="F283" s="267"/>
      <c r="G283" s="267"/>
      <c r="H283" s="267"/>
      <c r="I283" s="267"/>
      <c r="J283" s="267"/>
      <c r="K283" s="267"/>
      <c r="L283" s="268"/>
      <c r="M283" s="8"/>
      <c r="N283" s="8"/>
      <c r="O283"/>
      <c r="P283" s="8"/>
      <c r="Q283"/>
      <c r="R283" s="8"/>
    </row>
    <row r="284" spans="1:18" s="6" customFormat="1" ht="14.45" hidden="1" customHeight="1" x14ac:dyDescent="0.25">
      <c r="A284" t="s">
        <v>2</v>
      </c>
      <c r="B284" s="254" t="s">
        <v>40</v>
      </c>
      <c r="C284" s="255"/>
      <c r="D284" s="255"/>
      <c r="E284" s="255"/>
      <c r="F284" s="255"/>
      <c r="G284" s="255"/>
      <c r="H284" s="255"/>
      <c r="I284" s="255"/>
      <c r="J284" s="255"/>
      <c r="K284" s="255"/>
      <c r="L284" s="256"/>
      <c r="M284" s="8"/>
      <c r="N284" s="8"/>
      <c r="O284"/>
      <c r="P284" s="8"/>
      <c r="Q284"/>
      <c r="R284" s="8"/>
    </row>
    <row r="285" spans="1:18" s="6" customFormat="1" ht="14.45" hidden="1" customHeight="1" x14ac:dyDescent="0.3">
      <c r="A285" t="s">
        <v>6</v>
      </c>
      <c r="B285" s="52" t="s">
        <v>38</v>
      </c>
      <c r="C285" s="121"/>
      <c r="D285" s="257" t="s">
        <v>35</v>
      </c>
      <c r="E285" s="258"/>
      <c r="F285" s="258"/>
      <c r="G285" s="258"/>
      <c r="H285" s="258"/>
      <c r="I285" s="258"/>
      <c r="J285" s="258"/>
      <c r="K285" s="258"/>
      <c r="L285" s="259"/>
      <c r="M285" s="8"/>
      <c r="N285" s="8"/>
      <c r="O285"/>
      <c r="P285" s="8"/>
      <c r="Q285"/>
      <c r="R285" s="8"/>
    </row>
    <row r="286" spans="1:18" s="6" customFormat="1" ht="14.45" hidden="1" customHeight="1" x14ac:dyDescent="0.3">
      <c r="A286" t="s">
        <v>8</v>
      </c>
      <c r="B286" s="52" t="s">
        <v>39</v>
      </c>
      <c r="C286" s="121"/>
      <c r="D286" s="260"/>
      <c r="E286" s="261"/>
      <c r="F286" s="261"/>
      <c r="G286" s="261"/>
      <c r="H286" s="261"/>
      <c r="I286" s="261"/>
      <c r="J286" s="261"/>
      <c r="K286" s="261"/>
      <c r="L286" s="262"/>
      <c r="M286" s="8"/>
      <c r="N286" s="8"/>
      <c r="O286"/>
      <c r="P286" s="8"/>
      <c r="Q286"/>
      <c r="R286" s="8"/>
    </row>
    <row r="287" spans="1:18" s="6" customFormat="1" ht="14.45" hidden="1" customHeight="1" x14ac:dyDescent="0.25">
      <c r="A287" t="s">
        <v>9</v>
      </c>
      <c r="B287" s="53"/>
      <c r="C287" s="53"/>
      <c r="D287" s="18"/>
      <c r="E287" s="5"/>
      <c r="G287" s="5"/>
      <c r="H287" s="53"/>
      <c r="I287" s="122"/>
      <c r="M287" s="8"/>
      <c r="N287" s="8"/>
      <c r="O287"/>
      <c r="P287" s="8"/>
      <c r="Q287"/>
      <c r="R287" s="8"/>
    </row>
    <row r="288" spans="1:18" s="6" customFormat="1" ht="14.45" hidden="1" customHeight="1" x14ac:dyDescent="0.25">
      <c r="A288" t="s">
        <v>10</v>
      </c>
      <c r="B288" s="53"/>
      <c r="C288" s="53"/>
      <c r="D288" s="18"/>
      <c r="E288" s="5"/>
      <c r="G288" s="5"/>
      <c r="H288" s="53"/>
      <c r="I288" s="122"/>
      <c r="M288" s="8"/>
      <c r="N288" s="8"/>
      <c r="O288"/>
      <c r="P288" s="8"/>
      <c r="Q288"/>
      <c r="R288" s="8"/>
    </row>
    <row r="289" spans="1:18" s="6" customFormat="1" ht="14.45" hidden="1" customHeight="1" x14ac:dyDescent="0.25">
      <c r="A289" t="s">
        <v>11</v>
      </c>
      <c r="B289" s="269"/>
      <c r="C289" s="269"/>
      <c r="D289" s="269"/>
      <c r="E289" s="5"/>
      <c r="G289" s="5"/>
      <c r="H289" s="269"/>
      <c r="I289" s="269"/>
      <c r="J289" s="269"/>
      <c r="K289" s="269"/>
      <c r="M289" s="8"/>
      <c r="N289" s="8"/>
      <c r="O289"/>
      <c r="P289" s="8"/>
      <c r="Q289"/>
      <c r="R289" s="8"/>
    </row>
    <row r="290" spans="1:18" s="6" customFormat="1" ht="14.45" hidden="1" customHeight="1" x14ac:dyDescent="0.25">
      <c r="A290" t="s">
        <v>13</v>
      </c>
      <c r="B290" s="5" t="s">
        <v>41</v>
      </c>
      <c r="C290" s="270"/>
      <c r="D290" s="270"/>
      <c r="E290" s="5"/>
      <c r="G290" s="5"/>
      <c r="H290" s="5" t="s">
        <v>42</v>
      </c>
      <c r="I290" s="270" t="s">
        <v>222</v>
      </c>
      <c r="J290" s="270"/>
      <c r="K290" s="270"/>
      <c r="M290" s="8"/>
      <c r="N290" s="8"/>
      <c r="O290"/>
      <c r="P290" s="8"/>
      <c r="Q290"/>
      <c r="R290" s="8"/>
    </row>
    <row r="291" spans="1:18" s="6" customFormat="1" hidden="1" x14ac:dyDescent="0.25">
      <c r="A291" t="s">
        <v>14</v>
      </c>
      <c r="B291" s="54"/>
      <c r="C291" s="5"/>
      <c r="F291" s="7"/>
      <c r="M291" s="8"/>
      <c r="N291" s="8"/>
      <c r="O291"/>
      <c r="P291" s="8"/>
      <c r="Q291"/>
      <c r="R291" s="8"/>
    </row>
    <row r="292" spans="1:18" s="6" customFormat="1" hidden="1" x14ac:dyDescent="0.25">
      <c r="A292" t="s">
        <v>16</v>
      </c>
      <c r="B292" s="54"/>
      <c r="C292" s="5"/>
      <c r="F292" s="7"/>
      <c r="M292" s="8"/>
      <c r="N292" s="8"/>
      <c r="O292"/>
      <c r="P292" s="8"/>
      <c r="Q292"/>
      <c r="R292" s="8"/>
    </row>
    <row r="293" spans="1:18" s="6" customFormat="1" hidden="1" x14ac:dyDescent="0.25">
      <c r="A293" t="s">
        <v>17</v>
      </c>
      <c r="B293" s="54"/>
      <c r="C293" s="5"/>
      <c r="F293" s="7"/>
      <c r="M293" s="8"/>
      <c r="N293" s="8"/>
      <c r="O293"/>
      <c r="P293" s="8"/>
      <c r="Q293"/>
      <c r="R293" s="8"/>
    </row>
    <row r="294" spans="1:18" s="6" customFormat="1" hidden="1" x14ac:dyDescent="0.25">
      <c r="A294" t="s">
        <v>21</v>
      </c>
      <c r="B294" s="54"/>
      <c r="C294" s="5"/>
      <c r="F294" s="7"/>
      <c r="M294" s="8"/>
      <c r="N294" s="8"/>
      <c r="O294"/>
      <c r="P294" s="8"/>
      <c r="Q294"/>
      <c r="R294" s="8"/>
    </row>
    <row r="295" spans="1:18" s="6" customFormat="1" hidden="1" x14ac:dyDescent="0.25">
      <c r="A295" t="s">
        <v>31</v>
      </c>
      <c r="B295" s="54"/>
      <c r="C295" s="5"/>
      <c r="F295" s="7"/>
      <c r="M295" s="8"/>
      <c r="N295" s="8"/>
      <c r="O295"/>
      <c r="P295" s="8"/>
      <c r="Q295"/>
      <c r="R295" s="8"/>
    </row>
    <row r="296" spans="1:18" x14ac:dyDescent="0.25">
      <c r="B296" s="254" t="s">
        <v>40</v>
      </c>
      <c r="C296" s="255"/>
      <c r="D296" s="255"/>
      <c r="E296" s="255"/>
      <c r="F296" s="255"/>
      <c r="G296" s="255"/>
      <c r="H296" s="255"/>
      <c r="I296" s="255"/>
      <c r="J296" s="255"/>
      <c r="K296" s="255"/>
      <c r="L296" s="256"/>
    </row>
    <row r="297" spans="1:18" ht="24.75" x14ac:dyDescent="0.3">
      <c r="B297" s="52" t="s">
        <v>38</v>
      </c>
      <c r="C297" s="121"/>
      <c r="D297" s="257" t="s">
        <v>35</v>
      </c>
      <c r="E297" s="258"/>
      <c r="F297" s="258"/>
      <c r="G297" s="258"/>
      <c r="H297" s="258"/>
      <c r="I297" s="258"/>
      <c r="J297" s="258"/>
      <c r="K297" s="258"/>
      <c r="L297" s="259"/>
    </row>
    <row r="298" spans="1:18" ht="24.75" x14ac:dyDescent="0.3">
      <c r="B298" s="52" t="s">
        <v>39</v>
      </c>
      <c r="C298" s="121"/>
      <c r="D298" s="260"/>
      <c r="E298" s="261"/>
      <c r="F298" s="261"/>
      <c r="G298" s="261"/>
      <c r="H298" s="261"/>
      <c r="I298" s="261"/>
      <c r="J298" s="261"/>
      <c r="K298" s="261"/>
      <c r="L298" s="262"/>
    </row>
    <row r="299" spans="1:18" x14ac:dyDescent="0.25">
      <c r="B299" s="53"/>
      <c r="C299" s="53"/>
      <c r="D299" s="18"/>
      <c r="E299" s="5"/>
      <c r="F299" s="6"/>
      <c r="G299" s="5"/>
      <c r="H299" s="53"/>
      <c r="I299" s="122"/>
    </row>
    <row r="300" spans="1:18" x14ac:dyDescent="0.25">
      <c r="B300" s="53"/>
      <c r="C300" s="53"/>
      <c r="D300" s="18"/>
      <c r="E300" s="5"/>
      <c r="F300" s="6"/>
      <c r="G300" s="5"/>
      <c r="H300" s="53"/>
      <c r="I300" s="122"/>
    </row>
    <row r="301" spans="1:18" x14ac:dyDescent="0.25">
      <c r="B301" s="269"/>
      <c r="C301" s="269"/>
      <c r="D301" s="269"/>
      <c r="E301" s="5"/>
      <c r="F301" s="6"/>
      <c r="G301" s="5"/>
      <c r="H301" s="269"/>
      <c r="I301" s="269"/>
      <c r="J301" s="269"/>
      <c r="K301" s="269"/>
    </row>
    <row r="302" spans="1:18" x14ac:dyDescent="0.25">
      <c r="B302" s="5" t="s">
        <v>41</v>
      </c>
      <c r="C302" s="270"/>
      <c r="D302" s="270"/>
      <c r="E302" s="5"/>
      <c r="F302" s="6"/>
      <c r="G302" s="5"/>
      <c r="H302" s="5" t="s">
        <v>42</v>
      </c>
      <c r="I302" s="270" t="s">
        <v>222</v>
      </c>
      <c r="J302" s="270"/>
      <c r="K302" s="270"/>
    </row>
  </sheetData>
  <sheetProtection formatCells="0" formatColumns="0" formatRows="0" insertColumns="0" insertRows="0" insertHyperlinks="0" deleteColumns="0" deleteRows="0" sort="0" autoFilter="0" pivotTables="0"/>
  <autoFilter ref="B12:L270"/>
  <mergeCells count="63">
    <mergeCell ref="B296:L296"/>
    <mergeCell ref="D297:L298"/>
    <mergeCell ref="B301:D301"/>
    <mergeCell ref="H301:K301"/>
    <mergeCell ref="C302:D302"/>
    <mergeCell ref="I302:K302"/>
    <mergeCell ref="B284:L284"/>
    <mergeCell ref="D285:L286"/>
    <mergeCell ref="B289:D289"/>
    <mergeCell ref="H289:K289"/>
    <mergeCell ref="C290:D290"/>
    <mergeCell ref="I290:K290"/>
    <mergeCell ref="B282:L283"/>
    <mergeCell ref="E246:E251"/>
    <mergeCell ref="E252:E259"/>
    <mergeCell ref="E260:E268"/>
    <mergeCell ref="H269:J269"/>
    <mergeCell ref="K269:L269"/>
    <mergeCell ref="B272:C276"/>
    <mergeCell ref="D272:L272"/>
    <mergeCell ref="D273:L273"/>
    <mergeCell ref="D274:L274"/>
    <mergeCell ref="D275:L275"/>
    <mergeCell ref="D276:L276"/>
    <mergeCell ref="B277:L278"/>
    <mergeCell ref="B279:L279"/>
    <mergeCell ref="D280:L281"/>
    <mergeCell ref="E240:E245"/>
    <mergeCell ref="E146:E156"/>
    <mergeCell ref="E157:E166"/>
    <mergeCell ref="E167:E176"/>
    <mergeCell ref="E177:E181"/>
    <mergeCell ref="E182:E190"/>
    <mergeCell ref="E191:E198"/>
    <mergeCell ref="E199:E206"/>
    <mergeCell ref="E207:E212"/>
    <mergeCell ref="E213:E221"/>
    <mergeCell ref="E222:E230"/>
    <mergeCell ref="E231:E239"/>
    <mergeCell ref="E134:E145"/>
    <mergeCell ref="E30:E38"/>
    <mergeCell ref="E39:E46"/>
    <mergeCell ref="E47:E55"/>
    <mergeCell ref="E56:E64"/>
    <mergeCell ref="E65:E73"/>
    <mergeCell ref="E74:E82"/>
    <mergeCell ref="E83:E91"/>
    <mergeCell ref="E92:E102"/>
    <mergeCell ref="E103:E113"/>
    <mergeCell ref="E114:E122"/>
    <mergeCell ref="E123:E133"/>
    <mergeCell ref="E21:E29"/>
    <mergeCell ref="B2:L2"/>
    <mergeCell ref="B3:D3"/>
    <mergeCell ref="F3:I3"/>
    <mergeCell ref="J3:L3"/>
    <mergeCell ref="B5:C5"/>
    <mergeCell ref="B7:C7"/>
    <mergeCell ref="B9:C9"/>
    <mergeCell ref="B11:H11"/>
    <mergeCell ref="I11:J11"/>
    <mergeCell ref="K11:L11"/>
    <mergeCell ref="E13:E20"/>
  </mergeCells>
  <conditionalFormatting sqref="L13:L268">
    <cfRule type="cellIs" dxfId="13" priority="1" operator="equal">
      <formula>1</formula>
    </cfRule>
    <cfRule type="cellIs" dxfId="12" priority="2" operator="greaterThan">
      <formula>1</formula>
    </cfRule>
  </conditionalFormatting>
  <dataValidations count="3">
    <dataValidation type="list" allowBlank="1" showInputMessage="1" showErrorMessage="1" sqref="D7">
      <formula1>$A$284:$A$295</formula1>
    </dataValidation>
    <dataValidation type="whole" allowBlank="1" showInputMessage="1" showErrorMessage="1" errorTitle="¡Error!" error="Introduzca un número válido." promptTitle="¡Atención!" prompt="Introduzca un número entre 0 y 366" sqref="H271 H13:H268">
      <formula1>0</formula1>
      <formula2>366</formula2>
    </dataValidation>
    <dataValidation type="whole" allowBlank="1" showInputMessage="1" showErrorMessage="1" errorTitle="¡Error!" error="Introduzca un número válido." promptTitle="¡Atención!" prompt="Introduzca un número entre 0 y 30" sqref="I13:I268">
      <formula1>0</formula1>
      <formula2>30</formula2>
    </dataValidation>
  </dataValidations>
  <pageMargins left="0.7" right="0.7" top="0.75" bottom="0.75" header="0.3" footer="0.3"/>
  <pageSetup scale="12"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02"/>
  <sheetViews>
    <sheetView showGridLines="0" view="pageBreakPreview" topLeftCell="A212" zoomScaleNormal="100" zoomScaleSheetLayoutView="100" workbookViewId="0">
      <selection activeCell="L222" sqref="L222:L229"/>
    </sheetView>
  </sheetViews>
  <sheetFormatPr baseColWidth="10" defaultColWidth="8.5703125" defaultRowHeight="15" x14ac:dyDescent="0.25"/>
  <cols>
    <col min="1" max="1" width="7.42578125" style="8" customWidth="1"/>
    <col min="2" max="2" width="15.5703125" style="5" customWidth="1"/>
    <col min="3" max="3" width="8.5703125" style="5" customWidth="1"/>
    <col min="4" max="4" width="43.42578125" style="6" customWidth="1"/>
    <col min="5" max="5" width="16.85546875" style="6" bestFit="1" customWidth="1"/>
    <col min="6" max="6" width="31" style="7" customWidth="1"/>
    <col min="7" max="7" width="30.140625" style="6" customWidth="1"/>
    <col min="8" max="8" width="13.5703125" style="6" customWidth="1"/>
    <col min="9" max="9" width="13.42578125" style="6" customWidth="1"/>
    <col min="10" max="10" width="10.42578125" style="6" customWidth="1"/>
    <col min="11" max="12" width="12.42578125" style="6" customWidth="1"/>
    <col min="13" max="13" width="6.5703125" style="8" customWidth="1"/>
    <col min="14" max="14" width="16.42578125" style="8" customWidth="1"/>
    <col min="16" max="16" width="16.42578125" style="8" customWidth="1"/>
    <col min="17" max="17" width="0" hidden="1" customWidth="1"/>
    <col min="18" max="18" width="16.42578125" style="8" customWidth="1"/>
    <col min="19" max="16384" width="8.5703125" style="8"/>
  </cols>
  <sheetData>
    <row r="1" spans="2:17" x14ac:dyDescent="0.25">
      <c r="Q1" t="s">
        <v>0</v>
      </c>
    </row>
    <row r="2" spans="2:17" ht="49.5" customHeight="1" x14ac:dyDescent="0.25">
      <c r="B2" s="221" t="s">
        <v>1</v>
      </c>
      <c r="C2" s="221"/>
      <c r="D2" s="221"/>
      <c r="E2" s="221"/>
      <c r="F2" s="221"/>
      <c r="G2" s="221"/>
      <c r="H2" s="221"/>
      <c r="I2" s="221"/>
      <c r="J2" s="221"/>
      <c r="K2" s="221"/>
      <c r="L2" s="221"/>
      <c r="Q2" t="s">
        <v>2</v>
      </c>
    </row>
    <row r="3" spans="2:17" ht="18.75" customHeight="1" x14ac:dyDescent="0.25">
      <c r="B3" s="222" t="s">
        <v>3</v>
      </c>
      <c r="C3" s="223"/>
      <c r="D3" s="223"/>
      <c r="E3" s="58"/>
      <c r="F3" s="223" t="s">
        <v>4</v>
      </c>
      <c r="G3" s="223"/>
      <c r="H3" s="223"/>
      <c r="I3" s="223"/>
      <c r="J3" s="223" t="s">
        <v>5</v>
      </c>
      <c r="K3" s="223"/>
      <c r="L3" s="224"/>
    </row>
    <row r="4" spans="2:17" x14ac:dyDescent="0.25">
      <c r="B4" s="9"/>
      <c r="C4" s="57"/>
      <c r="L4" s="10"/>
      <c r="Q4" t="s">
        <v>6</v>
      </c>
    </row>
    <row r="5" spans="2:17" s="16" customFormat="1" ht="27.6" customHeight="1" x14ac:dyDescent="0.25">
      <c r="B5" s="225" t="s">
        <v>7</v>
      </c>
      <c r="C5" s="225"/>
      <c r="D5" s="11">
        <v>90141005</v>
      </c>
      <c r="E5"/>
      <c r="F5" s="12"/>
      <c r="G5" s="13"/>
      <c r="H5" s="14"/>
      <c r="I5" s="14"/>
      <c r="J5" s="14"/>
      <c r="K5" s="14"/>
      <c r="L5" s="15"/>
      <c r="O5"/>
      <c r="Q5" t="s">
        <v>8</v>
      </c>
    </row>
    <row r="6" spans="2:17" s="16" customFormat="1" x14ac:dyDescent="0.25">
      <c r="B6" s="17"/>
      <c r="C6" s="5"/>
      <c r="D6" s="14"/>
      <c r="E6"/>
      <c r="F6" s="18"/>
      <c r="G6" s="14"/>
      <c r="H6" s="14"/>
      <c r="I6" s="14"/>
      <c r="J6" s="14"/>
      <c r="K6" s="14"/>
      <c r="L6" s="15"/>
      <c r="O6"/>
      <c r="Q6" t="s">
        <v>11</v>
      </c>
    </row>
    <row r="7" spans="2:17" s="16" customFormat="1" x14ac:dyDescent="0.25">
      <c r="B7" s="225" t="s">
        <v>12</v>
      </c>
      <c r="C7" s="225"/>
      <c r="D7" s="19" t="s">
        <v>16</v>
      </c>
      <c r="E7"/>
      <c r="F7" s="20"/>
      <c r="G7" s="21"/>
      <c r="H7" s="14"/>
      <c r="I7" s="14"/>
      <c r="J7" s="14"/>
      <c r="K7" s="14"/>
      <c r="L7" s="15"/>
      <c r="O7"/>
      <c r="Q7" t="s">
        <v>13</v>
      </c>
    </row>
    <row r="8" spans="2:17" s="16" customFormat="1" x14ac:dyDescent="0.25">
      <c r="B8" s="22"/>
      <c r="C8" s="23"/>
      <c r="D8" s="24"/>
      <c r="E8"/>
      <c r="F8" s="20"/>
      <c r="G8" s="21"/>
      <c r="H8" s="14"/>
      <c r="I8" s="14"/>
      <c r="J8" s="14"/>
      <c r="K8" s="14"/>
      <c r="L8" s="15"/>
      <c r="O8"/>
      <c r="Q8" t="s">
        <v>14</v>
      </c>
    </row>
    <row r="9" spans="2:17" s="16" customFormat="1" x14ac:dyDescent="0.25">
      <c r="B9" s="225" t="s">
        <v>15</v>
      </c>
      <c r="C9" s="225"/>
      <c r="D9" s="25">
        <v>45930</v>
      </c>
      <c r="E9"/>
      <c r="F9" s="26"/>
      <c r="G9" s="27"/>
      <c r="H9" s="14"/>
      <c r="I9" s="14"/>
      <c r="J9" s="14"/>
      <c r="K9" s="14"/>
      <c r="L9" s="15"/>
      <c r="O9"/>
      <c r="Q9" t="s">
        <v>16</v>
      </c>
    </row>
    <row r="10" spans="2:17" x14ac:dyDescent="0.25">
      <c r="B10" s="28"/>
      <c r="C10" s="29"/>
      <c r="L10" s="30"/>
      <c r="Q10" t="s">
        <v>17</v>
      </c>
    </row>
    <row r="11" spans="2:17" s="31" customFormat="1" ht="26.85" customHeight="1" x14ac:dyDescent="0.25">
      <c r="B11" s="225" t="s">
        <v>18</v>
      </c>
      <c r="C11" s="225"/>
      <c r="D11" s="225"/>
      <c r="E11" s="225"/>
      <c r="F11" s="225"/>
      <c r="G11" s="225"/>
      <c r="H11" s="225"/>
      <c r="I11" s="225" t="s">
        <v>19</v>
      </c>
      <c r="J11" s="225"/>
      <c r="K11" s="225" t="s">
        <v>20</v>
      </c>
      <c r="L11" s="225"/>
      <c r="O11" s="32"/>
      <c r="Q11" s="32" t="s">
        <v>21</v>
      </c>
    </row>
    <row r="12" spans="2:17" s="31" customFormat="1" ht="57.6" customHeight="1" x14ac:dyDescent="0.25">
      <c r="B12" s="33" t="s">
        <v>22</v>
      </c>
      <c r="C12" s="33" t="s">
        <v>23</v>
      </c>
      <c r="D12" s="33" t="s">
        <v>24</v>
      </c>
      <c r="E12" s="33" t="s">
        <v>72</v>
      </c>
      <c r="F12" s="34" t="s">
        <v>25</v>
      </c>
      <c r="G12" s="33" t="s">
        <v>26</v>
      </c>
      <c r="H12" s="33" t="s">
        <v>27</v>
      </c>
      <c r="I12" s="33" t="s">
        <v>28</v>
      </c>
      <c r="J12" s="33" t="s">
        <v>29</v>
      </c>
      <c r="K12" s="33" t="s">
        <v>30</v>
      </c>
      <c r="L12" s="33" t="s">
        <v>29</v>
      </c>
      <c r="O12" s="32"/>
      <c r="Q12" s="32" t="s">
        <v>31</v>
      </c>
    </row>
    <row r="13" spans="2:17" x14ac:dyDescent="0.25">
      <c r="B13" s="35">
        <v>3</v>
      </c>
      <c r="C13" s="36" t="s">
        <v>43</v>
      </c>
      <c r="D13" s="37" t="s">
        <v>44</v>
      </c>
      <c r="E13" s="218" t="s">
        <v>73</v>
      </c>
      <c r="F13" s="59" t="s">
        <v>64</v>
      </c>
      <c r="G13" s="60" t="s">
        <v>172</v>
      </c>
      <c r="H13" s="89">
        <v>33</v>
      </c>
      <c r="I13" s="89">
        <v>0</v>
      </c>
      <c r="J13" s="67">
        <f>IFERROR(I13/H13,0)</f>
        <v>0</v>
      </c>
      <c r="K13" s="93">
        <f>+I13+'AGOSTO 2025'!K13</f>
        <v>30</v>
      </c>
      <c r="L13" s="92">
        <f>IFERROR(K13/H13,0)</f>
        <v>0.90909090909090906</v>
      </c>
    </row>
    <row r="14" spans="2:17" x14ac:dyDescent="0.25">
      <c r="B14" s="38">
        <v>3</v>
      </c>
      <c r="C14" s="39" t="s">
        <v>46</v>
      </c>
      <c r="D14" s="40" t="s">
        <v>47</v>
      </c>
      <c r="E14" s="219"/>
      <c r="F14" s="61" t="s">
        <v>66</v>
      </c>
      <c r="G14" s="63" t="s">
        <v>67</v>
      </c>
      <c r="H14" s="2">
        <v>39</v>
      </c>
      <c r="I14" s="3">
        <v>5</v>
      </c>
      <c r="J14" s="69">
        <f>IFERROR(I14/H14,0)</f>
        <v>0.12820512820512819</v>
      </c>
      <c r="K14" s="90">
        <f>+I14+'AGOSTO 2025'!K14</f>
        <v>19</v>
      </c>
      <c r="L14" s="94">
        <f>IFERROR(K14/H14,0)</f>
        <v>0.48717948717948717</v>
      </c>
    </row>
    <row r="15" spans="2:17" x14ac:dyDescent="0.25">
      <c r="B15" s="38">
        <v>3</v>
      </c>
      <c r="C15" s="39" t="s">
        <v>49</v>
      </c>
      <c r="D15" s="40" t="s">
        <v>50</v>
      </c>
      <c r="E15" s="219"/>
      <c r="F15" s="61" t="s">
        <v>68</v>
      </c>
      <c r="G15" s="62" t="s">
        <v>172</v>
      </c>
      <c r="H15" s="3">
        <v>33</v>
      </c>
      <c r="I15" s="4">
        <v>0</v>
      </c>
      <c r="J15" s="69">
        <f t="shared" ref="J15:J78" si="0">IFERROR(I15/H15,0)</f>
        <v>0</v>
      </c>
      <c r="K15" s="90">
        <f>+I15+'AGOSTO 2025'!K15</f>
        <v>20</v>
      </c>
      <c r="L15" s="94">
        <f t="shared" ref="L15:L78" si="1">IFERROR(K15/H15,0)</f>
        <v>0.60606060606060608</v>
      </c>
    </row>
    <row r="16" spans="2:17" x14ac:dyDescent="0.25">
      <c r="B16" s="38">
        <v>3</v>
      </c>
      <c r="C16" s="39" t="s">
        <v>52</v>
      </c>
      <c r="D16" s="40" t="s">
        <v>53</v>
      </c>
      <c r="E16" s="219"/>
      <c r="F16" s="61" t="s">
        <v>54</v>
      </c>
      <c r="G16" s="62" t="s">
        <v>65</v>
      </c>
      <c r="H16" s="3">
        <v>33</v>
      </c>
      <c r="I16" s="3">
        <v>5</v>
      </c>
      <c r="J16" s="69">
        <f t="shared" si="0"/>
        <v>0.15151515151515152</v>
      </c>
      <c r="K16" s="90">
        <f>+I16+'AGOSTO 2025'!K16</f>
        <v>21</v>
      </c>
      <c r="L16" s="94">
        <f t="shared" si="1"/>
        <v>0.63636363636363635</v>
      </c>
    </row>
    <row r="17" spans="2:17" s="16" customFormat="1" x14ac:dyDescent="0.25">
      <c r="B17" s="38">
        <v>3</v>
      </c>
      <c r="C17" s="39" t="s">
        <v>55</v>
      </c>
      <c r="D17" s="40" t="s">
        <v>56</v>
      </c>
      <c r="E17" s="219"/>
      <c r="F17" s="61" t="s">
        <v>69</v>
      </c>
      <c r="G17" s="62" t="s">
        <v>65</v>
      </c>
      <c r="H17" s="3">
        <v>33</v>
      </c>
      <c r="I17" s="3">
        <v>5</v>
      </c>
      <c r="J17" s="69">
        <f t="shared" si="0"/>
        <v>0.15151515151515152</v>
      </c>
      <c r="K17" s="90">
        <f>+I17+'AGOSTO 2025'!K17</f>
        <v>25</v>
      </c>
      <c r="L17" s="94">
        <f t="shared" si="1"/>
        <v>0.75757575757575757</v>
      </c>
      <c r="O17" s="41"/>
      <c r="Q17" s="41"/>
    </row>
    <row r="18" spans="2:17" x14ac:dyDescent="0.25">
      <c r="B18" s="38">
        <v>5</v>
      </c>
      <c r="C18" s="39" t="s">
        <v>57</v>
      </c>
      <c r="D18" s="40" t="s">
        <v>58</v>
      </c>
      <c r="E18" s="219"/>
      <c r="F18" s="61" t="s">
        <v>54</v>
      </c>
      <c r="G18" s="62" t="s">
        <v>203</v>
      </c>
      <c r="H18" s="3">
        <v>33</v>
      </c>
      <c r="I18" s="3">
        <v>5</v>
      </c>
      <c r="J18" s="69">
        <f t="shared" si="0"/>
        <v>0.15151515151515152</v>
      </c>
      <c r="K18" s="90">
        <f>+I18+'AGOSTO 2025'!K18</f>
        <v>23</v>
      </c>
      <c r="L18" s="94">
        <f t="shared" si="1"/>
        <v>0.69696969696969702</v>
      </c>
    </row>
    <row r="19" spans="2:17" x14ac:dyDescent="0.25">
      <c r="B19" s="38">
        <v>5</v>
      </c>
      <c r="C19" s="39" t="s">
        <v>59</v>
      </c>
      <c r="D19" s="40" t="s">
        <v>60</v>
      </c>
      <c r="E19" s="219"/>
      <c r="F19" s="61" t="s">
        <v>70</v>
      </c>
      <c r="G19" s="62" t="s">
        <v>204</v>
      </c>
      <c r="H19" s="3">
        <v>33</v>
      </c>
      <c r="I19" s="3">
        <v>5</v>
      </c>
      <c r="J19" s="69">
        <f t="shared" si="0"/>
        <v>0.15151515151515152</v>
      </c>
      <c r="K19" s="90">
        <f>+I19+'AGOSTO 2025'!K19</f>
        <v>24</v>
      </c>
      <c r="L19" s="94">
        <f t="shared" si="1"/>
        <v>0.72727272727272729</v>
      </c>
    </row>
    <row r="20" spans="2:17" x14ac:dyDescent="0.25">
      <c r="B20" s="42">
        <v>8</v>
      </c>
      <c r="C20" s="43" t="s">
        <v>61</v>
      </c>
      <c r="D20" s="44" t="s">
        <v>62</v>
      </c>
      <c r="E20" s="220"/>
      <c r="F20" s="64" t="s">
        <v>63</v>
      </c>
      <c r="G20" s="65" t="s">
        <v>71</v>
      </c>
      <c r="H20" s="97">
        <v>33</v>
      </c>
      <c r="I20" s="97">
        <v>5</v>
      </c>
      <c r="J20" s="72">
        <f t="shared" si="0"/>
        <v>0.15151515151515152</v>
      </c>
      <c r="K20" s="91">
        <f>+I20+'AGOSTO 2025'!K20</f>
        <v>18</v>
      </c>
      <c r="L20" s="96">
        <f t="shared" si="1"/>
        <v>0.54545454545454541</v>
      </c>
    </row>
    <row r="21" spans="2:17" x14ac:dyDescent="0.25">
      <c r="B21" s="35">
        <v>3</v>
      </c>
      <c r="C21" s="36" t="s">
        <v>43</v>
      </c>
      <c r="D21" s="37" t="s">
        <v>44</v>
      </c>
      <c r="E21" s="218" t="s">
        <v>100</v>
      </c>
      <c r="F21" s="59" t="s">
        <v>1176</v>
      </c>
      <c r="G21" s="60" t="s">
        <v>1177</v>
      </c>
      <c r="H21" s="89">
        <v>30</v>
      </c>
      <c r="I21" s="89">
        <v>5</v>
      </c>
      <c r="J21" s="69">
        <f t="shared" si="0"/>
        <v>0.16666666666666666</v>
      </c>
      <c r="K21" s="103">
        <f>+I21+'AGOSTO 2025'!K21</f>
        <v>22</v>
      </c>
      <c r="L21" s="94">
        <f t="shared" si="1"/>
        <v>0.73333333333333328</v>
      </c>
      <c r="N21"/>
      <c r="O21" s="8"/>
      <c r="P21"/>
      <c r="Q21" s="8"/>
    </row>
    <row r="22" spans="2:17" x14ac:dyDescent="0.25">
      <c r="B22" s="38">
        <v>3</v>
      </c>
      <c r="C22" s="39" t="s">
        <v>46</v>
      </c>
      <c r="D22" s="40" t="s">
        <v>47</v>
      </c>
      <c r="E22" s="219"/>
      <c r="F22" s="61" t="s">
        <v>1178</v>
      </c>
      <c r="G22" s="62" t="s">
        <v>1179</v>
      </c>
      <c r="H22" s="2">
        <v>30</v>
      </c>
      <c r="I22" s="3">
        <v>1</v>
      </c>
      <c r="J22" s="69">
        <f t="shared" si="0"/>
        <v>3.3333333333333333E-2</v>
      </c>
      <c r="K22" s="90">
        <f>+I22+'AGOSTO 2025'!K22</f>
        <v>18</v>
      </c>
      <c r="L22" s="94">
        <f t="shared" si="1"/>
        <v>0.6</v>
      </c>
      <c r="N22"/>
      <c r="O22" s="8"/>
      <c r="P22"/>
      <c r="Q22" s="8"/>
    </row>
    <row r="23" spans="2:17" x14ac:dyDescent="0.25">
      <c r="B23" s="38">
        <v>3</v>
      </c>
      <c r="C23" s="39" t="s">
        <v>98</v>
      </c>
      <c r="D23" s="40" t="s">
        <v>99</v>
      </c>
      <c r="E23" s="219"/>
      <c r="F23" s="61" t="s">
        <v>1180</v>
      </c>
      <c r="G23" s="63" t="s">
        <v>1181</v>
      </c>
      <c r="H23" s="3">
        <v>30</v>
      </c>
      <c r="I23" s="4">
        <v>3</v>
      </c>
      <c r="J23" s="69">
        <f t="shared" si="0"/>
        <v>0.1</v>
      </c>
      <c r="K23" s="90">
        <f>+I23+'AGOSTO 2025'!K23</f>
        <v>20</v>
      </c>
      <c r="L23" s="94">
        <f t="shared" si="1"/>
        <v>0.66666666666666663</v>
      </c>
      <c r="N23"/>
      <c r="O23" s="8"/>
      <c r="P23"/>
      <c r="Q23" s="8"/>
    </row>
    <row r="24" spans="2:17" x14ac:dyDescent="0.25">
      <c r="B24" s="38">
        <v>3</v>
      </c>
      <c r="C24" s="39" t="s">
        <v>49</v>
      </c>
      <c r="D24" s="40" t="s">
        <v>50</v>
      </c>
      <c r="E24" s="219"/>
      <c r="F24" s="61" t="s">
        <v>1182</v>
      </c>
      <c r="G24" s="62" t="s">
        <v>1183</v>
      </c>
      <c r="H24" s="3">
        <v>30</v>
      </c>
      <c r="I24" s="3">
        <v>3</v>
      </c>
      <c r="J24" s="69">
        <f t="shared" si="0"/>
        <v>0.1</v>
      </c>
      <c r="K24" s="90">
        <f>+I24+'AGOSTO 2025'!K24</f>
        <v>19</v>
      </c>
      <c r="L24" s="94">
        <f t="shared" si="1"/>
        <v>0.6333333333333333</v>
      </c>
      <c r="N24"/>
      <c r="O24" s="8"/>
      <c r="P24"/>
      <c r="Q24" s="8"/>
    </row>
    <row r="25" spans="2:17" x14ac:dyDescent="0.25">
      <c r="B25" s="38">
        <v>3</v>
      </c>
      <c r="C25" s="39" t="s">
        <v>52</v>
      </c>
      <c r="D25" s="40" t="s">
        <v>53</v>
      </c>
      <c r="E25" s="219"/>
      <c r="F25" s="61" t="s">
        <v>1184</v>
      </c>
      <c r="G25" s="62" t="s">
        <v>1185</v>
      </c>
      <c r="H25" s="3">
        <v>30</v>
      </c>
      <c r="I25" s="3">
        <v>3</v>
      </c>
      <c r="J25" s="69">
        <f t="shared" si="0"/>
        <v>0.1</v>
      </c>
      <c r="K25" s="90">
        <f>+I25+'AGOSTO 2025'!K25</f>
        <v>20</v>
      </c>
      <c r="L25" s="94">
        <f t="shared" si="1"/>
        <v>0.66666666666666663</v>
      </c>
      <c r="N25"/>
      <c r="O25" s="8"/>
      <c r="P25"/>
      <c r="Q25" s="8"/>
    </row>
    <row r="26" spans="2:17" s="16" customFormat="1" x14ac:dyDescent="0.25">
      <c r="B26" s="38">
        <v>3</v>
      </c>
      <c r="C26" s="39" t="s">
        <v>55</v>
      </c>
      <c r="D26" s="40" t="s">
        <v>56</v>
      </c>
      <c r="E26" s="219"/>
      <c r="F26" s="61" t="s">
        <v>1186</v>
      </c>
      <c r="G26" s="62" t="s">
        <v>1187</v>
      </c>
      <c r="H26" s="3">
        <v>30</v>
      </c>
      <c r="I26" s="3">
        <v>4</v>
      </c>
      <c r="J26" s="69">
        <f t="shared" si="0"/>
        <v>0.13333333333333333</v>
      </c>
      <c r="K26" s="90">
        <f>+I26+'AGOSTO 2025'!K26</f>
        <v>22</v>
      </c>
      <c r="L26" s="94">
        <f t="shared" si="1"/>
        <v>0.73333333333333328</v>
      </c>
      <c r="N26" s="41"/>
      <c r="P26" s="41"/>
    </row>
    <row r="27" spans="2:17" x14ac:dyDescent="0.25">
      <c r="B27" s="38">
        <v>5</v>
      </c>
      <c r="C27" s="39" t="s">
        <v>57</v>
      </c>
      <c r="D27" s="40" t="s">
        <v>58</v>
      </c>
      <c r="E27" s="219"/>
      <c r="F27" s="61" t="s">
        <v>1188</v>
      </c>
      <c r="G27" s="62" t="s">
        <v>1189</v>
      </c>
      <c r="H27" s="3">
        <v>30</v>
      </c>
      <c r="I27" s="3">
        <v>3</v>
      </c>
      <c r="J27" s="69">
        <f t="shared" si="0"/>
        <v>0.1</v>
      </c>
      <c r="K27" s="90">
        <f>+I27+'AGOSTO 2025'!K27</f>
        <v>19</v>
      </c>
      <c r="L27" s="94">
        <f t="shared" si="1"/>
        <v>0.6333333333333333</v>
      </c>
      <c r="N27"/>
      <c r="O27" s="8"/>
      <c r="P27"/>
      <c r="Q27" s="8"/>
    </row>
    <row r="28" spans="2:17" x14ac:dyDescent="0.25">
      <c r="B28" s="38">
        <v>5</v>
      </c>
      <c r="C28" s="39" t="s">
        <v>59</v>
      </c>
      <c r="D28" s="40" t="s">
        <v>60</v>
      </c>
      <c r="E28" s="219"/>
      <c r="F28" s="61" t="s">
        <v>1190</v>
      </c>
      <c r="G28" s="62" t="s">
        <v>1191</v>
      </c>
      <c r="H28" s="3">
        <v>30</v>
      </c>
      <c r="I28" s="3">
        <v>4</v>
      </c>
      <c r="J28" s="69">
        <f t="shared" si="0"/>
        <v>0.13333333333333333</v>
      </c>
      <c r="K28" s="90">
        <f>+I28+'AGOSTO 2025'!K28</f>
        <v>20</v>
      </c>
      <c r="L28" s="94">
        <f t="shared" si="1"/>
        <v>0.66666666666666663</v>
      </c>
      <c r="N28"/>
      <c r="O28" s="8"/>
      <c r="P28"/>
      <c r="Q28" s="8"/>
    </row>
    <row r="29" spans="2:17" x14ac:dyDescent="0.25">
      <c r="B29" s="42">
        <v>8</v>
      </c>
      <c r="C29" s="43" t="s">
        <v>61</v>
      </c>
      <c r="D29" s="44" t="s">
        <v>62</v>
      </c>
      <c r="E29" s="220"/>
      <c r="F29" s="64" t="s">
        <v>681</v>
      </c>
      <c r="G29" s="65" t="s">
        <v>1037</v>
      </c>
      <c r="H29" s="97">
        <v>30</v>
      </c>
      <c r="I29" s="97">
        <v>4</v>
      </c>
      <c r="J29" s="72">
        <f t="shared" si="0"/>
        <v>0.13333333333333333</v>
      </c>
      <c r="K29" s="91">
        <f>+I29+'AGOSTO 2025'!K29</f>
        <v>20</v>
      </c>
      <c r="L29" s="96">
        <f t="shared" si="1"/>
        <v>0.66666666666666663</v>
      </c>
      <c r="N29"/>
      <c r="O29" s="8"/>
      <c r="P29"/>
      <c r="Q29" s="8"/>
    </row>
    <row r="30" spans="2:17" x14ac:dyDescent="0.25">
      <c r="B30" s="35">
        <v>1</v>
      </c>
      <c r="C30" s="36" t="s">
        <v>74</v>
      </c>
      <c r="D30" s="37" t="s">
        <v>75</v>
      </c>
      <c r="E30" s="218" t="s">
        <v>97</v>
      </c>
      <c r="F30" s="59" t="s">
        <v>1205</v>
      </c>
      <c r="G30" s="60" t="s">
        <v>76</v>
      </c>
      <c r="H30" s="89">
        <v>55</v>
      </c>
      <c r="I30" s="89">
        <v>7</v>
      </c>
      <c r="J30" s="69">
        <f t="shared" si="0"/>
        <v>0.12727272727272726</v>
      </c>
      <c r="K30" s="103">
        <f>+I30+'AGOSTO 2025'!K30</f>
        <v>36</v>
      </c>
      <c r="L30" s="94">
        <f t="shared" si="1"/>
        <v>0.65454545454545454</v>
      </c>
      <c r="N30"/>
      <c r="O30" s="8"/>
      <c r="P30"/>
      <c r="Q30" s="8"/>
    </row>
    <row r="31" spans="2:17" x14ac:dyDescent="0.25">
      <c r="B31" s="38">
        <v>1</v>
      </c>
      <c r="C31" s="39" t="s">
        <v>77</v>
      </c>
      <c r="D31" s="40" t="s">
        <v>78</v>
      </c>
      <c r="E31" s="219"/>
      <c r="F31" s="61" t="s">
        <v>1198</v>
      </c>
      <c r="G31" s="76" t="s">
        <v>1199</v>
      </c>
      <c r="H31" s="2">
        <v>20</v>
      </c>
      <c r="I31" s="3">
        <v>2</v>
      </c>
      <c r="J31" s="69">
        <f t="shared" si="0"/>
        <v>0.1</v>
      </c>
      <c r="K31" s="90">
        <f>+I31+'AGOSTO 2025'!K31</f>
        <v>13</v>
      </c>
      <c r="L31" s="94">
        <f t="shared" si="1"/>
        <v>0.65</v>
      </c>
      <c r="N31"/>
      <c r="O31" s="8"/>
      <c r="P31"/>
      <c r="Q31" s="8"/>
    </row>
    <row r="32" spans="2:17" x14ac:dyDescent="0.25">
      <c r="B32" s="38">
        <v>1</v>
      </c>
      <c r="C32" s="39" t="s">
        <v>79</v>
      </c>
      <c r="D32" s="40" t="s">
        <v>80</v>
      </c>
      <c r="E32" s="219"/>
      <c r="F32" s="61" t="s">
        <v>1200</v>
      </c>
      <c r="G32" s="62" t="s">
        <v>81</v>
      </c>
      <c r="H32" s="3">
        <v>30</v>
      </c>
      <c r="I32" s="4">
        <v>2</v>
      </c>
      <c r="J32" s="69">
        <f t="shared" si="0"/>
        <v>6.6666666666666666E-2</v>
      </c>
      <c r="K32" s="90">
        <f>+I32+'AGOSTO 2025'!K32</f>
        <v>19</v>
      </c>
      <c r="L32" s="94">
        <f t="shared" si="1"/>
        <v>0.6333333333333333</v>
      </c>
      <c r="N32"/>
      <c r="O32" s="8"/>
      <c r="P32"/>
      <c r="Q32" s="8"/>
    </row>
    <row r="33" spans="2:17" x14ac:dyDescent="0.25">
      <c r="B33" s="38">
        <v>1</v>
      </c>
      <c r="C33" s="39" t="s">
        <v>82</v>
      </c>
      <c r="D33" s="40" t="s">
        <v>83</v>
      </c>
      <c r="E33" s="219"/>
      <c r="F33" s="61" t="s">
        <v>897</v>
      </c>
      <c r="G33" s="62" t="s">
        <v>81</v>
      </c>
      <c r="H33" s="3">
        <v>25</v>
      </c>
      <c r="I33" s="3">
        <v>2</v>
      </c>
      <c r="J33" s="69">
        <f t="shared" si="0"/>
        <v>0.08</v>
      </c>
      <c r="K33" s="90">
        <f>+I33+'AGOSTO 2025'!K33</f>
        <v>17</v>
      </c>
      <c r="L33" s="94">
        <f t="shared" si="1"/>
        <v>0.68</v>
      </c>
      <c r="N33"/>
      <c r="O33" s="8"/>
      <c r="P33"/>
      <c r="Q33" s="8"/>
    </row>
    <row r="34" spans="2:17" x14ac:dyDescent="0.25">
      <c r="B34" s="38">
        <v>1</v>
      </c>
      <c r="C34" s="39" t="s">
        <v>84</v>
      </c>
      <c r="D34" s="40" t="s">
        <v>85</v>
      </c>
      <c r="E34" s="219"/>
      <c r="F34" s="61" t="s">
        <v>1201</v>
      </c>
      <c r="G34" s="76" t="s">
        <v>1199</v>
      </c>
      <c r="H34" s="3">
        <v>30</v>
      </c>
      <c r="I34" s="3">
        <v>3</v>
      </c>
      <c r="J34" s="69">
        <f t="shared" si="0"/>
        <v>0.1</v>
      </c>
      <c r="K34" s="90">
        <f>+I34+'AGOSTO 2025'!K34</f>
        <v>20</v>
      </c>
      <c r="L34" s="94">
        <f t="shared" si="1"/>
        <v>0.66666666666666663</v>
      </c>
      <c r="N34"/>
      <c r="O34" s="8"/>
      <c r="P34"/>
      <c r="Q34" s="8"/>
    </row>
    <row r="35" spans="2:17" s="16" customFormat="1" x14ac:dyDescent="0.25">
      <c r="B35" s="38">
        <v>1</v>
      </c>
      <c r="C35" s="39" t="s">
        <v>86</v>
      </c>
      <c r="D35" s="40" t="s">
        <v>87</v>
      </c>
      <c r="E35" s="219"/>
      <c r="F35" s="61" t="s">
        <v>1202</v>
      </c>
      <c r="G35" s="62" t="s">
        <v>88</v>
      </c>
      <c r="H35" s="3">
        <v>20</v>
      </c>
      <c r="I35" s="3">
        <v>3</v>
      </c>
      <c r="J35" s="69">
        <f t="shared" si="0"/>
        <v>0.15</v>
      </c>
      <c r="K35" s="90">
        <f>+I35+'AGOSTO 2025'!K35</f>
        <v>14</v>
      </c>
      <c r="L35" s="94">
        <f t="shared" si="1"/>
        <v>0.7</v>
      </c>
      <c r="N35" s="41"/>
      <c r="P35" s="41"/>
    </row>
    <row r="36" spans="2:17" x14ac:dyDescent="0.25">
      <c r="B36" s="38">
        <v>1</v>
      </c>
      <c r="C36" s="39" t="s">
        <v>89</v>
      </c>
      <c r="D36" s="40" t="s">
        <v>90</v>
      </c>
      <c r="E36" s="219"/>
      <c r="F36" s="61" t="s">
        <v>1203</v>
      </c>
      <c r="G36" s="62" t="s">
        <v>91</v>
      </c>
      <c r="H36" s="3">
        <v>20</v>
      </c>
      <c r="I36" s="3">
        <v>3</v>
      </c>
      <c r="J36" s="69">
        <f t="shared" si="0"/>
        <v>0.15</v>
      </c>
      <c r="K36" s="90">
        <f>+I36+'AGOSTO 2025'!K36</f>
        <v>14</v>
      </c>
      <c r="L36" s="94">
        <f t="shared" si="1"/>
        <v>0.7</v>
      </c>
      <c r="N36"/>
      <c r="O36" s="8"/>
      <c r="P36"/>
      <c r="Q36" s="8"/>
    </row>
    <row r="37" spans="2:17" x14ac:dyDescent="0.25">
      <c r="B37" s="38">
        <v>1</v>
      </c>
      <c r="C37" s="39" t="s">
        <v>92</v>
      </c>
      <c r="D37" s="40" t="s">
        <v>93</v>
      </c>
      <c r="E37" s="219"/>
      <c r="F37" s="61" t="s">
        <v>1204</v>
      </c>
      <c r="G37" s="62" t="s">
        <v>94</v>
      </c>
      <c r="H37" s="3">
        <v>50</v>
      </c>
      <c r="I37" s="3">
        <v>6</v>
      </c>
      <c r="J37" s="69">
        <f t="shared" si="0"/>
        <v>0.12</v>
      </c>
      <c r="K37" s="90">
        <f>+I37+'AGOSTO 2025'!K37</f>
        <v>34</v>
      </c>
      <c r="L37" s="94">
        <f t="shared" si="1"/>
        <v>0.68</v>
      </c>
      <c r="N37"/>
      <c r="O37" s="8"/>
      <c r="P37"/>
      <c r="Q37" s="8"/>
    </row>
    <row r="38" spans="2:17" x14ac:dyDescent="0.25">
      <c r="B38" s="42">
        <v>1</v>
      </c>
      <c r="C38" s="43" t="s">
        <v>95</v>
      </c>
      <c r="D38" s="44" t="s">
        <v>96</v>
      </c>
      <c r="E38" s="220"/>
      <c r="F38" s="64" t="s">
        <v>1050</v>
      </c>
      <c r="G38" s="65" t="s">
        <v>94</v>
      </c>
      <c r="H38" s="97">
        <v>20</v>
      </c>
      <c r="I38" s="97">
        <v>2</v>
      </c>
      <c r="J38" s="72">
        <f t="shared" si="0"/>
        <v>0.1</v>
      </c>
      <c r="K38" s="91">
        <f>+I38+'AGOSTO 2025'!K38</f>
        <v>13</v>
      </c>
      <c r="L38" s="96">
        <f t="shared" si="1"/>
        <v>0.65</v>
      </c>
      <c r="N38"/>
      <c r="O38" s="8"/>
      <c r="P38"/>
      <c r="Q38" s="8"/>
    </row>
    <row r="39" spans="2:17" x14ac:dyDescent="0.25">
      <c r="B39" s="35">
        <v>3</v>
      </c>
      <c r="C39" s="36" t="s">
        <v>43</v>
      </c>
      <c r="D39" s="37" t="s">
        <v>44</v>
      </c>
      <c r="E39" s="218" t="s">
        <v>103</v>
      </c>
      <c r="F39" s="59" t="s">
        <v>1222</v>
      </c>
      <c r="G39" s="60" t="s">
        <v>101</v>
      </c>
      <c r="H39" s="89">
        <v>35</v>
      </c>
      <c r="I39" s="89">
        <v>4</v>
      </c>
      <c r="J39" s="69">
        <f t="shared" si="0"/>
        <v>0.11428571428571428</v>
      </c>
      <c r="K39" s="103">
        <f>+I39+'AGOSTO 2025'!K39</f>
        <v>24</v>
      </c>
      <c r="L39" s="94">
        <f t="shared" si="1"/>
        <v>0.68571428571428572</v>
      </c>
      <c r="N39"/>
      <c r="O39" s="8"/>
      <c r="P39"/>
      <c r="Q39" s="8"/>
    </row>
    <row r="40" spans="2:17" x14ac:dyDescent="0.25">
      <c r="B40" s="38">
        <v>3</v>
      </c>
      <c r="C40" s="39" t="s">
        <v>46</v>
      </c>
      <c r="D40" s="40" t="s">
        <v>47</v>
      </c>
      <c r="E40" s="219"/>
      <c r="F40" s="61" t="s">
        <v>689</v>
      </c>
      <c r="G40" s="76" t="s">
        <v>101</v>
      </c>
      <c r="H40" s="2">
        <v>33</v>
      </c>
      <c r="I40" s="3">
        <v>3</v>
      </c>
      <c r="J40" s="69">
        <f t="shared" si="0"/>
        <v>9.0909090909090912E-2</v>
      </c>
      <c r="K40" s="90">
        <f>+I40+'AGOSTO 2025'!K40</f>
        <v>22</v>
      </c>
      <c r="L40" s="94">
        <f t="shared" si="1"/>
        <v>0.66666666666666663</v>
      </c>
      <c r="N40"/>
      <c r="O40" s="8"/>
      <c r="P40"/>
      <c r="Q40" s="8"/>
    </row>
    <row r="41" spans="2:17" x14ac:dyDescent="0.25">
      <c r="B41" s="38">
        <v>3</v>
      </c>
      <c r="C41" s="39" t="s">
        <v>49</v>
      </c>
      <c r="D41" s="40" t="s">
        <v>50</v>
      </c>
      <c r="E41" s="219"/>
      <c r="F41" s="61" t="s">
        <v>240</v>
      </c>
      <c r="G41" s="62" t="s">
        <v>101</v>
      </c>
      <c r="H41" s="3">
        <v>33</v>
      </c>
      <c r="I41" s="4">
        <v>3</v>
      </c>
      <c r="J41" s="69">
        <f t="shared" si="0"/>
        <v>9.0909090909090912E-2</v>
      </c>
      <c r="K41" s="90">
        <f>+I41+'AGOSTO 2025'!K41</f>
        <v>22</v>
      </c>
      <c r="L41" s="94">
        <f t="shared" si="1"/>
        <v>0.66666666666666663</v>
      </c>
      <c r="N41"/>
      <c r="O41" s="8"/>
      <c r="P41"/>
      <c r="Q41" s="8"/>
    </row>
    <row r="42" spans="2:17" x14ac:dyDescent="0.25">
      <c r="B42" s="38">
        <v>3</v>
      </c>
      <c r="C42" s="39" t="s">
        <v>52</v>
      </c>
      <c r="D42" s="40" t="s">
        <v>53</v>
      </c>
      <c r="E42" s="219"/>
      <c r="F42" s="61" t="s">
        <v>170</v>
      </c>
      <c r="G42" s="62" t="s">
        <v>101</v>
      </c>
      <c r="H42" s="3">
        <v>33</v>
      </c>
      <c r="I42" s="3">
        <v>4</v>
      </c>
      <c r="J42" s="69">
        <f t="shared" si="0"/>
        <v>0.12121212121212122</v>
      </c>
      <c r="K42" s="90">
        <f>+I42+'AGOSTO 2025'!K42</f>
        <v>22</v>
      </c>
      <c r="L42" s="94">
        <f t="shared" si="1"/>
        <v>0.66666666666666663</v>
      </c>
      <c r="N42"/>
      <c r="O42" s="8"/>
      <c r="P42"/>
      <c r="Q42" s="8"/>
    </row>
    <row r="43" spans="2:17" s="16" customFormat="1" x14ac:dyDescent="0.25">
      <c r="B43" s="38">
        <v>3</v>
      </c>
      <c r="C43" s="39" t="s">
        <v>55</v>
      </c>
      <c r="D43" s="40" t="s">
        <v>56</v>
      </c>
      <c r="E43" s="219"/>
      <c r="F43" s="61" t="s">
        <v>1223</v>
      </c>
      <c r="G43" s="76" t="s">
        <v>101</v>
      </c>
      <c r="H43" s="3">
        <v>35</v>
      </c>
      <c r="I43" s="3">
        <v>4</v>
      </c>
      <c r="J43" s="69">
        <f t="shared" si="0"/>
        <v>0.11428571428571428</v>
      </c>
      <c r="K43" s="90">
        <f>+I43+'AGOSTO 2025'!K43</f>
        <v>23</v>
      </c>
      <c r="L43" s="94">
        <f t="shared" si="1"/>
        <v>0.65714285714285714</v>
      </c>
      <c r="N43" s="41"/>
      <c r="P43" s="41"/>
    </row>
    <row r="44" spans="2:17" x14ac:dyDescent="0.25">
      <c r="B44" s="38">
        <v>5</v>
      </c>
      <c r="C44" s="39" t="s">
        <v>57</v>
      </c>
      <c r="D44" s="40" t="s">
        <v>58</v>
      </c>
      <c r="E44" s="219"/>
      <c r="F44" s="61" t="s">
        <v>241</v>
      </c>
      <c r="G44" s="62" t="s">
        <v>101</v>
      </c>
      <c r="H44" s="3">
        <v>33</v>
      </c>
      <c r="I44" s="3">
        <v>4</v>
      </c>
      <c r="J44" s="69">
        <f t="shared" si="0"/>
        <v>0.12121212121212122</v>
      </c>
      <c r="K44" s="90">
        <f>+I44+'AGOSTO 2025'!K44</f>
        <v>22</v>
      </c>
      <c r="L44" s="94">
        <f t="shared" si="1"/>
        <v>0.66666666666666663</v>
      </c>
      <c r="N44"/>
      <c r="O44" s="8"/>
      <c r="P44"/>
      <c r="Q44" s="8"/>
    </row>
    <row r="45" spans="2:17" x14ac:dyDescent="0.25">
      <c r="B45" s="38">
        <v>5</v>
      </c>
      <c r="C45" s="39" t="s">
        <v>59</v>
      </c>
      <c r="D45" s="40" t="s">
        <v>60</v>
      </c>
      <c r="E45" s="219"/>
      <c r="F45" s="61" t="s">
        <v>102</v>
      </c>
      <c r="G45" s="62" t="s">
        <v>101</v>
      </c>
      <c r="H45" s="3">
        <v>35</v>
      </c>
      <c r="I45" s="3">
        <v>4</v>
      </c>
      <c r="J45" s="69">
        <f t="shared" si="0"/>
        <v>0.11428571428571428</v>
      </c>
      <c r="K45" s="90">
        <f>+I45+'AGOSTO 2025'!K45</f>
        <v>23</v>
      </c>
      <c r="L45" s="94">
        <f t="shared" si="1"/>
        <v>0.65714285714285714</v>
      </c>
      <c r="N45"/>
      <c r="O45" s="8"/>
      <c r="P45"/>
      <c r="Q45" s="8"/>
    </row>
    <row r="46" spans="2:17" x14ac:dyDescent="0.25">
      <c r="B46" s="42">
        <v>8</v>
      </c>
      <c r="C46" s="43" t="s">
        <v>61</v>
      </c>
      <c r="D46" s="44" t="s">
        <v>62</v>
      </c>
      <c r="E46" s="220"/>
      <c r="F46" s="64" t="s">
        <v>212</v>
      </c>
      <c r="G46" s="62" t="s">
        <v>101</v>
      </c>
      <c r="H46" s="97">
        <v>33</v>
      </c>
      <c r="I46" s="97">
        <v>4</v>
      </c>
      <c r="J46" s="72">
        <f t="shared" si="0"/>
        <v>0.12121212121212122</v>
      </c>
      <c r="K46" s="91">
        <f>+I46+'AGOSTO 2025'!K46</f>
        <v>22</v>
      </c>
      <c r="L46" s="96">
        <f t="shared" si="1"/>
        <v>0.66666666666666663</v>
      </c>
      <c r="N46"/>
      <c r="O46" s="8"/>
      <c r="P46"/>
      <c r="Q46" s="8"/>
    </row>
    <row r="47" spans="2:17" x14ac:dyDescent="0.25">
      <c r="B47" s="35">
        <v>3</v>
      </c>
      <c r="C47" s="36" t="s">
        <v>43</v>
      </c>
      <c r="D47" s="37" t="s">
        <v>44</v>
      </c>
      <c r="E47" s="218" t="s">
        <v>108</v>
      </c>
      <c r="F47" s="59" t="s">
        <v>45</v>
      </c>
      <c r="G47" s="60" t="s">
        <v>104</v>
      </c>
      <c r="H47" s="89">
        <v>20</v>
      </c>
      <c r="I47" s="89">
        <v>5</v>
      </c>
      <c r="J47" s="69">
        <f t="shared" si="0"/>
        <v>0.25</v>
      </c>
      <c r="K47" s="103">
        <f>+I47+'AGOSTO 2025'!K47</f>
        <v>20</v>
      </c>
      <c r="L47" s="94">
        <f t="shared" si="1"/>
        <v>1</v>
      </c>
      <c r="N47"/>
      <c r="O47" s="8"/>
      <c r="P47"/>
      <c r="Q47" s="8"/>
    </row>
    <row r="48" spans="2:17" x14ac:dyDescent="0.25">
      <c r="B48" s="38">
        <v>3</v>
      </c>
      <c r="C48" s="39" t="s">
        <v>46</v>
      </c>
      <c r="D48" s="40" t="s">
        <v>47</v>
      </c>
      <c r="E48" s="219"/>
      <c r="F48" s="61" t="s">
        <v>48</v>
      </c>
      <c r="G48" s="62" t="s">
        <v>104</v>
      </c>
      <c r="H48" s="2">
        <v>20</v>
      </c>
      <c r="I48" s="3">
        <v>5</v>
      </c>
      <c r="J48" s="69">
        <f t="shared" si="0"/>
        <v>0.25</v>
      </c>
      <c r="K48" s="90">
        <f>+I48+'AGOSTO 2025'!K48</f>
        <v>20</v>
      </c>
      <c r="L48" s="94">
        <f t="shared" si="1"/>
        <v>1</v>
      </c>
      <c r="N48"/>
      <c r="O48" s="8"/>
      <c r="P48"/>
      <c r="Q48" s="8"/>
    </row>
    <row r="49" spans="2:17" x14ac:dyDescent="0.25">
      <c r="B49" s="38">
        <v>3</v>
      </c>
      <c r="C49" s="39" t="s">
        <v>98</v>
      </c>
      <c r="D49" s="40" t="s">
        <v>99</v>
      </c>
      <c r="E49" s="219"/>
      <c r="F49" s="61" t="s">
        <v>48</v>
      </c>
      <c r="G49" s="63" t="s">
        <v>172</v>
      </c>
      <c r="H49" s="3">
        <v>20</v>
      </c>
      <c r="I49" s="4">
        <v>0</v>
      </c>
      <c r="J49" s="69">
        <f t="shared" si="0"/>
        <v>0</v>
      </c>
      <c r="K49" s="90">
        <f>+I49+'AGOSTO 2025'!K49</f>
        <v>20</v>
      </c>
      <c r="L49" s="94">
        <f t="shared" si="1"/>
        <v>1</v>
      </c>
      <c r="N49"/>
      <c r="O49" s="8"/>
      <c r="P49"/>
      <c r="Q49" s="8"/>
    </row>
    <row r="50" spans="2:17" x14ac:dyDescent="0.25">
      <c r="B50" s="38">
        <v>3</v>
      </c>
      <c r="C50" s="39" t="s">
        <v>49</v>
      </c>
      <c r="D50" s="40" t="s">
        <v>50</v>
      </c>
      <c r="E50" s="219"/>
      <c r="F50" s="61" t="s">
        <v>51</v>
      </c>
      <c r="G50" s="63" t="s">
        <v>252</v>
      </c>
      <c r="H50" s="3">
        <v>20</v>
      </c>
      <c r="I50" s="3">
        <v>5</v>
      </c>
      <c r="J50" s="69">
        <f t="shared" si="0"/>
        <v>0.25</v>
      </c>
      <c r="K50" s="90">
        <f>+I50+'AGOSTO 2025'!K50</f>
        <v>20</v>
      </c>
      <c r="L50" s="94">
        <f t="shared" si="1"/>
        <v>1</v>
      </c>
      <c r="N50"/>
      <c r="O50" s="8"/>
      <c r="P50"/>
      <c r="Q50" s="8"/>
    </row>
    <row r="51" spans="2:17" x14ac:dyDescent="0.25">
      <c r="B51" s="38">
        <v>3</v>
      </c>
      <c r="C51" s="39" t="s">
        <v>52</v>
      </c>
      <c r="D51" s="40" t="s">
        <v>53</v>
      </c>
      <c r="E51" s="219"/>
      <c r="F51" s="61" t="s">
        <v>54</v>
      </c>
      <c r="G51" s="62" t="s">
        <v>172</v>
      </c>
      <c r="H51" s="3">
        <v>20</v>
      </c>
      <c r="I51" s="3">
        <v>0</v>
      </c>
      <c r="J51" s="69">
        <f t="shared" si="0"/>
        <v>0</v>
      </c>
      <c r="K51" s="90">
        <f>+I51+'AGOSTO 2025'!K51</f>
        <v>20</v>
      </c>
      <c r="L51" s="94">
        <f t="shared" si="1"/>
        <v>1</v>
      </c>
      <c r="N51"/>
      <c r="O51" s="8"/>
      <c r="P51"/>
      <c r="Q51" s="8"/>
    </row>
    <row r="52" spans="2:17" s="16" customFormat="1" x14ac:dyDescent="0.25">
      <c r="B52" s="38">
        <v>3</v>
      </c>
      <c r="C52" s="39" t="s">
        <v>55</v>
      </c>
      <c r="D52" s="40" t="s">
        <v>56</v>
      </c>
      <c r="E52" s="219"/>
      <c r="F52" s="61" t="s">
        <v>54</v>
      </c>
      <c r="G52" s="62" t="s">
        <v>105</v>
      </c>
      <c r="H52" s="3">
        <v>20</v>
      </c>
      <c r="I52" s="3">
        <v>5</v>
      </c>
      <c r="J52" s="69">
        <f t="shared" si="0"/>
        <v>0.25</v>
      </c>
      <c r="K52" s="90">
        <f>+I52+'AGOSTO 2025'!K52</f>
        <v>20</v>
      </c>
      <c r="L52" s="94">
        <f t="shared" si="1"/>
        <v>1</v>
      </c>
      <c r="N52" s="41"/>
      <c r="P52" s="41"/>
    </row>
    <row r="53" spans="2:17" x14ac:dyDescent="0.25">
      <c r="B53" s="38">
        <v>5</v>
      </c>
      <c r="C53" s="39" t="s">
        <v>57</v>
      </c>
      <c r="D53" s="40" t="s">
        <v>58</v>
      </c>
      <c r="E53" s="219"/>
      <c r="F53" s="61" t="s">
        <v>54</v>
      </c>
      <c r="G53" s="62" t="s">
        <v>106</v>
      </c>
      <c r="H53" s="3">
        <v>20</v>
      </c>
      <c r="I53" s="3">
        <v>5</v>
      </c>
      <c r="J53" s="69">
        <f t="shared" si="0"/>
        <v>0.25</v>
      </c>
      <c r="K53" s="90">
        <f>+I53+'AGOSTO 2025'!K53</f>
        <v>20</v>
      </c>
      <c r="L53" s="94">
        <f t="shared" si="1"/>
        <v>1</v>
      </c>
      <c r="N53"/>
      <c r="O53" s="8"/>
      <c r="P53"/>
      <c r="Q53" s="8"/>
    </row>
    <row r="54" spans="2:17" x14ac:dyDescent="0.25">
      <c r="B54" s="38">
        <v>5</v>
      </c>
      <c r="C54" s="39" t="s">
        <v>59</v>
      </c>
      <c r="D54" s="40" t="s">
        <v>60</v>
      </c>
      <c r="E54" s="219"/>
      <c r="F54" s="61" t="s">
        <v>54</v>
      </c>
      <c r="G54" s="62" t="s">
        <v>172</v>
      </c>
      <c r="H54" s="3">
        <v>20</v>
      </c>
      <c r="I54" s="3">
        <v>0</v>
      </c>
      <c r="J54" s="69">
        <f t="shared" si="0"/>
        <v>0</v>
      </c>
      <c r="K54" s="90">
        <f>+I54+'AGOSTO 2025'!K54</f>
        <v>20</v>
      </c>
      <c r="L54" s="94">
        <f t="shared" si="1"/>
        <v>1</v>
      </c>
      <c r="N54"/>
      <c r="O54" s="8"/>
      <c r="P54"/>
      <c r="Q54" s="8"/>
    </row>
    <row r="55" spans="2:17" x14ac:dyDescent="0.25">
      <c r="B55" s="42">
        <v>8</v>
      </c>
      <c r="C55" s="43" t="s">
        <v>61</v>
      </c>
      <c r="D55" s="44" t="s">
        <v>62</v>
      </c>
      <c r="E55" s="220"/>
      <c r="F55" s="64" t="s">
        <v>63</v>
      </c>
      <c r="G55" s="65" t="s">
        <v>107</v>
      </c>
      <c r="H55" s="97">
        <v>20</v>
      </c>
      <c r="I55" s="97">
        <v>5</v>
      </c>
      <c r="J55" s="72">
        <f t="shared" si="0"/>
        <v>0.25</v>
      </c>
      <c r="K55" s="91">
        <f>+I55+'AGOSTO 2025'!K55</f>
        <v>20</v>
      </c>
      <c r="L55" s="96">
        <f t="shared" si="1"/>
        <v>1</v>
      </c>
      <c r="N55"/>
      <c r="O55" s="8"/>
      <c r="P55"/>
      <c r="Q55" s="8"/>
    </row>
    <row r="56" spans="2:17" x14ac:dyDescent="0.25">
      <c r="B56" s="35">
        <v>3</v>
      </c>
      <c r="C56" s="36" t="s">
        <v>43</v>
      </c>
      <c r="D56" s="37" t="s">
        <v>44</v>
      </c>
      <c r="E56" s="218" t="s">
        <v>171</v>
      </c>
      <c r="F56" s="59" t="s">
        <v>1245</v>
      </c>
      <c r="G56" s="60" t="s">
        <v>109</v>
      </c>
      <c r="H56" s="123">
        <v>18</v>
      </c>
      <c r="I56" s="66">
        <v>3</v>
      </c>
      <c r="J56" s="69">
        <f t="shared" si="0"/>
        <v>0.16666666666666666</v>
      </c>
      <c r="K56" s="103">
        <f>+I56+'AGOSTO 2025'!K56</f>
        <v>18</v>
      </c>
      <c r="L56" s="94">
        <f t="shared" si="1"/>
        <v>1</v>
      </c>
      <c r="N56"/>
      <c r="O56" s="8"/>
      <c r="P56"/>
      <c r="Q56" s="8"/>
    </row>
    <row r="57" spans="2:17" x14ac:dyDescent="0.25">
      <c r="B57" s="38">
        <v>3</v>
      </c>
      <c r="C57" s="39" t="s">
        <v>46</v>
      </c>
      <c r="D57" s="40" t="s">
        <v>47</v>
      </c>
      <c r="E57" s="219"/>
      <c r="F57" s="61" t="s">
        <v>692</v>
      </c>
      <c r="G57" s="62" t="s">
        <v>184</v>
      </c>
      <c r="H57" s="124">
        <v>36</v>
      </c>
      <c r="I57" s="55">
        <v>6</v>
      </c>
      <c r="J57" s="69">
        <f t="shared" si="0"/>
        <v>0.16666666666666666</v>
      </c>
      <c r="K57" s="90">
        <f>+I57+'AGOSTO 2025'!K57</f>
        <v>36</v>
      </c>
      <c r="L57" s="94">
        <f t="shared" si="1"/>
        <v>1</v>
      </c>
      <c r="N57"/>
      <c r="O57" s="8"/>
      <c r="P57"/>
      <c r="Q57" s="8"/>
    </row>
    <row r="58" spans="2:17" x14ac:dyDescent="0.25">
      <c r="B58" s="38">
        <v>3</v>
      </c>
      <c r="C58" s="39" t="s">
        <v>98</v>
      </c>
      <c r="D58" s="40" t="s">
        <v>99</v>
      </c>
      <c r="E58" s="219"/>
      <c r="F58" s="61" t="s">
        <v>1246</v>
      </c>
      <c r="G58" s="63" t="s">
        <v>173</v>
      </c>
      <c r="H58" s="125">
        <v>12</v>
      </c>
      <c r="I58" s="70">
        <v>2</v>
      </c>
      <c r="J58" s="69">
        <f t="shared" si="0"/>
        <v>0.16666666666666666</v>
      </c>
      <c r="K58" s="90">
        <f>+I58+'AGOSTO 2025'!K58</f>
        <v>12</v>
      </c>
      <c r="L58" s="94">
        <f t="shared" si="1"/>
        <v>1</v>
      </c>
      <c r="N58"/>
      <c r="O58" s="8"/>
      <c r="P58"/>
      <c r="Q58" s="8"/>
    </row>
    <row r="59" spans="2:17" x14ac:dyDescent="0.25">
      <c r="B59" s="38">
        <v>3</v>
      </c>
      <c r="C59" s="39" t="s">
        <v>49</v>
      </c>
      <c r="D59" s="40" t="s">
        <v>50</v>
      </c>
      <c r="E59" s="219"/>
      <c r="F59" s="61" t="s">
        <v>1247</v>
      </c>
      <c r="G59" s="63" t="s">
        <v>516</v>
      </c>
      <c r="H59" s="125">
        <v>36</v>
      </c>
      <c r="I59" s="55">
        <v>6</v>
      </c>
      <c r="J59" s="69">
        <f t="shared" si="0"/>
        <v>0.16666666666666666</v>
      </c>
      <c r="K59" s="90">
        <f>+I59+'AGOSTO 2025'!K59</f>
        <v>36</v>
      </c>
      <c r="L59" s="94">
        <f t="shared" si="1"/>
        <v>1</v>
      </c>
      <c r="N59"/>
      <c r="O59" s="8"/>
      <c r="P59"/>
      <c r="Q59" s="8"/>
    </row>
    <row r="60" spans="2:17" x14ac:dyDescent="0.25">
      <c r="B60" s="38">
        <v>3</v>
      </c>
      <c r="C60" s="39" t="s">
        <v>52</v>
      </c>
      <c r="D60" s="40" t="s">
        <v>53</v>
      </c>
      <c r="E60" s="219"/>
      <c r="F60" s="61" t="s">
        <v>250</v>
      </c>
      <c r="G60" s="62" t="s">
        <v>185</v>
      </c>
      <c r="H60" s="125">
        <v>18</v>
      </c>
      <c r="I60" s="55">
        <v>3</v>
      </c>
      <c r="J60" s="69">
        <f t="shared" si="0"/>
        <v>0.16666666666666666</v>
      </c>
      <c r="K60" s="90">
        <f>+I60+'AGOSTO 2025'!K60</f>
        <v>18</v>
      </c>
      <c r="L60" s="94">
        <f t="shared" si="1"/>
        <v>1</v>
      </c>
      <c r="N60"/>
      <c r="O60" s="8"/>
      <c r="P60"/>
      <c r="Q60" s="8"/>
    </row>
    <row r="61" spans="2:17" s="16" customFormat="1" x14ac:dyDescent="0.25">
      <c r="B61" s="38">
        <v>3</v>
      </c>
      <c r="C61" s="39" t="s">
        <v>55</v>
      </c>
      <c r="D61" s="40" t="s">
        <v>56</v>
      </c>
      <c r="E61" s="219"/>
      <c r="F61" s="61" t="s">
        <v>1248</v>
      </c>
      <c r="G61" s="62" t="s">
        <v>186</v>
      </c>
      <c r="H61" s="125">
        <v>18</v>
      </c>
      <c r="I61" s="55">
        <v>3</v>
      </c>
      <c r="J61" s="69">
        <f t="shared" si="0"/>
        <v>0.16666666666666666</v>
      </c>
      <c r="K61" s="90">
        <f>+I61+'AGOSTO 2025'!K61</f>
        <v>18</v>
      </c>
      <c r="L61" s="94">
        <f t="shared" si="1"/>
        <v>1</v>
      </c>
      <c r="N61" s="41"/>
      <c r="P61" s="41"/>
    </row>
    <row r="62" spans="2:17" x14ac:dyDescent="0.25">
      <c r="B62" s="38">
        <v>5</v>
      </c>
      <c r="C62" s="39" t="s">
        <v>57</v>
      </c>
      <c r="D62" s="40" t="s">
        <v>58</v>
      </c>
      <c r="E62" s="219"/>
      <c r="F62" s="61" t="s">
        <v>1100</v>
      </c>
      <c r="G62" s="62" t="s">
        <v>175</v>
      </c>
      <c r="H62" s="125">
        <v>12</v>
      </c>
      <c r="I62" s="55">
        <v>2</v>
      </c>
      <c r="J62" s="69">
        <f t="shared" si="0"/>
        <v>0.16666666666666666</v>
      </c>
      <c r="K62" s="90">
        <f>+I62+'AGOSTO 2025'!K62</f>
        <v>12</v>
      </c>
      <c r="L62" s="94">
        <f t="shared" si="1"/>
        <v>1</v>
      </c>
      <c r="N62"/>
      <c r="O62" s="8"/>
      <c r="P62"/>
      <c r="Q62" s="8"/>
    </row>
    <row r="63" spans="2:17" x14ac:dyDescent="0.25">
      <c r="B63" s="38">
        <v>5</v>
      </c>
      <c r="C63" s="39" t="s">
        <v>59</v>
      </c>
      <c r="D63" s="40" t="s">
        <v>60</v>
      </c>
      <c r="E63" s="219"/>
      <c r="F63" s="61" t="s">
        <v>697</v>
      </c>
      <c r="G63" s="62" t="s">
        <v>516</v>
      </c>
      <c r="H63" s="125">
        <v>18</v>
      </c>
      <c r="I63" s="55">
        <v>3</v>
      </c>
      <c r="J63" s="69">
        <f t="shared" si="0"/>
        <v>0.16666666666666666</v>
      </c>
      <c r="K63" s="90">
        <f>+I63+'AGOSTO 2025'!K63</f>
        <v>18</v>
      </c>
      <c r="L63" s="94">
        <f t="shared" si="1"/>
        <v>1</v>
      </c>
      <c r="N63"/>
      <c r="O63" s="8"/>
      <c r="P63"/>
      <c r="Q63" s="8"/>
    </row>
    <row r="64" spans="2:17" x14ac:dyDescent="0.25">
      <c r="B64" s="42">
        <v>8</v>
      </c>
      <c r="C64" s="43" t="s">
        <v>61</v>
      </c>
      <c r="D64" s="44" t="s">
        <v>62</v>
      </c>
      <c r="E64" s="220"/>
      <c r="F64" s="64" t="s">
        <v>1249</v>
      </c>
      <c r="G64" s="65" t="s">
        <v>109</v>
      </c>
      <c r="H64" s="126">
        <v>12</v>
      </c>
      <c r="I64" s="56">
        <v>2</v>
      </c>
      <c r="J64" s="72">
        <f t="shared" si="0"/>
        <v>0.16666666666666666</v>
      </c>
      <c r="K64" s="91">
        <f>+I64+'AGOSTO 2025'!K64</f>
        <v>12</v>
      </c>
      <c r="L64" s="96">
        <f t="shared" si="1"/>
        <v>1</v>
      </c>
      <c r="N64"/>
      <c r="O64" s="8"/>
      <c r="P64"/>
      <c r="Q64" s="8"/>
    </row>
    <row r="65" spans="2:17" x14ac:dyDescent="0.25">
      <c r="B65" s="35">
        <v>3</v>
      </c>
      <c r="C65" s="36" t="s">
        <v>43</v>
      </c>
      <c r="D65" s="37" t="s">
        <v>44</v>
      </c>
      <c r="E65" s="218" t="s">
        <v>115</v>
      </c>
      <c r="F65" s="59" t="s">
        <v>1168</v>
      </c>
      <c r="G65" s="60" t="s">
        <v>32</v>
      </c>
      <c r="H65" s="66">
        <v>30</v>
      </c>
      <c r="I65" s="66">
        <v>4</v>
      </c>
      <c r="J65" s="69">
        <f t="shared" si="0"/>
        <v>0.13333333333333333</v>
      </c>
      <c r="K65" s="103">
        <f>+I65+'AGOSTO 2025'!K65</f>
        <v>24</v>
      </c>
      <c r="L65" s="94">
        <f t="shared" si="1"/>
        <v>0.8</v>
      </c>
      <c r="N65"/>
      <c r="O65" s="8"/>
      <c r="P65"/>
      <c r="Q65" s="8"/>
    </row>
    <row r="66" spans="2:17" x14ac:dyDescent="0.25">
      <c r="B66" s="38">
        <v>3</v>
      </c>
      <c r="C66" s="39" t="s">
        <v>46</v>
      </c>
      <c r="D66" s="40" t="s">
        <v>47</v>
      </c>
      <c r="E66" s="219"/>
      <c r="F66" s="61" t="s">
        <v>700</v>
      </c>
      <c r="G66" s="61" t="s">
        <v>32</v>
      </c>
      <c r="H66" s="68">
        <v>30</v>
      </c>
      <c r="I66" s="55">
        <v>3</v>
      </c>
      <c r="J66" s="69">
        <f t="shared" si="0"/>
        <v>0.1</v>
      </c>
      <c r="K66" s="90">
        <f>+I66+'AGOSTO 2025'!K66</f>
        <v>21</v>
      </c>
      <c r="L66" s="94">
        <f t="shared" si="1"/>
        <v>0.7</v>
      </c>
      <c r="N66"/>
      <c r="O66" s="8"/>
      <c r="P66"/>
      <c r="Q66" s="8"/>
    </row>
    <row r="67" spans="2:17" x14ac:dyDescent="0.25">
      <c r="B67" s="38">
        <v>3</v>
      </c>
      <c r="C67" s="39" t="s">
        <v>98</v>
      </c>
      <c r="D67" s="40" t="s">
        <v>99</v>
      </c>
      <c r="E67" s="219"/>
      <c r="F67" s="61" t="s">
        <v>700</v>
      </c>
      <c r="G67" s="63" t="s">
        <v>32</v>
      </c>
      <c r="H67" s="55">
        <v>30</v>
      </c>
      <c r="I67" s="70">
        <v>4</v>
      </c>
      <c r="J67" s="69">
        <f t="shared" si="0"/>
        <v>0.13333333333333333</v>
      </c>
      <c r="K67" s="90">
        <f>+I67+'AGOSTO 2025'!K67</f>
        <v>21</v>
      </c>
      <c r="L67" s="94">
        <f t="shared" si="1"/>
        <v>0.7</v>
      </c>
      <c r="N67"/>
      <c r="O67" s="8"/>
      <c r="P67"/>
      <c r="Q67" s="8"/>
    </row>
    <row r="68" spans="2:17" x14ac:dyDescent="0.25">
      <c r="B68" s="38">
        <v>3</v>
      </c>
      <c r="C68" s="39" t="s">
        <v>49</v>
      </c>
      <c r="D68" s="40" t="s">
        <v>50</v>
      </c>
      <c r="E68" s="219"/>
      <c r="F68" s="61" t="s">
        <v>1169</v>
      </c>
      <c r="G68" s="63" t="s">
        <v>32</v>
      </c>
      <c r="H68" s="55">
        <v>30</v>
      </c>
      <c r="I68" s="55">
        <v>3</v>
      </c>
      <c r="J68" s="69">
        <f t="shared" si="0"/>
        <v>0.1</v>
      </c>
      <c r="K68" s="90">
        <f>+I68+'AGOSTO 2025'!K68</f>
        <v>20</v>
      </c>
      <c r="L68" s="94">
        <f t="shared" si="1"/>
        <v>0.66666666666666663</v>
      </c>
      <c r="N68"/>
      <c r="O68" s="8"/>
      <c r="P68"/>
      <c r="Q68" s="8"/>
    </row>
    <row r="69" spans="2:17" x14ac:dyDescent="0.25">
      <c r="B69" s="38">
        <v>3</v>
      </c>
      <c r="C69" s="39" t="s">
        <v>52</v>
      </c>
      <c r="D69" s="40" t="s">
        <v>53</v>
      </c>
      <c r="E69" s="219"/>
      <c r="F69" s="61" t="s">
        <v>871</v>
      </c>
      <c r="G69" s="62" t="s">
        <v>32</v>
      </c>
      <c r="H69" s="55">
        <v>30</v>
      </c>
      <c r="I69" s="55">
        <v>3</v>
      </c>
      <c r="J69" s="69">
        <f t="shared" si="0"/>
        <v>0.1</v>
      </c>
      <c r="K69" s="90">
        <f>+I69+'AGOSTO 2025'!K69</f>
        <v>18</v>
      </c>
      <c r="L69" s="94">
        <f t="shared" si="1"/>
        <v>0.6</v>
      </c>
      <c r="N69"/>
      <c r="O69" s="8"/>
      <c r="P69"/>
      <c r="Q69" s="8"/>
    </row>
    <row r="70" spans="2:17" s="16" customFormat="1" x14ac:dyDescent="0.25">
      <c r="B70" s="38">
        <v>3</v>
      </c>
      <c r="C70" s="39" t="s">
        <v>55</v>
      </c>
      <c r="D70" s="40" t="s">
        <v>56</v>
      </c>
      <c r="E70" s="219"/>
      <c r="F70" s="61" t="s">
        <v>1170</v>
      </c>
      <c r="G70" s="62" t="s">
        <v>32</v>
      </c>
      <c r="H70" s="55">
        <v>30</v>
      </c>
      <c r="I70" s="55">
        <v>4</v>
      </c>
      <c r="J70" s="69">
        <f t="shared" si="0"/>
        <v>0.13333333333333333</v>
      </c>
      <c r="K70" s="90">
        <f>+I70+'AGOSTO 2025'!K70</f>
        <v>19</v>
      </c>
      <c r="L70" s="94">
        <f t="shared" si="1"/>
        <v>0.6333333333333333</v>
      </c>
      <c r="N70" s="41"/>
      <c r="P70" s="41"/>
    </row>
    <row r="71" spans="2:17" x14ac:dyDescent="0.25">
      <c r="B71" s="38">
        <v>5</v>
      </c>
      <c r="C71" s="39" t="s">
        <v>57</v>
      </c>
      <c r="D71" s="40" t="s">
        <v>58</v>
      </c>
      <c r="E71" s="219"/>
      <c r="F71" s="61" t="s">
        <v>208</v>
      </c>
      <c r="G71" s="62" t="s">
        <v>32</v>
      </c>
      <c r="H71" s="55">
        <v>30</v>
      </c>
      <c r="I71" s="55">
        <v>3</v>
      </c>
      <c r="J71" s="69">
        <f t="shared" si="0"/>
        <v>0.1</v>
      </c>
      <c r="K71" s="90">
        <f>+I71+'AGOSTO 2025'!K71</f>
        <v>18</v>
      </c>
      <c r="L71" s="94">
        <f t="shared" si="1"/>
        <v>0.6</v>
      </c>
      <c r="N71"/>
      <c r="O71" s="8"/>
      <c r="P71"/>
      <c r="Q71" s="8"/>
    </row>
    <row r="72" spans="2:17" x14ac:dyDescent="0.25">
      <c r="B72" s="38">
        <v>5</v>
      </c>
      <c r="C72" s="39" t="s">
        <v>59</v>
      </c>
      <c r="D72" s="40" t="s">
        <v>60</v>
      </c>
      <c r="E72" s="219"/>
      <c r="F72" s="61" t="s">
        <v>54</v>
      </c>
      <c r="G72" s="62" t="s">
        <v>32</v>
      </c>
      <c r="H72" s="55">
        <v>30</v>
      </c>
      <c r="I72" s="55">
        <v>3</v>
      </c>
      <c r="J72" s="69">
        <f t="shared" si="0"/>
        <v>0.1</v>
      </c>
      <c r="K72" s="90">
        <f>+I72+'AGOSTO 2025'!K72</f>
        <v>20</v>
      </c>
      <c r="L72" s="94">
        <f t="shared" si="1"/>
        <v>0.66666666666666663</v>
      </c>
      <c r="N72"/>
      <c r="O72" s="8"/>
      <c r="P72"/>
      <c r="Q72" s="8"/>
    </row>
    <row r="73" spans="2:17" x14ac:dyDescent="0.25">
      <c r="B73" s="42">
        <v>8</v>
      </c>
      <c r="C73" s="43" t="s">
        <v>61</v>
      </c>
      <c r="D73" s="44" t="s">
        <v>62</v>
      </c>
      <c r="E73" s="220"/>
      <c r="F73" s="64" t="s">
        <v>63</v>
      </c>
      <c r="G73" s="65" t="s">
        <v>32</v>
      </c>
      <c r="H73" s="56">
        <v>30</v>
      </c>
      <c r="I73" s="56">
        <v>3</v>
      </c>
      <c r="J73" s="72">
        <f t="shared" si="0"/>
        <v>0.1</v>
      </c>
      <c r="K73" s="91">
        <f>+I73+'AGOSTO 2025'!K73</f>
        <v>19</v>
      </c>
      <c r="L73" s="96">
        <f t="shared" si="1"/>
        <v>0.6333333333333333</v>
      </c>
      <c r="N73"/>
      <c r="O73" s="8"/>
      <c r="P73"/>
      <c r="Q73" s="8"/>
    </row>
    <row r="74" spans="2:17" x14ac:dyDescent="0.25">
      <c r="B74" s="35">
        <v>3</v>
      </c>
      <c r="C74" s="36" t="s">
        <v>43</v>
      </c>
      <c r="D74" s="37" t="s">
        <v>44</v>
      </c>
      <c r="E74" s="218" t="s">
        <v>116</v>
      </c>
      <c r="F74" s="59" t="s">
        <v>109</v>
      </c>
      <c r="G74" s="60" t="s">
        <v>32</v>
      </c>
      <c r="H74" s="66">
        <v>20</v>
      </c>
      <c r="I74" s="66">
        <v>3</v>
      </c>
      <c r="J74" s="69">
        <f t="shared" si="0"/>
        <v>0.15</v>
      </c>
      <c r="K74" s="103">
        <f>+I74+'AGOSTO 2025'!K74</f>
        <v>20</v>
      </c>
      <c r="L74" s="94">
        <f t="shared" si="1"/>
        <v>1</v>
      </c>
      <c r="N74"/>
      <c r="O74" s="8"/>
      <c r="P74"/>
      <c r="Q74" s="8"/>
    </row>
    <row r="75" spans="2:17" x14ac:dyDescent="0.25">
      <c r="B75" s="38">
        <v>3</v>
      </c>
      <c r="C75" s="39" t="s">
        <v>46</v>
      </c>
      <c r="D75" s="40" t="s">
        <v>47</v>
      </c>
      <c r="E75" s="219"/>
      <c r="F75" s="61" t="s">
        <v>110</v>
      </c>
      <c r="G75" s="61" t="s">
        <v>32</v>
      </c>
      <c r="H75" s="68">
        <v>14</v>
      </c>
      <c r="I75" s="55">
        <v>2</v>
      </c>
      <c r="J75" s="69">
        <f t="shared" si="0"/>
        <v>0.14285714285714285</v>
      </c>
      <c r="K75" s="90">
        <f>+I75+'AGOSTO 2025'!K75</f>
        <v>14</v>
      </c>
      <c r="L75" s="94">
        <f t="shared" si="1"/>
        <v>1</v>
      </c>
      <c r="N75"/>
      <c r="O75" s="8"/>
      <c r="P75"/>
      <c r="Q75" s="8"/>
    </row>
    <row r="76" spans="2:17" x14ac:dyDescent="0.25">
      <c r="B76" s="38">
        <v>3</v>
      </c>
      <c r="C76" s="39" t="s">
        <v>98</v>
      </c>
      <c r="D76" s="40" t="s">
        <v>99</v>
      </c>
      <c r="E76" s="219"/>
      <c r="F76" s="61" t="s">
        <v>187</v>
      </c>
      <c r="G76" s="63" t="s">
        <v>32</v>
      </c>
      <c r="H76" s="55">
        <v>28</v>
      </c>
      <c r="I76" s="70">
        <v>3</v>
      </c>
      <c r="J76" s="69">
        <f t="shared" si="0"/>
        <v>0.10714285714285714</v>
      </c>
      <c r="K76" s="90">
        <f>+I76+'AGOSTO 2025'!K76</f>
        <v>28</v>
      </c>
      <c r="L76" s="94">
        <f t="shared" si="1"/>
        <v>1</v>
      </c>
      <c r="N76"/>
      <c r="O76" s="8"/>
      <c r="P76"/>
      <c r="Q76" s="8"/>
    </row>
    <row r="77" spans="2:17" x14ac:dyDescent="0.25">
      <c r="B77" s="38">
        <v>3</v>
      </c>
      <c r="C77" s="39" t="s">
        <v>49</v>
      </c>
      <c r="D77" s="40" t="s">
        <v>50</v>
      </c>
      <c r="E77" s="219"/>
      <c r="F77" s="61" t="s">
        <v>185</v>
      </c>
      <c r="G77" s="63" t="s">
        <v>32</v>
      </c>
      <c r="H77" s="55">
        <v>16</v>
      </c>
      <c r="I77" s="55">
        <v>2</v>
      </c>
      <c r="J77" s="69">
        <f t="shared" si="0"/>
        <v>0.125</v>
      </c>
      <c r="K77" s="90">
        <f>+I77+'AGOSTO 2025'!K77</f>
        <v>16</v>
      </c>
      <c r="L77" s="94">
        <f t="shared" si="1"/>
        <v>1</v>
      </c>
      <c r="N77"/>
      <c r="O77" s="8"/>
      <c r="P77"/>
      <c r="Q77" s="8"/>
    </row>
    <row r="78" spans="2:17" x14ac:dyDescent="0.25">
      <c r="B78" s="38">
        <v>3</v>
      </c>
      <c r="C78" s="39" t="s">
        <v>52</v>
      </c>
      <c r="D78" s="40" t="s">
        <v>53</v>
      </c>
      <c r="E78" s="219"/>
      <c r="F78" s="61" t="s">
        <v>111</v>
      </c>
      <c r="G78" s="62" t="s">
        <v>32</v>
      </c>
      <c r="H78" s="55">
        <v>16</v>
      </c>
      <c r="I78" s="55">
        <v>3</v>
      </c>
      <c r="J78" s="69">
        <f t="shared" si="0"/>
        <v>0.1875</v>
      </c>
      <c r="K78" s="90">
        <f>+I78+'AGOSTO 2025'!K78</f>
        <v>16</v>
      </c>
      <c r="L78" s="94">
        <f t="shared" si="1"/>
        <v>1</v>
      </c>
      <c r="N78"/>
      <c r="O78" s="8"/>
      <c r="P78"/>
      <c r="Q78" s="8"/>
    </row>
    <row r="79" spans="2:17" s="16" customFormat="1" x14ac:dyDescent="0.25">
      <c r="B79" s="38">
        <v>3</v>
      </c>
      <c r="C79" s="39" t="s">
        <v>55</v>
      </c>
      <c r="D79" s="40" t="s">
        <v>56</v>
      </c>
      <c r="E79" s="219"/>
      <c r="F79" s="61" t="s">
        <v>188</v>
      </c>
      <c r="G79" s="62" t="s">
        <v>32</v>
      </c>
      <c r="H79" s="55">
        <v>12</v>
      </c>
      <c r="I79" s="55">
        <v>2</v>
      </c>
      <c r="J79" s="69">
        <f t="shared" ref="J79:J142" si="2">IFERROR(I79/H79,0)</f>
        <v>0.16666666666666666</v>
      </c>
      <c r="K79" s="90">
        <f>+I79+'AGOSTO 2025'!K79</f>
        <v>12</v>
      </c>
      <c r="L79" s="94">
        <f t="shared" ref="L79:L142" si="3">IFERROR(K79/H79,0)</f>
        <v>1</v>
      </c>
      <c r="N79" s="41"/>
      <c r="P79" s="41"/>
    </row>
    <row r="80" spans="2:17" x14ac:dyDescent="0.25">
      <c r="B80" s="38">
        <v>5</v>
      </c>
      <c r="C80" s="39" t="s">
        <v>57</v>
      </c>
      <c r="D80" s="40" t="s">
        <v>58</v>
      </c>
      <c r="E80" s="219"/>
      <c r="F80" s="73" t="s">
        <v>113</v>
      </c>
      <c r="G80" s="62" t="s">
        <v>32</v>
      </c>
      <c r="H80" s="55">
        <v>24</v>
      </c>
      <c r="I80" s="55">
        <v>5</v>
      </c>
      <c r="J80" s="69">
        <f t="shared" si="2"/>
        <v>0.20833333333333334</v>
      </c>
      <c r="K80" s="90">
        <f>+I80+'AGOSTO 2025'!K80</f>
        <v>24</v>
      </c>
      <c r="L80" s="94">
        <f t="shared" si="3"/>
        <v>1</v>
      </c>
      <c r="N80"/>
      <c r="O80" s="8"/>
      <c r="P80"/>
      <c r="Q80" s="8"/>
    </row>
    <row r="81" spans="2:17" x14ac:dyDescent="0.25">
      <c r="B81" s="38">
        <v>5</v>
      </c>
      <c r="C81" s="39" t="s">
        <v>59</v>
      </c>
      <c r="D81" s="40" t="s">
        <v>60</v>
      </c>
      <c r="E81" s="219"/>
      <c r="F81" s="61" t="s">
        <v>189</v>
      </c>
      <c r="G81" s="62" t="s">
        <v>32</v>
      </c>
      <c r="H81" s="55">
        <v>26</v>
      </c>
      <c r="I81" s="55">
        <v>5</v>
      </c>
      <c r="J81" s="69">
        <f t="shared" si="2"/>
        <v>0.19230769230769232</v>
      </c>
      <c r="K81" s="90">
        <f>+I81+'AGOSTO 2025'!K81</f>
        <v>26</v>
      </c>
      <c r="L81" s="94">
        <f t="shared" si="3"/>
        <v>1</v>
      </c>
      <c r="N81"/>
      <c r="O81" s="8"/>
      <c r="P81"/>
      <c r="Q81" s="8"/>
    </row>
    <row r="82" spans="2:17" x14ac:dyDescent="0.25">
      <c r="B82" s="42">
        <v>8</v>
      </c>
      <c r="C82" s="43" t="s">
        <v>61</v>
      </c>
      <c r="D82" s="44" t="s">
        <v>62</v>
      </c>
      <c r="E82" s="220"/>
      <c r="F82" s="64" t="s">
        <v>534</v>
      </c>
      <c r="G82" s="65" t="s">
        <v>32</v>
      </c>
      <c r="H82" s="56">
        <v>24</v>
      </c>
      <c r="I82" s="56">
        <v>5</v>
      </c>
      <c r="J82" s="72">
        <f t="shared" si="2"/>
        <v>0.20833333333333334</v>
      </c>
      <c r="K82" s="91">
        <f>+I82+'AGOSTO 2025'!K82</f>
        <v>24</v>
      </c>
      <c r="L82" s="96">
        <f t="shared" si="3"/>
        <v>1</v>
      </c>
      <c r="N82"/>
      <c r="O82" s="8"/>
      <c r="P82"/>
      <c r="Q82" s="8"/>
    </row>
    <row r="83" spans="2:17" x14ac:dyDescent="0.25">
      <c r="B83" s="35">
        <v>3</v>
      </c>
      <c r="C83" s="36" t="s">
        <v>43</v>
      </c>
      <c r="D83" s="37" t="s">
        <v>44</v>
      </c>
      <c r="E83" s="218" t="s">
        <v>117</v>
      </c>
      <c r="F83" s="60" t="s">
        <v>213</v>
      </c>
      <c r="G83" s="60" t="s">
        <v>169</v>
      </c>
      <c r="H83" s="66">
        <v>30</v>
      </c>
      <c r="I83" s="66">
        <v>4</v>
      </c>
      <c r="J83" s="69">
        <f t="shared" si="2"/>
        <v>0.13333333333333333</v>
      </c>
      <c r="K83" s="103">
        <f>+I83+'AGOSTO 2025'!K83</f>
        <v>20</v>
      </c>
      <c r="L83" s="94">
        <f t="shared" si="3"/>
        <v>0.66666666666666663</v>
      </c>
      <c r="N83"/>
      <c r="O83" s="8"/>
      <c r="P83"/>
      <c r="Q83" s="8"/>
    </row>
    <row r="84" spans="2:17" x14ac:dyDescent="0.25">
      <c r="B84" s="38">
        <v>3</v>
      </c>
      <c r="C84" s="39" t="s">
        <v>46</v>
      </c>
      <c r="D84" s="40" t="s">
        <v>47</v>
      </c>
      <c r="E84" s="219"/>
      <c r="F84" s="74" t="s">
        <v>860</v>
      </c>
      <c r="G84" s="74" t="s">
        <v>861</v>
      </c>
      <c r="H84" s="68">
        <v>30</v>
      </c>
      <c r="I84" s="55">
        <v>4</v>
      </c>
      <c r="J84" s="69">
        <f t="shared" si="2"/>
        <v>0.13333333333333333</v>
      </c>
      <c r="K84" s="90">
        <f>+I84+'AGOSTO 2025'!K84</f>
        <v>20</v>
      </c>
      <c r="L84" s="94">
        <f t="shared" si="3"/>
        <v>0.66666666666666663</v>
      </c>
      <c r="N84"/>
      <c r="O84" s="8"/>
      <c r="P84"/>
      <c r="Q84" s="8"/>
    </row>
    <row r="85" spans="2:17" x14ac:dyDescent="0.25">
      <c r="B85" s="38">
        <v>3</v>
      </c>
      <c r="C85" s="39" t="s">
        <v>98</v>
      </c>
      <c r="D85" s="40" t="s">
        <v>99</v>
      </c>
      <c r="E85" s="219"/>
      <c r="F85" s="62" t="s">
        <v>862</v>
      </c>
      <c r="G85" s="62" t="s">
        <v>169</v>
      </c>
      <c r="H85" s="55">
        <v>30</v>
      </c>
      <c r="I85" s="70">
        <v>4</v>
      </c>
      <c r="J85" s="69">
        <f t="shared" si="2"/>
        <v>0.13333333333333333</v>
      </c>
      <c r="K85" s="90">
        <f>+I85+'AGOSTO 2025'!K85</f>
        <v>20</v>
      </c>
      <c r="L85" s="94">
        <f t="shared" si="3"/>
        <v>0.66666666666666663</v>
      </c>
      <c r="N85"/>
      <c r="O85" s="8"/>
      <c r="P85"/>
      <c r="Q85" s="8"/>
    </row>
    <row r="86" spans="2:17" x14ac:dyDescent="0.25">
      <c r="B86" s="38">
        <v>3</v>
      </c>
      <c r="C86" s="39" t="s">
        <v>49</v>
      </c>
      <c r="D86" s="40" t="s">
        <v>50</v>
      </c>
      <c r="E86" s="219"/>
      <c r="F86" s="62" t="s">
        <v>213</v>
      </c>
      <c r="G86" s="62" t="s">
        <v>169</v>
      </c>
      <c r="H86" s="55">
        <v>30</v>
      </c>
      <c r="I86" s="55">
        <v>3</v>
      </c>
      <c r="J86" s="69">
        <f t="shared" si="2"/>
        <v>0.1</v>
      </c>
      <c r="K86" s="90">
        <f>+I86+'AGOSTO 2025'!K86</f>
        <v>18</v>
      </c>
      <c r="L86" s="94">
        <f t="shared" si="3"/>
        <v>0.6</v>
      </c>
      <c r="N86"/>
      <c r="O86" s="8"/>
      <c r="P86"/>
      <c r="Q86" s="8"/>
    </row>
    <row r="87" spans="2:17" x14ac:dyDescent="0.25">
      <c r="B87" s="38">
        <v>3</v>
      </c>
      <c r="C87" s="39" t="s">
        <v>52</v>
      </c>
      <c r="D87" s="40" t="s">
        <v>53</v>
      </c>
      <c r="E87" s="219"/>
      <c r="F87" s="62" t="s">
        <v>214</v>
      </c>
      <c r="G87" s="62" t="s">
        <v>191</v>
      </c>
      <c r="H87" s="55">
        <v>30</v>
      </c>
      <c r="I87" s="55">
        <v>3</v>
      </c>
      <c r="J87" s="69">
        <f t="shared" si="2"/>
        <v>0.1</v>
      </c>
      <c r="K87" s="90">
        <f>+I87+'AGOSTO 2025'!K87</f>
        <v>18</v>
      </c>
      <c r="L87" s="94">
        <f t="shared" si="3"/>
        <v>0.6</v>
      </c>
      <c r="N87"/>
      <c r="O87" s="8"/>
      <c r="P87"/>
      <c r="Q87" s="8"/>
    </row>
    <row r="88" spans="2:17" s="16" customFormat="1" x14ac:dyDescent="0.25">
      <c r="B88" s="38">
        <v>3</v>
      </c>
      <c r="C88" s="39" t="s">
        <v>55</v>
      </c>
      <c r="D88" s="40" t="s">
        <v>56</v>
      </c>
      <c r="E88" s="219"/>
      <c r="F88" s="62" t="s">
        <v>215</v>
      </c>
      <c r="G88" s="62"/>
      <c r="H88" s="55">
        <v>30</v>
      </c>
      <c r="I88" s="55">
        <v>3</v>
      </c>
      <c r="J88" s="69">
        <f t="shared" si="2"/>
        <v>0.1</v>
      </c>
      <c r="K88" s="90">
        <f>+I88+'AGOSTO 2025'!K88</f>
        <v>18</v>
      </c>
      <c r="L88" s="94">
        <f t="shared" si="3"/>
        <v>0.6</v>
      </c>
      <c r="N88" s="41"/>
      <c r="P88" s="41"/>
    </row>
    <row r="89" spans="2:17" x14ac:dyDescent="0.25">
      <c r="B89" s="38">
        <v>5</v>
      </c>
      <c r="C89" s="39" t="s">
        <v>57</v>
      </c>
      <c r="D89" s="40" t="s">
        <v>58</v>
      </c>
      <c r="E89" s="219"/>
      <c r="F89" s="62" t="s">
        <v>216</v>
      </c>
      <c r="G89" s="62"/>
      <c r="H89" s="55">
        <v>30</v>
      </c>
      <c r="I89" s="55">
        <v>3</v>
      </c>
      <c r="J89" s="69">
        <f t="shared" si="2"/>
        <v>0.1</v>
      </c>
      <c r="K89" s="90">
        <f>+I89+'AGOSTO 2025'!K89</f>
        <v>22</v>
      </c>
      <c r="L89" s="94">
        <f t="shared" si="3"/>
        <v>0.73333333333333328</v>
      </c>
      <c r="N89"/>
      <c r="O89" s="8"/>
      <c r="P89"/>
      <c r="Q89" s="8"/>
    </row>
    <row r="90" spans="2:17" x14ac:dyDescent="0.25">
      <c r="B90" s="38">
        <v>5</v>
      </c>
      <c r="C90" s="39" t="s">
        <v>59</v>
      </c>
      <c r="D90" s="40" t="s">
        <v>60</v>
      </c>
      <c r="E90" s="219"/>
      <c r="F90" s="62" t="s">
        <v>194</v>
      </c>
      <c r="G90" s="62" t="s">
        <v>195</v>
      </c>
      <c r="H90" s="55">
        <v>30</v>
      </c>
      <c r="I90" s="55">
        <v>3</v>
      </c>
      <c r="J90" s="69">
        <f t="shared" si="2"/>
        <v>0.1</v>
      </c>
      <c r="K90" s="90">
        <f>+I90+'AGOSTO 2025'!K90</f>
        <v>22</v>
      </c>
      <c r="L90" s="94">
        <f t="shared" si="3"/>
        <v>0.73333333333333328</v>
      </c>
      <c r="N90"/>
      <c r="O90" s="8"/>
      <c r="P90"/>
      <c r="Q90" s="8"/>
    </row>
    <row r="91" spans="2:17" x14ac:dyDescent="0.25">
      <c r="B91" s="42">
        <v>8</v>
      </c>
      <c r="C91" s="43" t="s">
        <v>61</v>
      </c>
      <c r="D91" s="44" t="s">
        <v>62</v>
      </c>
      <c r="E91" s="220"/>
      <c r="F91" s="65" t="s">
        <v>196</v>
      </c>
      <c r="G91" s="65" t="s">
        <v>206</v>
      </c>
      <c r="H91" s="56">
        <v>30</v>
      </c>
      <c r="I91" s="56">
        <v>3</v>
      </c>
      <c r="J91" s="72">
        <f t="shared" si="2"/>
        <v>0.1</v>
      </c>
      <c r="K91" s="91">
        <f>+I91+'AGOSTO 2025'!K91</f>
        <v>22</v>
      </c>
      <c r="L91" s="96">
        <f t="shared" si="3"/>
        <v>0.73333333333333328</v>
      </c>
      <c r="N91"/>
      <c r="O91" s="8"/>
      <c r="P91"/>
      <c r="Q91" s="8"/>
    </row>
    <row r="92" spans="2:17" x14ac:dyDescent="0.25">
      <c r="B92" s="35">
        <v>3</v>
      </c>
      <c r="C92" s="36" t="s">
        <v>43</v>
      </c>
      <c r="D92" s="37" t="s">
        <v>44</v>
      </c>
      <c r="E92" s="228" t="s">
        <v>179</v>
      </c>
      <c r="F92" s="59" t="s">
        <v>45</v>
      </c>
      <c r="G92" s="59" t="s">
        <v>180</v>
      </c>
      <c r="H92" s="66">
        <v>18</v>
      </c>
      <c r="I92" s="66">
        <v>5</v>
      </c>
      <c r="J92" s="69">
        <f t="shared" si="2"/>
        <v>0.27777777777777779</v>
      </c>
      <c r="K92" s="103">
        <f>+I92+'AGOSTO 2025'!K92</f>
        <v>18</v>
      </c>
      <c r="L92" s="94">
        <f t="shared" si="3"/>
        <v>1</v>
      </c>
      <c r="N92"/>
      <c r="O92" s="8"/>
      <c r="P92"/>
      <c r="Q92" s="8"/>
    </row>
    <row r="93" spans="2:17" x14ac:dyDescent="0.25">
      <c r="B93" s="38">
        <v>3</v>
      </c>
      <c r="C93" s="39" t="s">
        <v>46</v>
      </c>
      <c r="D93" s="40" t="s">
        <v>47</v>
      </c>
      <c r="E93" s="229"/>
      <c r="F93" s="61" t="s">
        <v>48</v>
      </c>
      <c r="G93" s="61" t="s">
        <v>181</v>
      </c>
      <c r="H93" s="68">
        <v>16</v>
      </c>
      <c r="I93" s="55">
        <v>2</v>
      </c>
      <c r="J93" s="69">
        <f t="shared" si="2"/>
        <v>0.125</v>
      </c>
      <c r="K93" s="90">
        <f>+I93+'AGOSTO 2025'!K93</f>
        <v>16</v>
      </c>
      <c r="L93" s="94">
        <f t="shared" si="3"/>
        <v>1</v>
      </c>
      <c r="N93"/>
      <c r="O93" s="8"/>
      <c r="P93"/>
      <c r="Q93" s="8"/>
    </row>
    <row r="94" spans="2:17" x14ac:dyDescent="0.25">
      <c r="B94" s="38">
        <v>3</v>
      </c>
      <c r="C94" s="39" t="s">
        <v>98</v>
      </c>
      <c r="D94" s="40" t="s">
        <v>99</v>
      </c>
      <c r="E94" s="229"/>
      <c r="F94" s="61" t="s">
        <v>48</v>
      </c>
      <c r="G94" s="61" t="s">
        <v>197</v>
      </c>
      <c r="H94" s="55">
        <v>16</v>
      </c>
      <c r="I94" s="70">
        <v>2</v>
      </c>
      <c r="J94" s="69">
        <f t="shared" si="2"/>
        <v>0.125</v>
      </c>
      <c r="K94" s="90">
        <f>+I94+'AGOSTO 2025'!K94</f>
        <v>16</v>
      </c>
      <c r="L94" s="94">
        <f t="shared" si="3"/>
        <v>1</v>
      </c>
      <c r="N94"/>
      <c r="O94" s="8"/>
      <c r="P94"/>
      <c r="Q94" s="8"/>
    </row>
    <row r="95" spans="2:17" x14ac:dyDescent="0.25">
      <c r="B95" s="38">
        <v>3</v>
      </c>
      <c r="C95" s="39" t="s">
        <v>49</v>
      </c>
      <c r="D95" s="40" t="s">
        <v>50</v>
      </c>
      <c r="E95" s="229"/>
      <c r="F95" s="61" t="s">
        <v>51</v>
      </c>
      <c r="G95" s="61" t="s">
        <v>197</v>
      </c>
      <c r="H95" s="55">
        <v>16</v>
      </c>
      <c r="I95" s="55">
        <v>2</v>
      </c>
      <c r="J95" s="69">
        <f t="shared" si="2"/>
        <v>0.125</v>
      </c>
      <c r="K95" s="90">
        <f>+I95+'AGOSTO 2025'!K95</f>
        <v>16</v>
      </c>
      <c r="L95" s="94">
        <f t="shared" si="3"/>
        <v>1</v>
      </c>
      <c r="N95"/>
      <c r="O95" s="8"/>
      <c r="P95"/>
      <c r="Q95" s="8"/>
    </row>
    <row r="96" spans="2:17" x14ac:dyDescent="0.25">
      <c r="B96" s="38">
        <v>3</v>
      </c>
      <c r="C96" s="39" t="s">
        <v>52</v>
      </c>
      <c r="D96" s="40" t="s">
        <v>53</v>
      </c>
      <c r="E96" s="229"/>
      <c r="F96" s="61" t="s">
        <v>54</v>
      </c>
      <c r="G96" s="61" t="s">
        <v>198</v>
      </c>
      <c r="H96" s="55">
        <v>16</v>
      </c>
      <c r="I96" s="55">
        <v>2</v>
      </c>
      <c r="J96" s="69">
        <f t="shared" si="2"/>
        <v>0.125</v>
      </c>
      <c r="K96" s="90">
        <f>+I96+'AGOSTO 2025'!K96</f>
        <v>16</v>
      </c>
      <c r="L96" s="94">
        <f t="shared" si="3"/>
        <v>1</v>
      </c>
      <c r="N96"/>
      <c r="O96" s="8"/>
      <c r="P96"/>
      <c r="Q96" s="8"/>
    </row>
    <row r="97" spans="2:17" x14ac:dyDescent="0.25">
      <c r="B97" s="38">
        <v>3</v>
      </c>
      <c r="C97" s="39" t="s">
        <v>55</v>
      </c>
      <c r="D97" s="40" t="s">
        <v>56</v>
      </c>
      <c r="E97" s="229"/>
      <c r="F97" s="61" t="s">
        <v>54</v>
      </c>
      <c r="G97" s="129" t="s">
        <v>244</v>
      </c>
      <c r="H97" s="55">
        <v>16</v>
      </c>
      <c r="I97" s="55">
        <v>3</v>
      </c>
      <c r="J97" s="69">
        <f t="shared" si="2"/>
        <v>0.1875</v>
      </c>
      <c r="K97" s="90">
        <f>+I97+'AGOSTO 2025'!K97</f>
        <v>16</v>
      </c>
      <c r="L97" s="94">
        <f t="shared" si="3"/>
        <v>1</v>
      </c>
      <c r="N97"/>
      <c r="O97" s="8"/>
      <c r="P97"/>
      <c r="Q97" s="8"/>
    </row>
    <row r="98" spans="2:17" x14ac:dyDescent="0.25">
      <c r="B98" s="38">
        <v>5</v>
      </c>
      <c r="C98" s="39" t="s">
        <v>57</v>
      </c>
      <c r="D98" s="40" t="s">
        <v>58</v>
      </c>
      <c r="E98" s="229"/>
      <c r="F98" s="127" t="s">
        <v>54</v>
      </c>
      <c r="G98" s="61" t="s">
        <v>244</v>
      </c>
      <c r="H98" s="128">
        <v>16</v>
      </c>
      <c r="I98" s="55">
        <v>3</v>
      </c>
      <c r="J98" s="69">
        <f t="shared" si="2"/>
        <v>0.1875</v>
      </c>
      <c r="K98" s="90">
        <f>+I98+'AGOSTO 2025'!K98</f>
        <v>16</v>
      </c>
      <c r="L98" s="94">
        <f t="shared" si="3"/>
        <v>1</v>
      </c>
      <c r="N98"/>
      <c r="O98" s="8"/>
      <c r="P98"/>
      <c r="Q98" s="8"/>
    </row>
    <row r="99" spans="2:17" s="16" customFormat="1" x14ac:dyDescent="0.25">
      <c r="B99" s="38">
        <v>5</v>
      </c>
      <c r="C99" s="39" t="s">
        <v>118</v>
      </c>
      <c r="D99" s="40" t="s">
        <v>119</v>
      </c>
      <c r="E99" s="229"/>
      <c r="F99" s="61" t="s">
        <v>54</v>
      </c>
      <c r="G99" s="130" t="s">
        <v>180</v>
      </c>
      <c r="H99" s="55">
        <v>16</v>
      </c>
      <c r="I99" s="55">
        <v>2</v>
      </c>
      <c r="J99" s="69">
        <f t="shared" si="2"/>
        <v>0.125</v>
      </c>
      <c r="K99" s="90">
        <f>+I99+'AGOSTO 2025'!K99</f>
        <v>16</v>
      </c>
      <c r="L99" s="94">
        <f t="shared" si="3"/>
        <v>1</v>
      </c>
      <c r="N99" s="41"/>
      <c r="P99" s="41"/>
    </row>
    <row r="100" spans="2:17" x14ac:dyDescent="0.25">
      <c r="B100" s="38">
        <v>5</v>
      </c>
      <c r="C100" s="39" t="s">
        <v>120</v>
      </c>
      <c r="D100" s="40" t="s">
        <v>121</v>
      </c>
      <c r="E100" s="229"/>
      <c r="F100" s="61" t="s">
        <v>54</v>
      </c>
      <c r="G100" s="61" t="s">
        <v>245</v>
      </c>
      <c r="H100" s="68">
        <v>18</v>
      </c>
      <c r="I100" s="55">
        <v>3</v>
      </c>
      <c r="J100" s="69">
        <f t="shared" si="2"/>
        <v>0.16666666666666666</v>
      </c>
      <c r="K100" s="90">
        <f>+I100+'AGOSTO 2025'!K100</f>
        <v>18</v>
      </c>
      <c r="L100" s="94">
        <f t="shared" si="3"/>
        <v>1</v>
      </c>
      <c r="N100"/>
      <c r="O100" s="8"/>
      <c r="P100"/>
      <c r="Q100" s="8"/>
    </row>
    <row r="101" spans="2:17" x14ac:dyDescent="0.25">
      <c r="B101" s="38">
        <v>5</v>
      </c>
      <c r="C101" s="39" t="s">
        <v>122</v>
      </c>
      <c r="D101" s="40" t="s">
        <v>123</v>
      </c>
      <c r="E101" s="229"/>
      <c r="F101" s="61" t="s">
        <v>54</v>
      </c>
      <c r="G101" s="61" t="s">
        <v>246</v>
      </c>
      <c r="H101" s="55">
        <v>16</v>
      </c>
      <c r="I101" s="55">
        <v>3</v>
      </c>
      <c r="J101" s="69">
        <f t="shared" si="2"/>
        <v>0.1875</v>
      </c>
      <c r="K101" s="90">
        <f>+I101+'AGOSTO 2025'!K101</f>
        <v>16</v>
      </c>
      <c r="L101" s="94">
        <f t="shared" si="3"/>
        <v>1</v>
      </c>
      <c r="N101"/>
      <c r="O101" s="8"/>
      <c r="P101"/>
      <c r="Q101" s="8"/>
    </row>
    <row r="102" spans="2:17" x14ac:dyDescent="0.25">
      <c r="B102" s="42">
        <v>5</v>
      </c>
      <c r="C102" s="43" t="s">
        <v>59</v>
      </c>
      <c r="D102" s="44" t="s">
        <v>60</v>
      </c>
      <c r="E102" s="230"/>
      <c r="F102" s="64" t="s">
        <v>54</v>
      </c>
      <c r="G102" s="61" t="s">
        <v>246</v>
      </c>
      <c r="H102" s="56">
        <v>16</v>
      </c>
      <c r="I102" s="56">
        <v>3</v>
      </c>
      <c r="J102" s="72">
        <f t="shared" si="2"/>
        <v>0.1875</v>
      </c>
      <c r="K102" s="91">
        <f>+I102+'AGOSTO 2025'!K102</f>
        <v>16</v>
      </c>
      <c r="L102" s="96">
        <f t="shared" si="3"/>
        <v>1</v>
      </c>
      <c r="N102"/>
      <c r="O102" s="8"/>
      <c r="P102"/>
      <c r="Q102" s="8"/>
    </row>
    <row r="103" spans="2:17" x14ac:dyDescent="0.25">
      <c r="B103" s="35">
        <v>3</v>
      </c>
      <c r="C103" s="36" t="s">
        <v>43</v>
      </c>
      <c r="D103" s="37" t="s">
        <v>44</v>
      </c>
      <c r="E103" s="218" t="s">
        <v>124</v>
      </c>
      <c r="F103" s="59" t="s">
        <v>1008</v>
      </c>
      <c r="G103" s="75" t="s">
        <v>160</v>
      </c>
      <c r="H103" s="66">
        <v>13</v>
      </c>
      <c r="I103" s="66">
        <v>1</v>
      </c>
      <c r="J103" s="69">
        <f t="shared" si="2"/>
        <v>7.6923076923076927E-2</v>
      </c>
      <c r="K103" s="103">
        <f>+I103+'AGOSTO 2025'!K103</f>
        <v>13</v>
      </c>
      <c r="L103" s="94">
        <f t="shared" si="3"/>
        <v>1</v>
      </c>
      <c r="N103"/>
      <c r="O103" s="8"/>
      <c r="P103"/>
      <c r="Q103" s="8"/>
    </row>
    <row r="104" spans="2:17" x14ac:dyDescent="0.25">
      <c r="B104" s="38">
        <v>3</v>
      </c>
      <c r="C104" s="39" t="s">
        <v>46</v>
      </c>
      <c r="D104" s="40" t="s">
        <v>47</v>
      </c>
      <c r="E104" s="219"/>
      <c r="F104" s="61" t="s">
        <v>536</v>
      </c>
      <c r="G104" s="76" t="s">
        <v>161</v>
      </c>
      <c r="H104" s="68">
        <v>14</v>
      </c>
      <c r="I104" s="55">
        <v>2</v>
      </c>
      <c r="J104" s="69">
        <f t="shared" si="2"/>
        <v>0.14285714285714285</v>
      </c>
      <c r="K104" s="90">
        <f>+I104+'AGOSTO 2025'!K104</f>
        <v>14</v>
      </c>
      <c r="L104" s="94">
        <f t="shared" si="3"/>
        <v>1</v>
      </c>
      <c r="N104"/>
      <c r="O104" s="8"/>
      <c r="P104"/>
      <c r="Q104" s="8"/>
    </row>
    <row r="105" spans="2:17" x14ac:dyDescent="0.25">
      <c r="B105" s="38">
        <v>3</v>
      </c>
      <c r="C105" s="39" t="s">
        <v>98</v>
      </c>
      <c r="D105" s="40" t="s">
        <v>99</v>
      </c>
      <c r="E105" s="219"/>
      <c r="F105" s="61" t="s">
        <v>217</v>
      </c>
      <c r="G105" s="62" t="s">
        <v>160</v>
      </c>
      <c r="H105" s="55">
        <v>14</v>
      </c>
      <c r="I105" s="70">
        <v>2</v>
      </c>
      <c r="J105" s="69">
        <f t="shared" si="2"/>
        <v>0.14285714285714285</v>
      </c>
      <c r="K105" s="90">
        <f>+I105+'AGOSTO 2025'!K105</f>
        <v>14</v>
      </c>
      <c r="L105" s="94">
        <f t="shared" si="3"/>
        <v>1</v>
      </c>
      <c r="N105"/>
      <c r="O105" s="8"/>
      <c r="P105"/>
      <c r="Q105" s="8"/>
    </row>
    <row r="106" spans="2:17" x14ac:dyDescent="0.25">
      <c r="B106" s="38">
        <v>3</v>
      </c>
      <c r="C106" s="39" t="s">
        <v>49</v>
      </c>
      <c r="D106" s="40" t="s">
        <v>50</v>
      </c>
      <c r="E106" s="219"/>
      <c r="F106" s="61" t="s">
        <v>1009</v>
      </c>
      <c r="G106" s="62" t="s">
        <v>160</v>
      </c>
      <c r="H106" s="55">
        <v>16</v>
      </c>
      <c r="I106" s="55">
        <v>4</v>
      </c>
      <c r="J106" s="69">
        <f t="shared" si="2"/>
        <v>0.25</v>
      </c>
      <c r="K106" s="90">
        <f>+I106+'AGOSTO 2025'!K106</f>
        <v>16</v>
      </c>
      <c r="L106" s="94">
        <f t="shared" si="3"/>
        <v>1</v>
      </c>
      <c r="N106"/>
      <c r="O106" s="8"/>
      <c r="P106"/>
      <c r="Q106" s="8"/>
    </row>
    <row r="107" spans="2:17" x14ac:dyDescent="0.25">
      <c r="B107" s="38">
        <v>3</v>
      </c>
      <c r="C107" s="39" t="s">
        <v>52</v>
      </c>
      <c r="D107" s="40" t="s">
        <v>53</v>
      </c>
      <c r="E107" s="219"/>
      <c r="F107" s="61" t="s">
        <v>537</v>
      </c>
      <c r="G107" s="62" t="s">
        <v>160</v>
      </c>
      <c r="H107" s="55">
        <v>16</v>
      </c>
      <c r="I107" s="55">
        <v>3</v>
      </c>
      <c r="J107" s="69">
        <f t="shared" si="2"/>
        <v>0.1875</v>
      </c>
      <c r="K107" s="90">
        <f>+I107+'AGOSTO 2025'!K107</f>
        <v>16</v>
      </c>
      <c r="L107" s="94">
        <f t="shared" si="3"/>
        <v>1</v>
      </c>
      <c r="N107"/>
      <c r="O107" s="8"/>
      <c r="P107"/>
      <c r="Q107" s="8"/>
    </row>
    <row r="108" spans="2:17" x14ac:dyDescent="0.25">
      <c r="B108" s="38">
        <v>3</v>
      </c>
      <c r="C108" s="39" t="s">
        <v>55</v>
      </c>
      <c r="D108" s="40" t="s">
        <v>56</v>
      </c>
      <c r="E108" s="219"/>
      <c r="F108" s="61" t="s">
        <v>164</v>
      </c>
      <c r="G108" s="62" t="s">
        <v>160</v>
      </c>
      <c r="H108" s="55">
        <v>15</v>
      </c>
      <c r="I108" s="55">
        <v>3</v>
      </c>
      <c r="J108" s="69">
        <f t="shared" si="2"/>
        <v>0.2</v>
      </c>
      <c r="K108" s="90">
        <f>+I108+'AGOSTO 2025'!K108</f>
        <v>15</v>
      </c>
      <c r="L108" s="94">
        <f t="shared" si="3"/>
        <v>1</v>
      </c>
      <c r="N108"/>
      <c r="O108" s="8"/>
      <c r="P108"/>
      <c r="Q108" s="8"/>
    </row>
    <row r="109" spans="2:17" x14ac:dyDescent="0.25">
      <c r="B109" s="38">
        <v>5</v>
      </c>
      <c r="C109" s="39" t="s">
        <v>57</v>
      </c>
      <c r="D109" s="40" t="s">
        <v>58</v>
      </c>
      <c r="E109" s="219"/>
      <c r="F109" s="61" t="s">
        <v>538</v>
      </c>
      <c r="G109" s="62" t="s">
        <v>160</v>
      </c>
      <c r="H109" s="55">
        <v>16</v>
      </c>
      <c r="I109" s="55">
        <v>4</v>
      </c>
      <c r="J109" s="69">
        <f t="shared" si="2"/>
        <v>0.25</v>
      </c>
      <c r="K109" s="90">
        <f>+I109+'AGOSTO 2025'!K109</f>
        <v>16</v>
      </c>
      <c r="L109" s="94">
        <f t="shared" si="3"/>
        <v>1</v>
      </c>
      <c r="N109"/>
      <c r="O109" s="8"/>
      <c r="P109"/>
      <c r="Q109" s="8"/>
    </row>
    <row r="110" spans="2:17" s="16" customFormat="1" x14ac:dyDescent="0.25">
      <c r="B110" s="38">
        <v>5</v>
      </c>
      <c r="C110" s="39" t="s">
        <v>118</v>
      </c>
      <c r="D110" s="40" t="s">
        <v>119</v>
      </c>
      <c r="E110" s="219"/>
      <c r="F110" s="61" t="s">
        <v>539</v>
      </c>
      <c r="G110" s="62" t="s">
        <v>160</v>
      </c>
      <c r="H110" s="55">
        <v>16</v>
      </c>
      <c r="I110" s="55">
        <v>3</v>
      </c>
      <c r="J110" s="69">
        <f t="shared" si="2"/>
        <v>0.1875</v>
      </c>
      <c r="K110" s="90">
        <f>+I110+'AGOSTO 2025'!K110</f>
        <v>16</v>
      </c>
      <c r="L110" s="94">
        <f t="shared" si="3"/>
        <v>1</v>
      </c>
      <c r="N110" s="41"/>
      <c r="P110" s="41"/>
    </row>
    <row r="111" spans="2:17" x14ac:dyDescent="0.25">
      <c r="B111" s="38">
        <v>5</v>
      </c>
      <c r="C111" s="39" t="s">
        <v>120</v>
      </c>
      <c r="D111" s="40" t="s">
        <v>121</v>
      </c>
      <c r="E111" s="219"/>
      <c r="F111" s="61" t="s">
        <v>1010</v>
      </c>
      <c r="G111" s="62" t="s">
        <v>160</v>
      </c>
      <c r="H111" s="68">
        <v>16</v>
      </c>
      <c r="I111" s="68">
        <v>3</v>
      </c>
      <c r="J111" s="69">
        <f t="shared" si="2"/>
        <v>0.1875</v>
      </c>
      <c r="K111" s="90">
        <f>+I111+'AGOSTO 2025'!K111</f>
        <v>16</v>
      </c>
      <c r="L111" s="94">
        <f t="shared" si="3"/>
        <v>1</v>
      </c>
      <c r="N111"/>
      <c r="O111" s="8"/>
      <c r="P111"/>
      <c r="Q111" s="8"/>
    </row>
    <row r="112" spans="2:17" x14ac:dyDescent="0.25">
      <c r="B112" s="38">
        <v>5</v>
      </c>
      <c r="C112" s="39" t="s">
        <v>122</v>
      </c>
      <c r="D112" s="40" t="s">
        <v>123</v>
      </c>
      <c r="E112" s="219"/>
      <c r="F112" s="61" t="s">
        <v>273</v>
      </c>
      <c r="G112" s="62" t="s">
        <v>160</v>
      </c>
      <c r="H112" s="68">
        <v>20</v>
      </c>
      <c r="I112" s="68">
        <v>2</v>
      </c>
      <c r="J112" s="69">
        <f t="shared" si="2"/>
        <v>0.1</v>
      </c>
      <c r="K112" s="90">
        <f>+I112+'AGOSTO 2025'!K112</f>
        <v>20</v>
      </c>
      <c r="L112" s="94">
        <f t="shared" si="3"/>
        <v>1</v>
      </c>
      <c r="N112"/>
      <c r="O112" s="8"/>
      <c r="P112"/>
      <c r="Q112" s="8"/>
    </row>
    <row r="113" spans="2:17" x14ac:dyDescent="0.25">
      <c r="B113" s="42">
        <v>5</v>
      </c>
      <c r="C113" s="43" t="s">
        <v>59</v>
      </c>
      <c r="D113" s="44" t="s">
        <v>60</v>
      </c>
      <c r="E113" s="220"/>
      <c r="F113" s="64" t="s">
        <v>221</v>
      </c>
      <c r="G113" s="65" t="s">
        <v>160</v>
      </c>
      <c r="H113" s="56">
        <v>24</v>
      </c>
      <c r="I113" s="56">
        <v>3</v>
      </c>
      <c r="J113" s="72">
        <f t="shared" si="2"/>
        <v>0.125</v>
      </c>
      <c r="K113" s="91">
        <f>+I113+'AGOSTO 2025'!K113</f>
        <v>24</v>
      </c>
      <c r="L113" s="96">
        <f t="shared" si="3"/>
        <v>1</v>
      </c>
      <c r="N113"/>
      <c r="O113" s="8"/>
      <c r="P113"/>
      <c r="Q113" s="8"/>
    </row>
    <row r="114" spans="2:17" x14ac:dyDescent="0.25">
      <c r="B114" s="46">
        <v>3</v>
      </c>
      <c r="C114" s="45" t="s">
        <v>43</v>
      </c>
      <c r="D114" s="47" t="s">
        <v>44</v>
      </c>
      <c r="E114" s="231" t="s">
        <v>128</v>
      </c>
      <c r="F114" s="59" t="s">
        <v>45</v>
      </c>
      <c r="G114" s="60" t="s">
        <v>125</v>
      </c>
      <c r="H114" s="66">
        <v>20</v>
      </c>
      <c r="I114" s="66">
        <v>4</v>
      </c>
      <c r="J114" s="69">
        <f t="shared" si="2"/>
        <v>0.2</v>
      </c>
      <c r="K114" s="103">
        <f>+I114+'AGOSTO 2025'!K114</f>
        <v>20</v>
      </c>
      <c r="L114" s="94">
        <f t="shared" si="3"/>
        <v>1</v>
      </c>
      <c r="N114"/>
      <c r="O114" s="8"/>
      <c r="P114"/>
      <c r="Q114" s="8"/>
    </row>
    <row r="115" spans="2:17" x14ac:dyDescent="0.25">
      <c r="B115" s="38">
        <v>3</v>
      </c>
      <c r="C115" s="39" t="s">
        <v>46</v>
      </c>
      <c r="D115" s="40" t="s">
        <v>47</v>
      </c>
      <c r="E115" s="219"/>
      <c r="F115" s="61" t="s">
        <v>48</v>
      </c>
      <c r="G115" s="74" t="s">
        <v>200</v>
      </c>
      <c r="H115" s="68">
        <v>14</v>
      </c>
      <c r="I115" s="55">
        <v>2</v>
      </c>
      <c r="J115" s="69">
        <f t="shared" si="2"/>
        <v>0.14285714285714285</v>
      </c>
      <c r="K115" s="90">
        <f>+I115+'AGOSTO 2025'!K115</f>
        <v>14</v>
      </c>
      <c r="L115" s="94">
        <f t="shared" si="3"/>
        <v>1</v>
      </c>
      <c r="N115"/>
      <c r="O115" s="8"/>
      <c r="P115"/>
      <c r="Q115" s="8"/>
    </row>
    <row r="116" spans="2:17" x14ac:dyDescent="0.25">
      <c r="B116" s="38">
        <v>3</v>
      </c>
      <c r="C116" s="39" t="s">
        <v>98</v>
      </c>
      <c r="D116" s="40" t="s">
        <v>99</v>
      </c>
      <c r="E116" s="219"/>
      <c r="F116" s="61" t="s">
        <v>48</v>
      </c>
      <c r="G116" s="62" t="s">
        <v>125</v>
      </c>
      <c r="H116" s="55">
        <v>28</v>
      </c>
      <c r="I116" s="70">
        <v>5</v>
      </c>
      <c r="J116" s="69">
        <f t="shared" si="2"/>
        <v>0.17857142857142858</v>
      </c>
      <c r="K116" s="90">
        <f>+I116+'AGOSTO 2025'!K116</f>
        <v>28</v>
      </c>
      <c r="L116" s="94">
        <f t="shared" si="3"/>
        <v>1</v>
      </c>
      <c r="N116"/>
      <c r="O116" s="8"/>
      <c r="P116"/>
      <c r="Q116" s="8"/>
    </row>
    <row r="117" spans="2:17" x14ac:dyDescent="0.25">
      <c r="B117" s="38">
        <v>3</v>
      </c>
      <c r="C117" s="39" t="s">
        <v>49</v>
      </c>
      <c r="D117" s="40" t="s">
        <v>50</v>
      </c>
      <c r="E117" s="219"/>
      <c r="F117" s="61" t="s">
        <v>51</v>
      </c>
      <c r="G117" s="62" t="s">
        <v>125</v>
      </c>
      <c r="H117" s="55">
        <v>16</v>
      </c>
      <c r="I117" s="55">
        <v>2</v>
      </c>
      <c r="J117" s="69">
        <f t="shared" si="2"/>
        <v>0.125</v>
      </c>
      <c r="K117" s="90">
        <f>+I117+'AGOSTO 2025'!K117</f>
        <v>16</v>
      </c>
      <c r="L117" s="94">
        <f t="shared" si="3"/>
        <v>1</v>
      </c>
      <c r="N117"/>
      <c r="O117" s="8"/>
      <c r="P117"/>
      <c r="Q117" s="8"/>
    </row>
    <row r="118" spans="2:17" x14ac:dyDescent="0.25">
      <c r="B118" s="38">
        <v>3</v>
      </c>
      <c r="C118" s="39" t="s">
        <v>52</v>
      </c>
      <c r="D118" s="40" t="s">
        <v>53</v>
      </c>
      <c r="E118" s="219"/>
      <c r="F118" s="61" t="s">
        <v>54</v>
      </c>
      <c r="G118" s="62" t="s">
        <v>209</v>
      </c>
      <c r="H118" s="55">
        <v>16</v>
      </c>
      <c r="I118" s="55">
        <v>1</v>
      </c>
      <c r="J118" s="69">
        <f t="shared" si="2"/>
        <v>6.25E-2</v>
      </c>
      <c r="K118" s="90">
        <f>+I118+'AGOSTO 2025'!K118</f>
        <v>16</v>
      </c>
      <c r="L118" s="94">
        <f t="shared" si="3"/>
        <v>1</v>
      </c>
      <c r="N118"/>
      <c r="O118" s="8"/>
      <c r="P118"/>
      <c r="Q118" s="8"/>
    </row>
    <row r="119" spans="2:17" s="16" customFormat="1" x14ac:dyDescent="0.25">
      <c r="B119" s="38">
        <v>3</v>
      </c>
      <c r="C119" s="39" t="s">
        <v>55</v>
      </c>
      <c r="D119" s="40" t="s">
        <v>56</v>
      </c>
      <c r="E119" s="219"/>
      <c r="F119" s="61" t="s">
        <v>54</v>
      </c>
      <c r="G119" s="62" t="s">
        <v>126</v>
      </c>
      <c r="H119" s="55">
        <v>12</v>
      </c>
      <c r="I119" s="55">
        <v>1</v>
      </c>
      <c r="J119" s="69">
        <f t="shared" si="2"/>
        <v>8.3333333333333329E-2</v>
      </c>
      <c r="K119" s="90">
        <f>+I119+'AGOSTO 2025'!K119</f>
        <v>12</v>
      </c>
      <c r="L119" s="94">
        <f t="shared" si="3"/>
        <v>1</v>
      </c>
      <c r="N119" s="41"/>
      <c r="P119" s="41"/>
    </row>
    <row r="120" spans="2:17" x14ac:dyDescent="0.25">
      <c r="B120" s="38">
        <v>5</v>
      </c>
      <c r="C120" s="39" t="s">
        <v>57</v>
      </c>
      <c r="D120" s="40" t="s">
        <v>58</v>
      </c>
      <c r="E120" s="219"/>
      <c r="F120" s="73" t="s">
        <v>54</v>
      </c>
      <c r="G120" s="62" t="s">
        <v>126</v>
      </c>
      <c r="H120" s="55">
        <v>24</v>
      </c>
      <c r="I120" s="55">
        <v>5</v>
      </c>
      <c r="J120" s="69">
        <f t="shared" si="2"/>
        <v>0.20833333333333334</v>
      </c>
      <c r="K120" s="90">
        <f>+I120+'AGOSTO 2025'!K120</f>
        <v>24</v>
      </c>
      <c r="L120" s="94">
        <f t="shared" si="3"/>
        <v>1</v>
      </c>
      <c r="N120"/>
      <c r="O120" s="8"/>
      <c r="P120"/>
      <c r="Q120" s="8"/>
    </row>
    <row r="121" spans="2:17" x14ac:dyDescent="0.25">
      <c r="B121" s="38">
        <v>5</v>
      </c>
      <c r="C121" s="39" t="s">
        <v>59</v>
      </c>
      <c r="D121" s="40" t="s">
        <v>60</v>
      </c>
      <c r="E121" s="219"/>
      <c r="F121" s="61" t="s">
        <v>54</v>
      </c>
      <c r="G121" s="62" t="s">
        <v>210</v>
      </c>
      <c r="H121" s="55">
        <v>26</v>
      </c>
      <c r="I121" s="55">
        <v>4</v>
      </c>
      <c r="J121" s="69">
        <f t="shared" si="2"/>
        <v>0.15384615384615385</v>
      </c>
      <c r="K121" s="90">
        <f>+I121+'AGOSTO 2025'!K121</f>
        <v>26</v>
      </c>
      <c r="L121" s="94">
        <f t="shared" si="3"/>
        <v>1</v>
      </c>
      <c r="N121"/>
      <c r="O121" s="8"/>
      <c r="P121"/>
      <c r="Q121" s="8"/>
    </row>
    <row r="122" spans="2:17" x14ac:dyDescent="0.25">
      <c r="B122" s="42">
        <v>8</v>
      </c>
      <c r="C122" s="43" t="s">
        <v>61</v>
      </c>
      <c r="D122" s="44" t="s">
        <v>62</v>
      </c>
      <c r="E122" s="220"/>
      <c r="F122" s="64" t="s">
        <v>63</v>
      </c>
      <c r="G122" s="65" t="s">
        <v>127</v>
      </c>
      <c r="H122" s="56">
        <v>24</v>
      </c>
      <c r="I122" s="56">
        <v>6</v>
      </c>
      <c r="J122" s="72">
        <f t="shared" si="2"/>
        <v>0.25</v>
      </c>
      <c r="K122" s="91">
        <f>+I122+'AGOSTO 2025'!K122</f>
        <v>24</v>
      </c>
      <c r="L122" s="96">
        <f t="shared" si="3"/>
        <v>1</v>
      </c>
      <c r="N122"/>
      <c r="O122" s="8"/>
      <c r="P122"/>
      <c r="Q122" s="8"/>
    </row>
    <row r="123" spans="2:17" x14ac:dyDescent="0.25">
      <c r="B123" s="35">
        <v>1</v>
      </c>
      <c r="C123" s="36" t="s">
        <v>74</v>
      </c>
      <c r="D123" s="37" t="s">
        <v>75</v>
      </c>
      <c r="E123" s="218" t="s">
        <v>143</v>
      </c>
      <c r="F123" s="59" t="s">
        <v>48</v>
      </c>
      <c r="G123" s="60" t="s">
        <v>129</v>
      </c>
      <c r="H123" s="66">
        <v>14</v>
      </c>
      <c r="I123" s="66">
        <v>2</v>
      </c>
      <c r="J123" s="69">
        <f t="shared" si="2"/>
        <v>0.14285714285714285</v>
      </c>
      <c r="K123" s="103">
        <f>+I123+'AGOSTO 2025'!K123</f>
        <v>14</v>
      </c>
      <c r="L123" s="94">
        <f t="shared" si="3"/>
        <v>1</v>
      </c>
      <c r="N123"/>
      <c r="O123" s="8"/>
      <c r="P123"/>
      <c r="Q123" s="8"/>
    </row>
    <row r="124" spans="2:17" x14ac:dyDescent="0.25">
      <c r="B124" s="38">
        <v>1</v>
      </c>
      <c r="C124" s="39" t="s">
        <v>77</v>
      </c>
      <c r="D124" s="40" t="s">
        <v>78</v>
      </c>
      <c r="E124" s="219"/>
      <c r="F124" s="61" t="s">
        <v>227</v>
      </c>
      <c r="G124" s="62" t="s">
        <v>130</v>
      </c>
      <c r="H124" s="68">
        <v>14</v>
      </c>
      <c r="I124" s="55">
        <v>2</v>
      </c>
      <c r="J124" s="69">
        <f t="shared" si="2"/>
        <v>0.14285714285714285</v>
      </c>
      <c r="K124" s="90">
        <f>+I124+'AGOSTO 2025'!K124</f>
        <v>14</v>
      </c>
      <c r="L124" s="94">
        <f t="shared" si="3"/>
        <v>1</v>
      </c>
      <c r="N124"/>
      <c r="O124" s="8"/>
      <c r="P124"/>
      <c r="Q124" s="8"/>
    </row>
    <row r="125" spans="2:17" x14ac:dyDescent="0.25">
      <c r="B125" s="38">
        <v>1</v>
      </c>
      <c r="C125" s="39" t="s">
        <v>79</v>
      </c>
      <c r="D125" s="40" t="s">
        <v>80</v>
      </c>
      <c r="E125" s="219"/>
      <c r="F125" s="61" t="s">
        <v>228</v>
      </c>
      <c r="G125" s="62" t="s">
        <v>131</v>
      </c>
      <c r="H125" s="55">
        <v>16</v>
      </c>
      <c r="I125" s="70">
        <v>3</v>
      </c>
      <c r="J125" s="69">
        <f t="shared" si="2"/>
        <v>0.1875</v>
      </c>
      <c r="K125" s="90">
        <f>+I125+'AGOSTO 2025'!K125</f>
        <v>16</v>
      </c>
      <c r="L125" s="94">
        <f t="shared" si="3"/>
        <v>1</v>
      </c>
      <c r="N125"/>
      <c r="O125" s="8"/>
      <c r="P125"/>
      <c r="Q125" s="8"/>
    </row>
    <row r="126" spans="2:17" x14ac:dyDescent="0.25">
      <c r="B126" s="38">
        <v>1</v>
      </c>
      <c r="C126" s="39" t="s">
        <v>82</v>
      </c>
      <c r="D126" s="40" t="s">
        <v>83</v>
      </c>
      <c r="E126" s="219"/>
      <c r="F126" s="61" t="s">
        <v>132</v>
      </c>
      <c r="G126" s="62" t="s">
        <v>32</v>
      </c>
      <c r="H126" s="55">
        <v>18</v>
      </c>
      <c r="I126" s="55">
        <v>3</v>
      </c>
      <c r="J126" s="69">
        <f t="shared" si="2"/>
        <v>0.16666666666666666</v>
      </c>
      <c r="K126" s="90">
        <f>+I126+'AGOSTO 2025'!K126</f>
        <v>18</v>
      </c>
      <c r="L126" s="94">
        <f t="shared" si="3"/>
        <v>1</v>
      </c>
      <c r="N126"/>
      <c r="O126" s="8"/>
      <c r="P126"/>
      <c r="Q126" s="8"/>
    </row>
    <row r="127" spans="2:17" x14ac:dyDescent="0.25">
      <c r="B127" s="38">
        <v>1</v>
      </c>
      <c r="C127" s="39" t="s">
        <v>84</v>
      </c>
      <c r="D127" s="40" t="s">
        <v>85</v>
      </c>
      <c r="E127" s="219"/>
      <c r="F127" s="61" t="s">
        <v>133</v>
      </c>
      <c r="G127" s="62" t="s">
        <v>134</v>
      </c>
      <c r="H127" s="55">
        <v>24</v>
      </c>
      <c r="I127" s="55">
        <v>4</v>
      </c>
      <c r="J127" s="69">
        <f t="shared" si="2"/>
        <v>0.16666666666666666</v>
      </c>
      <c r="K127" s="90">
        <f>+I127+'AGOSTO 2025'!K127</f>
        <v>24</v>
      </c>
      <c r="L127" s="94">
        <f t="shared" si="3"/>
        <v>1</v>
      </c>
      <c r="N127"/>
      <c r="O127" s="8"/>
      <c r="P127"/>
      <c r="Q127" s="8"/>
    </row>
    <row r="128" spans="2:17" x14ac:dyDescent="0.25">
      <c r="B128" s="38">
        <v>1</v>
      </c>
      <c r="C128" s="39" t="s">
        <v>86</v>
      </c>
      <c r="D128" s="40" t="s">
        <v>87</v>
      </c>
      <c r="E128" s="219"/>
      <c r="F128" s="61" t="s">
        <v>135</v>
      </c>
      <c r="G128" s="62" t="s">
        <v>136</v>
      </c>
      <c r="H128" s="55">
        <v>16</v>
      </c>
      <c r="I128" s="55">
        <v>3</v>
      </c>
      <c r="J128" s="69">
        <f t="shared" si="2"/>
        <v>0.1875</v>
      </c>
      <c r="K128" s="90">
        <f>+I128+'AGOSTO 2025'!K128</f>
        <v>16</v>
      </c>
      <c r="L128" s="94">
        <f t="shared" si="3"/>
        <v>1</v>
      </c>
      <c r="N128"/>
      <c r="O128" s="8"/>
      <c r="P128"/>
      <c r="Q128" s="8"/>
    </row>
    <row r="129" spans="2:17" x14ac:dyDescent="0.25">
      <c r="B129" s="38">
        <v>1</v>
      </c>
      <c r="C129" s="39" t="s">
        <v>89</v>
      </c>
      <c r="D129" s="40" t="s">
        <v>90</v>
      </c>
      <c r="E129" s="219"/>
      <c r="F129" s="61" t="s">
        <v>137</v>
      </c>
      <c r="G129" s="62" t="s">
        <v>130</v>
      </c>
      <c r="H129" s="55">
        <v>18</v>
      </c>
      <c r="I129" s="55">
        <v>3</v>
      </c>
      <c r="J129" s="69">
        <f t="shared" si="2"/>
        <v>0.16666666666666666</v>
      </c>
      <c r="K129" s="90">
        <f>+I129+'AGOSTO 2025'!K129</f>
        <v>18</v>
      </c>
      <c r="L129" s="94">
        <f t="shared" si="3"/>
        <v>1</v>
      </c>
      <c r="N129"/>
      <c r="O129" s="8"/>
      <c r="P129"/>
      <c r="Q129" s="8"/>
    </row>
    <row r="130" spans="2:17" s="16" customFormat="1" x14ac:dyDescent="0.25">
      <c r="B130" s="38">
        <v>1</v>
      </c>
      <c r="C130" s="39" t="s">
        <v>92</v>
      </c>
      <c r="D130" s="40" t="s">
        <v>93</v>
      </c>
      <c r="E130" s="219"/>
      <c r="F130" s="61" t="s">
        <v>138</v>
      </c>
      <c r="G130" s="62" t="s">
        <v>136</v>
      </c>
      <c r="H130" s="55">
        <v>16</v>
      </c>
      <c r="I130" s="55">
        <v>3</v>
      </c>
      <c r="J130" s="69">
        <f t="shared" si="2"/>
        <v>0.1875</v>
      </c>
      <c r="K130" s="90">
        <f>+I130+'AGOSTO 2025'!K130</f>
        <v>16</v>
      </c>
      <c r="L130" s="94">
        <f t="shared" si="3"/>
        <v>1</v>
      </c>
      <c r="N130" s="41"/>
      <c r="P130" s="41"/>
    </row>
    <row r="131" spans="2:17" x14ac:dyDescent="0.25">
      <c r="B131" s="38">
        <v>1</v>
      </c>
      <c r="C131" s="39" t="s">
        <v>95</v>
      </c>
      <c r="D131" s="40" t="s">
        <v>96</v>
      </c>
      <c r="E131" s="219"/>
      <c r="F131" s="61" t="s">
        <v>139</v>
      </c>
      <c r="G131" s="62" t="s">
        <v>129</v>
      </c>
      <c r="H131" s="68">
        <v>10</v>
      </c>
      <c r="I131" s="55">
        <v>2</v>
      </c>
      <c r="J131" s="69">
        <f t="shared" si="2"/>
        <v>0.2</v>
      </c>
      <c r="K131" s="90">
        <f>+I131+'AGOSTO 2025'!K131</f>
        <v>10</v>
      </c>
      <c r="L131" s="94">
        <f t="shared" si="3"/>
        <v>1</v>
      </c>
      <c r="N131"/>
      <c r="O131" s="8"/>
      <c r="P131"/>
      <c r="Q131" s="8"/>
    </row>
    <row r="132" spans="2:17" x14ac:dyDescent="0.25">
      <c r="B132" s="38">
        <v>2</v>
      </c>
      <c r="C132" s="39" t="s">
        <v>140</v>
      </c>
      <c r="D132" s="40" t="s">
        <v>141</v>
      </c>
      <c r="E132" s="219"/>
      <c r="F132" s="61" t="s">
        <v>135</v>
      </c>
      <c r="G132" s="62" t="s">
        <v>130</v>
      </c>
      <c r="H132" s="55">
        <v>14</v>
      </c>
      <c r="I132" s="55">
        <v>2</v>
      </c>
      <c r="J132" s="69">
        <f t="shared" si="2"/>
        <v>0.14285714285714285</v>
      </c>
      <c r="K132" s="90">
        <f>+I132+'AGOSTO 2025'!K132</f>
        <v>14</v>
      </c>
      <c r="L132" s="94">
        <f t="shared" si="3"/>
        <v>1</v>
      </c>
      <c r="N132"/>
      <c r="O132" s="8"/>
      <c r="P132"/>
      <c r="Q132" s="8"/>
    </row>
    <row r="133" spans="2:17" x14ac:dyDescent="0.25">
      <c r="B133" s="42">
        <v>2</v>
      </c>
      <c r="C133" s="43" t="s">
        <v>57</v>
      </c>
      <c r="D133" s="44" t="s">
        <v>58</v>
      </c>
      <c r="E133" s="220"/>
      <c r="F133" s="64" t="s">
        <v>54</v>
      </c>
      <c r="G133" s="65" t="s">
        <v>142</v>
      </c>
      <c r="H133" s="56">
        <v>20</v>
      </c>
      <c r="I133" s="56">
        <v>3</v>
      </c>
      <c r="J133" s="72">
        <f t="shared" si="2"/>
        <v>0.15</v>
      </c>
      <c r="K133" s="91">
        <f>+I133+'AGOSTO 2025'!K133</f>
        <v>20</v>
      </c>
      <c r="L133" s="96">
        <f t="shared" si="3"/>
        <v>1</v>
      </c>
      <c r="N133"/>
      <c r="O133" s="8"/>
      <c r="P133"/>
      <c r="Q133" s="8"/>
    </row>
    <row r="134" spans="2:17" x14ac:dyDescent="0.25">
      <c r="B134" s="35">
        <v>1</v>
      </c>
      <c r="C134" s="36" t="s">
        <v>144</v>
      </c>
      <c r="D134" s="37" t="s">
        <v>145</v>
      </c>
      <c r="E134" s="228" t="s">
        <v>205</v>
      </c>
      <c r="F134" s="61" t="s">
        <v>1102</v>
      </c>
      <c r="G134" s="60" t="s">
        <v>32</v>
      </c>
      <c r="H134" s="66">
        <v>20</v>
      </c>
      <c r="I134" s="66">
        <v>2</v>
      </c>
      <c r="J134" s="69">
        <f t="shared" si="2"/>
        <v>0.1</v>
      </c>
      <c r="K134" s="103">
        <f>+I134+'AGOSTO 2025'!K134</f>
        <v>20</v>
      </c>
      <c r="L134" s="94">
        <f t="shared" si="3"/>
        <v>1</v>
      </c>
      <c r="N134"/>
      <c r="O134" s="8"/>
      <c r="P134"/>
      <c r="Q134" s="8"/>
    </row>
    <row r="135" spans="2:17" x14ac:dyDescent="0.25">
      <c r="B135" s="38">
        <v>1</v>
      </c>
      <c r="C135" s="39" t="s">
        <v>74</v>
      </c>
      <c r="D135" s="40" t="s">
        <v>75</v>
      </c>
      <c r="E135" s="229"/>
      <c r="F135" s="61" t="s">
        <v>223</v>
      </c>
      <c r="G135" s="62" t="s">
        <v>32</v>
      </c>
      <c r="H135" s="68">
        <v>20</v>
      </c>
      <c r="I135" s="55">
        <v>3</v>
      </c>
      <c r="J135" s="69">
        <f t="shared" si="2"/>
        <v>0.15</v>
      </c>
      <c r="K135" s="90">
        <f>+I135+'AGOSTO 2025'!K135</f>
        <v>20</v>
      </c>
      <c r="L135" s="94">
        <f t="shared" si="3"/>
        <v>1</v>
      </c>
      <c r="N135"/>
      <c r="O135" s="8"/>
      <c r="P135"/>
      <c r="Q135" s="8"/>
    </row>
    <row r="136" spans="2:17" x14ac:dyDescent="0.25">
      <c r="B136" s="38">
        <v>1</v>
      </c>
      <c r="C136" s="39" t="s">
        <v>77</v>
      </c>
      <c r="D136" s="40" t="s">
        <v>78</v>
      </c>
      <c r="E136" s="229"/>
      <c r="F136" s="61" t="s">
        <v>1103</v>
      </c>
      <c r="G136" s="63" t="s">
        <v>32</v>
      </c>
      <c r="H136" s="55">
        <v>20</v>
      </c>
      <c r="I136" s="70">
        <v>4</v>
      </c>
      <c r="J136" s="69">
        <f t="shared" si="2"/>
        <v>0.2</v>
      </c>
      <c r="K136" s="90">
        <f>+I136+'AGOSTO 2025'!K136</f>
        <v>20</v>
      </c>
      <c r="L136" s="94">
        <f t="shared" si="3"/>
        <v>1</v>
      </c>
      <c r="N136"/>
      <c r="O136" s="8"/>
      <c r="P136"/>
      <c r="Q136" s="8"/>
    </row>
    <row r="137" spans="2:17" x14ac:dyDescent="0.25">
      <c r="B137" s="38">
        <v>1</v>
      </c>
      <c r="C137" s="39" t="s">
        <v>79</v>
      </c>
      <c r="D137" s="40" t="s">
        <v>80</v>
      </c>
      <c r="E137" s="229"/>
      <c r="F137" s="61" t="s">
        <v>808</v>
      </c>
      <c r="G137" s="62" t="s">
        <v>32</v>
      </c>
      <c r="H137" s="55">
        <v>20</v>
      </c>
      <c r="I137" s="55">
        <v>2</v>
      </c>
      <c r="J137" s="69">
        <f t="shared" si="2"/>
        <v>0.1</v>
      </c>
      <c r="K137" s="90">
        <f>+I137+'AGOSTO 2025'!K137</f>
        <v>20</v>
      </c>
      <c r="L137" s="94">
        <f t="shared" si="3"/>
        <v>1</v>
      </c>
      <c r="N137"/>
      <c r="O137" s="8"/>
      <c r="P137"/>
      <c r="Q137" s="8"/>
    </row>
    <row r="138" spans="2:17" x14ac:dyDescent="0.25">
      <c r="B138" s="38">
        <v>1</v>
      </c>
      <c r="C138" s="39" t="s">
        <v>82</v>
      </c>
      <c r="D138" s="40" t="s">
        <v>83</v>
      </c>
      <c r="E138" s="229"/>
      <c r="F138" s="61" t="s">
        <v>229</v>
      </c>
      <c r="G138" s="62" t="s">
        <v>172</v>
      </c>
      <c r="H138" s="55">
        <v>2</v>
      </c>
      <c r="I138" s="55">
        <v>0</v>
      </c>
      <c r="J138" s="69">
        <f t="shared" si="2"/>
        <v>0</v>
      </c>
      <c r="K138" s="90">
        <f>+I138+'AGOSTO 2025'!K138</f>
        <v>2</v>
      </c>
      <c r="L138" s="94">
        <f t="shared" si="3"/>
        <v>1</v>
      </c>
      <c r="N138"/>
      <c r="O138" s="8"/>
      <c r="P138"/>
      <c r="Q138" s="8"/>
    </row>
    <row r="139" spans="2:17" x14ac:dyDescent="0.25">
      <c r="B139" s="38">
        <v>1</v>
      </c>
      <c r="C139" s="39" t="s">
        <v>84</v>
      </c>
      <c r="D139" s="40" t="s">
        <v>85</v>
      </c>
      <c r="E139" s="229"/>
      <c r="F139" s="61" t="s">
        <v>1104</v>
      </c>
      <c r="G139" s="62" t="s">
        <v>32</v>
      </c>
      <c r="H139" s="55">
        <v>40</v>
      </c>
      <c r="I139" s="55">
        <v>11</v>
      </c>
      <c r="J139" s="69">
        <f t="shared" si="2"/>
        <v>0.27500000000000002</v>
      </c>
      <c r="K139" s="90">
        <f>+I139+'AGOSTO 2025'!K139</f>
        <v>40</v>
      </c>
      <c r="L139" s="94">
        <f t="shared" si="3"/>
        <v>1</v>
      </c>
      <c r="N139"/>
      <c r="O139" s="8"/>
      <c r="P139"/>
      <c r="Q139" s="8"/>
    </row>
    <row r="140" spans="2:17" x14ac:dyDescent="0.25">
      <c r="B140" s="38">
        <v>1</v>
      </c>
      <c r="C140" s="39" t="s">
        <v>86</v>
      </c>
      <c r="D140" s="40" t="s">
        <v>87</v>
      </c>
      <c r="E140" s="229"/>
      <c r="F140" s="40" t="s">
        <v>135</v>
      </c>
      <c r="G140" s="62" t="s">
        <v>172</v>
      </c>
      <c r="H140" s="55">
        <v>2</v>
      </c>
      <c r="I140" s="55">
        <v>0</v>
      </c>
      <c r="J140" s="69">
        <f t="shared" si="2"/>
        <v>0</v>
      </c>
      <c r="K140" s="90">
        <f>+I140+'AGOSTO 2025'!K140</f>
        <v>2</v>
      </c>
      <c r="L140" s="94">
        <f t="shared" si="3"/>
        <v>1</v>
      </c>
      <c r="N140"/>
      <c r="O140" s="8"/>
      <c r="P140"/>
      <c r="Q140" s="8"/>
    </row>
    <row r="141" spans="2:17" x14ac:dyDescent="0.25">
      <c r="B141" s="38">
        <v>1</v>
      </c>
      <c r="C141" s="39" t="s">
        <v>89</v>
      </c>
      <c r="D141" s="40" t="s">
        <v>90</v>
      </c>
      <c r="E141" s="229"/>
      <c r="F141" s="61" t="s">
        <v>276</v>
      </c>
      <c r="G141" s="62" t="s">
        <v>172</v>
      </c>
      <c r="H141" s="55">
        <v>8</v>
      </c>
      <c r="I141" s="55">
        <v>0</v>
      </c>
      <c r="J141" s="69">
        <f t="shared" si="2"/>
        <v>0</v>
      </c>
      <c r="K141" s="90">
        <f>+I141+'AGOSTO 2025'!K141</f>
        <v>8</v>
      </c>
      <c r="L141" s="94">
        <f t="shared" si="3"/>
        <v>1</v>
      </c>
      <c r="N141"/>
      <c r="O141" s="8"/>
      <c r="P141"/>
      <c r="Q141" s="8"/>
    </row>
    <row r="142" spans="2:17" s="16" customFormat="1" x14ac:dyDescent="0.25">
      <c r="B142" s="38">
        <v>1</v>
      </c>
      <c r="C142" s="39" t="s">
        <v>92</v>
      </c>
      <c r="D142" s="40" t="s">
        <v>93</v>
      </c>
      <c r="E142" s="229"/>
      <c r="F142" s="1" t="s">
        <v>955</v>
      </c>
      <c r="G142" s="62" t="s">
        <v>32</v>
      </c>
      <c r="H142" s="68">
        <v>15</v>
      </c>
      <c r="I142" s="55">
        <v>2</v>
      </c>
      <c r="J142" s="69">
        <f t="shared" si="2"/>
        <v>0.13333333333333333</v>
      </c>
      <c r="K142" s="90">
        <f>+I142+'AGOSTO 2025'!K142</f>
        <v>15</v>
      </c>
      <c r="L142" s="94">
        <f t="shared" si="3"/>
        <v>1</v>
      </c>
      <c r="N142" s="41"/>
      <c r="P142" s="41"/>
    </row>
    <row r="143" spans="2:17" x14ac:dyDescent="0.25">
      <c r="B143" s="38">
        <v>1</v>
      </c>
      <c r="C143" s="39" t="s">
        <v>146</v>
      </c>
      <c r="D143" s="40" t="s">
        <v>147</v>
      </c>
      <c r="E143" s="229"/>
      <c r="F143" s="61" t="s">
        <v>182</v>
      </c>
      <c r="G143" s="62" t="s">
        <v>172</v>
      </c>
      <c r="H143" s="55">
        <v>5</v>
      </c>
      <c r="I143" s="55">
        <v>0</v>
      </c>
      <c r="J143" s="69">
        <f t="shared" ref="J143:J206" si="4">IFERROR(I143/H143,0)</f>
        <v>0</v>
      </c>
      <c r="K143" s="90">
        <f>+I143+'AGOSTO 2025'!K143</f>
        <v>5</v>
      </c>
      <c r="L143" s="94">
        <f t="shared" ref="L143:L206" si="5">IFERROR(K143/H143,0)</f>
        <v>1</v>
      </c>
      <c r="N143"/>
      <c r="O143" s="8"/>
      <c r="P143"/>
      <c r="Q143" s="8"/>
    </row>
    <row r="144" spans="2:17" x14ac:dyDescent="0.25">
      <c r="B144" s="38">
        <v>1</v>
      </c>
      <c r="C144" s="39" t="s">
        <v>95</v>
      </c>
      <c r="D144" s="40" t="s">
        <v>96</v>
      </c>
      <c r="E144" s="229"/>
      <c r="F144" s="61" t="s">
        <v>218</v>
      </c>
      <c r="G144" s="63" t="s">
        <v>32</v>
      </c>
      <c r="H144" s="55">
        <v>13</v>
      </c>
      <c r="I144" s="70">
        <v>2</v>
      </c>
      <c r="J144" s="69">
        <f t="shared" si="4"/>
        <v>0.15384615384615385</v>
      </c>
      <c r="K144" s="90">
        <f>+I144+'AGOSTO 2025'!K144</f>
        <v>13</v>
      </c>
      <c r="L144" s="94">
        <f t="shared" si="5"/>
        <v>1</v>
      </c>
      <c r="N144"/>
      <c r="O144" s="8"/>
      <c r="P144"/>
      <c r="Q144" s="8"/>
    </row>
    <row r="145" spans="2:17" x14ac:dyDescent="0.25">
      <c r="B145" s="42">
        <v>8</v>
      </c>
      <c r="C145" s="43" t="s">
        <v>148</v>
      </c>
      <c r="D145" s="44" t="s">
        <v>141</v>
      </c>
      <c r="E145" s="230"/>
      <c r="F145" s="64" t="s">
        <v>1105</v>
      </c>
      <c r="G145" s="65" t="s">
        <v>32</v>
      </c>
      <c r="H145" s="56">
        <v>15</v>
      </c>
      <c r="I145" s="56">
        <v>4</v>
      </c>
      <c r="J145" s="72">
        <f t="shared" si="4"/>
        <v>0.26666666666666666</v>
      </c>
      <c r="K145" s="91">
        <f>+I145+'AGOSTO 2025'!K145</f>
        <v>15</v>
      </c>
      <c r="L145" s="96">
        <f t="shared" si="5"/>
        <v>1</v>
      </c>
      <c r="N145"/>
      <c r="O145" s="8"/>
      <c r="P145"/>
      <c r="Q145" s="8"/>
    </row>
    <row r="146" spans="2:17" x14ac:dyDescent="0.25">
      <c r="B146" s="35">
        <v>3</v>
      </c>
      <c r="C146" s="36" t="s">
        <v>43</v>
      </c>
      <c r="D146" s="37" t="s">
        <v>44</v>
      </c>
      <c r="E146" s="235" t="s">
        <v>239</v>
      </c>
      <c r="F146" s="59" t="s">
        <v>45</v>
      </c>
      <c r="G146" s="60" t="s">
        <v>551</v>
      </c>
      <c r="H146" s="66">
        <v>16</v>
      </c>
      <c r="I146" s="66">
        <v>3</v>
      </c>
      <c r="J146" s="69">
        <f t="shared" si="4"/>
        <v>0.1875</v>
      </c>
      <c r="K146" s="103">
        <f>+I146+'AGOSTO 2025'!K146</f>
        <v>16</v>
      </c>
      <c r="L146" s="94">
        <f t="shared" si="5"/>
        <v>1</v>
      </c>
      <c r="N146"/>
      <c r="O146" s="8"/>
      <c r="P146"/>
      <c r="Q146" s="8"/>
    </row>
    <row r="147" spans="2:17" x14ac:dyDescent="0.25">
      <c r="B147" s="38">
        <v>3</v>
      </c>
      <c r="C147" s="39" t="s">
        <v>149</v>
      </c>
      <c r="D147" s="40" t="s">
        <v>150</v>
      </c>
      <c r="E147" s="236"/>
      <c r="F147" s="61" t="s">
        <v>48</v>
      </c>
      <c r="G147" s="62" t="s">
        <v>552</v>
      </c>
      <c r="H147" s="68">
        <v>17</v>
      </c>
      <c r="I147" s="55">
        <v>3</v>
      </c>
      <c r="J147" s="69">
        <f t="shared" si="4"/>
        <v>0.17647058823529413</v>
      </c>
      <c r="K147" s="90">
        <f>+I147+'AGOSTO 2025'!K147</f>
        <v>17</v>
      </c>
      <c r="L147" s="94">
        <f t="shared" si="5"/>
        <v>1</v>
      </c>
      <c r="N147"/>
      <c r="O147" s="8"/>
      <c r="P147"/>
      <c r="Q147" s="8"/>
    </row>
    <row r="148" spans="2:17" x14ac:dyDescent="0.25">
      <c r="B148" s="38">
        <v>3</v>
      </c>
      <c r="C148" s="39" t="s">
        <v>46</v>
      </c>
      <c r="D148" s="40" t="s">
        <v>47</v>
      </c>
      <c r="E148" s="236"/>
      <c r="F148" s="61" t="s">
        <v>48</v>
      </c>
      <c r="G148" s="63" t="s">
        <v>553</v>
      </c>
      <c r="H148" s="55">
        <v>16</v>
      </c>
      <c r="I148" s="70">
        <v>3</v>
      </c>
      <c r="J148" s="69">
        <f t="shared" si="4"/>
        <v>0.1875</v>
      </c>
      <c r="K148" s="90">
        <f>+I148+'AGOSTO 2025'!K148</f>
        <v>16</v>
      </c>
      <c r="L148" s="94">
        <f t="shared" si="5"/>
        <v>1</v>
      </c>
      <c r="N148"/>
      <c r="O148" s="8"/>
      <c r="P148"/>
      <c r="Q148" s="8"/>
    </row>
    <row r="149" spans="2:17" x14ac:dyDescent="0.25">
      <c r="B149" s="38">
        <v>3</v>
      </c>
      <c r="C149" s="39" t="s">
        <v>98</v>
      </c>
      <c r="D149" s="40" t="s">
        <v>99</v>
      </c>
      <c r="E149" s="236"/>
      <c r="F149" s="61" t="s">
        <v>48</v>
      </c>
      <c r="G149" s="62" t="s">
        <v>280</v>
      </c>
      <c r="H149" s="55">
        <v>17</v>
      </c>
      <c r="I149" s="55">
        <v>2</v>
      </c>
      <c r="J149" s="69">
        <f t="shared" si="4"/>
        <v>0.11764705882352941</v>
      </c>
      <c r="K149" s="90">
        <f>+I149+'AGOSTO 2025'!K149</f>
        <v>17</v>
      </c>
      <c r="L149" s="94">
        <f t="shared" si="5"/>
        <v>1</v>
      </c>
      <c r="N149"/>
      <c r="O149" s="8"/>
      <c r="P149"/>
      <c r="Q149" s="8"/>
    </row>
    <row r="150" spans="2:17" x14ac:dyDescent="0.25">
      <c r="B150" s="38">
        <v>3</v>
      </c>
      <c r="C150" s="39" t="s">
        <v>49</v>
      </c>
      <c r="D150" s="40" t="s">
        <v>50</v>
      </c>
      <c r="E150" s="236"/>
      <c r="F150" s="61" t="s">
        <v>51</v>
      </c>
      <c r="G150" s="62" t="s">
        <v>555</v>
      </c>
      <c r="H150" s="55">
        <v>16</v>
      </c>
      <c r="I150" s="55">
        <v>3</v>
      </c>
      <c r="J150" s="69">
        <f t="shared" si="4"/>
        <v>0.1875</v>
      </c>
      <c r="K150" s="90">
        <f>+I150+'AGOSTO 2025'!K150</f>
        <v>16</v>
      </c>
      <c r="L150" s="94">
        <f t="shared" si="5"/>
        <v>1</v>
      </c>
      <c r="N150"/>
      <c r="O150" s="8"/>
      <c r="P150"/>
      <c r="Q150" s="8"/>
    </row>
    <row r="151" spans="2:17" x14ac:dyDescent="0.25">
      <c r="B151" s="38">
        <v>3</v>
      </c>
      <c r="C151" s="39" t="s">
        <v>52</v>
      </c>
      <c r="D151" s="40" t="s">
        <v>53</v>
      </c>
      <c r="E151" s="236"/>
      <c r="F151" s="61" t="s">
        <v>54</v>
      </c>
      <c r="G151" s="62" t="s">
        <v>556</v>
      </c>
      <c r="H151" s="55">
        <v>17</v>
      </c>
      <c r="I151" s="55">
        <v>3</v>
      </c>
      <c r="J151" s="69">
        <f t="shared" si="4"/>
        <v>0.17647058823529413</v>
      </c>
      <c r="K151" s="90">
        <f>+I151+'AGOSTO 2025'!K151</f>
        <v>17</v>
      </c>
      <c r="L151" s="94">
        <f t="shared" si="5"/>
        <v>1</v>
      </c>
      <c r="N151"/>
      <c r="O151" s="8"/>
      <c r="P151"/>
      <c r="Q151" s="8"/>
    </row>
    <row r="152" spans="2:17" x14ac:dyDescent="0.25">
      <c r="B152" s="38">
        <v>3</v>
      </c>
      <c r="C152" s="39" t="s">
        <v>55</v>
      </c>
      <c r="D152" s="40" t="s">
        <v>56</v>
      </c>
      <c r="E152" s="236"/>
      <c r="F152" s="61" t="s">
        <v>54</v>
      </c>
      <c r="G152" s="62" t="s">
        <v>557</v>
      </c>
      <c r="H152" s="55">
        <v>16</v>
      </c>
      <c r="I152" s="55">
        <v>3</v>
      </c>
      <c r="J152" s="69">
        <f t="shared" si="4"/>
        <v>0.1875</v>
      </c>
      <c r="K152" s="90">
        <f>+I152+'AGOSTO 2025'!K152</f>
        <v>16</v>
      </c>
      <c r="L152" s="94">
        <f t="shared" si="5"/>
        <v>1</v>
      </c>
      <c r="N152"/>
      <c r="O152" s="8"/>
      <c r="P152"/>
      <c r="Q152" s="8"/>
    </row>
    <row r="153" spans="2:17" s="16" customFormat="1" x14ac:dyDescent="0.25">
      <c r="B153" s="38">
        <v>5</v>
      </c>
      <c r="C153" s="39" t="s">
        <v>151</v>
      </c>
      <c r="D153" s="40" t="s">
        <v>152</v>
      </c>
      <c r="E153" s="236"/>
      <c r="F153" s="61" t="s">
        <v>48</v>
      </c>
      <c r="G153" s="62" t="s">
        <v>558</v>
      </c>
      <c r="H153" s="55">
        <v>16</v>
      </c>
      <c r="I153" s="55">
        <v>3</v>
      </c>
      <c r="J153" s="69">
        <f t="shared" si="4"/>
        <v>0.1875</v>
      </c>
      <c r="K153" s="90">
        <f>+I153+'AGOSTO 2025'!K153</f>
        <v>16</v>
      </c>
      <c r="L153" s="94">
        <f t="shared" si="5"/>
        <v>1</v>
      </c>
      <c r="N153" s="41"/>
      <c r="P153" s="41"/>
    </row>
    <row r="154" spans="2:17" x14ac:dyDescent="0.25">
      <c r="B154" s="38">
        <v>5</v>
      </c>
      <c r="C154" s="39" t="s">
        <v>57</v>
      </c>
      <c r="D154" s="40" t="s">
        <v>58</v>
      </c>
      <c r="E154" s="236"/>
      <c r="F154" s="61" t="s">
        <v>54</v>
      </c>
      <c r="G154" s="62" t="s">
        <v>559</v>
      </c>
      <c r="H154" s="68">
        <v>16</v>
      </c>
      <c r="I154" s="55">
        <v>2</v>
      </c>
      <c r="J154" s="69">
        <f t="shared" si="4"/>
        <v>0.125</v>
      </c>
      <c r="K154" s="90">
        <f>+I154+'AGOSTO 2025'!K154</f>
        <v>16</v>
      </c>
      <c r="L154" s="94">
        <f t="shared" si="5"/>
        <v>1</v>
      </c>
      <c r="N154"/>
      <c r="O154" s="8"/>
      <c r="P154"/>
      <c r="Q154" s="8"/>
    </row>
    <row r="155" spans="2:17" x14ac:dyDescent="0.25">
      <c r="B155" s="38">
        <v>5</v>
      </c>
      <c r="C155" s="39" t="s">
        <v>59</v>
      </c>
      <c r="D155" s="40" t="s">
        <v>60</v>
      </c>
      <c r="E155" s="236"/>
      <c r="F155" s="61" t="s">
        <v>54</v>
      </c>
      <c r="G155" s="62" t="s">
        <v>560</v>
      </c>
      <c r="H155" s="55">
        <v>16</v>
      </c>
      <c r="I155" s="55">
        <v>2</v>
      </c>
      <c r="J155" s="69">
        <f t="shared" si="4"/>
        <v>0.125</v>
      </c>
      <c r="K155" s="90">
        <f>+I155+'AGOSTO 2025'!K155</f>
        <v>16</v>
      </c>
      <c r="L155" s="94">
        <f t="shared" si="5"/>
        <v>1</v>
      </c>
      <c r="N155"/>
      <c r="O155" s="8"/>
      <c r="P155"/>
      <c r="Q155" s="8"/>
    </row>
    <row r="156" spans="2:17" x14ac:dyDescent="0.25">
      <c r="B156" s="42">
        <v>8</v>
      </c>
      <c r="C156" s="43" t="s">
        <v>61</v>
      </c>
      <c r="D156" s="44" t="s">
        <v>62</v>
      </c>
      <c r="E156" s="237"/>
      <c r="F156" s="64" t="s">
        <v>63</v>
      </c>
      <c r="G156" s="135" t="s">
        <v>561</v>
      </c>
      <c r="H156" s="56">
        <v>17</v>
      </c>
      <c r="I156" s="56">
        <v>3</v>
      </c>
      <c r="J156" s="72">
        <f t="shared" si="4"/>
        <v>0.17647058823529413</v>
      </c>
      <c r="K156" s="91">
        <f>+I156+'AGOSTO 2025'!K156</f>
        <v>17</v>
      </c>
      <c r="L156" s="96">
        <f t="shared" si="5"/>
        <v>1</v>
      </c>
      <c r="N156"/>
      <c r="O156" s="8"/>
      <c r="P156"/>
      <c r="Q156" s="8"/>
    </row>
    <row r="157" spans="2:17" x14ac:dyDescent="0.25">
      <c r="B157" s="35">
        <v>3</v>
      </c>
      <c r="C157" s="36" t="s">
        <v>43</v>
      </c>
      <c r="D157" s="37" t="s">
        <v>44</v>
      </c>
      <c r="E157" s="218" t="s">
        <v>157</v>
      </c>
      <c r="F157" s="59" t="s">
        <v>1128</v>
      </c>
      <c r="G157" s="60" t="s">
        <v>1129</v>
      </c>
      <c r="H157" s="66">
        <v>27</v>
      </c>
      <c r="I157" s="66">
        <v>3</v>
      </c>
      <c r="J157" s="69">
        <f t="shared" si="4"/>
        <v>0.1111111111111111</v>
      </c>
      <c r="K157" s="103">
        <f>+I157+'AGOSTO 2025'!K157</f>
        <v>18</v>
      </c>
      <c r="L157" s="94">
        <f t="shared" si="5"/>
        <v>0.66666666666666663</v>
      </c>
      <c r="N157"/>
      <c r="O157" s="8"/>
      <c r="P157"/>
      <c r="Q157" s="8"/>
    </row>
    <row r="158" spans="2:17" x14ac:dyDescent="0.25">
      <c r="B158" s="38">
        <v>3</v>
      </c>
      <c r="C158" s="39" t="s">
        <v>153</v>
      </c>
      <c r="D158" s="40" t="s">
        <v>154</v>
      </c>
      <c r="E158" s="219"/>
      <c r="F158" s="61" t="s">
        <v>1130</v>
      </c>
      <c r="G158" s="63" t="s">
        <v>155</v>
      </c>
      <c r="H158" s="55">
        <v>27</v>
      </c>
      <c r="I158" s="55">
        <v>3</v>
      </c>
      <c r="J158" s="69">
        <f t="shared" si="4"/>
        <v>0.1111111111111111</v>
      </c>
      <c r="K158" s="90">
        <f>+I158+'AGOSTO 2025'!K158</f>
        <v>18</v>
      </c>
      <c r="L158" s="94">
        <f t="shared" si="5"/>
        <v>0.66666666666666663</v>
      </c>
      <c r="N158"/>
      <c r="O158" s="8"/>
      <c r="P158"/>
      <c r="Q158" s="8"/>
    </row>
    <row r="159" spans="2:17" x14ac:dyDescent="0.25">
      <c r="B159" s="38">
        <v>3</v>
      </c>
      <c r="C159" s="39" t="s">
        <v>46</v>
      </c>
      <c r="D159" s="40" t="s">
        <v>47</v>
      </c>
      <c r="E159" s="219"/>
      <c r="F159" s="61" t="s">
        <v>1131</v>
      </c>
      <c r="G159" s="62" t="s">
        <v>155</v>
      </c>
      <c r="H159" s="55">
        <v>27</v>
      </c>
      <c r="I159" s="55">
        <v>3</v>
      </c>
      <c r="J159" s="69">
        <f t="shared" si="4"/>
        <v>0.1111111111111111</v>
      </c>
      <c r="K159" s="90">
        <f>+I159+'AGOSTO 2025'!K159</f>
        <v>18</v>
      </c>
      <c r="L159" s="94">
        <f t="shared" si="5"/>
        <v>0.66666666666666663</v>
      </c>
      <c r="N159"/>
      <c r="O159" s="8"/>
      <c r="P159"/>
      <c r="Q159" s="8"/>
    </row>
    <row r="160" spans="2:17" x14ac:dyDescent="0.25">
      <c r="B160" s="38">
        <v>3</v>
      </c>
      <c r="C160" s="39" t="s">
        <v>98</v>
      </c>
      <c r="D160" s="40" t="s">
        <v>99</v>
      </c>
      <c r="E160" s="219"/>
      <c r="F160" s="61" t="s">
        <v>1132</v>
      </c>
      <c r="G160" s="62" t="s">
        <v>1129</v>
      </c>
      <c r="H160" s="55">
        <v>27</v>
      </c>
      <c r="I160" s="55">
        <v>3</v>
      </c>
      <c r="J160" s="69">
        <f t="shared" si="4"/>
        <v>0.1111111111111111</v>
      </c>
      <c r="K160" s="90">
        <f>+I160+'AGOSTO 2025'!K160</f>
        <v>18</v>
      </c>
      <c r="L160" s="94">
        <f t="shared" si="5"/>
        <v>0.66666666666666663</v>
      </c>
      <c r="N160"/>
      <c r="O160" s="8"/>
      <c r="P160"/>
      <c r="Q160" s="8"/>
    </row>
    <row r="161" spans="2:17" s="16" customFormat="1" x14ac:dyDescent="0.25">
      <c r="B161" s="38">
        <v>3</v>
      </c>
      <c r="C161" s="39" t="s">
        <v>49</v>
      </c>
      <c r="D161" s="40" t="s">
        <v>50</v>
      </c>
      <c r="E161" s="219"/>
      <c r="F161" s="61" t="s">
        <v>1133</v>
      </c>
      <c r="G161" s="62" t="s">
        <v>155</v>
      </c>
      <c r="H161" s="55">
        <v>27</v>
      </c>
      <c r="I161" s="55">
        <v>3</v>
      </c>
      <c r="J161" s="69">
        <f t="shared" si="4"/>
        <v>0.1111111111111111</v>
      </c>
      <c r="K161" s="90">
        <f>+I161+'AGOSTO 2025'!K161</f>
        <v>18</v>
      </c>
      <c r="L161" s="94">
        <f t="shared" si="5"/>
        <v>0.66666666666666663</v>
      </c>
      <c r="N161" s="41"/>
      <c r="P161" s="41"/>
    </row>
    <row r="162" spans="2:17" x14ac:dyDescent="0.25">
      <c r="B162" s="38">
        <v>3</v>
      </c>
      <c r="C162" s="39" t="s">
        <v>52</v>
      </c>
      <c r="D162" s="40" t="s">
        <v>53</v>
      </c>
      <c r="E162" s="219"/>
      <c r="F162" s="61" t="s">
        <v>1134</v>
      </c>
      <c r="G162" s="62" t="s">
        <v>167</v>
      </c>
      <c r="H162" s="55">
        <v>27</v>
      </c>
      <c r="I162" s="55">
        <v>3</v>
      </c>
      <c r="J162" s="69">
        <f t="shared" si="4"/>
        <v>0.1111111111111111</v>
      </c>
      <c r="K162" s="90">
        <f>+I162+'AGOSTO 2025'!K162</f>
        <v>18</v>
      </c>
      <c r="L162" s="94">
        <f t="shared" si="5"/>
        <v>0.66666666666666663</v>
      </c>
      <c r="N162"/>
      <c r="O162" s="8"/>
      <c r="P162"/>
      <c r="Q162" s="8"/>
    </row>
    <row r="163" spans="2:17" x14ac:dyDescent="0.25">
      <c r="B163" s="38">
        <v>3</v>
      </c>
      <c r="C163" s="39" t="s">
        <v>55</v>
      </c>
      <c r="D163" s="40" t="s">
        <v>56</v>
      </c>
      <c r="E163" s="219"/>
      <c r="F163" s="61" t="s">
        <v>1135</v>
      </c>
      <c r="G163" s="62" t="s">
        <v>168</v>
      </c>
      <c r="H163" s="55">
        <v>27</v>
      </c>
      <c r="I163" s="55">
        <v>3</v>
      </c>
      <c r="J163" s="69">
        <f t="shared" si="4"/>
        <v>0.1111111111111111</v>
      </c>
      <c r="K163" s="90">
        <f>+I163+'AGOSTO 2025'!K163</f>
        <v>18</v>
      </c>
      <c r="L163" s="94">
        <f t="shared" si="5"/>
        <v>0.66666666666666663</v>
      </c>
      <c r="N163"/>
      <c r="O163" s="8"/>
      <c r="P163"/>
      <c r="Q163" s="8"/>
    </row>
    <row r="164" spans="2:17" x14ac:dyDescent="0.25">
      <c r="B164" s="38">
        <v>5</v>
      </c>
      <c r="C164" s="39" t="s">
        <v>57</v>
      </c>
      <c r="D164" s="40" t="s">
        <v>58</v>
      </c>
      <c r="E164" s="219"/>
      <c r="F164" s="61" t="s">
        <v>1136</v>
      </c>
      <c r="G164" s="62" t="s">
        <v>155</v>
      </c>
      <c r="H164" s="68">
        <v>27</v>
      </c>
      <c r="I164" s="55">
        <v>3</v>
      </c>
      <c r="J164" s="69">
        <f t="shared" si="4"/>
        <v>0.1111111111111111</v>
      </c>
      <c r="K164" s="90">
        <f>+I164+'AGOSTO 2025'!K164</f>
        <v>18</v>
      </c>
      <c r="L164" s="94">
        <f t="shared" si="5"/>
        <v>0.66666666666666663</v>
      </c>
      <c r="N164"/>
      <c r="O164" s="8"/>
      <c r="P164"/>
      <c r="Q164" s="8"/>
    </row>
    <row r="165" spans="2:17" x14ac:dyDescent="0.25">
      <c r="B165" s="38">
        <v>5</v>
      </c>
      <c r="C165" s="39" t="s">
        <v>59</v>
      </c>
      <c r="D165" s="40" t="s">
        <v>60</v>
      </c>
      <c r="E165" s="219"/>
      <c r="F165" s="61" t="s">
        <v>1137</v>
      </c>
      <c r="G165" s="62" t="s">
        <v>1129</v>
      </c>
      <c r="H165" s="55">
        <v>27</v>
      </c>
      <c r="I165" s="55">
        <v>3</v>
      </c>
      <c r="J165" s="69">
        <f t="shared" si="4"/>
        <v>0.1111111111111111</v>
      </c>
      <c r="K165" s="90">
        <f>+I165+'AGOSTO 2025'!K165</f>
        <v>18</v>
      </c>
      <c r="L165" s="94">
        <f t="shared" si="5"/>
        <v>0.66666666666666663</v>
      </c>
      <c r="N165"/>
      <c r="O165" s="8"/>
      <c r="P165"/>
      <c r="Q165" s="8"/>
    </row>
    <row r="166" spans="2:17" x14ac:dyDescent="0.25">
      <c r="B166" s="42">
        <v>8</v>
      </c>
      <c r="C166" s="43" t="s">
        <v>61</v>
      </c>
      <c r="D166" s="44" t="s">
        <v>62</v>
      </c>
      <c r="E166" s="220"/>
      <c r="F166" s="64" t="s">
        <v>1138</v>
      </c>
      <c r="G166" s="135" t="s">
        <v>156</v>
      </c>
      <c r="H166" s="56">
        <v>27</v>
      </c>
      <c r="I166" s="56">
        <v>3</v>
      </c>
      <c r="J166" s="72">
        <f t="shared" si="4"/>
        <v>0.1111111111111111</v>
      </c>
      <c r="K166" s="91">
        <f>+I166+'AGOSTO 2025'!K166</f>
        <v>18</v>
      </c>
      <c r="L166" s="96">
        <f t="shared" si="5"/>
        <v>0.66666666666666663</v>
      </c>
      <c r="N166"/>
      <c r="O166" s="8"/>
      <c r="P166"/>
      <c r="Q166" s="8"/>
    </row>
    <row r="167" spans="2:17" x14ac:dyDescent="0.25">
      <c r="B167" s="35">
        <v>3</v>
      </c>
      <c r="C167" s="36" t="s">
        <v>43</v>
      </c>
      <c r="D167" s="37" t="s">
        <v>44</v>
      </c>
      <c r="E167" s="218" t="s">
        <v>158</v>
      </c>
      <c r="F167" s="59" t="s">
        <v>45</v>
      </c>
      <c r="G167" s="60" t="s">
        <v>172</v>
      </c>
      <c r="H167" s="66">
        <v>27</v>
      </c>
      <c r="I167" s="66">
        <v>0</v>
      </c>
      <c r="J167" s="69">
        <f t="shared" si="4"/>
        <v>0</v>
      </c>
      <c r="K167" s="103">
        <f>+I167+'AGOSTO 2025'!K167</f>
        <v>12</v>
      </c>
      <c r="L167" s="94">
        <f t="shared" si="5"/>
        <v>0.44444444444444442</v>
      </c>
      <c r="N167"/>
      <c r="O167" s="8"/>
      <c r="P167"/>
      <c r="Q167" s="8"/>
    </row>
    <row r="168" spans="2:17" x14ac:dyDescent="0.25">
      <c r="B168" s="38">
        <v>3</v>
      </c>
      <c r="C168" s="39" t="s">
        <v>153</v>
      </c>
      <c r="D168" s="40" t="s">
        <v>154</v>
      </c>
      <c r="E168" s="219"/>
      <c r="F168" s="1" t="s">
        <v>224</v>
      </c>
      <c r="G168" s="62" t="s">
        <v>1107</v>
      </c>
      <c r="H168" s="68">
        <v>27</v>
      </c>
      <c r="I168" s="55">
        <v>4</v>
      </c>
      <c r="J168" s="69">
        <f t="shared" si="4"/>
        <v>0.14814814814814814</v>
      </c>
      <c r="K168" s="90">
        <f>+I168+'AGOSTO 2025'!K168</f>
        <v>27</v>
      </c>
      <c r="L168" s="94">
        <f t="shared" si="5"/>
        <v>1</v>
      </c>
      <c r="N168"/>
      <c r="O168" s="8"/>
      <c r="P168"/>
      <c r="Q168" s="8"/>
    </row>
    <row r="169" spans="2:17" x14ac:dyDescent="0.25">
      <c r="B169" s="38">
        <v>3</v>
      </c>
      <c r="C169" s="39" t="s">
        <v>46</v>
      </c>
      <c r="D169" s="40" t="s">
        <v>47</v>
      </c>
      <c r="E169" s="219"/>
      <c r="F169" s="61" t="s">
        <v>1108</v>
      </c>
      <c r="G169" s="63" t="s">
        <v>1109</v>
      </c>
      <c r="H169" s="55">
        <v>27</v>
      </c>
      <c r="I169" s="70">
        <v>6</v>
      </c>
      <c r="J169" s="69">
        <f t="shared" si="4"/>
        <v>0.22222222222222221</v>
      </c>
      <c r="K169" s="90">
        <f>+I169+'AGOSTO 2025'!K169</f>
        <v>19</v>
      </c>
      <c r="L169" s="94">
        <f t="shared" si="5"/>
        <v>0.70370370370370372</v>
      </c>
      <c r="N169"/>
      <c r="O169" s="8"/>
      <c r="P169"/>
      <c r="Q169" s="8"/>
    </row>
    <row r="170" spans="2:17" x14ac:dyDescent="0.25">
      <c r="B170" s="38">
        <v>3</v>
      </c>
      <c r="C170" s="39" t="s">
        <v>98</v>
      </c>
      <c r="D170" s="40" t="s">
        <v>99</v>
      </c>
      <c r="E170" s="219"/>
      <c r="F170" s="61" t="s">
        <v>48</v>
      </c>
      <c r="G170" s="63" t="s">
        <v>172</v>
      </c>
      <c r="H170" s="55">
        <v>27</v>
      </c>
      <c r="I170" s="55">
        <v>0</v>
      </c>
      <c r="J170" s="69">
        <f t="shared" si="4"/>
        <v>0</v>
      </c>
      <c r="K170" s="90">
        <f>+I170+'AGOSTO 2025'!K170</f>
        <v>11</v>
      </c>
      <c r="L170" s="94">
        <f t="shared" si="5"/>
        <v>0.40740740740740738</v>
      </c>
      <c r="N170"/>
      <c r="O170" s="8"/>
      <c r="P170"/>
      <c r="Q170" s="8"/>
    </row>
    <row r="171" spans="2:17" s="16" customFormat="1" x14ac:dyDescent="0.25">
      <c r="B171" s="38">
        <v>3</v>
      </c>
      <c r="C171" s="39" t="s">
        <v>49</v>
      </c>
      <c r="D171" s="40" t="s">
        <v>50</v>
      </c>
      <c r="E171" s="219"/>
      <c r="F171" s="61" t="s">
        <v>1110</v>
      </c>
      <c r="G171" s="63" t="s">
        <v>1111</v>
      </c>
      <c r="H171" s="55">
        <v>27</v>
      </c>
      <c r="I171" s="55">
        <v>4</v>
      </c>
      <c r="J171" s="69">
        <f t="shared" si="4"/>
        <v>0.14814814814814814</v>
      </c>
      <c r="K171" s="90">
        <f>+I171+'AGOSTO 2025'!K171</f>
        <v>19</v>
      </c>
      <c r="L171" s="94">
        <f t="shared" si="5"/>
        <v>0.70370370370370372</v>
      </c>
      <c r="N171" s="41"/>
      <c r="P171" s="41"/>
    </row>
    <row r="172" spans="2:17" x14ac:dyDescent="0.25">
      <c r="B172" s="38">
        <v>3</v>
      </c>
      <c r="C172" s="39" t="s">
        <v>52</v>
      </c>
      <c r="D172" s="40" t="s">
        <v>53</v>
      </c>
      <c r="E172" s="219"/>
      <c r="F172" s="61" t="s">
        <v>1112</v>
      </c>
      <c r="G172" s="63" t="s">
        <v>1113</v>
      </c>
      <c r="H172" s="55">
        <v>27</v>
      </c>
      <c r="I172" s="55">
        <v>3</v>
      </c>
      <c r="J172" s="69">
        <f t="shared" si="4"/>
        <v>0.1111111111111111</v>
      </c>
      <c r="K172" s="90">
        <f>+I172+'AGOSTO 2025'!K172</f>
        <v>18</v>
      </c>
      <c r="L172" s="94">
        <f t="shared" si="5"/>
        <v>0.66666666666666663</v>
      </c>
      <c r="N172"/>
      <c r="O172" s="8"/>
      <c r="P172"/>
      <c r="Q172" s="8"/>
    </row>
    <row r="173" spans="2:17" x14ac:dyDescent="0.25">
      <c r="B173" s="38">
        <v>3</v>
      </c>
      <c r="C173" s="39" t="s">
        <v>55</v>
      </c>
      <c r="D173" s="40" t="s">
        <v>56</v>
      </c>
      <c r="E173" s="219"/>
      <c r="F173" s="61" t="s">
        <v>1114</v>
      </c>
      <c r="G173" s="63" t="s">
        <v>1115</v>
      </c>
      <c r="H173" s="55">
        <v>27</v>
      </c>
      <c r="I173" s="55">
        <v>2</v>
      </c>
      <c r="J173" s="69">
        <f t="shared" si="4"/>
        <v>7.407407407407407E-2</v>
      </c>
      <c r="K173" s="90">
        <f>+I173+'AGOSTO 2025'!K173</f>
        <v>15</v>
      </c>
      <c r="L173" s="94">
        <f t="shared" si="5"/>
        <v>0.55555555555555558</v>
      </c>
      <c r="N173"/>
      <c r="O173" s="8"/>
      <c r="P173"/>
      <c r="Q173" s="8"/>
    </row>
    <row r="174" spans="2:17" x14ac:dyDescent="0.25">
      <c r="B174" s="38">
        <v>5</v>
      </c>
      <c r="C174" s="39" t="s">
        <v>57</v>
      </c>
      <c r="D174" s="40" t="s">
        <v>58</v>
      </c>
      <c r="E174" s="219"/>
      <c r="F174" s="61" t="s">
        <v>1116</v>
      </c>
      <c r="G174" s="63" t="s">
        <v>1117</v>
      </c>
      <c r="H174" s="55">
        <v>27</v>
      </c>
      <c r="I174" s="55">
        <v>3</v>
      </c>
      <c r="J174" s="69">
        <f t="shared" si="4"/>
        <v>0.1111111111111111</v>
      </c>
      <c r="K174" s="90">
        <f>+I174+'AGOSTO 2025'!K174</f>
        <v>23</v>
      </c>
      <c r="L174" s="94">
        <f t="shared" si="5"/>
        <v>0.85185185185185186</v>
      </c>
      <c r="N174"/>
      <c r="O174" s="8"/>
      <c r="P174"/>
      <c r="Q174" s="8"/>
    </row>
    <row r="175" spans="2:17" x14ac:dyDescent="0.25">
      <c r="B175" s="38">
        <v>5</v>
      </c>
      <c r="C175" s="39" t="s">
        <v>59</v>
      </c>
      <c r="D175" s="40" t="s">
        <v>60</v>
      </c>
      <c r="E175" s="219"/>
      <c r="F175" s="61" t="s">
        <v>1118</v>
      </c>
      <c r="G175" s="63" t="s">
        <v>1119</v>
      </c>
      <c r="H175" s="68">
        <v>27</v>
      </c>
      <c r="I175" s="55">
        <v>6</v>
      </c>
      <c r="J175" s="69">
        <f t="shared" si="4"/>
        <v>0.22222222222222221</v>
      </c>
      <c r="K175" s="90">
        <f>+I175+'AGOSTO 2025'!K175</f>
        <v>25</v>
      </c>
      <c r="L175" s="94">
        <f t="shared" si="5"/>
        <v>0.92592592592592593</v>
      </c>
      <c r="N175"/>
      <c r="O175" s="8"/>
      <c r="P175"/>
      <c r="Q175" s="8"/>
    </row>
    <row r="176" spans="2:17" x14ac:dyDescent="0.25">
      <c r="B176" s="42">
        <v>8</v>
      </c>
      <c r="C176" s="43" t="s">
        <v>61</v>
      </c>
      <c r="D176" s="44" t="s">
        <v>62</v>
      </c>
      <c r="E176" s="220"/>
      <c r="F176" s="64" t="s">
        <v>1120</v>
      </c>
      <c r="G176" s="65" t="s">
        <v>1121</v>
      </c>
      <c r="H176" s="56">
        <v>27</v>
      </c>
      <c r="I176" s="56">
        <v>2</v>
      </c>
      <c r="J176" s="72">
        <f t="shared" si="4"/>
        <v>7.407407407407407E-2</v>
      </c>
      <c r="K176" s="91">
        <f>+I176+'AGOSTO 2025'!K176</f>
        <v>11</v>
      </c>
      <c r="L176" s="96">
        <f t="shared" si="5"/>
        <v>0.40740740740740738</v>
      </c>
      <c r="N176"/>
      <c r="O176" s="8"/>
      <c r="P176"/>
      <c r="Q176" s="8"/>
    </row>
    <row r="177" spans="2:17" x14ac:dyDescent="0.25">
      <c r="B177" s="35">
        <v>3</v>
      </c>
      <c r="C177" s="36" t="s">
        <v>43</v>
      </c>
      <c r="D177" s="37" t="s">
        <v>44</v>
      </c>
      <c r="E177" s="218" t="s">
        <v>183</v>
      </c>
      <c r="F177" s="59" t="s">
        <v>1225</v>
      </c>
      <c r="G177" s="63" t="s">
        <v>1224</v>
      </c>
      <c r="H177" s="66">
        <v>45</v>
      </c>
      <c r="I177" s="66">
        <v>8</v>
      </c>
      <c r="J177" s="69">
        <f t="shared" si="4"/>
        <v>0.17777777777777778</v>
      </c>
      <c r="K177" s="103">
        <f>+I177+'AGOSTO 2025'!K177</f>
        <v>34</v>
      </c>
      <c r="L177" s="94">
        <f t="shared" si="5"/>
        <v>0.75555555555555554</v>
      </c>
      <c r="N177"/>
      <c r="O177" s="8"/>
      <c r="P177"/>
      <c r="Q177" s="8"/>
    </row>
    <row r="178" spans="2:17" x14ac:dyDescent="0.25">
      <c r="B178" s="38">
        <v>3</v>
      </c>
      <c r="C178" s="39" t="s">
        <v>46</v>
      </c>
      <c r="D178" s="40" t="s">
        <v>47</v>
      </c>
      <c r="E178" s="219"/>
      <c r="F178" s="61" t="s">
        <v>48</v>
      </c>
      <c r="G178" s="63" t="s">
        <v>1224</v>
      </c>
      <c r="H178" s="68">
        <v>45</v>
      </c>
      <c r="I178" s="55">
        <v>5</v>
      </c>
      <c r="J178" s="69">
        <f t="shared" si="4"/>
        <v>0.1111111111111111</v>
      </c>
      <c r="K178" s="90">
        <f>+I178+'AGOSTO 2025'!K178</f>
        <v>31</v>
      </c>
      <c r="L178" s="94">
        <f t="shared" si="5"/>
        <v>0.68888888888888888</v>
      </c>
      <c r="N178"/>
      <c r="O178" s="8"/>
      <c r="P178"/>
      <c r="Q178" s="8"/>
    </row>
    <row r="179" spans="2:17" x14ac:dyDescent="0.25">
      <c r="B179" s="38">
        <v>3</v>
      </c>
      <c r="C179" s="39" t="s">
        <v>49</v>
      </c>
      <c r="D179" s="40" t="s">
        <v>50</v>
      </c>
      <c r="E179" s="219"/>
      <c r="F179" s="61" t="s">
        <v>1077</v>
      </c>
      <c r="G179" s="63" t="s">
        <v>1224</v>
      </c>
      <c r="H179" s="55">
        <v>40</v>
      </c>
      <c r="I179" s="70">
        <v>5</v>
      </c>
      <c r="J179" s="69">
        <f t="shared" si="4"/>
        <v>0.125</v>
      </c>
      <c r="K179" s="90">
        <f>+I179+'AGOSTO 2025'!K179</f>
        <v>29</v>
      </c>
      <c r="L179" s="94">
        <f t="shared" si="5"/>
        <v>0.72499999999999998</v>
      </c>
      <c r="N179"/>
      <c r="O179" s="8"/>
      <c r="P179"/>
      <c r="Q179" s="8"/>
    </row>
    <row r="180" spans="2:17" x14ac:dyDescent="0.25">
      <c r="B180" s="38">
        <v>3</v>
      </c>
      <c r="C180" s="39" t="s">
        <v>52</v>
      </c>
      <c r="D180" s="40" t="s">
        <v>53</v>
      </c>
      <c r="E180" s="219"/>
      <c r="F180" s="61" t="s">
        <v>1226</v>
      </c>
      <c r="G180" s="63" t="s">
        <v>1224</v>
      </c>
      <c r="H180" s="55">
        <v>70</v>
      </c>
      <c r="I180" s="55">
        <v>7</v>
      </c>
      <c r="J180" s="69">
        <f t="shared" si="4"/>
        <v>0.1</v>
      </c>
      <c r="K180" s="90">
        <f>+I180+'AGOSTO 2025'!K180</f>
        <v>42</v>
      </c>
      <c r="L180" s="94">
        <f t="shared" si="5"/>
        <v>0.6</v>
      </c>
      <c r="N180"/>
      <c r="O180" s="8"/>
      <c r="P180"/>
      <c r="Q180" s="8"/>
    </row>
    <row r="181" spans="2:17" x14ac:dyDescent="0.25">
      <c r="B181" s="42">
        <v>3</v>
      </c>
      <c r="C181" s="43" t="s">
        <v>55</v>
      </c>
      <c r="D181" s="44" t="s">
        <v>56</v>
      </c>
      <c r="E181" s="220"/>
      <c r="F181" s="64" t="s">
        <v>925</v>
      </c>
      <c r="G181" s="63" t="s">
        <v>1224</v>
      </c>
      <c r="H181" s="56">
        <v>70</v>
      </c>
      <c r="I181" s="56">
        <v>5</v>
      </c>
      <c r="J181" s="72">
        <f t="shared" si="4"/>
        <v>7.1428571428571425E-2</v>
      </c>
      <c r="K181" s="91">
        <f>+I181+'AGOSTO 2025'!K181</f>
        <v>44</v>
      </c>
      <c r="L181" s="96">
        <f t="shared" si="5"/>
        <v>0.62857142857142856</v>
      </c>
      <c r="N181"/>
      <c r="O181" s="8"/>
      <c r="P181"/>
      <c r="Q181" s="8"/>
    </row>
    <row r="182" spans="2:17" x14ac:dyDescent="0.25">
      <c r="B182" s="85">
        <v>3</v>
      </c>
      <c r="C182" s="105" t="s">
        <v>332</v>
      </c>
      <c r="D182" s="106" t="s">
        <v>333</v>
      </c>
      <c r="E182" s="238" t="s">
        <v>334</v>
      </c>
      <c r="F182" s="59" t="s">
        <v>967</v>
      </c>
      <c r="G182" s="60" t="s">
        <v>968</v>
      </c>
      <c r="H182" s="89">
        <v>30</v>
      </c>
      <c r="I182" s="89">
        <v>5</v>
      </c>
      <c r="J182" s="69">
        <f t="shared" si="4"/>
        <v>0.16666666666666666</v>
      </c>
      <c r="K182" s="103">
        <f>+I182+'AGOSTO 2025'!K182</f>
        <v>30</v>
      </c>
      <c r="L182" s="94">
        <f t="shared" si="5"/>
        <v>1</v>
      </c>
      <c r="N182"/>
      <c r="O182" s="8"/>
      <c r="P182"/>
      <c r="Q182" s="8"/>
    </row>
    <row r="183" spans="2:17" x14ac:dyDescent="0.25">
      <c r="B183" s="86">
        <v>3</v>
      </c>
      <c r="C183" s="107" t="s">
        <v>52</v>
      </c>
      <c r="D183" s="108" t="s">
        <v>53</v>
      </c>
      <c r="E183" s="239"/>
      <c r="F183" s="61" t="s">
        <v>53</v>
      </c>
      <c r="G183" s="76" t="s">
        <v>54</v>
      </c>
      <c r="H183" s="2">
        <v>20</v>
      </c>
      <c r="I183" s="3">
        <v>3</v>
      </c>
      <c r="J183" s="69">
        <f t="shared" si="4"/>
        <v>0.15</v>
      </c>
      <c r="K183" s="90">
        <f>+I183+'AGOSTO 2025'!K183</f>
        <v>20</v>
      </c>
      <c r="L183" s="94">
        <f t="shared" si="5"/>
        <v>1</v>
      </c>
      <c r="N183"/>
      <c r="O183" s="8"/>
      <c r="P183"/>
      <c r="Q183" s="8"/>
    </row>
    <row r="184" spans="2:17" x14ac:dyDescent="0.25">
      <c r="B184" s="86">
        <v>3</v>
      </c>
      <c r="C184" s="107" t="s">
        <v>55</v>
      </c>
      <c r="D184" s="108" t="s">
        <v>56</v>
      </c>
      <c r="E184" s="239"/>
      <c r="F184" s="61" t="s">
        <v>970</v>
      </c>
      <c r="G184" s="62" t="s">
        <v>1122</v>
      </c>
      <c r="H184" s="3">
        <v>20</v>
      </c>
      <c r="I184" s="4">
        <v>4</v>
      </c>
      <c r="J184" s="69">
        <f t="shared" si="4"/>
        <v>0.2</v>
      </c>
      <c r="K184" s="90">
        <f>+I184+'AGOSTO 2025'!K184</f>
        <v>20</v>
      </c>
      <c r="L184" s="94">
        <f t="shared" si="5"/>
        <v>1</v>
      </c>
      <c r="N184"/>
      <c r="O184" s="8"/>
      <c r="P184"/>
      <c r="Q184" s="8"/>
    </row>
    <row r="185" spans="2:17" x14ac:dyDescent="0.25">
      <c r="B185" s="86">
        <v>5</v>
      </c>
      <c r="C185" s="107" t="s">
        <v>57</v>
      </c>
      <c r="D185" s="108" t="s">
        <v>58</v>
      </c>
      <c r="E185" s="239"/>
      <c r="F185" s="61" t="s">
        <v>339</v>
      </c>
      <c r="G185" s="62" t="s">
        <v>1123</v>
      </c>
      <c r="H185" s="3">
        <v>15</v>
      </c>
      <c r="I185" s="3">
        <v>2</v>
      </c>
      <c r="J185" s="69">
        <f t="shared" si="4"/>
        <v>0.13333333333333333</v>
      </c>
      <c r="K185" s="90">
        <f>+I185+'AGOSTO 2025'!K185</f>
        <v>15</v>
      </c>
      <c r="L185" s="94">
        <f t="shared" si="5"/>
        <v>1</v>
      </c>
      <c r="N185"/>
      <c r="O185" s="8"/>
      <c r="P185"/>
      <c r="Q185" s="8"/>
    </row>
    <row r="186" spans="2:17" x14ac:dyDescent="0.25">
      <c r="B186" s="86">
        <v>5</v>
      </c>
      <c r="C186" s="107" t="s">
        <v>59</v>
      </c>
      <c r="D186" s="108" t="s">
        <v>60</v>
      </c>
      <c r="E186" s="239"/>
      <c r="F186" s="62" t="s">
        <v>1124</v>
      </c>
      <c r="G186" s="62" t="s">
        <v>1125</v>
      </c>
      <c r="H186" s="3">
        <v>20</v>
      </c>
      <c r="I186" s="3">
        <v>3</v>
      </c>
      <c r="J186" s="69">
        <f t="shared" si="4"/>
        <v>0.15</v>
      </c>
      <c r="K186" s="90">
        <f>+I186+'AGOSTO 2025'!K186</f>
        <v>20</v>
      </c>
      <c r="L186" s="94">
        <f t="shared" si="5"/>
        <v>1</v>
      </c>
      <c r="N186"/>
      <c r="O186" s="8"/>
      <c r="P186"/>
      <c r="Q186" s="8"/>
    </row>
    <row r="187" spans="2:17" x14ac:dyDescent="0.25">
      <c r="B187" s="86">
        <v>8</v>
      </c>
      <c r="C187" s="107" t="s">
        <v>61</v>
      </c>
      <c r="D187" s="108" t="s">
        <v>62</v>
      </c>
      <c r="E187" s="239"/>
      <c r="F187" s="62" t="s">
        <v>1126</v>
      </c>
      <c r="G187" s="62" t="s">
        <v>1127</v>
      </c>
      <c r="H187" s="3">
        <v>15</v>
      </c>
      <c r="I187" s="3">
        <v>2</v>
      </c>
      <c r="J187" s="69">
        <f t="shared" si="4"/>
        <v>0.13333333333333333</v>
      </c>
      <c r="K187" s="90">
        <f>+I187+'AGOSTO 2025'!K187</f>
        <v>15</v>
      </c>
      <c r="L187" s="94">
        <f t="shared" si="5"/>
        <v>1</v>
      </c>
      <c r="N187"/>
      <c r="O187" s="8"/>
      <c r="P187"/>
      <c r="Q187" s="8"/>
    </row>
    <row r="188" spans="2:17" x14ac:dyDescent="0.25">
      <c r="B188" s="86">
        <v>8</v>
      </c>
      <c r="C188" s="107" t="s">
        <v>344</v>
      </c>
      <c r="D188" s="108" t="s">
        <v>345</v>
      </c>
      <c r="E188" s="239"/>
      <c r="F188" s="61" t="s">
        <v>975</v>
      </c>
      <c r="G188" s="62" t="s">
        <v>343</v>
      </c>
      <c r="H188" s="3">
        <v>20</v>
      </c>
      <c r="I188" s="3">
        <v>4</v>
      </c>
      <c r="J188" s="69">
        <f t="shared" si="4"/>
        <v>0.2</v>
      </c>
      <c r="K188" s="90">
        <f>+I188+'AGOSTO 2025'!K188</f>
        <v>20</v>
      </c>
      <c r="L188" s="94">
        <f t="shared" si="5"/>
        <v>1</v>
      </c>
      <c r="N188"/>
      <c r="O188" s="8"/>
      <c r="P188"/>
      <c r="Q188" s="8"/>
    </row>
    <row r="189" spans="2:17" x14ac:dyDescent="0.25">
      <c r="B189" s="86">
        <v>8</v>
      </c>
      <c r="C189" s="107" t="s">
        <v>346</v>
      </c>
      <c r="D189" s="108" t="s">
        <v>347</v>
      </c>
      <c r="E189" s="239"/>
      <c r="F189" s="62" t="s">
        <v>976</v>
      </c>
      <c r="G189" s="62" t="s">
        <v>585</v>
      </c>
      <c r="H189" s="3">
        <v>20</v>
      </c>
      <c r="I189" s="3">
        <v>3</v>
      </c>
      <c r="J189" s="69">
        <f t="shared" si="4"/>
        <v>0.15</v>
      </c>
      <c r="K189" s="90">
        <f>+I189+'AGOSTO 2025'!K189</f>
        <v>20</v>
      </c>
      <c r="L189" s="94">
        <f t="shared" si="5"/>
        <v>1</v>
      </c>
      <c r="N189"/>
      <c r="O189" s="8"/>
      <c r="P189"/>
      <c r="Q189" s="8"/>
    </row>
    <row r="190" spans="2:17" x14ac:dyDescent="0.25">
      <c r="B190" s="87">
        <v>8</v>
      </c>
      <c r="C190" s="109" t="s">
        <v>349</v>
      </c>
      <c r="D190" s="110" t="s">
        <v>350</v>
      </c>
      <c r="E190" s="227"/>
      <c r="F190" s="64" t="s">
        <v>232</v>
      </c>
      <c r="G190" s="63" t="s">
        <v>109</v>
      </c>
      <c r="H190" s="97">
        <v>20</v>
      </c>
      <c r="I190" s="97">
        <v>4</v>
      </c>
      <c r="J190" s="72">
        <f t="shared" si="4"/>
        <v>0.2</v>
      </c>
      <c r="K190" s="91">
        <f>+I190+'AGOSTO 2025'!K190</f>
        <v>20</v>
      </c>
      <c r="L190" s="96">
        <f t="shared" si="5"/>
        <v>1</v>
      </c>
      <c r="N190"/>
      <c r="O190" s="8"/>
      <c r="P190"/>
      <c r="Q190" s="8"/>
    </row>
    <row r="191" spans="2:17" x14ac:dyDescent="0.25">
      <c r="B191" s="85">
        <v>3</v>
      </c>
      <c r="C191" s="105" t="s">
        <v>43</v>
      </c>
      <c r="D191" s="106" t="s">
        <v>44</v>
      </c>
      <c r="E191" s="232" t="s">
        <v>353</v>
      </c>
      <c r="F191" s="59" t="s">
        <v>1141</v>
      </c>
      <c r="G191" s="60" t="s">
        <v>1142</v>
      </c>
      <c r="H191" s="89">
        <v>18</v>
      </c>
      <c r="I191" s="89">
        <v>3</v>
      </c>
      <c r="J191" s="69">
        <f t="shared" si="4"/>
        <v>0.16666666666666666</v>
      </c>
      <c r="K191" s="103">
        <f>+I191+'AGOSTO 2025'!K191</f>
        <v>18</v>
      </c>
      <c r="L191" s="94">
        <f t="shared" si="5"/>
        <v>1</v>
      </c>
      <c r="N191"/>
      <c r="O191" s="8"/>
      <c r="P191"/>
      <c r="Q191" s="8"/>
    </row>
    <row r="192" spans="2:17" x14ac:dyDescent="0.25">
      <c r="B192" s="86">
        <v>3</v>
      </c>
      <c r="C192" s="107" t="s">
        <v>46</v>
      </c>
      <c r="D192" s="108" t="s">
        <v>47</v>
      </c>
      <c r="E192" s="232"/>
      <c r="F192" s="61" t="s">
        <v>1143</v>
      </c>
      <c r="G192" s="63" t="s">
        <v>1142</v>
      </c>
      <c r="H192" s="2">
        <v>18</v>
      </c>
      <c r="I192" s="3">
        <v>3</v>
      </c>
      <c r="J192" s="69">
        <f t="shared" si="4"/>
        <v>0.16666666666666666</v>
      </c>
      <c r="K192" s="90">
        <f>+I192+'AGOSTO 2025'!K192</f>
        <v>18</v>
      </c>
      <c r="L192" s="94">
        <f t="shared" si="5"/>
        <v>1</v>
      </c>
      <c r="N192"/>
      <c r="O192" s="8"/>
      <c r="P192"/>
      <c r="Q192" s="8"/>
    </row>
    <row r="193" spans="2:17" x14ac:dyDescent="0.25">
      <c r="B193" s="86">
        <v>3</v>
      </c>
      <c r="C193" s="107" t="s">
        <v>98</v>
      </c>
      <c r="D193" s="108" t="s">
        <v>99</v>
      </c>
      <c r="E193" s="232"/>
      <c r="F193" s="61" t="s">
        <v>1144</v>
      </c>
      <c r="G193" s="62" t="s">
        <v>1142</v>
      </c>
      <c r="H193" s="3">
        <v>24</v>
      </c>
      <c r="I193" s="3">
        <v>4</v>
      </c>
      <c r="J193" s="69">
        <f t="shared" si="4"/>
        <v>0.16666666666666666</v>
      </c>
      <c r="K193" s="90">
        <f>+I193+'AGOSTO 2025'!K193</f>
        <v>24</v>
      </c>
      <c r="L193" s="94">
        <f t="shared" si="5"/>
        <v>1</v>
      </c>
      <c r="N193"/>
      <c r="O193" s="8"/>
      <c r="P193"/>
      <c r="Q193" s="8"/>
    </row>
    <row r="194" spans="2:17" x14ac:dyDescent="0.25">
      <c r="B194" s="86">
        <v>3</v>
      </c>
      <c r="C194" s="107" t="s">
        <v>49</v>
      </c>
      <c r="D194" s="108" t="s">
        <v>50</v>
      </c>
      <c r="E194" s="232"/>
      <c r="F194" s="61" t="s">
        <v>1145</v>
      </c>
      <c r="G194" s="62" t="s">
        <v>1142</v>
      </c>
      <c r="H194" s="3">
        <v>24</v>
      </c>
      <c r="I194" s="3">
        <v>4</v>
      </c>
      <c r="J194" s="69">
        <f t="shared" si="4"/>
        <v>0.16666666666666666</v>
      </c>
      <c r="K194" s="90">
        <f>+I194+'AGOSTO 2025'!K194</f>
        <v>24</v>
      </c>
      <c r="L194" s="94">
        <f t="shared" si="5"/>
        <v>1</v>
      </c>
      <c r="N194"/>
      <c r="O194" s="8"/>
      <c r="P194"/>
      <c r="Q194" s="8"/>
    </row>
    <row r="195" spans="2:17" x14ac:dyDescent="0.25">
      <c r="B195" s="86">
        <v>3</v>
      </c>
      <c r="C195" s="107" t="s">
        <v>52</v>
      </c>
      <c r="D195" s="108" t="s">
        <v>53</v>
      </c>
      <c r="E195" s="232"/>
      <c r="F195" s="61" t="s">
        <v>1146</v>
      </c>
      <c r="G195" s="62" t="s">
        <v>1142</v>
      </c>
      <c r="H195" s="3">
        <v>24</v>
      </c>
      <c r="I195" s="3">
        <v>4</v>
      </c>
      <c r="J195" s="69">
        <f t="shared" si="4"/>
        <v>0.16666666666666666</v>
      </c>
      <c r="K195" s="90">
        <f>+I195+'AGOSTO 2025'!K195</f>
        <v>24</v>
      </c>
      <c r="L195" s="94">
        <f t="shared" si="5"/>
        <v>1</v>
      </c>
      <c r="N195"/>
      <c r="O195" s="8"/>
      <c r="P195"/>
      <c r="Q195" s="8"/>
    </row>
    <row r="196" spans="2:17" x14ac:dyDescent="0.25">
      <c r="B196" s="86">
        <v>3</v>
      </c>
      <c r="C196" s="107" t="s">
        <v>55</v>
      </c>
      <c r="D196" s="108" t="s">
        <v>56</v>
      </c>
      <c r="E196" s="232"/>
      <c r="F196" s="61" t="s">
        <v>1147</v>
      </c>
      <c r="G196" s="62" t="s">
        <v>1142</v>
      </c>
      <c r="H196" s="3">
        <v>24</v>
      </c>
      <c r="I196" s="3">
        <v>4</v>
      </c>
      <c r="J196" s="69">
        <f t="shared" si="4"/>
        <v>0.16666666666666666</v>
      </c>
      <c r="K196" s="90">
        <f>+I196+'AGOSTO 2025'!K196</f>
        <v>24</v>
      </c>
      <c r="L196" s="94">
        <f t="shared" si="5"/>
        <v>1</v>
      </c>
      <c r="N196"/>
      <c r="O196" s="8"/>
      <c r="P196"/>
      <c r="Q196" s="8"/>
    </row>
    <row r="197" spans="2:17" x14ac:dyDescent="0.25">
      <c r="B197" s="86">
        <v>5</v>
      </c>
      <c r="C197" s="107" t="s">
        <v>57</v>
      </c>
      <c r="D197" s="108" t="s">
        <v>58</v>
      </c>
      <c r="E197" s="232"/>
      <c r="F197" s="61" t="s">
        <v>1148</v>
      </c>
      <c r="G197" s="62" t="s">
        <v>1142</v>
      </c>
      <c r="H197" s="3">
        <v>24</v>
      </c>
      <c r="I197" s="3">
        <v>4</v>
      </c>
      <c r="J197" s="69">
        <f t="shared" si="4"/>
        <v>0.16666666666666666</v>
      </c>
      <c r="K197" s="90">
        <f>+I197+'AGOSTO 2025'!K197</f>
        <v>24</v>
      </c>
      <c r="L197" s="94">
        <f t="shared" si="5"/>
        <v>1</v>
      </c>
      <c r="N197"/>
      <c r="O197" s="8"/>
      <c r="P197"/>
      <c r="Q197" s="8"/>
    </row>
    <row r="198" spans="2:17" x14ac:dyDescent="0.25">
      <c r="B198" s="87">
        <v>8</v>
      </c>
      <c r="C198" s="109" t="s">
        <v>61</v>
      </c>
      <c r="D198" s="110" t="s">
        <v>62</v>
      </c>
      <c r="E198" s="232"/>
      <c r="F198" s="64" t="s">
        <v>1149</v>
      </c>
      <c r="G198" s="65" t="s">
        <v>1142</v>
      </c>
      <c r="H198" s="97">
        <v>24</v>
      </c>
      <c r="I198" s="97">
        <v>4</v>
      </c>
      <c r="J198" s="72">
        <f t="shared" si="4"/>
        <v>0.16666666666666666</v>
      </c>
      <c r="K198" s="91">
        <f>+I198+'AGOSTO 2025'!K198</f>
        <v>24</v>
      </c>
      <c r="L198" s="96">
        <f t="shared" si="5"/>
        <v>1</v>
      </c>
      <c r="N198"/>
      <c r="O198" s="8"/>
      <c r="P198"/>
      <c r="Q198" s="8"/>
    </row>
    <row r="199" spans="2:17" x14ac:dyDescent="0.25">
      <c r="B199" s="85">
        <v>2</v>
      </c>
      <c r="C199" s="105" t="s">
        <v>356</v>
      </c>
      <c r="D199" s="106" t="s">
        <v>357</v>
      </c>
      <c r="E199" s="226" t="s">
        <v>359</v>
      </c>
      <c r="F199" s="59" t="s">
        <v>1218</v>
      </c>
      <c r="G199" s="60" t="s">
        <v>1219</v>
      </c>
      <c r="H199" s="89">
        <v>60</v>
      </c>
      <c r="I199" s="89">
        <v>13</v>
      </c>
      <c r="J199" s="69">
        <f t="shared" si="4"/>
        <v>0.21666666666666667</v>
      </c>
      <c r="K199" s="103">
        <f>+I199+'AGOSTO 2025'!K199</f>
        <v>60</v>
      </c>
      <c r="L199" s="94">
        <f t="shared" si="5"/>
        <v>1</v>
      </c>
      <c r="N199"/>
      <c r="O199" s="8"/>
      <c r="P199"/>
      <c r="Q199" s="8"/>
    </row>
    <row r="200" spans="2:17" x14ac:dyDescent="0.25">
      <c r="B200" s="86">
        <v>2</v>
      </c>
      <c r="C200" s="107" t="s">
        <v>360</v>
      </c>
      <c r="D200" s="108" t="s">
        <v>361</v>
      </c>
      <c r="E200" s="226"/>
      <c r="F200" s="61" t="s">
        <v>1220</v>
      </c>
      <c r="G200" s="62" t="s">
        <v>1219</v>
      </c>
      <c r="H200" s="2">
        <v>40</v>
      </c>
      <c r="I200" s="3">
        <v>8</v>
      </c>
      <c r="J200" s="69">
        <f t="shared" si="4"/>
        <v>0.2</v>
      </c>
      <c r="K200" s="90">
        <f>+I200+'AGOSTO 2025'!K200</f>
        <v>40</v>
      </c>
      <c r="L200" s="94">
        <f t="shared" si="5"/>
        <v>1</v>
      </c>
      <c r="N200"/>
      <c r="O200" s="8"/>
      <c r="P200"/>
      <c r="Q200" s="8"/>
    </row>
    <row r="201" spans="2:17" x14ac:dyDescent="0.25">
      <c r="B201" s="86">
        <v>2</v>
      </c>
      <c r="C201" s="107" t="s">
        <v>363</v>
      </c>
      <c r="D201" s="108" t="s">
        <v>364</v>
      </c>
      <c r="E201" s="226"/>
      <c r="F201" s="61" t="s">
        <v>1251</v>
      </c>
      <c r="G201" s="63" t="s">
        <v>172</v>
      </c>
      <c r="H201" s="3">
        <v>10</v>
      </c>
      <c r="I201" s="4">
        <v>0</v>
      </c>
      <c r="J201" s="69">
        <f t="shared" si="4"/>
        <v>0</v>
      </c>
      <c r="K201" s="90">
        <f>+I201+'AGOSTO 2025'!K201</f>
        <v>10</v>
      </c>
      <c r="L201" s="94">
        <f t="shared" si="5"/>
        <v>1</v>
      </c>
      <c r="N201"/>
      <c r="O201" s="8"/>
      <c r="P201"/>
      <c r="Q201" s="8"/>
    </row>
    <row r="202" spans="2:17" x14ac:dyDescent="0.25">
      <c r="B202" s="86">
        <v>2</v>
      </c>
      <c r="C202" s="107" t="s">
        <v>366</v>
      </c>
      <c r="D202" s="108" t="s">
        <v>367</v>
      </c>
      <c r="E202" s="226"/>
      <c r="F202" s="61" t="s">
        <v>1252</v>
      </c>
      <c r="G202" s="62" t="s">
        <v>172</v>
      </c>
      <c r="H202" s="3">
        <v>10</v>
      </c>
      <c r="I202" s="3">
        <v>0</v>
      </c>
      <c r="J202" s="69">
        <f t="shared" si="4"/>
        <v>0</v>
      </c>
      <c r="K202" s="90">
        <f>+I202+'AGOSTO 2025'!K202</f>
        <v>10</v>
      </c>
      <c r="L202" s="94">
        <f t="shared" si="5"/>
        <v>1</v>
      </c>
      <c r="N202"/>
      <c r="O202" s="8"/>
      <c r="P202"/>
      <c r="Q202" s="8"/>
    </row>
    <row r="203" spans="2:17" x14ac:dyDescent="0.25">
      <c r="B203" s="86">
        <v>2</v>
      </c>
      <c r="C203" s="107" t="s">
        <v>368</v>
      </c>
      <c r="D203" s="108" t="s">
        <v>369</v>
      </c>
      <c r="E203" s="226"/>
      <c r="F203" s="61" t="s">
        <v>1253</v>
      </c>
      <c r="G203" s="146" t="s">
        <v>172</v>
      </c>
      <c r="H203" s="3">
        <v>10</v>
      </c>
      <c r="I203" s="3">
        <v>0</v>
      </c>
      <c r="J203" s="69">
        <f t="shared" si="4"/>
        <v>0</v>
      </c>
      <c r="K203" s="90">
        <f>+I203+'AGOSTO 2025'!K203</f>
        <v>10</v>
      </c>
      <c r="L203" s="94">
        <f t="shared" si="5"/>
        <v>1</v>
      </c>
      <c r="N203"/>
      <c r="O203" s="8"/>
      <c r="P203"/>
      <c r="Q203" s="8"/>
    </row>
    <row r="204" spans="2:17" x14ac:dyDescent="0.25">
      <c r="B204" s="86">
        <v>2</v>
      </c>
      <c r="C204" s="107" t="s">
        <v>140</v>
      </c>
      <c r="D204" s="108" t="s">
        <v>141</v>
      </c>
      <c r="E204" s="226"/>
      <c r="F204" s="61" t="s">
        <v>135</v>
      </c>
      <c r="G204" s="62" t="s">
        <v>172</v>
      </c>
      <c r="H204" s="3">
        <v>20</v>
      </c>
      <c r="I204" s="3">
        <v>0</v>
      </c>
      <c r="J204" s="69">
        <f t="shared" si="4"/>
        <v>0</v>
      </c>
      <c r="K204" s="90">
        <f>+I204+'AGOSTO 2025'!K204</f>
        <v>20</v>
      </c>
      <c r="L204" s="94">
        <f t="shared" si="5"/>
        <v>1</v>
      </c>
      <c r="N204"/>
      <c r="O204" s="8"/>
      <c r="P204"/>
      <c r="Q204" s="8"/>
    </row>
    <row r="205" spans="2:17" x14ac:dyDescent="0.25">
      <c r="B205" s="86">
        <v>2</v>
      </c>
      <c r="C205" s="107" t="s">
        <v>371</v>
      </c>
      <c r="D205" s="108" t="s">
        <v>372</v>
      </c>
      <c r="E205" s="226"/>
      <c r="F205" s="61" t="s">
        <v>48</v>
      </c>
      <c r="G205" s="62" t="s">
        <v>172</v>
      </c>
      <c r="H205" s="3">
        <v>10</v>
      </c>
      <c r="I205" s="3">
        <v>0</v>
      </c>
      <c r="J205" s="69">
        <f t="shared" si="4"/>
        <v>0</v>
      </c>
      <c r="K205" s="90">
        <f>+I205+'AGOSTO 2025'!K205</f>
        <v>10</v>
      </c>
      <c r="L205" s="94">
        <f t="shared" si="5"/>
        <v>1</v>
      </c>
      <c r="N205"/>
      <c r="O205" s="8"/>
      <c r="P205"/>
      <c r="Q205" s="8"/>
    </row>
    <row r="206" spans="2:17" x14ac:dyDescent="0.25">
      <c r="B206" s="87">
        <v>2</v>
      </c>
      <c r="C206" s="109" t="s">
        <v>374</v>
      </c>
      <c r="D206" s="110" t="s">
        <v>375</v>
      </c>
      <c r="E206" s="226"/>
      <c r="F206" s="64" t="s">
        <v>1221</v>
      </c>
      <c r="G206" s="65" t="s">
        <v>1219</v>
      </c>
      <c r="H206" s="97">
        <v>20</v>
      </c>
      <c r="I206" s="97">
        <v>9</v>
      </c>
      <c r="J206" s="72">
        <f t="shared" si="4"/>
        <v>0.45</v>
      </c>
      <c r="K206" s="91">
        <f>+I206+'AGOSTO 2025'!K206</f>
        <v>20</v>
      </c>
      <c r="L206" s="96">
        <f t="shared" si="5"/>
        <v>1</v>
      </c>
      <c r="N206"/>
      <c r="O206" s="8"/>
      <c r="P206"/>
      <c r="Q206" s="8"/>
    </row>
    <row r="207" spans="2:17" x14ac:dyDescent="0.25">
      <c r="B207" s="88">
        <v>1</v>
      </c>
      <c r="C207" s="111" t="s">
        <v>230</v>
      </c>
      <c r="D207" s="112" t="s">
        <v>377</v>
      </c>
      <c r="E207" s="226" t="s">
        <v>745</v>
      </c>
      <c r="F207" s="59" t="s">
        <v>599</v>
      </c>
      <c r="G207" s="60" t="s">
        <v>1165</v>
      </c>
      <c r="H207" s="66">
        <v>30</v>
      </c>
      <c r="I207" s="66">
        <v>8</v>
      </c>
      <c r="J207" s="69">
        <f t="shared" ref="J207:J268" si="6">IFERROR(I207/H207,0)</f>
        <v>0.26666666666666666</v>
      </c>
      <c r="K207" s="103">
        <f>+I207+'AGOSTO 2025'!K207</f>
        <v>30</v>
      </c>
      <c r="L207" s="94">
        <f t="shared" ref="L207:L268" si="7">IFERROR(K207/H207,0)</f>
        <v>1</v>
      </c>
      <c r="N207"/>
      <c r="O207" s="8"/>
      <c r="P207"/>
      <c r="Q207" s="8"/>
    </row>
    <row r="208" spans="2:17" x14ac:dyDescent="0.25">
      <c r="B208" s="86">
        <v>1</v>
      </c>
      <c r="C208" s="107" t="s">
        <v>74</v>
      </c>
      <c r="D208" s="108" t="s">
        <v>226</v>
      </c>
      <c r="E208" s="226"/>
      <c r="F208" s="61" t="s">
        <v>601</v>
      </c>
      <c r="G208" s="62" t="s">
        <v>602</v>
      </c>
      <c r="H208" s="68">
        <v>30</v>
      </c>
      <c r="I208" s="55">
        <v>4</v>
      </c>
      <c r="J208" s="69">
        <f t="shared" si="6"/>
        <v>0.13333333333333333</v>
      </c>
      <c r="K208" s="90">
        <f>+I208+'AGOSTO 2025'!K208</f>
        <v>30</v>
      </c>
      <c r="L208" s="94">
        <f t="shared" si="7"/>
        <v>1</v>
      </c>
      <c r="N208"/>
      <c r="O208" s="8"/>
      <c r="P208"/>
      <c r="Q208" s="8"/>
    </row>
    <row r="209" spans="2:17" x14ac:dyDescent="0.25">
      <c r="B209" s="86">
        <v>1</v>
      </c>
      <c r="C209" s="107" t="s">
        <v>77</v>
      </c>
      <c r="D209" s="108" t="s">
        <v>78</v>
      </c>
      <c r="E209" s="226"/>
      <c r="F209" s="61" t="s">
        <v>1002</v>
      </c>
      <c r="G209" s="63" t="s">
        <v>1165</v>
      </c>
      <c r="H209" s="55">
        <v>30</v>
      </c>
      <c r="I209" s="70">
        <v>4</v>
      </c>
      <c r="J209" s="69">
        <f t="shared" si="6"/>
        <v>0.13333333333333333</v>
      </c>
      <c r="K209" s="90">
        <f>+I209+'AGOSTO 2025'!K209</f>
        <v>30</v>
      </c>
      <c r="L209" s="94">
        <f t="shared" si="7"/>
        <v>1</v>
      </c>
      <c r="N209"/>
      <c r="O209" s="8"/>
      <c r="P209"/>
      <c r="Q209" s="8"/>
    </row>
    <row r="210" spans="2:17" x14ac:dyDescent="0.25">
      <c r="B210" s="86">
        <v>1</v>
      </c>
      <c r="C210" s="107" t="s">
        <v>89</v>
      </c>
      <c r="D210" s="108" t="s">
        <v>90</v>
      </c>
      <c r="E210" s="226"/>
      <c r="F210" s="61" t="s">
        <v>1003</v>
      </c>
      <c r="G210" s="62" t="s">
        <v>1165</v>
      </c>
      <c r="H210" s="55">
        <v>30</v>
      </c>
      <c r="I210" s="55">
        <v>3</v>
      </c>
      <c r="J210" s="69">
        <f t="shared" si="6"/>
        <v>0.1</v>
      </c>
      <c r="K210" s="90">
        <f>+I210+'AGOSTO 2025'!K210</f>
        <v>30</v>
      </c>
      <c r="L210" s="94">
        <f t="shared" si="7"/>
        <v>1</v>
      </c>
      <c r="N210"/>
      <c r="O210" s="8"/>
      <c r="P210"/>
      <c r="Q210" s="8"/>
    </row>
    <row r="211" spans="2:17" x14ac:dyDescent="0.25">
      <c r="B211" s="86">
        <v>1</v>
      </c>
      <c r="C211" s="107" t="s">
        <v>379</v>
      </c>
      <c r="D211" s="108" t="s">
        <v>380</v>
      </c>
      <c r="E211" s="226"/>
      <c r="F211" s="61" t="s">
        <v>1004</v>
      </c>
      <c r="G211" s="62" t="s">
        <v>1005</v>
      </c>
      <c r="H211" s="55">
        <v>30</v>
      </c>
      <c r="I211" s="55">
        <v>4</v>
      </c>
      <c r="J211" s="69">
        <f t="shared" si="6"/>
        <v>0.13333333333333333</v>
      </c>
      <c r="K211" s="90">
        <f>+I211+'AGOSTO 2025'!K211</f>
        <v>30</v>
      </c>
      <c r="L211" s="94">
        <f t="shared" si="7"/>
        <v>1</v>
      </c>
      <c r="N211"/>
      <c r="O211" s="8"/>
      <c r="P211"/>
      <c r="Q211" s="8"/>
    </row>
    <row r="212" spans="2:17" x14ac:dyDescent="0.25">
      <c r="B212" s="87">
        <v>2</v>
      </c>
      <c r="C212" s="109" t="s">
        <v>360</v>
      </c>
      <c r="D212" s="110" t="s">
        <v>361</v>
      </c>
      <c r="E212" s="226"/>
      <c r="F212" s="64" t="s">
        <v>1006</v>
      </c>
      <c r="G212" s="65" t="s">
        <v>1165</v>
      </c>
      <c r="H212" s="56">
        <v>30</v>
      </c>
      <c r="I212" s="56">
        <v>7</v>
      </c>
      <c r="J212" s="72">
        <f t="shared" si="6"/>
        <v>0.23333333333333334</v>
      </c>
      <c r="K212" s="91">
        <f>+I212+'AGOSTO 2025'!K212</f>
        <v>30</v>
      </c>
      <c r="L212" s="96">
        <f t="shared" si="7"/>
        <v>1</v>
      </c>
      <c r="N212"/>
      <c r="O212" s="8"/>
      <c r="P212"/>
      <c r="Q212" s="8"/>
    </row>
    <row r="213" spans="2:17" x14ac:dyDescent="0.25">
      <c r="B213" s="88">
        <v>3</v>
      </c>
      <c r="C213" s="111" t="s">
        <v>43</v>
      </c>
      <c r="D213" s="112" t="s">
        <v>44</v>
      </c>
      <c r="E213" s="232" t="s">
        <v>382</v>
      </c>
      <c r="F213" s="59" t="s">
        <v>1206</v>
      </c>
      <c r="G213" s="60" t="s">
        <v>1207</v>
      </c>
      <c r="H213" s="89">
        <v>28</v>
      </c>
      <c r="I213" s="89">
        <v>1</v>
      </c>
      <c r="J213" s="69">
        <f t="shared" si="6"/>
        <v>3.5714285714285712E-2</v>
      </c>
      <c r="K213" s="103">
        <f>+I213+'AGOSTO 2025'!K213</f>
        <v>16</v>
      </c>
      <c r="L213" s="94">
        <f t="shared" si="7"/>
        <v>0.5714285714285714</v>
      </c>
      <c r="N213"/>
      <c r="O213" s="8"/>
      <c r="P213"/>
      <c r="Q213" s="8"/>
    </row>
    <row r="214" spans="2:17" x14ac:dyDescent="0.25">
      <c r="B214" s="86">
        <v>3</v>
      </c>
      <c r="C214" s="107" t="s">
        <v>46</v>
      </c>
      <c r="D214" s="108" t="s">
        <v>47</v>
      </c>
      <c r="E214" s="232"/>
      <c r="F214" s="61" t="s">
        <v>1208</v>
      </c>
      <c r="G214" s="76" t="s">
        <v>393</v>
      </c>
      <c r="H214" s="2">
        <v>28</v>
      </c>
      <c r="I214" s="3">
        <v>2</v>
      </c>
      <c r="J214" s="69">
        <f t="shared" si="6"/>
        <v>7.1428571428571425E-2</v>
      </c>
      <c r="K214" s="90">
        <f>+I214+'AGOSTO 2025'!K214</f>
        <v>16</v>
      </c>
      <c r="L214" s="94">
        <f t="shared" si="7"/>
        <v>0.5714285714285714</v>
      </c>
      <c r="N214"/>
      <c r="O214" s="8"/>
      <c r="P214"/>
      <c r="Q214" s="8"/>
    </row>
    <row r="215" spans="2:17" x14ac:dyDescent="0.25">
      <c r="B215" s="86">
        <v>3</v>
      </c>
      <c r="C215" s="107" t="s">
        <v>98</v>
      </c>
      <c r="D215" s="108" t="s">
        <v>99</v>
      </c>
      <c r="E215" s="232"/>
      <c r="F215" s="61" t="s">
        <v>1209</v>
      </c>
      <c r="G215" s="62" t="s">
        <v>1207</v>
      </c>
      <c r="H215" s="3">
        <v>27</v>
      </c>
      <c r="I215" s="4">
        <v>2</v>
      </c>
      <c r="J215" s="69">
        <f t="shared" si="6"/>
        <v>7.407407407407407E-2</v>
      </c>
      <c r="K215" s="90">
        <f>+I215+'AGOSTO 2025'!K215</f>
        <v>16</v>
      </c>
      <c r="L215" s="94">
        <f t="shared" si="7"/>
        <v>0.59259259259259256</v>
      </c>
      <c r="N215"/>
      <c r="O215" s="8"/>
      <c r="P215"/>
      <c r="Q215" s="8"/>
    </row>
    <row r="216" spans="2:17" x14ac:dyDescent="0.25">
      <c r="B216" s="86">
        <v>3</v>
      </c>
      <c r="C216" s="107" t="s">
        <v>49</v>
      </c>
      <c r="D216" s="108" t="s">
        <v>50</v>
      </c>
      <c r="E216" s="232"/>
      <c r="F216" s="61" t="s">
        <v>1217</v>
      </c>
      <c r="G216" s="62" t="s">
        <v>1207</v>
      </c>
      <c r="H216" s="3">
        <v>32</v>
      </c>
      <c r="I216" s="3">
        <v>4</v>
      </c>
      <c r="J216" s="69">
        <f t="shared" si="6"/>
        <v>0.125</v>
      </c>
      <c r="K216" s="90">
        <f>+I216+'AGOSTO 2025'!K216</f>
        <v>20</v>
      </c>
      <c r="L216" s="94">
        <f t="shared" si="7"/>
        <v>0.625</v>
      </c>
      <c r="N216"/>
      <c r="O216" s="8"/>
      <c r="P216"/>
      <c r="Q216" s="8"/>
    </row>
    <row r="217" spans="2:17" x14ac:dyDescent="0.25">
      <c r="B217" s="86">
        <v>3</v>
      </c>
      <c r="C217" s="107" t="s">
        <v>52</v>
      </c>
      <c r="D217" s="108" t="s">
        <v>53</v>
      </c>
      <c r="E217" s="232"/>
      <c r="F217" s="62" t="s">
        <v>1210</v>
      </c>
      <c r="G217" s="62" t="s">
        <v>1211</v>
      </c>
      <c r="H217" s="3">
        <v>30</v>
      </c>
      <c r="I217" s="3">
        <v>4</v>
      </c>
      <c r="J217" s="69">
        <f t="shared" si="6"/>
        <v>0.13333333333333333</v>
      </c>
      <c r="K217" s="90">
        <f>+I217+'AGOSTO 2025'!K217</f>
        <v>23</v>
      </c>
      <c r="L217" s="94">
        <f t="shared" si="7"/>
        <v>0.76666666666666672</v>
      </c>
      <c r="N217"/>
      <c r="O217" s="8"/>
      <c r="P217"/>
      <c r="Q217" s="8"/>
    </row>
    <row r="218" spans="2:17" x14ac:dyDescent="0.25">
      <c r="B218" s="86">
        <v>3</v>
      </c>
      <c r="C218" s="107" t="s">
        <v>55</v>
      </c>
      <c r="D218" s="108" t="s">
        <v>56</v>
      </c>
      <c r="E218" s="232"/>
      <c r="F218" s="62" t="s">
        <v>1212</v>
      </c>
      <c r="G218" s="62" t="s">
        <v>1060</v>
      </c>
      <c r="H218" s="3">
        <v>30</v>
      </c>
      <c r="I218" s="3">
        <v>5</v>
      </c>
      <c r="J218" s="69">
        <f t="shared" si="6"/>
        <v>0.16666666666666666</v>
      </c>
      <c r="K218" s="90">
        <f>+I218+'AGOSTO 2025'!K218</f>
        <v>22</v>
      </c>
      <c r="L218" s="94">
        <f t="shared" si="7"/>
        <v>0.73333333333333328</v>
      </c>
      <c r="N218"/>
      <c r="O218" s="8"/>
      <c r="P218"/>
      <c r="Q218" s="8"/>
    </row>
    <row r="219" spans="2:17" x14ac:dyDescent="0.25">
      <c r="B219" s="86">
        <v>5</v>
      </c>
      <c r="C219" s="107" t="s">
        <v>57</v>
      </c>
      <c r="D219" s="108" t="s">
        <v>58</v>
      </c>
      <c r="E219" s="232"/>
      <c r="F219" s="61" t="s">
        <v>1213</v>
      </c>
      <c r="G219" s="62" t="s">
        <v>1060</v>
      </c>
      <c r="H219" s="3">
        <v>30</v>
      </c>
      <c r="I219" s="3">
        <v>5</v>
      </c>
      <c r="J219" s="69">
        <f t="shared" si="6"/>
        <v>0.16666666666666666</v>
      </c>
      <c r="K219" s="90">
        <f>+I219+'AGOSTO 2025'!K219</f>
        <v>22</v>
      </c>
      <c r="L219" s="94">
        <f t="shared" si="7"/>
        <v>0.73333333333333328</v>
      </c>
      <c r="N219"/>
      <c r="O219" s="8"/>
      <c r="P219"/>
      <c r="Q219" s="8"/>
    </row>
    <row r="220" spans="2:17" x14ac:dyDescent="0.25">
      <c r="B220" s="86">
        <v>5</v>
      </c>
      <c r="C220" s="107" t="s">
        <v>59</v>
      </c>
      <c r="D220" s="108" t="s">
        <v>60</v>
      </c>
      <c r="E220" s="232"/>
      <c r="F220" s="62" t="s">
        <v>1214</v>
      </c>
      <c r="G220" s="62" t="s">
        <v>958</v>
      </c>
      <c r="H220" s="3">
        <v>35</v>
      </c>
      <c r="I220" s="3">
        <v>4</v>
      </c>
      <c r="J220" s="69">
        <f t="shared" si="6"/>
        <v>0.11428571428571428</v>
      </c>
      <c r="K220" s="90">
        <f>+I220+'AGOSTO 2025'!K220</f>
        <v>23</v>
      </c>
      <c r="L220" s="94">
        <f t="shared" si="7"/>
        <v>0.65714285714285714</v>
      </c>
      <c r="N220"/>
      <c r="O220" s="8"/>
      <c r="P220"/>
      <c r="Q220" s="8"/>
    </row>
    <row r="221" spans="2:17" x14ac:dyDescent="0.25">
      <c r="B221" s="104">
        <v>8</v>
      </c>
      <c r="C221" s="113" t="s">
        <v>61</v>
      </c>
      <c r="D221" s="114" t="s">
        <v>62</v>
      </c>
      <c r="E221" s="232"/>
      <c r="F221" s="64" t="s">
        <v>1215</v>
      </c>
      <c r="G221" s="63" t="s">
        <v>1216</v>
      </c>
      <c r="H221" s="97">
        <v>30</v>
      </c>
      <c r="I221" s="97">
        <v>3</v>
      </c>
      <c r="J221" s="72">
        <f t="shared" si="6"/>
        <v>0.1</v>
      </c>
      <c r="K221" s="91">
        <f>+I221+'AGOSTO 2025'!K221</f>
        <v>22</v>
      </c>
      <c r="L221" s="96">
        <f t="shared" si="7"/>
        <v>0.73333333333333328</v>
      </c>
      <c r="N221"/>
      <c r="O221" s="8"/>
      <c r="P221"/>
      <c r="Q221" s="8"/>
    </row>
    <row r="222" spans="2:17" x14ac:dyDescent="0.25">
      <c r="B222" s="85">
        <v>3</v>
      </c>
      <c r="C222" s="105" t="s">
        <v>43</v>
      </c>
      <c r="D222" s="106" t="s">
        <v>44</v>
      </c>
      <c r="E222" s="232" t="s">
        <v>400</v>
      </c>
      <c r="F222" s="142" t="s">
        <v>54</v>
      </c>
      <c r="G222" s="60" t="s">
        <v>1192</v>
      </c>
      <c r="H222" s="89">
        <v>20</v>
      </c>
      <c r="I222" s="66">
        <v>3</v>
      </c>
      <c r="J222" s="69">
        <f t="shared" si="6"/>
        <v>0.15</v>
      </c>
      <c r="K222" s="103">
        <f>+I222+'AGOSTO 2025'!K222</f>
        <v>20</v>
      </c>
      <c r="L222" s="94">
        <f t="shared" si="7"/>
        <v>1</v>
      </c>
      <c r="N222"/>
      <c r="O222" s="8"/>
      <c r="P222"/>
      <c r="Q222" s="8"/>
    </row>
    <row r="223" spans="2:17" x14ac:dyDescent="0.25">
      <c r="B223" s="86">
        <v>3</v>
      </c>
      <c r="C223" s="107" t="s">
        <v>46</v>
      </c>
      <c r="D223" s="108" t="s">
        <v>47</v>
      </c>
      <c r="E223" s="232"/>
      <c r="F223" s="143" t="s">
        <v>1039</v>
      </c>
      <c r="G223" s="76" t="s">
        <v>1192</v>
      </c>
      <c r="H223" s="2">
        <v>20</v>
      </c>
      <c r="I223" s="55">
        <v>3</v>
      </c>
      <c r="J223" s="69">
        <f t="shared" si="6"/>
        <v>0.15</v>
      </c>
      <c r="K223" s="90">
        <f>+I223+'AGOSTO 2025'!K223</f>
        <v>20</v>
      </c>
      <c r="L223" s="94">
        <f t="shared" si="7"/>
        <v>1</v>
      </c>
      <c r="N223"/>
      <c r="O223" s="8"/>
      <c r="P223"/>
      <c r="Q223" s="8"/>
    </row>
    <row r="224" spans="2:17" x14ac:dyDescent="0.25">
      <c r="B224" s="86">
        <v>3</v>
      </c>
      <c r="C224" s="107" t="s">
        <v>98</v>
      </c>
      <c r="D224" s="108" t="s">
        <v>99</v>
      </c>
      <c r="E224" s="232"/>
      <c r="F224" s="143" t="s">
        <v>1193</v>
      </c>
      <c r="G224" s="62" t="s">
        <v>1192</v>
      </c>
      <c r="H224" s="3">
        <v>20</v>
      </c>
      <c r="I224" s="70">
        <v>4</v>
      </c>
      <c r="J224" s="69">
        <f t="shared" si="6"/>
        <v>0.2</v>
      </c>
      <c r="K224" s="90">
        <f>+I224+'AGOSTO 2025'!K224</f>
        <v>20</v>
      </c>
      <c r="L224" s="94">
        <f t="shared" si="7"/>
        <v>1</v>
      </c>
      <c r="N224"/>
      <c r="O224" s="8"/>
      <c r="P224"/>
      <c r="Q224" s="8"/>
    </row>
    <row r="225" spans="2:17" x14ac:dyDescent="0.25">
      <c r="B225" s="86">
        <v>3</v>
      </c>
      <c r="C225" s="107" t="s">
        <v>49</v>
      </c>
      <c r="D225" s="108" t="s">
        <v>50</v>
      </c>
      <c r="E225" s="232"/>
      <c r="F225" s="143" t="s">
        <v>766</v>
      </c>
      <c r="G225" s="62" t="s">
        <v>1192</v>
      </c>
      <c r="H225" s="3">
        <v>20</v>
      </c>
      <c r="I225" s="55">
        <v>3</v>
      </c>
      <c r="J225" s="69">
        <f t="shared" si="6"/>
        <v>0.15</v>
      </c>
      <c r="K225" s="90">
        <f>+I225+'AGOSTO 2025'!K225</f>
        <v>20</v>
      </c>
      <c r="L225" s="94">
        <f t="shared" si="7"/>
        <v>1</v>
      </c>
      <c r="N225"/>
      <c r="O225" s="8"/>
      <c r="P225"/>
      <c r="Q225" s="8"/>
    </row>
    <row r="226" spans="2:17" x14ac:dyDescent="0.25">
      <c r="B226" s="86">
        <v>3</v>
      </c>
      <c r="C226" s="107" t="s">
        <v>52</v>
      </c>
      <c r="D226" s="108" t="s">
        <v>53</v>
      </c>
      <c r="E226" s="232"/>
      <c r="F226" s="144" t="s">
        <v>54</v>
      </c>
      <c r="G226" s="62" t="s">
        <v>1192</v>
      </c>
      <c r="H226" s="3">
        <v>20</v>
      </c>
      <c r="I226" s="55">
        <v>3</v>
      </c>
      <c r="J226" s="69">
        <f t="shared" si="6"/>
        <v>0.15</v>
      </c>
      <c r="K226" s="90">
        <f>+I226+'AGOSTO 2025'!K226</f>
        <v>20</v>
      </c>
      <c r="L226" s="94">
        <f t="shared" si="7"/>
        <v>1</v>
      </c>
      <c r="N226"/>
      <c r="O226" s="8"/>
      <c r="P226"/>
      <c r="Q226" s="8"/>
    </row>
    <row r="227" spans="2:17" x14ac:dyDescent="0.25">
      <c r="B227" s="86">
        <v>3</v>
      </c>
      <c r="C227" s="107" t="s">
        <v>55</v>
      </c>
      <c r="D227" s="108" t="s">
        <v>56</v>
      </c>
      <c r="E227" s="232"/>
      <c r="F227" s="144" t="s">
        <v>1194</v>
      </c>
      <c r="G227" s="62" t="s">
        <v>1192</v>
      </c>
      <c r="H227" s="3">
        <v>20</v>
      </c>
      <c r="I227" s="55">
        <v>3</v>
      </c>
      <c r="J227" s="69">
        <f t="shared" si="6"/>
        <v>0.15</v>
      </c>
      <c r="K227" s="90">
        <f>+I227+'AGOSTO 2025'!K227</f>
        <v>20</v>
      </c>
      <c r="L227" s="94">
        <f t="shared" si="7"/>
        <v>1</v>
      </c>
      <c r="N227"/>
      <c r="O227" s="8"/>
      <c r="P227"/>
      <c r="Q227" s="8"/>
    </row>
    <row r="228" spans="2:17" x14ac:dyDescent="0.25">
      <c r="B228" s="86">
        <v>5</v>
      </c>
      <c r="C228" s="107" t="s">
        <v>57</v>
      </c>
      <c r="D228" s="108" t="s">
        <v>58</v>
      </c>
      <c r="E228" s="232"/>
      <c r="F228" s="143" t="s">
        <v>1195</v>
      </c>
      <c r="G228" s="62" t="s">
        <v>1192</v>
      </c>
      <c r="H228" s="3">
        <v>20</v>
      </c>
      <c r="I228" s="55">
        <v>4</v>
      </c>
      <c r="J228" s="69">
        <f t="shared" si="6"/>
        <v>0.2</v>
      </c>
      <c r="K228" s="90">
        <f>+I228+'AGOSTO 2025'!K228</f>
        <v>20</v>
      </c>
      <c r="L228" s="94">
        <f t="shared" si="7"/>
        <v>1</v>
      </c>
      <c r="N228"/>
      <c r="O228" s="8"/>
      <c r="P228"/>
      <c r="Q228" s="8"/>
    </row>
    <row r="229" spans="2:17" x14ac:dyDescent="0.25">
      <c r="B229" s="86">
        <v>5</v>
      </c>
      <c r="C229" s="107" t="s">
        <v>59</v>
      </c>
      <c r="D229" s="108" t="s">
        <v>60</v>
      </c>
      <c r="E229" s="232"/>
      <c r="F229" s="144" t="s">
        <v>1196</v>
      </c>
      <c r="G229" s="62" t="s">
        <v>1192</v>
      </c>
      <c r="H229" s="3">
        <v>20</v>
      </c>
      <c r="I229" s="55">
        <v>5</v>
      </c>
      <c r="J229" s="69">
        <f t="shared" si="6"/>
        <v>0.25</v>
      </c>
      <c r="K229" s="90">
        <f>+I229+'AGOSTO 2025'!K229</f>
        <v>20</v>
      </c>
      <c r="L229" s="94">
        <f t="shared" si="7"/>
        <v>1</v>
      </c>
      <c r="N229"/>
      <c r="O229" s="8"/>
      <c r="P229"/>
      <c r="Q229" s="8"/>
    </row>
    <row r="230" spans="2:17" x14ac:dyDescent="0.25">
      <c r="B230" s="87">
        <v>8</v>
      </c>
      <c r="C230" s="109" t="s">
        <v>61</v>
      </c>
      <c r="D230" s="110" t="s">
        <v>62</v>
      </c>
      <c r="E230" s="232"/>
      <c r="F230" s="145" t="s">
        <v>1197</v>
      </c>
      <c r="G230" s="65" t="s">
        <v>1192</v>
      </c>
      <c r="H230" s="97">
        <v>20</v>
      </c>
      <c r="I230" s="56">
        <v>2</v>
      </c>
      <c r="J230" s="72">
        <f t="shared" si="6"/>
        <v>0.1</v>
      </c>
      <c r="K230" s="91">
        <f>+I230+'AGOSTO 2025'!K230</f>
        <v>20</v>
      </c>
      <c r="L230" s="96">
        <f t="shared" si="7"/>
        <v>1</v>
      </c>
      <c r="N230"/>
      <c r="O230" s="8"/>
      <c r="P230"/>
      <c r="Q230" s="8"/>
    </row>
    <row r="231" spans="2:17" x14ac:dyDescent="0.25">
      <c r="B231" s="85">
        <v>3</v>
      </c>
      <c r="C231" s="105" t="s">
        <v>43</v>
      </c>
      <c r="D231" s="106" t="s">
        <v>44</v>
      </c>
      <c r="E231" s="232" t="s">
        <v>407</v>
      </c>
      <c r="F231" s="62" t="s">
        <v>1227</v>
      </c>
      <c r="G231" s="63" t="s">
        <v>1236</v>
      </c>
      <c r="H231" s="66">
        <v>30</v>
      </c>
      <c r="I231" s="66">
        <v>5</v>
      </c>
      <c r="J231" s="69">
        <f t="shared" si="6"/>
        <v>0.16666666666666666</v>
      </c>
      <c r="K231" s="103">
        <f>+I231+'AGOSTO 2025'!K231</f>
        <v>23</v>
      </c>
      <c r="L231" s="94">
        <f t="shared" si="7"/>
        <v>0.76666666666666672</v>
      </c>
      <c r="N231"/>
      <c r="O231" s="8"/>
      <c r="P231"/>
      <c r="Q231" s="8"/>
    </row>
    <row r="232" spans="2:17" x14ac:dyDescent="0.25">
      <c r="B232" s="86">
        <v>3</v>
      </c>
      <c r="C232" s="107" t="s">
        <v>46</v>
      </c>
      <c r="D232" s="108" t="s">
        <v>47</v>
      </c>
      <c r="E232" s="232"/>
      <c r="F232" s="61" t="s">
        <v>1228</v>
      </c>
      <c r="G232" s="62" t="s">
        <v>1237</v>
      </c>
      <c r="H232" s="68">
        <v>30</v>
      </c>
      <c r="I232" s="55">
        <v>2</v>
      </c>
      <c r="J232" s="69">
        <f t="shared" si="6"/>
        <v>6.6666666666666666E-2</v>
      </c>
      <c r="K232" s="90">
        <f>+I232+'AGOSTO 2025'!K232</f>
        <v>20</v>
      </c>
      <c r="L232" s="94">
        <f t="shared" si="7"/>
        <v>0.66666666666666663</v>
      </c>
      <c r="N232"/>
      <c r="O232" s="8"/>
      <c r="P232"/>
      <c r="Q232" s="8"/>
    </row>
    <row r="233" spans="2:17" x14ac:dyDescent="0.25">
      <c r="B233" s="86">
        <v>3</v>
      </c>
      <c r="C233" s="107" t="s">
        <v>98</v>
      </c>
      <c r="D233" s="108" t="s">
        <v>99</v>
      </c>
      <c r="E233" s="232"/>
      <c r="F233" s="61" t="s">
        <v>1229</v>
      </c>
      <c r="G233" s="63" t="s">
        <v>1238</v>
      </c>
      <c r="H233" s="55">
        <v>30</v>
      </c>
      <c r="I233" s="70">
        <v>2</v>
      </c>
      <c r="J233" s="69">
        <f t="shared" si="6"/>
        <v>6.6666666666666666E-2</v>
      </c>
      <c r="K233" s="90">
        <f>+I233+'AGOSTO 2025'!K233</f>
        <v>19</v>
      </c>
      <c r="L233" s="94">
        <f t="shared" si="7"/>
        <v>0.6333333333333333</v>
      </c>
      <c r="N233"/>
      <c r="O233" s="8"/>
      <c r="P233"/>
      <c r="Q233" s="8"/>
    </row>
    <row r="234" spans="2:17" x14ac:dyDescent="0.25">
      <c r="B234" s="86">
        <v>3</v>
      </c>
      <c r="C234" s="107" t="s">
        <v>49</v>
      </c>
      <c r="D234" s="108" t="s">
        <v>50</v>
      </c>
      <c r="E234" s="232"/>
      <c r="F234" s="61" t="s">
        <v>1230</v>
      </c>
      <c r="G234" s="62" t="s">
        <v>1239</v>
      </c>
      <c r="H234" s="55">
        <v>30</v>
      </c>
      <c r="I234" s="55">
        <v>4</v>
      </c>
      <c r="J234" s="69">
        <f t="shared" si="6"/>
        <v>0.13333333333333333</v>
      </c>
      <c r="K234" s="90">
        <f>+I234+'AGOSTO 2025'!K234</f>
        <v>21</v>
      </c>
      <c r="L234" s="94">
        <f t="shared" si="7"/>
        <v>0.7</v>
      </c>
      <c r="N234"/>
      <c r="O234" s="8"/>
      <c r="P234"/>
      <c r="Q234" s="8"/>
    </row>
    <row r="235" spans="2:17" x14ac:dyDescent="0.25">
      <c r="B235" s="86">
        <v>3</v>
      </c>
      <c r="C235" s="107" t="s">
        <v>52</v>
      </c>
      <c r="D235" s="108" t="s">
        <v>53</v>
      </c>
      <c r="E235" s="232"/>
      <c r="F235" s="61" t="s">
        <v>1231</v>
      </c>
      <c r="G235" s="62" t="s">
        <v>1240</v>
      </c>
      <c r="H235" s="55">
        <v>30</v>
      </c>
      <c r="I235" s="55">
        <v>3</v>
      </c>
      <c r="J235" s="69">
        <f t="shared" si="6"/>
        <v>0.1</v>
      </c>
      <c r="K235" s="90">
        <f>+I235+'AGOSTO 2025'!K235</f>
        <v>22</v>
      </c>
      <c r="L235" s="94">
        <f t="shared" si="7"/>
        <v>0.73333333333333328</v>
      </c>
      <c r="N235"/>
      <c r="O235" s="8"/>
      <c r="P235"/>
      <c r="Q235" s="8"/>
    </row>
    <row r="236" spans="2:17" x14ac:dyDescent="0.25">
      <c r="B236" s="86">
        <v>3</v>
      </c>
      <c r="C236" s="107" t="s">
        <v>55</v>
      </c>
      <c r="D236" s="108" t="s">
        <v>56</v>
      </c>
      <c r="E236" s="232"/>
      <c r="F236" s="61" t="s">
        <v>1232</v>
      </c>
      <c r="G236" s="62" t="s">
        <v>1241</v>
      </c>
      <c r="H236" s="55">
        <v>30</v>
      </c>
      <c r="I236" s="55">
        <v>3</v>
      </c>
      <c r="J236" s="69">
        <f t="shared" si="6"/>
        <v>0.1</v>
      </c>
      <c r="K236" s="90">
        <f>+I236+'AGOSTO 2025'!K236</f>
        <v>16</v>
      </c>
      <c r="L236" s="94">
        <f t="shared" si="7"/>
        <v>0.53333333333333333</v>
      </c>
      <c r="N236"/>
      <c r="O236" s="8"/>
      <c r="P236"/>
      <c r="Q236" s="8"/>
    </row>
    <row r="237" spans="2:17" x14ac:dyDescent="0.25">
      <c r="B237" s="86">
        <v>5</v>
      </c>
      <c r="C237" s="107" t="s">
        <v>57</v>
      </c>
      <c r="D237" s="108" t="s">
        <v>58</v>
      </c>
      <c r="E237" s="232"/>
      <c r="F237" s="129" t="s">
        <v>1233</v>
      </c>
      <c r="G237" s="76" t="s">
        <v>1242</v>
      </c>
      <c r="H237" s="55">
        <v>30</v>
      </c>
      <c r="I237" s="55">
        <v>5</v>
      </c>
      <c r="J237" s="69">
        <f t="shared" si="6"/>
        <v>0.16666666666666666</v>
      </c>
      <c r="K237" s="90">
        <f>+I237+'AGOSTO 2025'!K237</f>
        <v>24</v>
      </c>
      <c r="L237" s="94">
        <f t="shared" si="7"/>
        <v>0.8</v>
      </c>
      <c r="N237"/>
      <c r="O237" s="8"/>
      <c r="P237"/>
      <c r="Q237" s="8"/>
    </row>
    <row r="238" spans="2:17" x14ac:dyDescent="0.25">
      <c r="B238" s="86">
        <v>5</v>
      </c>
      <c r="C238" s="107" t="s">
        <v>59</v>
      </c>
      <c r="D238" s="108" t="s">
        <v>60</v>
      </c>
      <c r="E238" s="233"/>
      <c r="F238" s="61" t="s">
        <v>1234</v>
      </c>
      <c r="G238" s="62" t="s">
        <v>1243</v>
      </c>
      <c r="H238" s="128">
        <v>30</v>
      </c>
      <c r="I238" s="55">
        <v>3</v>
      </c>
      <c r="J238" s="69">
        <f t="shared" si="6"/>
        <v>0.1</v>
      </c>
      <c r="K238" s="90">
        <f>+I238+'AGOSTO 2025'!K238</f>
        <v>18</v>
      </c>
      <c r="L238" s="94">
        <f t="shared" si="7"/>
        <v>0.6</v>
      </c>
      <c r="N238"/>
      <c r="O238" s="8"/>
      <c r="P238"/>
      <c r="Q238" s="8"/>
    </row>
    <row r="239" spans="2:17" x14ac:dyDescent="0.25">
      <c r="B239" s="87">
        <v>8</v>
      </c>
      <c r="C239" s="109" t="s">
        <v>61</v>
      </c>
      <c r="D239" s="110" t="s">
        <v>62</v>
      </c>
      <c r="E239" s="234"/>
      <c r="F239" s="63" t="s">
        <v>1235</v>
      </c>
      <c r="G239" s="63" t="s">
        <v>1244</v>
      </c>
      <c r="H239" s="56">
        <v>30</v>
      </c>
      <c r="I239" s="56">
        <v>3</v>
      </c>
      <c r="J239" s="72">
        <f t="shared" si="6"/>
        <v>0.1</v>
      </c>
      <c r="K239" s="91">
        <f>+I239+'AGOSTO 2025'!K239</f>
        <v>17</v>
      </c>
      <c r="L239" s="96">
        <f t="shared" si="7"/>
        <v>0.56666666666666665</v>
      </c>
      <c r="N239"/>
      <c r="O239" s="8"/>
      <c r="P239"/>
      <c r="Q239" s="8"/>
    </row>
    <row r="240" spans="2:17" x14ac:dyDescent="0.25">
      <c r="B240" s="85">
        <v>3</v>
      </c>
      <c r="C240" s="105" t="s">
        <v>46</v>
      </c>
      <c r="D240" s="106" t="s">
        <v>47</v>
      </c>
      <c r="E240" s="226" t="s">
        <v>426</v>
      </c>
      <c r="F240" s="59" t="s">
        <v>1139</v>
      </c>
      <c r="G240" s="60" t="s">
        <v>979</v>
      </c>
      <c r="H240" s="66">
        <v>45</v>
      </c>
      <c r="I240" s="66">
        <v>5</v>
      </c>
      <c r="J240" s="69">
        <f t="shared" si="6"/>
        <v>0.1111111111111111</v>
      </c>
      <c r="K240" s="103">
        <f>+I240+'AGOSTO 2025'!K240</f>
        <v>32</v>
      </c>
      <c r="L240" s="94">
        <f t="shared" si="7"/>
        <v>0.71111111111111114</v>
      </c>
      <c r="N240"/>
      <c r="O240" s="8"/>
      <c r="P240"/>
      <c r="Q240" s="8"/>
    </row>
    <row r="241" spans="1:17" x14ac:dyDescent="0.25">
      <c r="B241" s="86">
        <v>3</v>
      </c>
      <c r="C241" s="107" t="s">
        <v>98</v>
      </c>
      <c r="D241" s="108" t="s">
        <v>99</v>
      </c>
      <c r="E241" s="226"/>
      <c r="F241" s="61" t="s">
        <v>428</v>
      </c>
      <c r="G241" s="62" t="s">
        <v>429</v>
      </c>
      <c r="H241" s="68">
        <v>45</v>
      </c>
      <c r="I241" s="55">
        <v>6</v>
      </c>
      <c r="J241" s="69">
        <f t="shared" si="6"/>
        <v>0.13333333333333333</v>
      </c>
      <c r="K241" s="90">
        <f>+I241+'AGOSTO 2025'!K241</f>
        <v>30</v>
      </c>
      <c r="L241" s="94">
        <f t="shared" si="7"/>
        <v>0.66666666666666663</v>
      </c>
      <c r="N241"/>
      <c r="O241" s="8"/>
      <c r="P241"/>
      <c r="Q241" s="8"/>
    </row>
    <row r="242" spans="1:17" x14ac:dyDescent="0.25">
      <c r="B242" s="86">
        <v>3</v>
      </c>
      <c r="C242" s="107" t="s">
        <v>49</v>
      </c>
      <c r="D242" s="108" t="s">
        <v>50</v>
      </c>
      <c r="E242" s="226"/>
      <c r="F242" s="61" t="s">
        <v>430</v>
      </c>
      <c r="G242" s="63" t="s">
        <v>431</v>
      </c>
      <c r="H242" s="55">
        <v>45</v>
      </c>
      <c r="I242" s="70">
        <v>4</v>
      </c>
      <c r="J242" s="69">
        <f t="shared" si="6"/>
        <v>8.8888888888888892E-2</v>
      </c>
      <c r="K242" s="90">
        <f>+I242+'AGOSTO 2025'!K242</f>
        <v>29</v>
      </c>
      <c r="L242" s="94">
        <f t="shared" si="7"/>
        <v>0.64444444444444449</v>
      </c>
    </row>
    <row r="243" spans="1:17" s="16" customFormat="1" x14ac:dyDescent="0.25">
      <c r="B243" s="86">
        <v>3</v>
      </c>
      <c r="C243" s="107" t="s">
        <v>52</v>
      </c>
      <c r="D243" s="108" t="s">
        <v>53</v>
      </c>
      <c r="E243" s="226"/>
      <c r="F243" s="61" t="s">
        <v>432</v>
      </c>
      <c r="G243" s="62" t="s">
        <v>296</v>
      </c>
      <c r="H243" s="55">
        <v>45</v>
      </c>
      <c r="I243" s="55">
        <v>4</v>
      </c>
      <c r="J243" s="69">
        <f t="shared" si="6"/>
        <v>8.8888888888888892E-2</v>
      </c>
      <c r="K243" s="90">
        <f>+I243+'AGOSTO 2025'!K243</f>
        <v>29</v>
      </c>
      <c r="L243" s="94">
        <f t="shared" si="7"/>
        <v>0.64444444444444449</v>
      </c>
      <c r="O243"/>
      <c r="Q243"/>
    </row>
    <row r="244" spans="1:17" x14ac:dyDescent="0.25">
      <c r="B244" s="86">
        <v>5</v>
      </c>
      <c r="C244" s="107" t="s">
        <v>59</v>
      </c>
      <c r="D244" s="108" t="s">
        <v>60</v>
      </c>
      <c r="E244" s="226"/>
      <c r="F244" s="61" t="s">
        <v>433</v>
      </c>
      <c r="G244" s="62" t="s">
        <v>434</v>
      </c>
      <c r="H244" s="55">
        <v>45</v>
      </c>
      <c r="I244" s="55">
        <v>6</v>
      </c>
      <c r="J244" s="69">
        <f t="shared" si="6"/>
        <v>0.13333333333333333</v>
      </c>
      <c r="K244" s="90">
        <f>+I244+'AGOSTO 2025'!K244</f>
        <v>30</v>
      </c>
      <c r="L244" s="94">
        <f t="shared" si="7"/>
        <v>0.66666666666666663</v>
      </c>
    </row>
    <row r="245" spans="1:17" ht="14.45" customHeight="1" x14ac:dyDescent="0.25">
      <c r="B245" s="86">
        <v>8</v>
      </c>
      <c r="C245" s="107" t="s">
        <v>61</v>
      </c>
      <c r="D245" s="108" t="s">
        <v>62</v>
      </c>
      <c r="E245" s="226"/>
      <c r="F245" s="64" t="s">
        <v>435</v>
      </c>
      <c r="G245" s="65" t="s">
        <v>436</v>
      </c>
      <c r="H245" s="56">
        <v>45</v>
      </c>
      <c r="I245" s="56">
        <v>5</v>
      </c>
      <c r="J245" s="72">
        <f t="shared" si="6"/>
        <v>0.1111111111111111</v>
      </c>
      <c r="K245" s="91">
        <f>+I245+'AGOSTO 2025'!K245</f>
        <v>30</v>
      </c>
      <c r="L245" s="96">
        <f t="shared" si="7"/>
        <v>0.66666666666666663</v>
      </c>
    </row>
    <row r="246" spans="1:17" ht="14.45" customHeight="1" x14ac:dyDescent="0.25">
      <c r="A246" s="5"/>
      <c r="B246" s="85">
        <v>3</v>
      </c>
      <c r="C246" s="105" t="s">
        <v>52</v>
      </c>
      <c r="D246" s="106" t="s">
        <v>53</v>
      </c>
      <c r="E246" s="227" t="s">
        <v>438</v>
      </c>
      <c r="F246" s="59" t="s">
        <v>788</v>
      </c>
      <c r="G246" s="60" t="s">
        <v>447</v>
      </c>
      <c r="H246" s="66">
        <v>45</v>
      </c>
      <c r="I246" s="66">
        <v>5</v>
      </c>
      <c r="J246" s="69">
        <f t="shared" si="6"/>
        <v>0.1111111111111111</v>
      </c>
      <c r="K246" s="103">
        <f>+I246+'AGOSTO 2025'!K246</f>
        <v>30</v>
      </c>
      <c r="L246" s="94">
        <f t="shared" si="7"/>
        <v>0.66666666666666663</v>
      </c>
    </row>
    <row r="247" spans="1:17" x14ac:dyDescent="0.25">
      <c r="A247" s="5"/>
      <c r="B247" s="86">
        <v>3</v>
      </c>
      <c r="C247" s="107" t="s">
        <v>55</v>
      </c>
      <c r="D247" s="108" t="s">
        <v>56</v>
      </c>
      <c r="E247" s="226"/>
      <c r="F247" s="61" t="s">
        <v>1171</v>
      </c>
      <c r="G247" s="62" t="s">
        <v>874</v>
      </c>
      <c r="H247" s="68">
        <v>45</v>
      </c>
      <c r="I247" s="55">
        <v>5</v>
      </c>
      <c r="J247" s="69">
        <f t="shared" si="6"/>
        <v>0.1111111111111111</v>
      </c>
      <c r="K247" s="90">
        <f>+I247+'AGOSTO 2025'!K247</f>
        <v>30</v>
      </c>
      <c r="L247" s="94">
        <f t="shared" si="7"/>
        <v>0.66666666666666663</v>
      </c>
    </row>
    <row r="248" spans="1:17" x14ac:dyDescent="0.25">
      <c r="A248" s="5"/>
      <c r="B248" s="86">
        <v>4</v>
      </c>
      <c r="C248" s="107" t="s">
        <v>441</v>
      </c>
      <c r="D248" s="108" t="s">
        <v>442</v>
      </c>
      <c r="E248" s="226"/>
      <c r="F248" s="61" t="s">
        <v>790</v>
      </c>
      <c r="G248" s="63" t="s">
        <v>447</v>
      </c>
      <c r="H248" s="55">
        <v>45</v>
      </c>
      <c r="I248" s="70">
        <v>5</v>
      </c>
      <c r="J248" s="69">
        <f t="shared" si="6"/>
        <v>0.1111111111111111</v>
      </c>
      <c r="K248" s="90">
        <f>+I248+'AGOSTO 2025'!K248</f>
        <v>30</v>
      </c>
      <c r="L248" s="94">
        <f t="shared" si="7"/>
        <v>0.66666666666666663</v>
      </c>
    </row>
    <row r="249" spans="1:17" ht="14.45" customHeight="1" x14ac:dyDescent="0.25">
      <c r="A249" s="5"/>
      <c r="B249" s="86">
        <v>5</v>
      </c>
      <c r="C249" s="107" t="s">
        <v>57</v>
      </c>
      <c r="D249" s="108" t="s">
        <v>58</v>
      </c>
      <c r="E249" s="226"/>
      <c r="F249" s="61" t="s">
        <v>446</v>
      </c>
      <c r="G249" s="62" t="s">
        <v>447</v>
      </c>
      <c r="H249" s="55">
        <v>45</v>
      </c>
      <c r="I249" s="55">
        <v>5</v>
      </c>
      <c r="J249" s="69">
        <f t="shared" si="6"/>
        <v>0.1111111111111111</v>
      </c>
      <c r="K249" s="90">
        <f>+I249+'AGOSTO 2025'!K249</f>
        <v>30</v>
      </c>
      <c r="L249" s="94">
        <f t="shared" si="7"/>
        <v>0.66666666666666663</v>
      </c>
    </row>
    <row r="250" spans="1:17" ht="14.45" customHeight="1" x14ac:dyDescent="0.25">
      <c r="A250" s="5"/>
      <c r="B250" s="86">
        <v>5</v>
      </c>
      <c r="C250" s="107" t="s">
        <v>59</v>
      </c>
      <c r="D250" s="108" t="s">
        <v>60</v>
      </c>
      <c r="E250" s="226"/>
      <c r="F250" s="61" t="s">
        <v>1172</v>
      </c>
      <c r="G250" s="62" t="s">
        <v>447</v>
      </c>
      <c r="H250" s="55">
        <v>45</v>
      </c>
      <c r="I250" s="55">
        <v>5</v>
      </c>
      <c r="J250" s="69">
        <f t="shared" si="6"/>
        <v>0.1111111111111111</v>
      </c>
      <c r="K250" s="90">
        <f>+I250+'AGOSTO 2025'!K250</f>
        <v>30</v>
      </c>
      <c r="L250" s="94">
        <f t="shared" si="7"/>
        <v>0.66666666666666663</v>
      </c>
    </row>
    <row r="251" spans="1:17" ht="14.45" customHeight="1" x14ac:dyDescent="0.25">
      <c r="A251" s="5"/>
      <c r="B251" s="87">
        <v>8</v>
      </c>
      <c r="C251" s="109" t="s">
        <v>61</v>
      </c>
      <c r="D251" s="110" t="s">
        <v>62</v>
      </c>
      <c r="E251" s="226"/>
      <c r="F251" s="64" t="s">
        <v>1173</v>
      </c>
      <c r="G251" s="65" t="s">
        <v>447</v>
      </c>
      <c r="H251" s="56">
        <v>45</v>
      </c>
      <c r="I251" s="56">
        <v>5</v>
      </c>
      <c r="J251" s="72">
        <f t="shared" si="6"/>
        <v>0.1111111111111111</v>
      </c>
      <c r="K251" s="91">
        <f>+I251+'AGOSTO 2025'!K251</f>
        <v>30</v>
      </c>
      <c r="L251" s="96">
        <f t="shared" si="7"/>
        <v>0.66666666666666663</v>
      </c>
    </row>
    <row r="252" spans="1:17" x14ac:dyDescent="0.25">
      <c r="A252" s="5"/>
      <c r="B252" s="85">
        <v>3</v>
      </c>
      <c r="C252" s="105" t="s">
        <v>43</v>
      </c>
      <c r="D252" s="106" t="s">
        <v>44</v>
      </c>
      <c r="E252" s="226" t="s">
        <v>450</v>
      </c>
      <c r="F252" s="60" t="s">
        <v>1150</v>
      </c>
      <c r="G252" s="60" t="s">
        <v>1151</v>
      </c>
      <c r="H252" s="66">
        <v>34</v>
      </c>
      <c r="I252" s="66">
        <v>3</v>
      </c>
      <c r="J252" s="69">
        <f t="shared" si="6"/>
        <v>8.8235294117647065E-2</v>
      </c>
      <c r="K252" s="103">
        <f>+I252+'AGOSTO 2025'!K252</f>
        <v>23</v>
      </c>
      <c r="L252" s="94">
        <f t="shared" si="7"/>
        <v>0.67647058823529416</v>
      </c>
    </row>
    <row r="253" spans="1:17" x14ac:dyDescent="0.25">
      <c r="A253" s="5"/>
      <c r="B253" s="86">
        <v>3</v>
      </c>
      <c r="C253" s="107" t="s">
        <v>46</v>
      </c>
      <c r="D253" s="108" t="s">
        <v>47</v>
      </c>
      <c r="E253" s="226"/>
      <c r="F253" s="74" t="s">
        <v>1152</v>
      </c>
      <c r="G253" s="62" t="s">
        <v>1153</v>
      </c>
      <c r="H253" s="68">
        <v>34</v>
      </c>
      <c r="I253" s="55">
        <v>3</v>
      </c>
      <c r="J253" s="69">
        <f t="shared" si="6"/>
        <v>8.8235294117647065E-2</v>
      </c>
      <c r="K253" s="90">
        <f>+I253+'AGOSTO 2025'!K253</f>
        <v>23</v>
      </c>
      <c r="L253" s="94">
        <f t="shared" si="7"/>
        <v>0.67647058823529416</v>
      </c>
    </row>
    <row r="254" spans="1:17" ht="14.45" customHeight="1" x14ac:dyDescent="0.25">
      <c r="B254" s="86">
        <v>3</v>
      </c>
      <c r="C254" s="107" t="s">
        <v>49</v>
      </c>
      <c r="D254" s="108" t="s">
        <v>50</v>
      </c>
      <c r="E254" s="226"/>
      <c r="F254" s="62" t="s">
        <v>1154</v>
      </c>
      <c r="G254" s="63" t="s">
        <v>1155</v>
      </c>
      <c r="H254" s="55">
        <v>34</v>
      </c>
      <c r="I254" s="70">
        <v>3</v>
      </c>
      <c r="J254" s="69">
        <f t="shared" si="6"/>
        <v>8.8235294117647065E-2</v>
      </c>
      <c r="K254" s="90">
        <f>+I254+'AGOSTO 2025'!K254</f>
        <v>23</v>
      </c>
      <c r="L254" s="94">
        <f t="shared" si="7"/>
        <v>0.67647058823529416</v>
      </c>
    </row>
    <row r="255" spans="1:17" ht="14.45" customHeight="1" x14ac:dyDescent="0.25">
      <c r="B255" s="86">
        <v>3</v>
      </c>
      <c r="C255" s="107" t="s">
        <v>52</v>
      </c>
      <c r="D255" s="108" t="s">
        <v>53</v>
      </c>
      <c r="E255" s="226"/>
      <c r="F255" s="62" t="s">
        <v>1156</v>
      </c>
      <c r="G255" s="62" t="s">
        <v>1157</v>
      </c>
      <c r="H255" s="55">
        <v>34</v>
      </c>
      <c r="I255" s="55">
        <v>3</v>
      </c>
      <c r="J255" s="69">
        <f t="shared" si="6"/>
        <v>8.8235294117647065E-2</v>
      </c>
      <c r="K255" s="90">
        <f>+I255+'AGOSTO 2025'!K255</f>
        <v>23</v>
      </c>
      <c r="L255" s="94">
        <f t="shared" si="7"/>
        <v>0.67647058823529416</v>
      </c>
    </row>
    <row r="256" spans="1:17" x14ac:dyDescent="0.25">
      <c r="B256" s="86">
        <v>3</v>
      </c>
      <c r="C256" s="107" t="s">
        <v>55</v>
      </c>
      <c r="D256" s="108" t="s">
        <v>56</v>
      </c>
      <c r="E256" s="226"/>
      <c r="F256" s="62" t="s">
        <v>1158</v>
      </c>
      <c r="G256" s="62" t="s">
        <v>1159</v>
      </c>
      <c r="H256" s="55">
        <v>34</v>
      </c>
      <c r="I256" s="55">
        <v>3</v>
      </c>
      <c r="J256" s="69">
        <f t="shared" si="6"/>
        <v>8.8235294117647065E-2</v>
      </c>
      <c r="K256" s="90">
        <f>+I256+'AGOSTO 2025'!K256</f>
        <v>23</v>
      </c>
      <c r="L256" s="94">
        <f t="shared" si="7"/>
        <v>0.67647058823529416</v>
      </c>
    </row>
    <row r="257" spans="1:18" x14ac:dyDescent="0.25">
      <c r="B257" s="86">
        <v>5</v>
      </c>
      <c r="C257" s="107" t="s">
        <v>57</v>
      </c>
      <c r="D257" s="108" t="s">
        <v>58</v>
      </c>
      <c r="E257" s="226"/>
      <c r="F257" s="74" t="s">
        <v>1160</v>
      </c>
      <c r="G257" s="62" t="s">
        <v>1161</v>
      </c>
      <c r="H257" s="55">
        <v>34</v>
      </c>
      <c r="I257" s="55">
        <v>3</v>
      </c>
      <c r="J257" s="69">
        <f t="shared" si="6"/>
        <v>8.8235294117647065E-2</v>
      </c>
      <c r="K257" s="90">
        <f>+I257+'AGOSTO 2025'!K257</f>
        <v>23</v>
      </c>
      <c r="L257" s="94">
        <f t="shared" si="7"/>
        <v>0.67647058823529416</v>
      </c>
    </row>
    <row r="258" spans="1:18" s="6" customFormat="1" ht="14.45" customHeight="1" x14ac:dyDescent="0.25">
      <c r="A258" s="8"/>
      <c r="B258" s="86">
        <v>5</v>
      </c>
      <c r="C258" s="107" t="s">
        <v>59</v>
      </c>
      <c r="D258" s="108" t="s">
        <v>60</v>
      </c>
      <c r="E258" s="226"/>
      <c r="F258" s="62" t="s">
        <v>1162</v>
      </c>
      <c r="G258" s="62" t="s">
        <v>1163</v>
      </c>
      <c r="H258" s="55">
        <v>33</v>
      </c>
      <c r="I258" s="55">
        <v>6</v>
      </c>
      <c r="J258" s="69">
        <f t="shared" si="6"/>
        <v>0.18181818181818182</v>
      </c>
      <c r="K258" s="90">
        <f>+I258+'AGOSTO 2025'!K258</f>
        <v>21</v>
      </c>
      <c r="L258" s="94">
        <f t="shared" si="7"/>
        <v>0.63636363636363635</v>
      </c>
      <c r="M258" s="8"/>
      <c r="N258" s="8"/>
      <c r="O258"/>
      <c r="P258" s="8"/>
      <c r="Q258"/>
      <c r="R258" s="8"/>
    </row>
    <row r="259" spans="1:18" s="6" customFormat="1" ht="14.45" customHeight="1" x14ac:dyDescent="0.25">
      <c r="A259" s="8"/>
      <c r="B259" s="86">
        <v>8</v>
      </c>
      <c r="C259" s="107" t="s">
        <v>61</v>
      </c>
      <c r="D259" s="108" t="s">
        <v>62</v>
      </c>
      <c r="E259" s="226"/>
      <c r="F259" s="65" t="s">
        <v>1164</v>
      </c>
      <c r="G259" s="65" t="s">
        <v>464</v>
      </c>
      <c r="H259" s="56">
        <v>33</v>
      </c>
      <c r="I259" s="56">
        <v>6</v>
      </c>
      <c r="J259" s="72">
        <f t="shared" si="6"/>
        <v>0.18181818181818182</v>
      </c>
      <c r="K259" s="91">
        <f>+I259+'AGOSTO 2025'!K259</f>
        <v>21</v>
      </c>
      <c r="L259" s="96">
        <f t="shared" si="7"/>
        <v>0.63636363636363635</v>
      </c>
      <c r="M259" s="8"/>
      <c r="N259" s="8"/>
      <c r="O259"/>
      <c r="P259" s="8"/>
      <c r="Q259"/>
      <c r="R259" s="8"/>
    </row>
    <row r="260" spans="1:18" x14ac:dyDescent="0.25">
      <c r="B260" s="85">
        <v>3</v>
      </c>
      <c r="C260" s="105" t="s">
        <v>43</v>
      </c>
      <c r="D260" s="106" t="s">
        <v>44</v>
      </c>
      <c r="E260" s="238" t="s">
        <v>466</v>
      </c>
      <c r="F260" s="60" t="s">
        <v>465</v>
      </c>
      <c r="G260" s="60" t="s">
        <v>657</v>
      </c>
      <c r="H260" s="66">
        <v>20</v>
      </c>
      <c r="I260" s="66">
        <v>2</v>
      </c>
      <c r="J260" s="69">
        <f t="shared" si="6"/>
        <v>0.1</v>
      </c>
      <c r="K260" s="103">
        <f>+I260+'AGOSTO 2025'!K260</f>
        <v>20</v>
      </c>
      <c r="L260" s="94">
        <f t="shared" si="7"/>
        <v>1</v>
      </c>
    </row>
    <row r="261" spans="1:18" x14ac:dyDescent="0.25">
      <c r="B261" s="86">
        <v>3</v>
      </c>
      <c r="C261" s="107" t="s">
        <v>46</v>
      </c>
      <c r="D261" s="108" t="s">
        <v>47</v>
      </c>
      <c r="E261" s="239"/>
      <c r="F261" s="61" t="s">
        <v>48</v>
      </c>
      <c r="G261" s="62" t="s">
        <v>32</v>
      </c>
      <c r="H261" s="68">
        <v>20</v>
      </c>
      <c r="I261" s="55">
        <v>4</v>
      </c>
      <c r="J261" s="69">
        <f t="shared" si="6"/>
        <v>0.2</v>
      </c>
      <c r="K261" s="90">
        <f>+I261+'AGOSTO 2025'!K261</f>
        <v>20</v>
      </c>
      <c r="L261" s="94">
        <f t="shared" si="7"/>
        <v>1</v>
      </c>
    </row>
    <row r="262" spans="1:18" x14ac:dyDescent="0.25">
      <c r="B262" s="86">
        <v>3</v>
      </c>
      <c r="C262" s="107" t="s">
        <v>98</v>
      </c>
      <c r="D262" s="108" t="s">
        <v>99</v>
      </c>
      <c r="E262" s="239"/>
      <c r="F262" s="61" t="s">
        <v>48</v>
      </c>
      <c r="G262" s="63" t="s">
        <v>32</v>
      </c>
      <c r="H262" s="55">
        <v>20</v>
      </c>
      <c r="I262" s="70">
        <v>4</v>
      </c>
      <c r="J262" s="69">
        <f t="shared" si="6"/>
        <v>0.2</v>
      </c>
      <c r="K262" s="90">
        <f>+I262+'AGOSTO 2025'!K262</f>
        <v>20</v>
      </c>
      <c r="L262" s="94">
        <f t="shared" si="7"/>
        <v>1</v>
      </c>
    </row>
    <row r="263" spans="1:18" x14ac:dyDescent="0.25">
      <c r="B263" s="86">
        <v>3</v>
      </c>
      <c r="C263" s="107" t="s">
        <v>49</v>
      </c>
      <c r="D263" s="108" t="s">
        <v>50</v>
      </c>
      <c r="E263" s="239"/>
      <c r="F263" s="61" t="s">
        <v>468</v>
      </c>
      <c r="G263" s="62" t="s">
        <v>469</v>
      </c>
      <c r="H263" s="55">
        <v>20</v>
      </c>
      <c r="I263" s="55">
        <v>4</v>
      </c>
      <c r="J263" s="69">
        <f t="shared" si="6"/>
        <v>0.2</v>
      </c>
      <c r="K263" s="90">
        <f>+I263+'AGOSTO 2025'!K263</f>
        <v>20</v>
      </c>
      <c r="L263" s="94">
        <f t="shared" si="7"/>
        <v>1</v>
      </c>
    </row>
    <row r="264" spans="1:18" x14ac:dyDescent="0.25">
      <c r="B264" s="86">
        <v>3</v>
      </c>
      <c r="C264" s="107" t="s">
        <v>52</v>
      </c>
      <c r="D264" s="108" t="s">
        <v>53</v>
      </c>
      <c r="E264" s="239"/>
      <c r="F264" s="61" t="s">
        <v>470</v>
      </c>
      <c r="G264" s="62" t="s">
        <v>471</v>
      </c>
      <c r="H264" s="55">
        <v>20</v>
      </c>
      <c r="I264" s="55">
        <v>2</v>
      </c>
      <c r="J264" s="69">
        <f t="shared" si="6"/>
        <v>0.1</v>
      </c>
      <c r="K264" s="90">
        <f>+I264+'AGOSTO 2025'!K264</f>
        <v>20</v>
      </c>
      <c r="L264" s="94">
        <f t="shared" si="7"/>
        <v>1</v>
      </c>
    </row>
    <row r="265" spans="1:18" x14ac:dyDescent="0.25">
      <c r="B265" s="86">
        <v>3</v>
      </c>
      <c r="C265" s="107" t="s">
        <v>55</v>
      </c>
      <c r="D265" s="108" t="s">
        <v>56</v>
      </c>
      <c r="E265" s="239"/>
      <c r="F265" s="61" t="s">
        <v>1174</v>
      </c>
      <c r="G265" s="62" t="s">
        <v>1175</v>
      </c>
      <c r="H265" s="55">
        <v>20</v>
      </c>
      <c r="I265" s="55">
        <v>2</v>
      </c>
      <c r="J265" s="69">
        <f t="shared" si="6"/>
        <v>0.1</v>
      </c>
      <c r="K265" s="90">
        <f>+I265+'AGOSTO 2025'!K265</f>
        <v>20</v>
      </c>
      <c r="L265" s="94">
        <f t="shared" si="7"/>
        <v>1</v>
      </c>
    </row>
    <row r="266" spans="1:18" x14ac:dyDescent="0.25">
      <c r="B266" s="86">
        <v>5</v>
      </c>
      <c r="C266" s="107" t="s">
        <v>57</v>
      </c>
      <c r="D266" s="108" t="s">
        <v>58</v>
      </c>
      <c r="E266" s="239"/>
      <c r="F266" s="129" t="s">
        <v>238</v>
      </c>
      <c r="G266" s="76" t="s">
        <v>32</v>
      </c>
      <c r="H266" s="55">
        <v>20</v>
      </c>
      <c r="I266" s="55">
        <v>5</v>
      </c>
      <c r="J266" s="69">
        <f t="shared" si="6"/>
        <v>0.25</v>
      </c>
      <c r="K266" s="90">
        <f>+I266+'AGOSTO 2025'!K266</f>
        <v>20</v>
      </c>
      <c r="L266" s="94">
        <f t="shared" si="7"/>
        <v>1</v>
      </c>
    </row>
    <row r="267" spans="1:18" x14ac:dyDescent="0.25">
      <c r="B267" s="86">
        <v>5</v>
      </c>
      <c r="C267" s="107" t="s">
        <v>59</v>
      </c>
      <c r="D267" s="108" t="s">
        <v>60</v>
      </c>
      <c r="E267" s="239"/>
      <c r="F267" s="61" t="s">
        <v>1020</v>
      </c>
      <c r="G267" s="62" t="s">
        <v>1021</v>
      </c>
      <c r="H267" s="128">
        <v>20</v>
      </c>
      <c r="I267" s="55">
        <v>3</v>
      </c>
      <c r="J267" s="69">
        <f t="shared" si="6"/>
        <v>0.15</v>
      </c>
      <c r="K267" s="90">
        <f>+I267+'AGOSTO 2025'!K267</f>
        <v>20</v>
      </c>
      <c r="L267" s="94">
        <f t="shared" si="7"/>
        <v>1</v>
      </c>
    </row>
    <row r="268" spans="1:18" x14ac:dyDescent="0.25">
      <c r="B268" s="87">
        <v>8</v>
      </c>
      <c r="C268" s="109" t="s">
        <v>61</v>
      </c>
      <c r="D268" s="110" t="s">
        <v>62</v>
      </c>
      <c r="E268" s="227"/>
      <c r="F268" s="135" t="s">
        <v>63</v>
      </c>
      <c r="G268" s="135" t="s">
        <v>32</v>
      </c>
      <c r="H268" s="56">
        <v>20</v>
      </c>
      <c r="I268" s="56">
        <v>4</v>
      </c>
      <c r="J268" s="72">
        <f t="shared" si="6"/>
        <v>0.2</v>
      </c>
      <c r="K268" s="91">
        <f>+I268+'AGOSTO 2025'!K268</f>
        <v>20</v>
      </c>
      <c r="L268" s="96">
        <f t="shared" si="7"/>
        <v>1</v>
      </c>
    </row>
    <row r="269" spans="1:18" x14ac:dyDescent="0.25">
      <c r="D269" s="18"/>
      <c r="E269" s="5"/>
      <c r="F269" s="14"/>
      <c r="G269" s="5"/>
      <c r="H269" s="240" t="str">
        <f>+CONCATENATE("TOTAL A ",D7)</f>
        <v>TOTAL A SEPTIEMBRE</v>
      </c>
      <c r="I269" s="241"/>
      <c r="J269" s="242"/>
      <c r="K269" s="240" t="s">
        <v>33</v>
      </c>
      <c r="L269" s="242"/>
    </row>
    <row r="270" spans="1:18" x14ac:dyDescent="0.25">
      <c r="D270" s="48"/>
      <c r="E270" s="54"/>
      <c r="F270" s="16"/>
      <c r="G270" s="54"/>
      <c r="H270" s="49">
        <f>+SUM(H13:H268)</f>
        <v>6480</v>
      </c>
      <c r="I270" s="50">
        <f>SUM(I13:I268)</f>
        <v>870</v>
      </c>
      <c r="J270" s="51">
        <f>IFERROR(I270/H270,0)</f>
        <v>0.13425925925925927</v>
      </c>
      <c r="K270" s="50">
        <f>+SUM(K13:K268)</f>
        <v>5220</v>
      </c>
      <c r="L270" s="51">
        <f>IFERROR(K270/H270,0)</f>
        <v>0.80555555555555558</v>
      </c>
    </row>
    <row r="271" spans="1:18" x14ac:dyDescent="0.25">
      <c r="D271" s="48"/>
      <c r="E271" s="54"/>
      <c r="F271" s="16"/>
      <c r="G271" s="54"/>
      <c r="H271" s="118"/>
      <c r="I271" s="119"/>
      <c r="J271" s="120"/>
      <c r="K271" s="119"/>
      <c r="L271" s="120"/>
    </row>
    <row r="272" spans="1:18" ht="76.349999999999994" customHeight="1" x14ac:dyDescent="0.25">
      <c r="B272" s="271" t="s">
        <v>34</v>
      </c>
      <c r="C272" s="272"/>
      <c r="D272" s="275" t="s">
        <v>1167</v>
      </c>
      <c r="E272" s="275"/>
      <c r="F272" s="275"/>
      <c r="G272" s="275"/>
      <c r="H272" s="275"/>
      <c r="I272" s="275"/>
      <c r="J272" s="275"/>
      <c r="K272" s="275"/>
      <c r="L272" s="275"/>
    </row>
    <row r="273" spans="1:18" ht="141" customHeight="1" x14ac:dyDescent="0.25">
      <c r="B273" s="273"/>
      <c r="C273" s="274"/>
      <c r="D273" s="275" t="s">
        <v>1106</v>
      </c>
      <c r="E273" s="275"/>
      <c r="F273" s="275"/>
      <c r="G273" s="275"/>
      <c r="H273" s="275"/>
      <c r="I273" s="275"/>
      <c r="J273" s="275"/>
      <c r="K273" s="275"/>
      <c r="L273" s="275"/>
    </row>
    <row r="274" spans="1:18" ht="26.45" customHeight="1" x14ac:dyDescent="0.25">
      <c r="B274" s="273"/>
      <c r="C274" s="274"/>
      <c r="D274" s="275" t="s">
        <v>1250</v>
      </c>
      <c r="E274" s="275"/>
      <c r="F274" s="275"/>
      <c r="G274" s="275"/>
      <c r="H274" s="275"/>
      <c r="I274" s="275"/>
      <c r="J274" s="275"/>
      <c r="K274" s="275"/>
      <c r="L274" s="275"/>
    </row>
    <row r="275" spans="1:18" ht="120" customHeight="1" x14ac:dyDescent="0.25">
      <c r="B275" s="273"/>
      <c r="C275" s="274"/>
      <c r="D275" s="275" t="s">
        <v>1140</v>
      </c>
      <c r="E275" s="275"/>
      <c r="F275" s="275"/>
      <c r="G275" s="275"/>
      <c r="H275" s="275"/>
      <c r="I275" s="275"/>
      <c r="J275" s="275"/>
      <c r="K275" s="275"/>
      <c r="L275" s="275"/>
    </row>
    <row r="276" spans="1:18" ht="40.35" customHeight="1" x14ac:dyDescent="0.25">
      <c r="B276" s="240"/>
      <c r="C276" s="242"/>
      <c r="D276" s="275" t="s">
        <v>1166</v>
      </c>
      <c r="E276" s="275"/>
      <c r="F276" s="275"/>
      <c r="G276" s="275"/>
      <c r="H276" s="275"/>
      <c r="I276" s="275"/>
      <c r="J276" s="275"/>
      <c r="K276" s="275"/>
      <c r="L276" s="275"/>
    </row>
    <row r="277" spans="1:18" x14ac:dyDescent="0.25">
      <c r="B277" s="248" t="s">
        <v>36</v>
      </c>
      <c r="C277" s="249"/>
      <c r="D277" s="249"/>
      <c r="E277" s="249"/>
      <c r="F277" s="249"/>
      <c r="G277" s="249"/>
      <c r="H277" s="249"/>
      <c r="I277" s="249"/>
      <c r="J277" s="249"/>
      <c r="K277" s="249"/>
      <c r="L277" s="250"/>
    </row>
    <row r="278" spans="1:18" x14ac:dyDescent="0.25">
      <c r="B278" s="251"/>
      <c r="C278" s="252"/>
      <c r="D278" s="252"/>
      <c r="E278" s="252"/>
      <c r="F278" s="252"/>
      <c r="G278" s="252"/>
      <c r="H278" s="252"/>
      <c r="I278" s="252"/>
      <c r="J278" s="252"/>
      <c r="K278" s="252"/>
      <c r="L278" s="253"/>
    </row>
    <row r="279" spans="1:18" x14ac:dyDescent="0.25">
      <c r="B279" s="254" t="s">
        <v>37</v>
      </c>
      <c r="C279" s="255"/>
      <c r="D279" s="255"/>
      <c r="E279" s="255"/>
      <c r="F279" s="255"/>
      <c r="G279" s="255"/>
      <c r="H279" s="255"/>
      <c r="I279" s="255"/>
      <c r="J279" s="255"/>
      <c r="K279" s="255"/>
      <c r="L279" s="256"/>
    </row>
    <row r="280" spans="1:18" ht="24.75" x14ac:dyDescent="0.3">
      <c r="B280" s="52" t="s">
        <v>38</v>
      </c>
      <c r="C280" s="121"/>
      <c r="D280" s="257" t="s">
        <v>35</v>
      </c>
      <c r="E280" s="258"/>
      <c r="F280" s="258"/>
      <c r="G280" s="258"/>
      <c r="H280" s="258"/>
      <c r="I280" s="258"/>
      <c r="J280" s="258"/>
      <c r="K280" s="258"/>
      <c r="L280" s="259"/>
    </row>
    <row r="281" spans="1:18" ht="24.75" x14ac:dyDescent="0.3">
      <c r="B281" s="52" t="s">
        <v>39</v>
      </c>
      <c r="C281" s="121"/>
      <c r="D281" s="260"/>
      <c r="E281" s="261"/>
      <c r="F281" s="261"/>
      <c r="G281" s="261"/>
      <c r="H281" s="261"/>
      <c r="I281" s="261"/>
      <c r="J281" s="261"/>
      <c r="K281" s="261"/>
      <c r="L281" s="262"/>
    </row>
    <row r="282" spans="1:18" x14ac:dyDescent="0.25">
      <c r="B282" s="263" t="s">
        <v>36</v>
      </c>
      <c r="C282" s="264"/>
      <c r="D282" s="264"/>
      <c r="E282" s="264"/>
      <c r="F282" s="264"/>
      <c r="G282" s="264"/>
      <c r="H282" s="264"/>
      <c r="I282" s="264"/>
      <c r="J282" s="264"/>
      <c r="K282" s="264"/>
      <c r="L282" s="265"/>
    </row>
    <row r="283" spans="1:18" s="6" customFormat="1" ht="14.45" hidden="1" customHeight="1" x14ac:dyDescent="0.25">
      <c r="A283" t="s">
        <v>0</v>
      </c>
      <c r="B283" s="266"/>
      <c r="C283" s="267"/>
      <c r="D283" s="267"/>
      <c r="E283" s="267"/>
      <c r="F283" s="267"/>
      <c r="G283" s="267"/>
      <c r="H283" s="267"/>
      <c r="I283" s="267"/>
      <c r="J283" s="267"/>
      <c r="K283" s="267"/>
      <c r="L283" s="268"/>
      <c r="M283" s="8"/>
      <c r="N283" s="8"/>
      <c r="O283"/>
      <c r="P283" s="8"/>
      <c r="Q283"/>
      <c r="R283" s="8"/>
    </row>
    <row r="284" spans="1:18" s="6" customFormat="1" ht="14.45" hidden="1" customHeight="1" x14ac:dyDescent="0.25">
      <c r="A284" t="s">
        <v>2</v>
      </c>
      <c r="B284" s="254" t="s">
        <v>40</v>
      </c>
      <c r="C284" s="255"/>
      <c r="D284" s="255"/>
      <c r="E284" s="255"/>
      <c r="F284" s="255"/>
      <c r="G284" s="255"/>
      <c r="H284" s="255"/>
      <c r="I284" s="255"/>
      <c r="J284" s="255"/>
      <c r="K284" s="255"/>
      <c r="L284" s="256"/>
      <c r="M284" s="8"/>
      <c r="N284" s="8"/>
      <c r="O284"/>
      <c r="P284" s="8"/>
      <c r="Q284"/>
      <c r="R284" s="8"/>
    </row>
    <row r="285" spans="1:18" s="6" customFormat="1" ht="14.45" hidden="1" customHeight="1" x14ac:dyDescent="0.3">
      <c r="A285" t="s">
        <v>6</v>
      </c>
      <c r="B285" s="52" t="s">
        <v>38</v>
      </c>
      <c r="C285" s="121"/>
      <c r="D285" s="257" t="s">
        <v>35</v>
      </c>
      <c r="E285" s="258"/>
      <c r="F285" s="258"/>
      <c r="G285" s="258"/>
      <c r="H285" s="258"/>
      <c r="I285" s="258"/>
      <c r="J285" s="258"/>
      <c r="K285" s="258"/>
      <c r="L285" s="259"/>
      <c r="M285" s="8"/>
      <c r="N285" s="8"/>
      <c r="O285"/>
      <c r="P285" s="8"/>
      <c r="Q285"/>
      <c r="R285" s="8"/>
    </row>
    <row r="286" spans="1:18" s="6" customFormat="1" ht="14.45" hidden="1" customHeight="1" x14ac:dyDescent="0.3">
      <c r="A286" t="s">
        <v>8</v>
      </c>
      <c r="B286" s="52" t="s">
        <v>39</v>
      </c>
      <c r="C286" s="121"/>
      <c r="D286" s="260"/>
      <c r="E286" s="261"/>
      <c r="F286" s="261"/>
      <c r="G286" s="261"/>
      <c r="H286" s="261"/>
      <c r="I286" s="261"/>
      <c r="J286" s="261"/>
      <c r="K286" s="261"/>
      <c r="L286" s="262"/>
      <c r="M286" s="8"/>
      <c r="N286" s="8"/>
      <c r="O286"/>
      <c r="P286" s="8"/>
      <c r="Q286"/>
      <c r="R286" s="8"/>
    </row>
    <row r="287" spans="1:18" s="6" customFormat="1" ht="14.45" hidden="1" customHeight="1" x14ac:dyDescent="0.25">
      <c r="A287" t="s">
        <v>9</v>
      </c>
      <c r="B287" s="53"/>
      <c r="C287" s="53"/>
      <c r="D287" s="18"/>
      <c r="E287" s="5"/>
      <c r="G287" s="5"/>
      <c r="H287" s="53"/>
      <c r="I287" s="122"/>
      <c r="M287" s="8"/>
      <c r="N287" s="8"/>
      <c r="O287"/>
      <c r="P287" s="8"/>
      <c r="Q287"/>
      <c r="R287" s="8"/>
    </row>
    <row r="288" spans="1:18" s="6" customFormat="1" ht="14.45" hidden="1" customHeight="1" x14ac:dyDescent="0.25">
      <c r="A288" t="s">
        <v>10</v>
      </c>
      <c r="B288" s="53"/>
      <c r="C288" s="53"/>
      <c r="D288" s="18"/>
      <c r="E288" s="5"/>
      <c r="G288" s="5"/>
      <c r="H288" s="53"/>
      <c r="I288" s="122"/>
      <c r="M288" s="8"/>
      <c r="N288" s="8"/>
      <c r="O288"/>
      <c r="P288" s="8"/>
      <c r="Q288"/>
      <c r="R288" s="8"/>
    </row>
    <row r="289" spans="1:18" s="6" customFormat="1" ht="14.45" hidden="1" customHeight="1" x14ac:dyDescent="0.25">
      <c r="A289" t="s">
        <v>11</v>
      </c>
      <c r="B289" s="269"/>
      <c r="C289" s="269"/>
      <c r="D289" s="269"/>
      <c r="E289" s="5"/>
      <c r="G289" s="5"/>
      <c r="H289" s="269"/>
      <c r="I289" s="269"/>
      <c r="J289" s="269"/>
      <c r="K289" s="269"/>
      <c r="M289" s="8"/>
      <c r="N289" s="8"/>
      <c r="O289"/>
      <c r="P289" s="8"/>
      <c r="Q289"/>
      <c r="R289" s="8"/>
    </row>
    <row r="290" spans="1:18" s="6" customFormat="1" ht="14.45" hidden="1" customHeight="1" x14ac:dyDescent="0.25">
      <c r="A290" t="s">
        <v>13</v>
      </c>
      <c r="B290" s="5" t="s">
        <v>41</v>
      </c>
      <c r="C290" s="270"/>
      <c r="D290" s="270"/>
      <c r="E290" s="5"/>
      <c r="G290" s="5"/>
      <c r="H290" s="5" t="s">
        <v>42</v>
      </c>
      <c r="I290" s="270" t="s">
        <v>222</v>
      </c>
      <c r="J290" s="270"/>
      <c r="K290" s="270"/>
      <c r="M290" s="8"/>
      <c r="N290" s="8"/>
      <c r="O290"/>
      <c r="P290" s="8"/>
      <c r="Q290"/>
      <c r="R290" s="8"/>
    </row>
    <row r="291" spans="1:18" s="6" customFormat="1" hidden="1" x14ac:dyDescent="0.25">
      <c r="A291" t="s">
        <v>14</v>
      </c>
      <c r="B291" s="54"/>
      <c r="C291" s="5"/>
      <c r="F291" s="7"/>
      <c r="M291" s="8"/>
      <c r="N291" s="8"/>
      <c r="O291"/>
      <c r="P291" s="8"/>
      <c r="Q291"/>
      <c r="R291" s="8"/>
    </row>
    <row r="292" spans="1:18" s="6" customFormat="1" hidden="1" x14ac:dyDescent="0.25">
      <c r="A292" t="s">
        <v>16</v>
      </c>
      <c r="B292" s="54"/>
      <c r="C292" s="5"/>
      <c r="F292" s="7"/>
      <c r="M292" s="8"/>
      <c r="N292" s="8"/>
      <c r="O292"/>
      <c r="P292" s="8"/>
      <c r="Q292"/>
      <c r="R292" s="8"/>
    </row>
    <row r="293" spans="1:18" s="6" customFormat="1" hidden="1" x14ac:dyDescent="0.25">
      <c r="A293" t="s">
        <v>17</v>
      </c>
      <c r="B293" s="54"/>
      <c r="C293" s="5"/>
      <c r="F293" s="7"/>
      <c r="M293" s="8"/>
      <c r="N293" s="8"/>
      <c r="O293"/>
      <c r="P293" s="8"/>
      <c r="Q293"/>
      <c r="R293" s="8"/>
    </row>
    <row r="294" spans="1:18" s="6" customFormat="1" hidden="1" x14ac:dyDescent="0.25">
      <c r="A294" t="s">
        <v>21</v>
      </c>
      <c r="B294" s="54"/>
      <c r="C294" s="5"/>
      <c r="F294" s="7"/>
      <c r="M294" s="8"/>
      <c r="N294" s="8"/>
      <c r="O294"/>
      <c r="P294" s="8"/>
      <c r="Q294"/>
      <c r="R294" s="8"/>
    </row>
    <row r="295" spans="1:18" s="6" customFormat="1" hidden="1" x14ac:dyDescent="0.25">
      <c r="A295" t="s">
        <v>31</v>
      </c>
      <c r="B295" s="54"/>
      <c r="C295" s="5"/>
      <c r="F295" s="7"/>
      <c r="M295" s="8"/>
      <c r="N295" s="8"/>
      <c r="O295"/>
      <c r="P295" s="8"/>
      <c r="Q295"/>
      <c r="R295" s="8"/>
    </row>
    <row r="296" spans="1:18" x14ac:dyDescent="0.25">
      <c r="B296" s="254" t="s">
        <v>40</v>
      </c>
      <c r="C296" s="255"/>
      <c r="D296" s="255"/>
      <c r="E296" s="255"/>
      <c r="F296" s="255"/>
      <c r="G296" s="255"/>
      <c r="H296" s="255"/>
      <c r="I296" s="255"/>
      <c r="J296" s="255"/>
      <c r="K296" s="255"/>
      <c r="L296" s="256"/>
    </row>
    <row r="297" spans="1:18" ht="24.75" x14ac:dyDescent="0.3">
      <c r="B297" s="52" t="s">
        <v>38</v>
      </c>
      <c r="C297" s="121"/>
      <c r="D297" s="257" t="s">
        <v>35</v>
      </c>
      <c r="E297" s="258"/>
      <c r="F297" s="258"/>
      <c r="G297" s="258"/>
      <c r="H297" s="258"/>
      <c r="I297" s="258"/>
      <c r="J297" s="258"/>
      <c r="K297" s="258"/>
      <c r="L297" s="259"/>
    </row>
    <row r="298" spans="1:18" ht="24.75" x14ac:dyDescent="0.3">
      <c r="B298" s="52" t="s">
        <v>39</v>
      </c>
      <c r="C298" s="121"/>
      <c r="D298" s="260"/>
      <c r="E298" s="261"/>
      <c r="F298" s="261"/>
      <c r="G298" s="261"/>
      <c r="H298" s="261"/>
      <c r="I298" s="261"/>
      <c r="J298" s="261"/>
      <c r="K298" s="261"/>
      <c r="L298" s="262"/>
    </row>
    <row r="299" spans="1:18" x14ac:dyDescent="0.25">
      <c r="B299" s="53"/>
      <c r="C299" s="53"/>
      <c r="D299" s="18"/>
      <c r="E299" s="5"/>
      <c r="F299" s="6"/>
      <c r="G299" s="5"/>
      <c r="H299" s="53"/>
      <c r="I299" s="122"/>
    </row>
    <row r="300" spans="1:18" x14ac:dyDescent="0.25">
      <c r="B300" s="53"/>
      <c r="C300" s="53"/>
      <c r="D300" s="18"/>
      <c r="E300" s="5"/>
      <c r="F300" s="6"/>
      <c r="G300" s="5"/>
      <c r="H300" s="53"/>
      <c r="I300" s="122"/>
    </row>
    <row r="301" spans="1:18" x14ac:dyDescent="0.25">
      <c r="B301" s="269"/>
      <c r="C301" s="269"/>
      <c r="D301" s="269"/>
      <c r="E301" s="5"/>
      <c r="F301" s="6"/>
      <c r="G301" s="5"/>
      <c r="H301" s="269"/>
      <c r="I301" s="269"/>
      <c r="J301" s="269"/>
      <c r="K301" s="269"/>
    </row>
    <row r="302" spans="1:18" x14ac:dyDescent="0.25">
      <c r="B302" s="5" t="s">
        <v>41</v>
      </c>
      <c r="C302" s="270"/>
      <c r="D302" s="270"/>
      <c r="E302" s="5"/>
      <c r="F302" s="6"/>
      <c r="G302" s="5"/>
      <c r="H302" s="5" t="s">
        <v>42</v>
      </c>
      <c r="I302" s="270" t="s">
        <v>222</v>
      </c>
      <c r="J302" s="270"/>
      <c r="K302" s="270"/>
    </row>
  </sheetData>
  <sheetProtection formatCells="0" formatColumns="0" formatRows="0" insertColumns="0" insertRows="0" insertHyperlinks="0" deleteColumns="0" deleteRows="0" sort="0" autoFilter="0" pivotTables="0"/>
  <autoFilter ref="B12:L270"/>
  <mergeCells count="63">
    <mergeCell ref="B296:L296"/>
    <mergeCell ref="D297:L298"/>
    <mergeCell ref="B301:D301"/>
    <mergeCell ref="H301:K301"/>
    <mergeCell ref="C302:D302"/>
    <mergeCell ref="I302:K302"/>
    <mergeCell ref="B277:L278"/>
    <mergeCell ref="B279:L279"/>
    <mergeCell ref="D280:L281"/>
    <mergeCell ref="B282:L283"/>
    <mergeCell ref="I290:K290"/>
    <mergeCell ref="D285:L286"/>
    <mergeCell ref="B289:D289"/>
    <mergeCell ref="H289:K289"/>
    <mergeCell ref="C290:D290"/>
    <mergeCell ref="B284:L284"/>
    <mergeCell ref="E246:E251"/>
    <mergeCell ref="E252:E259"/>
    <mergeCell ref="E260:E268"/>
    <mergeCell ref="H269:J269"/>
    <mergeCell ref="K269:L269"/>
    <mergeCell ref="B272:C276"/>
    <mergeCell ref="D272:L272"/>
    <mergeCell ref="D273:L273"/>
    <mergeCell ref="D274:L274"/>
    <mergeCell ref="D275:L275"/>
    <mergeCell ref="D276:L276"/>
    <mergeCell ref="E240:E245"/>
    <mergeCell ref="E146:E156"/>
    <mergeCell ref="E157:E166"/>
    <mergeCell ref="E167:E176"/>
    <mergeCell ref="E177:E181"/>
    <mergeCell ref="E182:E190"/>
    <mergeCell ref="E191:E198"/>
    <mergeCell ref="E199:E206"/>
    <mergeCell ref="E207:E212"/>
    <mergeCell ref="E213:E221"/>
    <mergeCell ref="E222:E230"/>
    <mergeCell ref="E231:E239"/>
    <mergeCell ref="E134:E145"/>
    <mergeCell ref="E30:E38"/>
    <mergeCell ref="E39:E46"/>
    <mergeCell ref="E47:E55"/>
    <mergeCell ref="E56:E64"/>
    <mergeCell ref="E65:E73"/>
    <mergeCell ref="E74:E82"/>
    <mergeCell ref="E83:E91"/>
    <mergeCell ref="E92:E102"/>
    <mergeCell ref="E103:E113"/>
    <mergeCell ref="E114:E122"/>
    <mergeCell ref="E123:E133"/>
    <mergeCell ref="E21:E29"/>
    <mergeCell ref="B2:L2"/>
    <mergeCell ref="B3:D3"/>
    <mergeCell ref="F3:I3"/>
    <mergeCell ref="J3:L3"/>
    <mergeCell ref="B5:C5"/>
    <mergeCell ref="B7:C7"/>
    <mergeCell ref="B9:C9"/>
    <mergeCell ref="B11:H11"/>
    <mergeCell ref="I11:J11"/>
    <mergeCell ref="K11:L11"/>
    <mergeCell ref="E13:E20"/>
  </mergeCells>
  <conditionalFormatting sqref="L13:L268">
    <cfRule type="cellIs" dxfId="11" priority="1" operator="equal">
      <formula>1</formula>
    </cfRule>
    <cfRule type="cellIs" dxfId="10" priority="2" operator="greaterThan">
      <formula>1</formula>
    </cfRule>
  </conditionalFormatting>
  <dataValidations count="3">
    <dataValidation type="whole" allowBlank="1" showInputMessage="1" showErrorMessage="1" errorTitle="¡Error!" error="Introduzca un número válido." promptTitle="¡Atención!" prompt="Introduzca un número entre 0 y 30" sqref="I13:I268">
      <formula1>0</formula1>
      <formula2>30</formula2>
    </dataValidation>
    <dataValidation type="whole" allowBlank="1" showInputMessage="1" showErrorMessage="1" errorTitle="¡Error!" error="Introduzca un número válido." promptTitle="¡Atención!" prompt="Introduzca un número entre 0 y 366" sqref="H13:H268 H271">
      <formula1>0</formula1>
      <formula2>366</formula2>
    </dataValidation>
    <dataValidation type="list" allowBlank="1" showInputMessage="1" showErrorMessage="1" sqref="D7">
      <formula1>$A$284:$A$295</formula1>
    </dataValidation>
  </dataValidations>
  <pageMargins left="0.7" right="0.7" top="0.75" bottom="0.75" header="0.3" footer="0.3"/>
  <pageSetup scale="12"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03"/>
  <sheetViews>
    <sheetView showGridLines="0" view="pageBreakPreview" topLeftCell="A92" zoomScale="88" zoomScaleNormal="100" zoomScaleSheetLayoutView="88" workbookViewId="0">
      <selection activeCell="L156" sqref="L93:L156"/>
    </sheetView>
  </sheetViews>
  <sheetFormatPr baseColWidth="10" defaultColWidth="8.5703125" defaultRowHeight="15" x14ac:dyDescent="0.25"/>
  <cols>
    <col min="1" max="1" width="7.42578125" style="8" customWidth="1"/>
    <col min="2" max="2" width="15.5703125" style="5" customWidth="1"/>
    <col min="3" max="3" width="8.5703125" style="5" customWidth="1"/>
    <col min="4" max="4" width="43.42578125" style="6" customWidth="1"/>
    <col min="5" max="5" width="16.85546875" style="6" bestFit="1" customWidth="1"/>
    <col min="6" max="6" width="31" style="7" customWidth="1"/>
    <col min="7" max="7" width="30.140625" style="6" customWidth="1"/>
    <col min="8" max="8" width="13.5703125" style="6" customWidth="1"/>
    <col min="9" max="9" width="13.42578125" style="6" customWidth="1"/>
    <col min="10" max="10" width="10.42578125" style="6" customWidth="1"/>
    <col min="11" max="12" width="12.42578125" style="6" customWidth="1"/>
    <col min="13" max="13" width="6.5703125" style="8" customWidth="1"/>
    <col min="14" max="14" width="16.42578125" style="8" customWidth="1"/>
    <col min="16" max="16" width="16.42578125" style="8" customWidth="1"/>
    <col min="17" max="17" width="0" hidden="1" customWidth="1"/>
    <col min="18" max="18" width="16.42578125" style="8" customWidth="1"/>
    <col min="19" max="16384" width="8.5703125" style="8"/>
  </cols>
  <sheetData>
    <row r="1" spans="2:17" x14ac:dyDescent="0.25">
      <c r="Q1" t="s">
        <v>0</v>
      </c>
    </row>
    <row r="2" spans="2:17" ht="49.5" customHeight="1" x14ac:dyDescent="0.25">
      <c r="B2" s="221" t="s">
        <v>1</v>
      </c>
      <c r="C2" s="221"/>
      <c r="D2" s="221"/>
      <c r="E2" s="221"/>
      <c r="F2" s="221"/>
      <c r="G2" s="221"/>
      <c r="H2" s="221"/>
      <c r="I2" s="221"/>
      <c r="J2" s="221"/>
      <c r="K2" s="221"/>
      <c r="L2" s="221"/>
      <c r="Q2" t="s">
        <v>2</v>
      </c>
    </row>
    <row r="3" spans="2:17" ht="18.75" customHeight="1" x14ac:dyDescent="0.25">
      <c r="B3" s="222" t="s">
        <v>3</v>
      </c>
      <c r="C3" s="223"/>
      <c r="D3" s="223"/>
      <c r="E3" s="58"/>
      <c r="F3" s="223" t="s">
        <v>4</v>
      </c>
      <c r="G3" s="223"/>
      <c r="H3" s="223"/>
      <c r="I3" s="223"/>
      <c r="J3" s="223" t="s">
        <v>5</v>
      </c>
      <c r="K3" s="223"/>
      <c r="L3" s="224"/>
    </row>
    <row r="4" spans="2:17" x14ac:dyDescent="0.25">
      <c r="B4" s="9"/>
      <c r="C4" s="57"/>
      <c r="L4" s="10"/>
      <c r="Q4" t="s">
        <v>6</v>
      </c>
    </row>
    <row r="5" spans="2:17" s="16" customFormat="1" ht="27.6" customHeight="1" x14ac:dyDescent="0.25">
      <c r="B5" s="225" t="s">
        <v>7</v>
      </c>
      <c r="C5" s="225"/>
      <c r="D5" s="11">
        <v>90141005</v>
      </c>
      <c r="E5"/>
      <c r="F5" s="12"/>
      <c r="G5" s="13"/>
      <c r="H5" s="14"/>
      <c r="I5" s="14"/>
      <c r="J5" s="14"/>
      <c r="K5" s="14"/>
      <c r="L5" s="15"/>
      <c r="O5"/>
      <c r="Q5" t="s">
        <v>8</v>
      </c>
    </row>
    <row r="6" spans="2:17" s="16" customFormat="1" x14ac:dyDescent="0.25">
      <c r="B6" s="17"/>
      <c r="C6" s="5"/>
      <c r="D6" s="14"/>
      <c r="E6"/>
      <c r="F6" s="18"/>
      <c r="G6" s="14"/>
      <c r="H6" s="14"/>
      <c r="I6" s="14"/>
      <c r="J6" s="14"/>
      <c r="K6" s="14"/>
      <c r="L6" s="15"/>
      <c r="O6"/>
      <c r="Q6" t="s">
        <v>11</v>
      </c>
    </row>
    <row r="7" spans="2:17" s="16" customFormat="1" x14ac:dyDescent="0.25">
      <c r="B7" s="225" t="s">
        <v>12</v>
      </c>
      <c r="C7" s="225"/>
      <c r="D7" s="19" t="s">
        <v>17</v>
      </c>
      <c r="E7"/>
      <c r="F7" s="20"/>
      <c r="G7" s="21"/>
      <c r="H7" s="14"/>
      <c r="I7" s="14"/>
      <c r="J7" s="14"/>
      <c r="K7" s="14"/>
      <c r="L7" s="15"/>
      <c r="O7"/>
      <c r="Q7" t="s">
        <v>13</v>
      </c>
    </row>
    <row r="8" spans="2:17" s="16" customFormat="1" x14ac:dyDescent="0.25">
      <c r="B8" s="22"/>
      <c r="C8" s="23"/>
      <c r="D8" s="24"/>
      <c r="E8"/>
      <c r="F8" s="20"/>
      <c r="G8" s="21"/>
      <c r="H8" s="14"/>
      <c r="I8" s="14"/>
      <c r="J8" s="14"/>
      <c r="K8" s="14"/>
      <c r="L8" s="15"/>
      <c r="O8"/>
      <c r="Q8" t="s">
        <v>14</v>
      </c>
    </row>
    <row r="9" spans="2:17" s="16" customFormat="1" x14ac:dyDescent="0.25">
      <c r="B9" s="225" t="s">
        <v>15</v>
      </c>
      <c r="C9" s="225"/>
      <c r="D9" s="25">
        <v>45960</v>
      </c>
      <c r="E9"/>
      <c r="F9" s="26"/>
      <c r="G9" s="27"/>
      <c r="H9" s="14"/>
      <c r="I9" s="14"/>
      <c r="J9" s="14"/>
      <c r="K9" s="14"/>
      <c r="L9" s="15"/>
      <c r="O9"/>
      <c r="Q9" t="s">
        <v>16</v>
      </c>
    </row>
    <row r="10" spans="2:17" x14ac:dyDescent="0.25">
      <c r="B10" s="28"/>
      <c r="C10" s="29"/>
      <c r="L10" s="30"/>
      <c r="Q10" t="s">
        <v>17</v>
      </c>
    </row>
    <row r="11" spans="2:17" s="31" customFormat="1" ht="26.85" customHeight="1" x14ac:dyDescent="0.25">
      <c r="B11" s="225" t="s">
        <v>18</v>
      </c>
      <c r="C11" s="225"/>
      <c r="D11" s="225"/>
      <c r="E11" s="225"/>
      <c r="F11" s="225"/>
      <c r="G11" s="225"/>
      <c r="H11" s="225"/>
      <c r="I11" s="225" t="s">
        <v>19</v>
      </c>
      <c r="J11" s="225"/>
      <c r="K11" s="225" t="s">
        <v>20</v>
      </c>
      <c r="L11" s="225"/>
      <c r="O11" s="32"/>
      <c r="Q11" s="32" t="s">
        <v>21</v>
      </c>
    </row>
    <row r="12" spans="2:17" s="31" customFormat="1" ht="57.6" customHeight="1" x14ac:dyDescent="0.25">
      <c r="B12" s="33" t="s">
        <v>22</v>
      </c>
      <c r="C12" s="33" t="s">
        <v>23</v>
      </c>
      <c r="D12" s="33" t="s">
        <v>24</v>
      </c>
      <c r="E12" s="33" t="s">
        <v>72</v>
      </c>
      <c r="F12" s="34" t="s">
        <v>25</v>
      </c>
      <c r="G12" s="33" t="s">
        <v>26</v>
      </c>
      <c r="H12" s="33" t="s">
        <v>27</v>
      </c>
      <c r="I12" s="33" t="s">
        <v>28</v>
      </c>
      <c r="J12" s="33" t="s">
        <v>29</v>
      </c>
      <c r="K12" s="33" t="s">
        <v>30</v>
      </c>
      <c r="L12" s="33" t="s">
        <v>29</v>
      </c>
      <c r="O12" s="32"/>
      <c r="Q12" s="32" t="s">
        <v>31</v>
      </c>
    </row>
    <row r="13" spans="2:17" x14ac:dyDescent="0.25">
      <c r="B13" s="35">
        <v>3</v>
      </c>
      <c r="C13" s="36" t="s">
        <v>43</v>
      </c>
      <c r="D13" s="37" t="s">
        <v>44</v>
      </c>
      <c r="E13" s="218" t="s">
        <v>73</v>
      </c>
      <c r="F13" s="59" t="s">
        <v>64</v>
      </c>
      <c r="G13" s="60" t="s">
        <v>65</v>
      </c>
      <c r="H13" s="89">
        <v>33</v>
      </c>
      <c r="I13" s="89">
        <v>2</v>
      </c>
      <c r="J13" s="67">
        <f>IFERROR(I13/H13,0)</f>
        <v>6.0606060606060608E-2</v>
      </c>
      <c r="K13" s="93">
        <f>+I13+'SEPTIEMBRE 2025'!K13</f>
        <v>32</v>
      </c>
      <c r="L13" s="92">
        <f>IFERROR(K13/H13,0)</f>
        <v>0.96969696969696972</v>
      </c>
    </row>
    <row r="14" spans="2:17" x14ac:dyDescent="0.25">
      <c r="B14" s="38">
        <v>3</v>
      </c>
      <c r="C14" s="39" t="s">
        <v>46</v>
      </c>
      <c r="D14" s="40" t="s">
        <v>47</v>
      </c>
      <c r="E14" s="219"/>
      <c r="F14" s="61" t="s">
        <v>66</v>
      </c>
      <c r="G14" s="63" t="s">
        <v>67</v>
      </c>
      <c r="H14" s="2">
        <v>39</v>
      </c>
      <c r="I14" s="3">
        <v>5</v>
      </c>
      <c r="J14" s="69">
        <f>IFERROR(I14/H14,0)</f>
        <v>0.12820512820512819</v>
      </c>
      <c r="K14" s="90">
        <f>+I14+'SEPTIEMBRE 2025'!K14</f>
        <v>24</v>
      </c>
      <c r="L14" s="94">
        <f>IFERROR(K14/H14,0)</f>
        <v>0.61538461538461542</v>
      </c>
    </row>
    <row r="15" spans="2:17" x14ac:dyDescent="0.25">
      <c r="B15" s="38">
        <v>3</v>
      </c>
      <c r="C15" s="39" t="s">
        <v>49</v>
      </c>
      <c r="D15" s="40" t="s">
        <v>50</v>
      </c>
      <c r="E15" s="219"/>
      <c r="F15" s="61" t="s">
        <v>68</v>
      </c>
      <c r="G15" s="62" t="s">
        <v>65</v>
      </c>
      <c r="H15" s="3">
        <v>33</v>
      </c>
      <c r="I15" s="4">
        <v>5</v>
      </c>
      <c r="J15" s="69">
        <f t="shared" ref="J15:J78" si="0">IFERROR(I15/H15,0)</f>
        <v>0.15151515151515152</v>
      </c>
      <c r="K15" s="90">
        <f>+I15+'SEPTIEMBRE 2025'!K15</f>
        <v>25</v>
      </c>
      <c r="L15" s="94">
        <f t="shared" ref="L15:L78" si="1">IFERROR(K15/H15,0)</f>
        <v>0.75757575757575757</v>
      </c>
    </row>
    <row r="16" spans="2:17" x14ac:dyDescent="0.25">
      <c r="B16" s="38">
        <v>3</v>
      </c>
      <c r="C16" s="39" t="s">
        <v>52</v>
      </c>
      <c r="D16" s="40" t="s">
        <v>53</v>
      </c>
      <c r="E16" s="219"/>
      <c r="F16" s="61" t="s">
        <v>54</v>
      </c>
      <c r="G16" s="62" t="s">
        <v>65</v>
      </c>
      <c r="H16" s="3">
        <v>33</v>
      </c>
      <c r="I16" s="3">
        <v>5</v>
      </c>
      <c r="J16" s="69">
        <f t="shared" si="0"/>
        <v>0.15151515151515152</v>
      </c>
      <c r="K16" s="90">
        <f>+I16+'SEPTIEMBRE 2025'!K16</f>
        <v>26</v>
      </c>
      <c r="L16" s="94">
        <f t="shared" si="1"/>
        <v>0.78787878787878785</v>
      </c>
    </row>
    <row r="17" spans="2:17" s="16" customFormat="1" x14ac:dyDescent="0.25">
      <c r="B17" s="38">
        <v>3</v>
      </c>
      <c r="C17" s="39" t="s">
        <v>55</v>
      </c>
      <c r="D17" s="40" t="s">
        <v>56</v>
      </c>
      <c r="E17" s="219"/>
      <c r="F17" s="61" t="s">
        <v>69</v>
      </c>
      <c r="G17" s="62" t="s">
        <v>65</v>
      </c>
      <c r="H17" s="3">
        <v>33</v>
      </c>
      <c r="I17" s="3">
        <v>5</v>
      </c>
      <c r="J17" s="69">
        <f t="shared" si="0"/>
        <v>0.15151515151515152</v>
      </c>
      <c r="K17" s="90">
        <f>+I17+'SEPTIEMBRE 2025'!K17</f>
        <v>30</v>
      </c>
      <c r="L17" s="94">
        <f t="shared" si="1"/>
        <v>0.90909090909090906</v>
      </c>
      <c r="O17" s="41"/>
      <c r="Q17" s="41"/>
    </row>
    <row r="18" spans="2:17" x14ac:dyDescent="0.25">
      <c r="B18" s="38">
        <v>5</v>
      </c>
      <c r="C18" s="39" t="s">
        <v>57</v>
      </c>
      <c r="D18" s="40" t="s">
        <v>58</v>
      </c>
      <c r="E18" s="219"/>
      <c r="F18" s="61" t="s">
        <v>54</v>
      </c>
      <c r="G18" s="62" t="s">
        <v>203</v>
      </c>
      <c r="H18" s="3">
        <v>33</v>
      </c>
      <c r="I18" s="3">
        <v>5</v>
      </c>
      <c r="J18" s="69">
        <f t="shared" si="0"/>
        <v>0.15151515151515152</v>
      </c>
      <c r="K18" s="90">
        <f>+I18+'SEPTIEMBRE 2025'!K18</f>
        <v>28</v>
      </c>
      <c r="L18" s="94">
        <f t="shared" si="1"/>
        <v>0.84848484848484851</v>
      </c>
    </row>
    <row r="19" spans="2:17" x14ac:dyDescent="0.25">
      <c r="B19" s="38">
        <v>5</v>
      </c>
      <c r="C19" s="39" t="s">
        <v>59</v>
      </c>
      <c r="D19" s="40" t="s">
        <v>60</v>
      </c>
      <c r="E19" s="219"/>
      <c r="F19" s="61" t="s">
        <v>70</v>
      </c>
      <c r="G19" s="62" t="s">
        <v>204</v>
      </c>
      <c r="H19" s="3">
        <v>33</v>
      </c>
      <c r="I19" s="3">
        <v>3</v>
      </c>
      <c r="J19" s="69">
        <f t="shared" si="0"/>
        <v>9.0909090909090912E-2</v>
      </c>
      <c r="K19" s="90">
        <f>+I19+'SEPTIEMBRE 2025'!K19</f>
        <v>27</v>
      </c>
      <c r="L19" s="94">
        <f t="shared" si="1"/>
        <v>0.81818181818181823</v>
      </c>
    </row>
    <row r="20" spans="2:17" x14ac:dyDescent="0.25">
      <c r="B20" s="42">
        <v>8</v>
      </c>
      <c r="C20" s="43" t="s">
        <v>61</v>
      </c>
      <c r="D20" s="44" t="s">
        <v>62</v>
      </c>
      <c r="E20" s="220"/>
      <c r="F20" s="64" t="s">
        <v>63</v>
      </c>
      <c r="G20" s="65" t="s">
        <v>71</v>
      </c>
      <c r="H20" s="97">
        <v>33</v>
      </c>
      <c r="I20" s="97">
        <v>0</v>
      </c>
      <c r="J20" s="72">
        <f t="shared" si="0"/>
        <v>0</v>
      </c>
      <c r="K20" s="91">
        <f>+I20+'SEPTIEMBRE 2025'!K20</f>
        <v>18</v>
      </c>
      <c r="L20" s="96">
        <f t="shared" si="1"/>
        <v>0.54545454545454541</v>
      </c>
    </row>
    <row r="21" spans="2:17" x14ac:dyDescent="0.25">
      <c r="B21" s="35">
        <v>3</v>
      </c>
      <c r="C21" s="36" t="s">
        <v>43</v>
      </c>
      <c r="D21" s="37" t="s">
        <v>44</v>
      </c>
      <c r="E21" s="218" t="s">
        <v>100</v>
      </c>
      <c r="F21" s="59" t="s">
        <v>1310</v>
      </c>
      <c r="G21" s="60" t="s">
        <v>1311</v>
      </c>
      <c r="H21" s="89">
        <v>30</v>
      </c>
      <c r="I21" s="89">
        <v>3</v>
      </c>
      <c r="J21" s="69">
        <f t="shared" si="0"/>
        <v>0.1</v>
      </c>
      <c r="K21" s="103">
        <f>+I21+'SEPTIEMBRE 2025'!K21</f>
        <v>25</v>
      </c>
      <c r="L21" s="94">
        <f t="shared" si="1"/>
        <v>0.83333333333333337</v>
      </c>
      <c r="N21"/>
      <c r="O21" s="8"/>
      <c r="P21"/>
      <c r="Q21" s="8"/>
    </row>
    <row r="22" spans="2:17" x14ac:dyDescent="0.25">
      <c r="B22" s="38">
        <v>3</v>
      </c>
      <c r="C22" s="39" t="s">
        <v>46</v>
      </c>
      <c r="D22" s="40" t="s">
        <v>47</v>
      </c>
      <c r="E22" s="219"/>
      <c r="F22" s="61" t="s">
        <v>1312</v>
      </c>
      <c r="G22" s="62" t="s">
        <v>1313</v>
      </c>
      <c r="H22" s="2">
        <v>30</v>
      </c>
      <c r="I22" s="3">
        <v>4</v>
      </c>
      <c r="J22" s="69">
        <f t="shared" si="0"/>
        <v>0.13333333333333333</v>
      </c>
      <c r="K22" s="90">
        <f>+I22+'SEPTIEMBRE 2025'!K22</f>
        <v>22</v>
      </c>
      <c r="L22" s="94">
        <f t="shared" si="1"/>
        <v>0.73333333333333328</v>
      </c>
      <c r="N22"/>
      <c r="O22" s="8"/>
      <c r="P22"/>
      <c r="Q22" s="8"/>
    </row>
    <row r="23" spans="2:17" x14ac:dyDescent="0.25">
      <c r="B23" s="38">
        <v>3</v>
      </c>
      <c r="C23" s="39" t="s">
        <v>98</v>
      </c>
      <c r="D23" s="40" t="s">
        <v>99</v>
      </c>
      <c r="E23" s="219"/>
      <c r="F23" s="61" t="s">
        <v>1314</v>
      </c>
      <c r="G23" s="63" t="s">
        <v>1315</v>
      </c>
      <c r="H23" s="3">
        <v>30</v>
      </c>
      <c r="I23" s="4">
        <v>3</v>
      </c>
      <c r="J23" s="69">
        <f t="shared" si="0"/>
        <v>0.1</v>
      </c>
      <c r="K23" s="90">
        <f>+I23+'SEPTIEMBRE 2025'!K23</f>
        <v>23</v>
      </c>
      <c r="L23" s="94">
        <f t="shared" si="1"/>
        <v>0.76666666666666672</v>
      </c>
      <c r="N23"/>
      <c r="O23" s="8"/>
      <c r="P23"/>
      <c r="Q23" s="8"/>
    </row>
    <row r="24" spans="2:17" x14ac:dyDescent="0.25">
      <c r="B24" s="38">
        <v>3</v>
      </c>
      <c r="C24" s="39" t="s">
        <v>49</v>
      </c>
      <c r="D24" s="40" t="s">
        <v>50</v>
      </c>
      <c r="E24" s="219"/>
      <c r="F24" s="61" t="s">
        <v>1316</v>
      </c>
      <c r="G24" s="62" t="s">
        <v>1317</v>
      </c>
      <c r="H24" s="3">
        <v>30</v>
      </c>
      <c r="I24" s="3">
        <v>4</v>
      </c>
      <c r="J24" s="69">
        <f t="shared" si="0"/>
        <v>0.13333333333333333</v>
      </c>
      <c r="K24" s="90">
        <f>+I24+'SEPTIEMBRE 2025'!K24</f>
        <v>23</v>
      </c>
      <c r="L24" s="94">
        <f t="shared" si="1"/>
        <v>0.76666666666666672</v>
      </c>
      <c r="N24"/>
      <c r="O24" s="8"/>
      <c r="P24"/>
      <c r="Q24" s="8"/>
    </row>
    <row r="25" spans="2:17" x14ac:dyDescent="0.25">
      <c r="B25" s="38">
        <v>3</v>
      </c>
      <c r="C25" s="39" t="s">
        <v>52</v>
      </c>
      <c r="D25" s="40" t="s">
        <v>53</v>
      </c>
      <c r="E25" s="219"/>
      <c r="F25" s="61" t="s">
        <v>1318</v>
      </c>
      <c r="G25" s="62" t="s">
        <v>1319</v>
      </c>
      <c r="H25" s="3">
        <v>30</v>
      </c>
      <c r="I25" s="3">
        <v>3</v>
      </c>
      <c r="J25" s="69">
        <f t="shared" si="0"/>
        <v>0.1</v>
      </c>
      <c r="K25" s="90">
        <f>+I25+'SEPTIEMBRE 2025'!K25</f>
        <v>23</v>
      </c>
      <c r="L25" s="94">
        <f t="shared" si="1"/>
        <v>0.76666666666666672</v>
      </c>
      <c r="N25"/>
      <c r="O25" s="8"/>
      <c r="P25"/>
      <c r="Q25" s="8"/>
    </row>
    <row r="26" spans="2:17" s="16" customFormat="1" x14ac:dyDescent="0.25">
      <c r="B26" s="38">
        <v>3</v>
      </c>
      <c r="C26" s="39" t="s">
        <v>55</v>
      </c>
      <c r="D26" s="40" t="s">
        <v>56</v>
      </c>
      <c r="E26" s="219"/>
      <c r="F26" s="61" t="s">
        <v>1320</v>
      </c>
      <c r="G26" s="62" t="s">
        <v>1321</v>
      </c>
      <c r="H26" s="3">
        <v>30</v>
      </c>
      <c r="I26" s="3">
        <v>3</v>
      </c>
      <c r="J26" s="69">
        <f t="shared" si="0"/>
        <v>0.1</v>
      </c>
      <c r="K26" s="90">
        <f>+I26+'SEPTIEMBRE 2025'!K26</f>
        <v>25</v>
      </c>
      <c r="L26" s="94">
        <f t="shared" si="1"/>
        <v>0.83333333333333337</v>
      </c>
      <c r="N26" s="41"/>
      <c r="P26" s="41"/>
    </row>
    <row r="27" spans="2:17" x14ac:dyDescent="0.25">
      <c r="B27" s="38">
        <v>5</v>
      </c>
      <c r="C27" s="39" t="s">
        <v>57</v>
      </c>
      <c r="D27" s="40" t="s">
        <v>58</v>
      </c>
      <c r="E27" s="219"/>
      <c r="F27" s="61" t="s">
        <v>1322</v>
      </c>
      <c r="G27" s="62" t="s">
        <v>1323</v>
      </c>
      <c r="H27" s="3">
        <v>30</v>
      </c>
      <c r="I27" s="3">
        <v>4</v>
      </c>
      <c r="J27" s="69">
        <f t="shared" si="0"/>
        <v>0.13333333333333333</v>
      </c>
      <c r="K27" s="90">
        <f>+I27+'SEPTIEMBRE 2025'!K27</f>
        <v>23</v>
      </c>
      <c r="L27" s="94">
        <f t="shared" si="1"/>
        <v>0.76666666666666672</v>
      </c>
      <c r="N27"/>
      <c r="O27" s="8"/>
      <c r="P27"/>
      <c r="Q27" s="8"/>
    </row>
    <row r="28" spans="2:17" x14ac:dyDescent="0.25">
      <c r="B28" s="38">
        <v>5</v>
      </c>
      <c r="C28" s="39" t="s">
        <v>59</v>
      </c>
      <c r="D28" s="40" t="s">
        <v>60</v>
      </c>
      <c r="E28" s="219"/>
      <c r="F28" s="61" t="s">
        <v>1190</v>
      </c>
      <c r="G28" s="62" t="s">
        <v>1324</v>
      </c>
      <c r="H28" s="3">
        <v>30</v>
      </c>
      <c r="I28" s="3">
        <v>3</v>
      </c>
      <c r="J28" s="69">
        <f t="shared" si="0"/>
        <v>0.1</v>
      </c>
      <c r="K28" s="90">
        <f>+I28+'SEPTIEMBRE 2025'!K28</f>
        <v>23</v>
      </c>
      <c r="L28" s="94">
        <f t="shared" si="1"/>
        <v>0.76666666666666672</v>
      </c>
      <c r="N28"/>
      <c r="O28" s="8"/>
      <c r="P28"/>
      <c r="Q28" s="8"/>
    </row>
    <row r="29" spans="2:17" x14ac:dyDescent="0.25">
      <c r="B29" s="42">
        <v>8</v>
      </c>
      <c r="C29" s="43" t="s">
        <v>61</v>
      </c>
      <c r="D29" s="44" t="s">
        <v>62</v>
      </c>
      <c r="E29" s="220"/>
      <c r="F29" s="64" t="s">
        <v>681</v>
      </c>
      <c r="G29" s="65" t="s">
        <v>1325</v>
      </c>
      <c r="H29" s="97">
        <v>30</v>
      </c>
      <c r="I29" s="97">
        <v>3</v>
      </c>
      <c r="J29" s="72">
        <f t="shared" si="0"/>
        <v>0.1</v>
      </c>
      <c r="K29" s="91">
        <f>+I29+'SEPTIEMBRE 2025'!K29</f>
        <v>23</v>
      </c>
      <c r="L29" s="96">
        <f t="shared" si="1"/>
        <v>0.76666666666666672</v>
      </c>
      <c r="N29"/>
      <c r="O29" s="8"/>
      <c r="P29"/>
      <c r="Q29" s="8"/>
    </row>
    <row r="30" spans="2:17" x14ac:dyDescent="0.25">
      <c r="B30" s="35">
        <v>1</v>
      </c>
      <c r="C30" s="36" t="s">
        <v>74</v>
      </c>
      <c r="D30" s="37" t="s">
        <v>75</v>
      </c>
      <c r="E30" s="218" t="s">
        <v>97</v>
      </c>
      <c r="F30" s="59" t="s">
        <v>1326</v>
      </c>
      <c r="G30" s="60" t="s">
        <v>76</v>
      </c>
      <c r="H30" s="89">
        <v>55</v>
      </c>
      <c r="I30" s="89">
        <v>6</v>
      </c>
      <c r="J30" s="69">
        <f t="shared" si="0"/>
        <v>0.10909090909090909</v>
      </c>
      <c r="K30" s="103">
        <f>+I30+'SEPTIEMBRE 2025'!K30</f>
        <v>42</v>
      </c>
      <c r="L30" s="94">
        <f t="shared" si="1"/>
        <v>0.76363636363636367</v>
      </c>
      <c r="N30"/>
      <c r="O30" s="8"/>
      <c r="P30"/>
      <c r="Q30" s="8"/>
    </row>
    <row r="31" spans="2:17" x14ac:dyDescent="0.25">
      <c r="B31" s="38">
        <v>1</v>
      </c>
      <c r="C31" s="39" t="s">
        <v>77</v>
      </c>
      <c r="D31" s="40" t="s">
        <v>78</v>
      </c>
      <c r="E31" s="219"/>
      <c r="F31" s="61" t="s">
        <v>1327</v>
      </c>
      <c r="G31" s="76" t="s">
        <v>1328</v>
      </c>
      <c r="H31" s="2">
        <v>20</v>
      </c>
      <c r="I31" s="3">
        <v>3</v>
      </c>
      <c r="J31" s="69">
        <f t="shared" si="0"/>
        <v>0.15</v>
      </c>
      <c r="K31" s="90">
        <f>+I31+'SEPTIEMBRE 2025'!K31</f>
        <v>16</v>
      </c>
      <c r="L31" s="94">
        <f t="shared" si="1"/>
        <v>0.8</v>
      </c>
      <c r="N31"/>
      <c r="O31" s="8"/>
      <c r="P31"/>
      <c r="Q31" s="8"/>
    </row>
    <row r="32" spans="2:17" x14ac:dyDescent="0.25">
      <c r="B32" s="38">
        <v>1</v>
      </c>
      <c r="C32" s="39" t="s">
        <v>79</v>
      </c>
      <c r="D32" s="40" t="s">
        <v>80</v>
      </c>
      <c r="E32" s="219"/>
      <c r="F32" s="61" t="s">
        <v>1329</v>
      </c>
      <c r="G32" s="62" t="s">
        <v>81</v>
      </c>
      <c r="H32" s="3">
        <v>30</v>
      </c>
      <c r="I32" s="4">
        <v>4</v>
      </c>
      <c r="J32" s="69">
        <f t="shared" si="0"/>
        <v>0.13333333333333333</v>
      </c>
      <c r="K32" s="90">
        <f>+I32+'SEPTIEMBRE 2025'!K32</f>
        <v>23</v>
      </c>
      <c r="L32" s="94">
        <f t="shared" si="1"/>
        <v>0.76666666666666672</v>
      </c>
      <c r="N32"/>
      <c r="O32" s="8"/>
      <c r="P32"/>
      <c r="Q32" s="8"/>
    </row>
    <row r="33" spans="2:17" x14ac:dyDescent="0.25">
      <c r="B33" s="38">
        <v>1</v>
      </c>
      <c r="C33" s="39" t="s">
        <v>82</v>
      </c>
      <c r="D33" s="40" t="s">
        <v>83</v>
      </c>
      <c r="E33" s="219"/>
      <c r="F33" s="61" t="s">
        <v>897</v>
      </c>
      <c r="G33" s="62" t="s">
        <v>81</v>
      </c>
      <c r="H33" s="3">
        <v>25</v>
      </c>
      <c r="I33" s="3">
        <v>3</v>
      </c>
      <c r="J33" s="69">
        <f t="shared" si="0"/>
        <v>0.12</v>
      </c>
      <c r="K33" s="90">
        <f>+I33+'SEPTIEMBRE 2025'!K33</f>
        <v>20</v>
      </c>
      <c r="L33" s="94">
        <f t="shared" si="1"/>
        <v>0.8</v>
      </c>
      <c r="N33"/>
      <c r="O33" s="8"/>
      <c r="P33"/>
      <c r="Q33" s="8"/>
    </row>
    <row r="34" spans="2:17" x14ac:dyDescent="0.25">
      <c r="B34" s="38">
        <v>1</v>
      </c>
      <c r="C34" s="39" t="s">
        <v>84</v>
      </c>
      <c r="D34" s="40" t="s">
        <v>85</v>
      </c>
      <c r="E34" s="219"/>
      <c r="F34" s="61" t="s">
        <v>1330</v>
      </c>
      <c r="G34" s="76" t="s">
        <v>1328</v>
      </c>
      <c r="H34" s="3">
        <v>30</v>
      </c>
      <c r="I34" s="3">
        <v>3</v>
      </c>
      <c r="J34" s="69">
        <f t="shared" si="0"/>
        <v>0.1</v>
      </c>
      <c r="K34" s="90">
        <f>+I34+'SEPTIEMBRE 2025'!K34</f>
        <v>23</v>
      </c>
      <c r="L34" s="94">
        <f t="shared" si="1"/>
        <v>0.76666666666666672</v>
      </c>
      <c r="N34"/>
      <c r="O34" s="8"/>
      <c r="P34"/>
      <c r="Q34" s="8"/>
    </row>
    <row r="35" spans="2:17" s="16" customFormat="1" x14ac:dyDescent="0.25">
      <c r="B35" s="38">
        <v>1</v>
      </c>
      <c r="C35" s="39" t="s">
        <v>86</v>
      </c>
      <c r="D35" s="40" t="s">
        <v>87</v>
      </c>
      <c r="E35" s="219"/>
      <c r="F35" s="61" t="s">
        <v>1331</v>
      </c>
      <c r="G35" s="62" t="s">
        <v>88</v>
      </c>
      <c r="H35" s="3">
        <v>20</v>
      </c>
      <c r="I35" s="3">
        <v>2</v>
      </c>
      <c r="J35" s="69">
        <f t="shared" si="0"/>
        <v>0.1</v>
      </c>
      <c r="K35" s="90">
        <f>+I35+'SEPTIEMBRE 2025'!K35</f>
        <v>16</v>
      </c>
      <c r="L35" s="94">
        <f t="shared" si="1"/>
        <v>0.8</v>
      </c>
      <c r="N35" s="41"/>
      <c r="P35" s="41"/>
    </row>
    <row r="36" spans="2:17" x14ac:dyDescent="0.25">
      <c r="B36" s="38">
        <v>1</v>
      </c>
      <c r="C36" s="39" t="s">
        <v>89</v>
      </c>
      <c r="D36" s="40" t="s">
        <v>90</v>
      </c>
      <c r="E36" s="219"/>
      <c r="F36" s="61" t="s">
        <v>1332</v>
      </c>
      <c r="G36" s="62" t="s">
        <v>91</v>
      </c>
      <c r="H36" s="3">
        <v>20</v>
      </c>
      <c r="I36" s="3">
        <v>2</v>
      </c>
      <c r="J36" s="69">
        <f t="shared" si="0"/>
        <v>0.1</v>
      </c>
      <c r="K36" s="90">
        <f>+I36+'SEPTIEMBRE 2025'!K36</f>
        <v>16</v>
      </c>
      <c r="L36" s="94">
        <f t="shared" si="1"/>
        <v>0.8</v>
      </c>
      <c r="N36"/>
      <c r="O36" s="8"/>
      <c r="P36"/>
      <c r="Q36" s="8"/>
    </row>
    <row r="37" spans="2:17" x14ac:dyDescent="0.25">
      <c r="B37" s="38">
        <v>1</v>
      </c>
      <c r="C37" s="39" t="s">
        <v>92</v>
      </c>
      <c r="D37" s="40" t="s">
        <v>93</v>
      </c>
      <c r="E37" s="219"/>
      <c r="F37" s="61" t="s">
        <v>1333</v>
      </c>
      <c r="G37" s="62" t="s">
        <v>94</v>
      </c>
      <c r="H37" s="3">
        <v>50</v>
      </c>
      <c r="I37" s="3">
        <v>4</v>
      </c>
      <c r="J37" s="69">
        <f t="shared" si="0"/>
        <v>0.08</v>
      </c>
      <c r="K37" s="90">
        <f>+I37+'SEPTIEMBRE 2025'!K37</f>
        <v>38</v>
      </c>
      <c r="L37" s="94">
        <f t="shared" si="1"/>
        <v>0.76</v>
      </c>
      <c r="N37"/>
      <c r="O37" s="8"/>
      <c r="P37"/>
      <c r="Q37" s="8"/>
    </row>
    <row r="38" spans="2:17" x14ac:dyDescent="0.25">
      <c r="B38" s="42">
        <v>1</v>
      </c>
      <c r="C38" s="43" t="s">
        <v>95</v>
      </c>
      <c r="D38" s="44" t="s">
        <v>96</v>
      </c>
      <c r="E38" s="220"/>
      <c r="F38" s="64" t="s">
        <v>1334</v>
      </c>
      <c r="G38" s="65" t="s">
        <v>94</v>
      </c>
      <c r="H38" s="97">
        <v>20</v>
      </c>
      <c r="I38" s="97">
        <v>3</v>
      </c>
      <c r="J38" s="72">
        <f t="shared" si="0"/>
        <v>0.15</v>
      </c>
      <c r="K38" s="91">
        <f>+I38+'SEPTIEMBRE 2025'!K38</f>
        <v>16</v>
      </c>
      <c r="L38" s="96">
        <f t="shared" si="1"/>
        <v>0.8</v>
      </c>
      <c r="N38"/>
      <c r="O38" s="8"/>
      <c r="P38"/>
      <c r="Q38" s="8"/>
    </row>
    <row r="39" spans="2:17" x14ac:dyDescent="0.25">
      <c r="B39" s="35">
        <v>3</v>
      </c>
      <c r="C39" s="36" t="s">
        <v>43</v>
      </c>
      <c r="D39" s="37" t="s">
        <v>44</v>
      </c>
      <c r="E39" s="218" t="s">
        <v>103</v>
      </c>
      <c r="F39" s="59" t="s">
        <v>1222</v>
      </c>
      <c r="G39" s="60" t="s">
        <v>101</v>
      </c>
      <c r="H39" s="89">
        <v>35</v>
      </c>
      <c r="I39" s="89">
        <v>3</v>
      </c>
      <c r="J39" s="69">
        <f t="shared" si="0"/>
        <v>8.5714285714285715E-2</v>
      </c>
      <c r="K39" s="103">
        <f>+I39+'SEPTIEMBRE 2025'!K39</f>
        <v>27</v>
      </c>
      <c r="L39" s="94">
        <f t="shared" si="1"/>
        <v>0.77142857142857146</v>
      </c>
      <c r="N39"/>
      <c r="O39" s="8"/>
      <c r="P39"/>
      <c r="Q39" s="8"/>
    </row>
    <row r="40" spans="2:17" x14ac:dyDescent="0.25">
      <c r="B40" s="38">
        <v>3</v>
      </c>
      <c r="C40" s="39" t="s">
        <v>46</v>
      </c>
      <c r="D40" s="40" t="s">
        <v>47</v>
      </c>
      <c r="E40" s="219"/>
      <c r="F40" s="61" t="s">
        <v>689</v>
      </c>
      <c r="G40" s="76" t="s">
        <v>101</v>
      </c>
      <c r="H40" s="2">
        <v>33</v>
      </c>
      <c r="I40" s="3">
        <v>3</v>
      </c>
      <c r="J40" s="69">
        <f t="shared" si="0"/>
        <v>9.0909090909090912E-2</v>
      </c>
      <c r="K40" s="90">
        <f>+I40+'SEPTIEMBRE 2025'!K40</f>
        <v>25</v>
      </c>
      <c r="L40" s="94">
        <f t="shared" si="1"/>
        <v>0.75757575757575757</v>
      </c>
      <c r="N40"/>
      <c r="O40" s="8"/>
      <c r="P40"/>
      <c r="Q40" s="8"/>
    </row>
    <row r="41" spans="2:17" x14ac:dyDescent="0.25">
      <c r="B41" s="38">
        <v>3</v>
      </c>
      <c r="C41" s="39" t="s">
        <v>49</v>
      </c>
      <c r="D41" s="40" t="s">
        <v>50</v>
      </c>
      <c r="E41" s="219"/>
      <c r="F41" s="61" t="s">
        <v>240</v>
      </c>
      <c r="G41" s="62" t="s">
        <v>101</v>
      </c>
      <c r="H41" s="3">
        <v>33</v>
      </c>
      <c r="I41" s="4">
        <v>4</v>
      </c>
      <c r="J41" s="69">
        <f t="shared" si="0"/>
        <v>0.12121212121212122</v>
      </c>
      <c r="K41" s="90">
        <f>+I41+'SEPTIEMBRE 2025'!K41</f>
        <v>26</v>
      </c>
      <c r="L41" s="94">
        <f t="shared" si="1"/>
        <v>0.78787878787878785</v>
      </c>
      <c r="N41"/>
      <c r="O41" s="8"/>
      <c r="P41"/>
      <c r="Q41" s="8"/>
    </row>
    <row r="42" spans="2:17" x14ac:dyDescent="0.25">
      <c r="B42" s="38">
        <v>3</v>
      </c>
      <c r="C42" s="39" t="s">
        <v>52</v>
      </c>
      <c r="D42" s="40" t="s">
        <v>53</v>
      </c>
      <c r="E42" s="219"/>
      <c r="F42" s="61" t="s">
        <v>170</v>
      </c>
      <c r="G42" s="62" t="s">
        <v>101</v>
      </c>
      <c r="H42" s="3">
        <v>33</v>
      </c>
      <c r="I42" s="3">
        <v>4</v>
      </c>
      <c r="J42" s="69">
        <f t="shared" si="0"/>
        <v>0.12121212121212122</v>
      </c>
      <c r="K42" s="90">
        <f>+I42+'SEPTIEMBRE 2025'!K42</f>
        <v>26</v>
      </c>
      <c r="L42" s="94">
        <f t="shared" si="1"/>
        <v>0.78787878787878785</v>
      </c>
      <c r="N42"/>
      <c r="O42" s="8"/>
      <c r="P42"/>
      <c r="Q42" s="8"/>
    </row>
    <row r="43" spans="2:17" s="16" customFormat="1" x14ac:dyDescent="0.25">
      <c r="B43" s="38">
        <v>3</v>
      </c>
      <c r="C43" s="39" t="s">
        <v>55</v>
      </c>
      <c r="D43" s="40" t="s">
        <v>56</v>
      </c>
      <c r="E43" s="219"/>
      <c r="F43" s="61" t="s">
        <v>1223</v>
      </c>
      <c r="G43" s="76" t="s">
        <v>101</v>
      </c>
      <c r="H43" s="3">
        <v>35</v>
      </c>
      <c r="I43" s="3">
        <v>4</v>
      </c>
      <c r="J43" s="69">
        <f t="shared" si="0"/>
        <v>0.11428571428571428</v>
      </c>
      <c r="K43" s="90">
        <f>+I43+'SEPTIEMBRE 2025'!K43</f>
        <v>27</v>
      </c>
      <c r="L43" s="94">
        <f t="shared" si="1"/>
        <v>0.77142857142857146</v>
      </c>
      <c r="N43" s="41"/>
      <c r="P43" s="41"/>
    </row>
    <row r="44" spans="2:17" x14ac:dyDescent="0.25">
      <c r="B44" s="38">
        <v>5</v>
      </c>
      <c r="C44" s="39" t="s">
        <v>57</v>
      </c>
      <c r="D44" s="40" t="s">
        <v>58</v>
      </c>
      <c r="E44" s="219"/>
      <c r="F44" s="61" t="s">
        <v>241</v>
      </c>
      <c r="G44" s="62" t="s">
        <v>101</v>
      </c>
      <c r="H44" s="3">
        <v>33</v>
      </c>
      <c r="I44" s="3">
        <v>4</v>
      </c>
      <c r="J44" s="69">
        <f t="shared" si="0"/>
        <v>0.12121212121212122</v>
      </c>
      <c r="K44" s="90">
        <f>+I44+'SEPTIEMBRE 2025'!K44</f>
        <v>26</v>
      </c>
      <c r="L44" s="94">
        <f t="shared" si="1"/>
        <v>0.78787878787878785</v>
      </c>
      <c r="N44"/>
      <c r="O44" s="8"/>
      <c r="P44"/>
      <c r="Q44" s="8"/>
    </row>
    <row r="45" spans="2:17" x14ac:dyDescent="0.25">
      <c r="B45" s="38">
        <v>5</v>
      </c>
      <c r="C45" s="39" t="s">
        <v>59</v>
      </c>
      <c r="D45" s="40" t="s">
        <v>60</v>
      </c>
      <c r="E45" s="219"/>
      <c r="F45" s="61" t="s">
        <v>102</v>
      </c>
      <c r="G45" s="62" t="s">
        <v>101</v>
      </c>
      <c r="H45" s="3">
        <v>35</v>
      </c>
      <c r="I45" s="3">
        <v>4</v>
      </c>
      <c r="J45" s="69">
        <f t="shared" si="0"/>
        <v>0.11428571428571428</v>
      </c>
      <c r="K45" s="90">
        <f>+I45+'SEPTIEMBRE 2025'!K45</f>
        <v>27</v>
      </c>
      <c r="L45" s="94">
        <f t="shared" si="1"/>
        <v>0.77142857142857146</v>
      </c>
      <c r="N45"/>
      <c r="O45" s="8"/>
      <c r="P45"/>
      <c r="Q45" s="8"/>
    </row>
    <row r="46" spans="2:17" x14ac:dyDescent="0.25">
      <c r="B46" s="42">
        <v>8</v>
      </c>
      <c r="C46" s="43" t="s">
        <v>61</v>
      </c>
      <c r="D46" s="44" t="s">
        <v>62</v>
      </c>
      <c r="E46" s="220"/>
      <c r="F46" s="64" t="s">
        <v>212</v>
      </c>
      <c r="G46" s="62" t="s">
        <v>101</v>
      </c>
      <c r="H46" s="97">
        <v>33</v>
      </c>
      <c r="I46" s="97">
        <v>4</v>
      </c>
      <c r="J46" s="72">
        <f t="shared" si="0"/>
        <v>0.12121212121212122</v>
      </c>
      <c r="K46" s="91">
        <f>+I46+'SEPTIEMBRE 2025'!K46</f>
        <v>26</v>
      </c>
      <c r="L46" s="96">
        <f t="shared" si="1"/>
        <v>0.78787878787878785</v>
      </c>
      <c r="N46"/>
      <c r="O46" s="8"/>
      <c r="P46"/>
      <c r="Q46" s="8"/>
    </row>
    <row r="47" spans="2:17" x14ac:dyDescent="0.25">
      <c r="B47" s="35">
        <v>3</v>
      </c>
      <c r="C47" s="36" t="s">
        <v>43</v>
      </c>
      <c r="D47" s="37" t="s">
        <v>44</v>
      </c>
      <c r="E47" s="218" t="s">
        <v>108</v>
      </c>
      <c r="F47" s="59" t="s">
        <v>172</v>
      </c>
      <c r="G47" s="60" t="s">
        <v>172</v>
      </c>
      <c r="H47" s="89">
        <v>20</v>
      </c>
      <c r="I47" s="89">
        <v>0</v>
      </c>
      <c r="J47" s="69">
        <f t="shared" si="0"/>
        <v>0</v>
      </c>
      <c r="K47" s="103">
        <f>+I47+'SEPTIEMBRE 2025'!K47</f>
        <v>20</v>
      </c>
      <c r="L47" s="94">
        <f t="shared" si="1"/>
        <v>1</v>
      </c>
      <c r="N47"/>
      <c r="O47" s="8"/>
      <c r="P47"/>
      <c r="Q47" s="8"/>
    </row>
    <row r="48" spans="2:17" x14ac:dyDescent="0.25">
      <c r="B48" s="38">
        <v>3</v>
      </c>
      <c r="C48" s="39" t="s">
        <v>46</v>
      </c>
      <c r="D48" s="40" t="s">
        <v>47</v>
      </c>
      <c r="E48" s="219"/>
      <c r="F48" s="61" t="s">
        <v>172</v>
      </c>
      <c r="G48" s="62" t="s">
        <v>172</v>
      </c>
      <c r="H48" s="2">
        <v>20</v>
      </c>
      <c r="I48" s="3">
        <v>0</v>
      </c>
      <c r="J48" s="69">
        <f t="shared" si="0"/>
        <v>0</v>
      </c>
      <c r="K48" s="90">
        <f>+I48+'SEPTIEMBRE 2025'!K48</f>
        <v>20</v>
      </c>
      <c r="L48" s="94">
        <f t="shared" si="1"/>
        <v>1</v>
      </c>
      <c r="N48"/>
      <c r="O48" s="8"/>
      <c r="P48"/>
      <c r="Q48" s="8"/>
    </row>
    <row r="49" spans="2:17" x14ac:dyDescent="0.25">
      <c r="B49" s="38">
        <v>3</v>
      </c>
      <c r="C49" s="39" t="s">
        <v>98</v>
      </c>
      <c r="D49" s="40" t="s">
        <v>99</v>
      </c>
      <c r="E49" s="219"/>
      <c r="F49" s="61" t="s">
        <v>172</v>
      </c>
      <c r="G49" s="63" t="s">
        <v>172</v>
      </c>
      <c r="H49" s="3">
        <v>20</v>
      </c>
      <c r="I49" s="4">
        <v>0</v>
      </c>
      <c r="J49" s="69">
        <f t="shared" si="0"/>
        <v>0</v>
      </c>
      <c r="K49" s="90">
        <f>+I49+'SEPTIEMBRE 2025'!K49</f>
        <v>20</v>
      </c>
      <c r="L49" s="94">
        <f t="shared" si="1"/>
        <v>1</v>
      </c>
      <c r="N49"/>
      <c r="O49" s="8"/>
      <c r="P49"/>
      <c r="Q49" s="8"/>
    </row>
    <row r="50" spans="2:17" x14ac:dyDescent="0.25">
      <c r="B50" s="38">
        <v>3</v>
      </c>
      <c r="C50" s="39" t="s">
        <v>49</v>
      </c>
      <c r="D50" s="40" t="s">
        <v>50</v>
      </c>
      <c r="E50" s="219"/>
      <c r="F50" s="61" t="s">
        <v>172</v>
      </c>
      <c r="G50" s="63" t="s">
        <v>172</v>
      </c>
      <c r="H50" s="3">
        <v>20</v>
      </c>
      <c r="I50" s="3">
        <v>0</v>
      </c>
      <c r="J50" s="69">
        <f t="shared" si="0"/>
        <v>0</v>
      </c>
      <c r="K50" s="90">
        <f>+I50+'SEPTIEMBRE 2025'!K50</f>
        <v>20</v>
      </c>
      <c r="L50" s="94">
        <f t="shared" si="1"/>
        <v>1</v>
      </c>
      <c r="N50"/>
      <c r="O50" s="8"/>
      <c r="P50"/>
      <c r="Q50" s="8"/>
    </row>
    <row r="51" spans="2:17" x14ac:dyDescent="0.25">
      <c r="B51" s="38">
        <v>3</v>
      </c>
      <c r="C51" s="39" t="s">
        <v>52</v>
      </c>
      <c r="D51" s="40" t="s">
        <v>53</v>
      </c>
      <c r="E51" s="219"/>
      <c r="F51" s="61" t="s">
        <v>172</v>
      </c>
      <c r="G51" s="62" t="s">
        <v>172</v>
      </c>
      <c r="H51" s="3">
        <v>20</v>
      </c>
      <c r="I51" s="3">
        <v>0</v>
      </c>
      <c r="J51" s="69">
        <f t="shared" si="0"/>
        <v>0</v>
      </c>
      <c r="K51" s="90">
        <f>+I51+'SEPTIEMBRE 2025'!K51</f>
        <v>20</v>
      </c>
      <c r="L51" s="94">
        <f t="shared" si="1"/>
        <v>1</v>
      </c>
      <c r="N51"/>
      <c r="O51" s="8"/>
      <c r="P51"/>
      <c r="Q51" s="8"/>
    </row>
    <row r="52" spans="2:17" s="16" customFormat="1" x14ac:dyDescent="0.25">
      <c r="B52" s="38">
        <v>3</v>
      </c>
      <c r="C52" s="39" t="s">
        <v>55</v>
      </c>
      <c r="D52" s="40" t="s">
        <v>56</v>
      </c>
      <c r="E52" s="219"/>
      <c r="F52" s="61" t="s">
        <v>172</v>
      </c>
      <c r="G52" s="62" t="s">
        <v>172</v>
      </c>
      <c r="H52" s="3">
        <v>20</v>
      </c>
      <c r="I52" s="3">
        <v>0</v>
      </c>
      <c r="J52" s="69">
        <f t="shared" si="0"/>
        <v>0</v>
      </c>
      <c r="K52" s="90">
        <f>+I52+'SEPTIEMBRE 2025'!K52</f>
        <v>20</v>
      </c>
      <c r="L52" s="94">
        <f t="shared" si="1"/>
        <v>1</v>
      </c>
      <c r="N52" s="41"/>
      <c r="P52" s="41"/>
    </row>
    <row r="53" spans="2:17" x14ac:dyDescent="0.25">
      <c r="B53" s="38">
        <v>5</v>
      </c>
      <c r="C53" s="39" t="s">
        <v>57</v>
      </c>
      <c r="D53" s="40" t="s">
        <v>58</v>
      </c>
      <c r="E53" s="219"/>
      <c r="F53" s="61" t="s">
        <v>172</v>
      </c>
      <c r="G53" s="62" t="s">
        <v>172</v>
      </c>
      <c r="H53" s="3">
        <v>20</v>
      </c>
      <c r="I53" s="3">
        <v>0</v>
      </c>
      <c r="J53" s="69">
        <f t="shared" si="0"/>
        <v>0</v>
      </c>
      <c r="K53" s="90">
        <f>+I53+'SEPTIEMBRE 2025'!K53</f>
        <v>20</v>
      </c>
      <c r="L53" s="94">
        <f t="shared" si="1"/>
        <v>1</v>
      </c>
      <c r="N53"/>
      <c r="O53" s="8"/>
      <c r="P53"/>
      <c r="Q53" s="8"/>
    </row>
    <row r="54" spans="2:17" x14ac:dyDescent="0.25">
      <c r="B54" s="38">
        <v>5</v>
      </c>
      <c r="C54" s="39" t="s">
        <v>59</v>
      </c>
      <c r="D54" s="40" t="s">
        <v>60</v>
      </c>
      <c r="E54" s="219"/>
      <c r="F54" s="61" t="s">
        <v>172</v>
      </c>
      <c r="G54" s="62" t="s">
        <v>172</v>
      </c>
      <c r="H54" s="3">
        <v>20</v>
      </c>
      <c r="I54" s="3">
        <v>0</v>
      </c>
      <c r="J54" s="69">
        <f t="shared" si="0"/>
        <v>0</v>
      </c>
      <c r="K54" s="90">
        <f>+I54+'SEPTIEMBRE 2025'!K54</f>
        <v>20</v>
      </c>
      <c r="L54" s="94">
        <f t="shared" si="1"/>
        <v>1</v>
      </c>
      <c r="N54"/>
      <c r="O54" s="8"/>
      <c r="P54"/>
      <c r="Q54" s="8"/>
    </row>
    <row r="55" spans="2:17" x14ac:dyDescent="0.25">
      <c r="B55" s="42">
        <v>8</v>
      </c>
      <c r="C55" s="43" t="s">
        <v>61</v>
      </c>
      <c r="D55" s="44" t="s">
        <v>62</v>
      </c>
      <c r="E55" s="220"/>
      <c r="F55" s="64" t="s">
        <v>172</v>
      </c>
      <c r="G55" s="65" t="s">
        <v>172</v>
      </c>
      <c r="H55" s="97">
        <v>20</v>
      </c>
      <c r="I55" s="97">
        <v>0</v>
      </c>
      <c r="J55" s="72">
        <f t="shared" si="0"/>
        <v>0</v>
      </c>
      <c r="K55" s="91">
        <f>+I55+'SEPTIEMBRE 2025'!K55</f>
        <v>20</v>
      </c>
      <c r="L55" s="96">
        <f t="shared" si="1"/>
        <v>1</v>
      </c>
      <c r="N55"/>
      <c r="O55" s="8"/>
      <c r="P55"/>
      <c r="Q55" s="8"/>
    </row>
    <row r="56" spans="2:17" x14ac:dyDescent="0.25">
      <c r="B56" s="35">
        <v>3</v>
      </c>
      <c r="C56" s="36" t="s">
        <v>43</v>
      </c>
      <c r="D56" s="37" t="s">
        <v>44</v>
      </c>
      <c r="E56" s="218" t="s">
        <v>171</v>
      </c>
      <c r="F56" s="59" t="s">
        <v>172</v>
      </c>
      <c r="G56" s="60" t="s">
        <v>172</v>
      </c>
      <c r="H56" s="123">
        <v>18</v>
      </c>
      <c r="I56" s="66">
        <v>0</v>
      </c>
      <c r="J56" s="69">
        <f t="shared" si="0"/>
        <v>0</v>
      </c>
      <c r="K56" s="103">
        <f>+I56+'SEPTIEMBRE 2025'!K56</f>
        <v>18</v>
      </c>
      <c r="L56" s="94">
        <f t="shared" si="1"/>
        <v>1</v>
      </c>
      <c r="N56"/>
      <c r="O56" s="8"/>
      <c r="P56"/>
      <c r="Q56" s="8"/>
    </row>
    <row r="57" spans="2:17" x14ac:dyDescent="0.25">
      <c r="B57" s="38">
        <v>3</v>
      </c>
      <c r="C57" s="39" t="s">
        <v>46</v>
      </c>
      <c r="D57" s="40" t="s">
        <v>47</v>
      </c>
      <c r="E57" s="219"/>
      <c r="F57" s="61" t="s">
        <v>172</v>
      </c>
      <c r="G57" s="62" t="s">
        <v>172</v>
      </c>
      <c r="H57" s="124">
        <v>36</v>
      </c>
      <c r="I57" s="55">
        <v>0</v>
      </c>
      <c r="J57" s="69">
        <f t="shared" si="0"/>
        <v>0</v>
      </c>
      <c r="K57" s="90">
        <f>+I57+'SEPTIEMBRE 2025'!K57</f>
        <v>36</v>
      </c>
      <c r="L57" s="94">
        <f t="shared" si="1"/>
        <v>1</v>
      </c>
      <c r="N57"/>
      <c r="O57" s="8"/>
      <c r="P57"/>
      <c r="Q57" s="8"/>
    </row>
    <row r="58" spans="2:17" x14ac:dyDescent="0.25">
      <c r="B58" s="38">
        <v>3</v>
      </c>
      <c r="C58" s="39" t="s">
        <v>98</v>
      </c>
      <c r="D58" s="40" t="s">
        <v>99</v>
      </c>
      <c r="E58" s="219"/>
      <c r="F58" s="61" t="s">
        <v>172</v>
      </c>
      <c r="G58" s="63" t="s">
        <v>172</v>
      </c>
      <c r="H58" s="125">
        <v>12</v>
      </c>
      <c r="I58" s="70">
        <v>0</v>
      </c>
      <c r="J58" s="69">
        <f t="shared" si="0"/>
        <v>0</v>
      </c>
      <c r="K58" s="90">
        <f>+I58+'SEPTIEMBRE 2025'!K58</f>
        <v>12</v>
      </c>
      <c r="L58" s="94">
        <f t="shared" si="1"/>
        <v>1</v>
      </c>
      <c r="N58"/>
      <c r="O58" s="8"/>
      <c r="P58"/>
      <c r="Q58" s="8"/>
    </row>
    <row r="59" spans="2:17" x14ac:dyDescent="0.25">
      <c r="B59" s="38">
        <v>3</v>
      </c>
      <c r="C59" s="39" t="s">
        <v>49</v>
      </c>
      <c r="D59" s="40" t="s">
        <v>50</v>
      </c>
      <c r="E59" s="219"/>
      <c r="F59" s="61" t="s">
        <v>172</v>
      </c>
      <c r="G59" s="63" t="s">
        <v>172</v>
      </c>
      <c r="H59" s="125">
        <v>36</v>
      </c>
      <c r="I59" s="55">
        <v>0</v>
      </c>
      <c r="J59" s="69">
        <f t="shared" si="0"/>
        <v>0</v>
      </c>
      <c r="K59" s="90">
        <f>+I59+'SEPTIEMBRE 2025'!K59</f>
        <v>36</v>
      </c>
      <c r="L59" s="94">
        <f t="shared" si="1"/>
        <v>1</v>
      </c>
      <c r="N59"/>
      <c r="O59" s="8"/>
      <c r="P59"/>
      <c r="Q59" s="8"/>
    </row>
    <row r="60" spans="2:17" x14ac:dyDescent="0.25">
      <c r="B60" s="38">
        <v>3</v>
      </c>
      <c r="C60" s="39" t="s">
        <v>52</v>
      </c>
      <c r="D60" s="40" t="s">
        <v>53</v>
      </c>
      <c r="E60" s="219"/>
      <c r="F60" s="61" t="s">
        <v>172</v>
      </c>
      <c r="G60" s="62" t="s">
        <v>172</v>
      </c>
      <c r="H60" s="125">
        <v>18</v>
      </c>
      <c r="I60" s="55">
        <v>0</v>
      </c>
      <c r="J60" s="69">
        <f t="shared" si="0"/>
        <v>0</v>
      </c>
      <c r="K60" s="90">
        <f>+I60+'SEPTIEMBRE 2025'!K60</f>
        <v>18</v>
      </c>
      <c r="L60" s="94">
        <f t="shared" si="1"/>
        <v>1</v>
      </c>
      <c r="N60"/>
      <c r="O60" s="8"/>
      <c r="P60"/>
      <c r="Q60" s="8"/>
    </row>
    <row r="61" spans="2:17" s="16" customFormat="1" x14ac:dyDescent="0.25">
      <c r="B61" s="38">
        <v>3</v>
      </c>
      <c r="C61" s="39" t="s">
        <v>55</v>
      </c>
      <c r="D61" s="40" t="s">
        <v>56</v>
      </c>
      <c r="E61" s="219"/>
      <c r="F61" s="61" t="s">
        <v>172</v>
      </c>
      <c r="G61" s="62" t="s">
        <v>172</v>
      </c>
      <c r="H61" s="125">
        <v>18</v>
      </c>
      <c r="I61" s="55">
        <v>0</v>
      </c>
      <c r="J61" s="69">
        <f t="shared" si="0"/>
        <v>0</v>
      </c>
      <c r="K61" s="90">
        <f>+I61+'SEPTIEMBRE 2025'!K61</f>
        <v>18</v>
      </c>
      <c r="L61" s="94">
        <f t="shared" si="1"/>
        <v>1</v>
      </c>
      <c r="N61" s="41"/>
      <c r="P61" s="41"/>
    </row>
    <row r="62" spans="2:17" x14ac:dyDescent="0.25">
      <c r="B62" s="38">
        <v>5</v>
      </c>
      <c r="C62" s="39" t="s">
        <v>57</v>
      </c>
      <c r="D62" s="40" t="s">
        <v>58</v>
      </c>
      <c r="E62" s="219"/>
      <c r="F62" s="61" t="s">
        <v>172</v>
      </c>
      <c r="G62" s="62" t="s">
        <v>172</v>
      </c>
      <c r="H62" s="125">
        <v>12</v>
      </c>
      <c r="I62" s="55">
        <v>0</v>
      </c>
      <c r="J62" s="69">
        <f t="shared" si="0"/>
        <v>0</v>
      </c>
      <c r="K62" s="90">
        <f>+I62+'SEPTIEMBRE 2025'!K62</f>
        <v>12</v>
      </c>
      <c r="L62" s="94">
        <f t="shared" si="1"/>
        <v>1</v>
      </c>
      <c r="N62"/>
      <c r="O62" s="8"/>
      <c r="P62"/>
      <c r="Q62" s="8"/>
    </row>
    <row r="63" spans="2:17" x14ac:dyDescent="0.25">
      <c r="B63" s="38">
        <v>5</v>
      </c>
      <c r="C63" s="39" t="s">
        <v>59</v>
      </c>
      <c r="D63" s="40" t="s">
        <v>60</v>
      </c>
      <c r="E63" s="219"/>
      <c r="F63" s="61" t="s">
        <v>172</v>
      </c>
      <c r="G63" s="62" t="s">
        <v>172</v>
      </c>
      <c r="H63" s="125">
        <v>18</v>
      </c>
      <c r="I63" s="55">
        <v>0</v>
      </c>
      <c r="J63" s="69">
        <f t="shared" si="0"/>
        <v>0</v>
      </c>
      <c r="K63" s="90">
        <f>+I63+'SEPTIEMBRE 2025'!K63</f>
        <v>18</v>
      </c>
      <c r="L63" s="94">
        <f t="shared" si="1"/>
        <v>1</v>
      </c>
      <c r="N63"/>
      <c r="O63" s="8"/>
      <c r="P63"/>
      <c r="Q63" s="8"/>
    </row>
    <row r="64" spans="2:17" x14ac:dyDescent="0.25">
      <c r="B64" s="42">
        <v>8</v>
      </c>
      <c r="C64" s="43" t="s">
        <v>61</v>
      </c>
      <c r="D64" s="44" t="s">
        <v>62</v>
      </c>
      <c r="E64" s="220"/>
      <c r="F64" s="64" t="s">
        <v>172</v>
      </c>
      <c r="G64" s="65" t="s">
        <v>172</v>
      </c>
      <c r="H64" s="126">
        <v>12</v>
      </c>
      <c r="I64" s="56">
        <v>0</v>
      </c>
      <c r="J64" s="72">
        <f t="shared" si="0"/>
        <v>0</v>
      </c>
      <c r="K64" s="91">
        <f>+I64+'SEPTIEMBRE 2025'!K64</f>
        <v>12</v>
      </c>
      <c r="L64" s="96">
        <f t="shared" si="1"/>
        <v>1</v>
      </c>
      <c r="N64"/>
      <c r="O64" s="8"/>
      <c r="P64"/>
      <c r="Q64" s="8"/>
    </row>
    <row r="65" spans="2:17" x14ac:dyDescent="0.25">
      <c r="B65" s="35">
        <v>3</v>
      </c>
      <c r="C65" s="36" t="s">
        <v>43</v>
      </c>
      <c r="D65" s="37" t="s">
        <v>44</v>
      </c>
      <c r="E65" s="218" t="s">
        <v>115</v>
      </c>
      <c r="F65" s="59" t="s">
        <v>1298</v>
      </c>
      <c r="G65" s="60" t="s">
        <v>1013</v>
      </c>
      <c r="H65" s="66">
        <v>30</v>
      </c>
      <c r="I65" s="66">
        <v>3</v>
      </c>
      <c r="J65" s="69">
        <f t="shared" si="0"/>
        <v>0.1</v>
      </c>
      <c r="K65" s="103">
        <f>+I65+'SEPTIEMBRE 2025'!K65</f>
        <v>27</v>
      </c>
      <c r="L65" s="94">
        <f t="shared" si="1"/>
        <v>0.9</v>
      </c>
      <c r="N65"/>
      <c r="O65" s="8"/>
      <c r="P65"/>
      <c r="Q65" s="8"/>
    </row>
    <row r="66" spans="2:17" x14ac:dyDescent="0.25">
      <c r="B66" s="38">
        <v>3</v>
      </c>
      <c r="C66" s="39" t="s">
        <v>46</v>
      </c>
      <c r="D66" s="40" t="s">
        <v>47</v>
      </c>
      <c r="E66" s="219"/>
      <c r="F66" s="61" t="s">
        <v>1299</v>
      </c>
      <c r="G66" s="61" t="s">
        <v>700</v>
      </c>
      <c r="H66" s="68">
        <v>30</v>
      </c>
      <c r="I66" s="55">
        <v>4</v>
      </c>
      <c r="J66" s="69">
        <f t="shared" si="0"/>
        <v>0.13333333333333333</v>
      </c>
      <c r="K66" s="90">
        <f>+I66+'SEPTIEMBRE 2025'!K66</f>
        <v>25</v>
      </c>
      <c r="L66" s="94">
        <f t="shared" si="1"/>
        <v>0.83333333333333337</v>
      </c>
      <c r="N66"/>
      <c r="O66" s="8"/>
      <c r="P66"/>
      <c r="Q66" s="8"/>
    </row>
    <row r="67" spans="2:17" x14ac:dyDescent="0.25">
      <c r="B67" s="38">
        <v>3</v>
      </c>
      <c r="C67" s="39" t="s">
        <v>98</v>
      </c>
      <c r="D67" s="40" t="s">
        <v>99</v>
      </c>
      <c r="E67" s="219"/>
      <c r="F67" s="61" t="s">
        <v>1300</v>
      </c>
      <c r="G67" s="63" t="s">
        <v>700</v>
      </c>
      <c r="H67" s="55">
        <v>30</v>
      </c>
      <c r="I67" s="70">
        <v>4</v>
      </c>
      <c r="J67" s="69">
        <f t="shared" si="0"/>
        <v>0.13333333333333333</v>
      </c>
      <c r="K67" s="90">
        <f>+I67+'SEPTIEMBRE 2025'!K67</f>
        <v>25</v>
      </c>
      <c r="L67" s="94">
        <f t="shared" si="1"/>
        <v>0.83333333333333337</v>
      </c>
      <c r="N67"/>
      <c r="O67" s="8"/>
      <c r="P67"/>
      <c r="Q67" s="8"/>
    </row>
    <row r="68" spans="2:17" x14ac:dyDescent="0.25">
      <c r="B68" s="38">
        <v>3</v>
      </c>
      <c r="C68" s="39" t="s">
        <v>49</v>
      </c>
      <c r="D68" s="40" t="s">
        <v>50</v>
      </c>
      <c r="E68" s="219"/>
      <c r="F68" s="61" t="s">
        <v>1301</v>
      </c>
      <c r="G68" s="63" t="s">
        <v>114</v>
      </c>
      <c r="H68" s="55">
        <v>30</v>
      </c>
      <c r="I68" s="55">
        <v>4</v>
      </c>
      <c r="J68" s="69">
        <f t="shared" si="0"/>
        <v>0.13333333333333333</v>
      </c>
      <c r="K68" s="90">
        <f>+I68+'SEPTIEMBRE 2025'!K68</f>
        <v>24</v>
      </c>
      <c r="L68" s="94">
        <f t="shared" si="1"/>
        <v>0.8</v>
      </c>
      <c r="N68"/>
      <c r="O68" s="8"/>
      <c r="P68"/>
      <c r="Q68" s="8"/>
    </row>
    <row r="69" spans="2:17" x14ac:dyDescent="0.25">
      <c r="B69" s="38">
        <v>3</v>
      </c>
      <c r="C69" s="39" t="s">
        <v>52</v>
      </c>
      <c r="D69" s="40" t="s">
        <v>53</v>
      </c>
      <c r="E69" s="219"/>
      <c r="F69" s="61" t="s">
        <v>1302</v>
      </c>
      <c r="G69" s="62" t="s">
        <v>871</v>
      </c>
      <c r="H69" s="55">
        <v>30</v>
      </c>
      <c r="I69" s="55">
        <v>3</v>
      </c>
      <c r="J69" s="69">
        <f t="shared" si="0"/>
        <v>0.1</v>
      </c>
      <c r="K69" s="90">
        <f>+I69+'SEPTIEMBRE 2025'!K69</f>
        <v>21</v>
      </c>
      <c r="L69" s="94">
        <f t="shared" si="1"/>
        <v>0.7</v>
      </c>
      <c r="N69"/>
      <c r="O69" s="8"/>
      <c r="P69"/>
      <c r="Q69" s="8"/>
    </row>
    <row r="70" spans="2:17" s="16" customFormat="1" x14ac:dyDescent="0.25">
      <c r="B70" s="38">
        <v>3</v>
      </c>
      <c r="C70" s="39" t="s">
        <v>55</v>
      </c>
      <c r="D70" s="40" t="s">
        <v>56</v>
      </c>
      <c r="E70" s="219"/>
      <c r="F70" s="61" t="s">
        <v>872</v>
      </c>
      <c r="G70" s="62" t="s">
        <v>114</v>
      </c>
      <c r="H70" s="55">
        <v>30</v>
      </c>
      <c r="I70" s="55">
        <v>3</v>
      </c>
      <c r="J70" s="69">
        <f t="shared" si="0"/>
        <v>0.1</v>
      </c>
      <c r="K70" s="90">
        <f>+I70+'SEPTIEMBRE 2025'!K70</f>
        <v>22</v>
      </c>
      <c r="L70" s="94">
        <f t="shared" si="1"/>
        <v>0.73333333333333328</v>
      </c>
      <c r="N70" s="41"/>
      <c r="P70" s="41"/>
    </row>
    <row r="71" spans="2:17" x14ac:dyDescent="0.25">
      <c r="B71" s="38">
        <v>5</v>
      </c>
      <c r="C71" s="39" t="s">
        <v>57</v>
      </c>
      <c r="D71" s="40" t="s">
        <v>58</v>
      </c>
      <c r="E71" s="219"/>
      <c r="F71" s="61" t="s">
        <v>262</v>
      </c>
      <c r="G71" s="62" t="s">
        <v>208</v>
      </c>
      <c r="H71" s="55">
        <v>30</v>
      </c>
      <c r="I71" s="55">
        <v>3</v>
      </c>
      <c r="J71" s="69">
        <f t="shared" si="0"/>
        <v>0.1</v>
      </c>
      <c r="K71" s="90">
        <f>+I71+'SEPTIEMBRE 2025'!K71</f>
        <v>21</v>
      </c>
      <c r="L71" s="94">
        <f t="shared" si="1"/>
        <v>0.7</v>
      </c>
      <c r="N71"/>
      <c r="O71" s="8"/>
      <c r="P71"/>
      <c r="Q71" s="8"/>
    </row>
    <row r="72" spans="2:17" x14ac:dyDescent="0.25">
      <c r="B72" s="38">
        <v>5</v>
      </c>
      <c r="C72" s="39" t="s">
        <v>59</v>
      </c>
      <c r="D72" s="40" t="s">
        <v>60</v>
      </c>
      <c r="E72" s="219"/>
      <c r="F72" s="61" t="s">
        <v>1018</v>
      </c>
      <c r="G72" s="62" t="s">
        <v>114</v>
      </c>
      <c r="H72" s="55">
        <v>30</v>
      </c>
      <c r="I72" s="55">
        <v>3</v>
      </c>
      <c r="J72" s="69">
        <f t="shared" si="0"/>
        <v>0.1</v>
      </c>
      <c r="K72" s="90">
        <f>+I72+'SEPTIEMBRE 2025'!K72</f>
        <v>23</v>
      </c>
      <c r="L72" s="94">
        <f t="shared" si="1"/>
        <v>0.76666666666666672</v>
      </c>
      <c r="N72"/>
      <c r="O72" s="8"/>
      <c r="P72"/>
      <c r="Q72" s="8"/>
    </row>
    <row r="73" spans="2:17" x14ac:dyDescent="0.25">
      <c r="B73" s="42">
        <v>8</v>
      </c>
      <c r="C73" s="43" t="s">
        <v>61</v>
      </c>
      <c r="D73" s="44" t="s">
        <v>62</v>
      </c>
      <c r="E73" s="220"/>
      <c r="F73" s="64" t="s">
        <v>706</v>
      </c>
      <c r="G73" s="65" t="s">
        <v>114</v>
      </c>
      <c r="H73" s="56">
        <v>30</v>
      </c>
      <c r="I73" s="56">
        <v>3</v>
      </c>
      <c r="J73" s="72">
        <f t="shared" si="0"/>
        <v>0.1</v>
      </c>
      <c r="K73" s="91">
        <f>+I73+'SEPTIEMBRE 2025'!K73</f>
        <v>22</v>
      </c>
      <c r="L73" s="96">
        <f t="shared" si="1"/>
        <v>0.73333333333333328</v>
      </c>
      <c r="N73"/>
      <c r="O73" s="8"/>
      <c r="P73"/>
      <c r="Q73" s="8"/>
    </row>
    <row r="74" spans="2:17" x14ac:dyDescent="0.25">
      <c r="B74" s="35">
        <v>3</v>
      </c>
      <c r="C74" s="36" t="s">
        <v>43</v>
      </c>
      <c r="D74" s="37" t="s">
        <v>44</v>
      </c>
      <c r="E74" s="218" t="s">
        <v>116</v>
      </c>
      <c r="F74" s="59" t="s">
        <v>172</v>
      </c>
      <c r="G74" s="60" t="s">
        <v>172</v>
      </c>
      <c r="H74" s="66">
        <v>20</v>
      </c>
      <c r="I74" s="66">
        <v>0</v>
      </c>
      <c r="J74" s="69">
        <f t="shared" si="0"/>
        <v>0</v>
      </c>
      <c r="K74" s="103">
        <f>+I74+'SEPTIEMBRE 2025'!K74</f>
        <v>20</v>
      </c>
      <c r="L74" s="94">
        <f t="shared" si="1"/>
        <v>1</v>
      </c>
      <c r="N74"/>
      <c r="O74" s="8"/>
      <c r="P74"/>
      <c r="Q74" s="8"/>
    </row>
    <row r="75" spans="2:17" x14ac:dyDescent="0.25">
      <c r="B75" s="38">
        <v>3</v>
      </c>
      <c r="C75" s="39" t="s">
        <v>46</v>
      </c>
      <c r="D75" s="40" t="s">
        <v>47</v>
      </c>
      <c r="E75" s="219"/>
      <c r="F75" s="61" t="s">
        <v>172</v>
      </c>
      <c r="G75" s="61" t="s">
        <v>172</v>
      </c>
      <c r="H75" s="68">
        <v>14</v>
      </c>
      <c r="I75" s="55">
        <v>0</v>
      </c>
      <c r="J75" s="69">
        <f t="shared" si="0"/>
        <v>0</v>
      </c>
      <c r="K75" s="90">
        <f>+I75+'SEPTIEMBRE 2025'!K75</f>
        <v>14</v>
      </c>
      <c r="L75" s="94">
        <f t="shared" si="1"/>
        <v>1</v>
      </c>
      <c r="N75"/>
      <c r="O75" s="8"/>
      <c r="P75"/>
      <c r="Q75" s="8"/>
    </row>
    <row r="76" spans="2:17" x14ac:dyDescent="0.25">
      <c r="B76" s="38">
        <v>3</v>
      </c>
      <c r="C76" s="39" t="s">
        <v>98</v>
      </c>
      <c r="D76" s="40" t="s">
        <v>99</v>
      </c>
      <c r="E76" s="219"/>
      <c r="F76" s="61" t="s">
        <v>172</v>
      </c>
      <c r="G76" s="63" t="s">
        <v>172</v>
      </c>
      <c r="H76" s="55">
        <v>28</v>
      </c>
      <c r="I76" s="70">
        <v>0</v>
      </c>
      <c r="J76" s="69">
        <f t="shared" si="0"/>
        <v>0</v>
      </c>
      <c r="K76" s="90">
        <f>+I76+'SEPTIEMBRE 2025'!K76</f>
        <v>28</v>
      </c>
      <c r="L76" s="94">
        <f t="shared" si="1"/>
        <v>1</v>
      </c>
      <c r="N76"/>
      <c r="O76" s="8"/>
      <c r="P76"/>
      <c r="Q76" s="8"/>
    </row>
    <row r="77" spans="2:17" x14ac:dyDescent="0.25">
      <c r="B77" s="38">
        <v>3</v>
      </c>
      <c r="C77" s="39" t="s">
        <v>49</v>
      </c>
      <c r="D77" s="40" t="s">
        <v>50</v>
      </c>
      <c r="E77" s="219"/>
      <c r="F77" s="61" t="s">
        <v>172</v>
      </c>
      <c r="G77" s="63" t="s">
        <v>172</v>
      </c>
      <c r="H77" s="55">
        <v>16</v>
      </c>
      <c r="I77" s="55">
        <v>0</v>
      </c>
      <c r="J77" s="69">
        <f t="shared" si="0"/>
        <v>0</v>
      </c>
      <c r="K77" s="90">
        <f>+I77+'SEPTIEMBRE 2025'!K77</f>
        <v>16</v>
      </c>
      <c r="L77" s="94">
        <f t="shared" si="1"/>
        <v>1</v>
      </c>
      <c r="N77"/>
      <c r="O77" s="8"/>
      <c r="P77"/>
      <c r="Q77" s="8"/>
    </row>
    <row r="78" spans="2:17" x14ac:dyDescent="0.25">
      <c r="B78" s="38">
        <v>3</v>
      </c>
      <c r="C78" s="39" t="s">
        <v>52</v>
      </c>
      <c r="D78" s="40" t="s">
        <v>53</v>
      </c>
      <c r="E78" s="219"/>
      <c r="F78" s="61" t="s">
        <v>172</v>
      </c>
      <c r="G78" s="62" t="s">
        <v>172</v>
      </c>
      <c r="H78" s="55">
        <v>16</v>
      </c>
      <c r="I78" s="55">
        <v>0</v>
      </c>
      <c r="J78" s="69">
        <f t="shared" si="0"/>
        <v>0</v>
      </c>
      <c r="K78" s="90">
        <f>+I78+'SEPTIEMBRE 2025'!K78</f>
        <v>16</v>
      </c>
      <c r="L78" s="94">
        <f t="shared" si="1"/>
        <v>1</v>
      </c>
      <c r="N78"/>
      <c r="O78" s="8"/>
      <c r="P78"/>
      <c r="Q78" s="8"/>
    </row>
    <row r="79" spans="2:17" s="16" customFormat="1" x14ac:dyDescent="0.25">
      <c r="B79" s="38">
        <v>3</v>
      </c>
      <c r="C79" s="39" t="s">
        <v>55</v>
      </c>
      <c r="D79" s="40" t="s">
        <v>56</v>
      </c>
      <c r="E79" s="219"/>
      <c r="F79" s="61" t="s">
        <v>172</v>
      </c>
      <c r="G79" s="62" t="s">
        <v>172</v>
      </c>
      <c r="H79" s="55">
        <v>12</v>
      </c>
      <c r="I79" s="55">
        <v>0</v>
      </c>
      <c r="J79" s="69">
        <f t="shared" ref="J79:J142" si="2">IFERROR(I79/H79,0)</f>
        <v>0</v>
      </c>
      <c r="K79" s="90">
        <f>+I79+'SEPTIEMBRE 2025'!K79</f>
        <v>12</v>
      </c>
      <c r="L79" s="94">
        <f t="shared" ref="L79:L142" si="3">IFERROR(K79/H79,0)</f>
        <v>1</v>
      </c>
      <c r="N79" s="41"/>
      <c r="P79" s="41"/>
    </row>
    <row r="80" spans="2:17" x14ac:dyDescent="0.25">
      <c r="B80" s="38">
        <v>5</v>
      </c>
      <c r="C80" s="39" t="s">
        <v>57</v>
      </c>
      <c r="D80" s="40" t="s">
        <v>58</v>
      </c>
      <c r="E80" s="219"/>
      <c r="F80" s="73" t="s">
        <v>172</v>
      </c>
      <c r="G80" s="62" t="s">
        <v>172</v>
      </c>
      <c r="H80" s="55">
        <v>24</v>
      </c>
      <c r="I80" s="55">
        <v>0</v>
      </c>
      <c r="J80" s="69">
        <f t="shared" si="2"/>
        <v>0</v>
      </c>
      <c r="K80" s="90">
        <f>+I80+'SEPTIEMBRE 2025'!K80</f>
        <v>24</v>
      </c>
      <c r="L80" s="94">
        <f t="shared" si="3"/>
        <v>1</v>
      </c>
      <c r="N80"/>
      <c r="O80" s="8"/>
      <c r="P80"/>
      <c r="Q80" s="8"/>
    </row>
    <row r="81" spans="2:17" x14ac:dyDescent="0.25">
      <c r="B81" s="38">
        <v>5</v>
      </c>
      <c r="C81" s="39" t="s">
        <v>59</v>
      </c>
      <c r="D81" s="40" t="s">
        <v>60</v>
      </c>
      <c r="E81" s="219"/>
      <c r="F81" s="61" t="s">
        <v>172</v>
      </c>
      <c r="G81" s="62" t="s">
        <v>172</v>
      </c>
      <c r="H81" s="55">
        <v>26</v>
      </c>
      <c r="I81" s="55">
        <v>0</v>
      </c>
      <c r="J81" s="69">
        <f t="shared" si="2"/>
        <v>0</v>
      </c>
      <c r="K81" s="90">
        <f>+I81+'SEPTIEMBRE 2025'!K81</f>
        <v>26</v>
      </c>
      <c r="L81" s="94">
        <f t="shared" si="3"/>
        <v>1</v>
      </c>
      <c r="N81"/>
      <c r="O81" s="8"/>
      <c r="P81"/>
      <c r="Q81" s="8"/>
    </row>
    <row r="82" spans="2:17" x14ac:dyDescent="0.25">
      <c r="B82" s="42">
        <v>8</v>
      </c>
      <c r="C82" s="43" t="s">
        <v>61</v>
      </c>
      <c r="D82" s="44" t="s">
        <v>62</v>
      </c>
      <c r="E82" s="220"/>
      <c r="F82" s="64" t="s">
        <v>172</v>
      </c>
      <c r="G82" s="65" t="s">
        <v>172</v>
      </c>
      <c r="H82" s="56">
        <v>24</v>
      </c>
      <c r="I82" s="56">
        <v>0</v>
      </c>
      <c r="J82" s="72">
        <f t="shared" si="2"/>
        <v>0</v>
      </c>
      <c r="K82" s="91">
        <f>+I82+'SEPTIEMBRE 2025'!K82</f>
        <v>24</v>
      </c>
      <c r="L82" s="96">
        <f t="shared" si="3"/>
        <v>1</v>
      </c>
      <c r="N82"/>
      <c r="O82" s="8"/>
      <c r="P82"/>
      <c r="Q82" s="8"/>
    </row>
    <row r="83" spans="2:17" x14ac:dyDescent="0.25">
      <c r="B83" s="35">
        <v>3</v>
      </c>
      <c r="C83" s="36" t="s">
        <v>43</v>
      </c>
      <c r="D83" s="37" t="s">
        <v>44</v>
      </c>
      <c r="E83" s="218" t="s">
        <v>117</v>
      </c>
      <c r="F83" s="60" t="s">
        <v>213</v>
      </c>
      <c r="G83" s="60" t="s">
        <v>169</v>
      </c>
      <c r="H83" s="66">
        <v>30</v>
      </c>
      <c r="I83" s="66">
        <v>4</v>
      </c>
      <c r="J83" s="69">
        <f t="shared" si="2"/>
        <v>0.13333333333333333</v>
      </c>
      <c r="K83" s="103">
        <f>+I83+'SEPTIEMBRE 2025'!K83</f>
        <v>24</v>
      </c>
      <c r="L83" s="94">
        <f t="shared" si="3"/>
        <v>0.8</v>
      </c>
      <c r="N83"/>
      <c r="O83" s="8"/>
      <c r="P83"/>
      <c r="Q83" s="8"/>
    </row>
    <row r="84" spans="2:17" x14ac:dyDescent="0.25">
      <c r="B84" s="38">
        <v>3</v>
      </c>
      <c r="C84" s="39" t="s">
        <v>46</v>
      </c>
      <c r="D84" s="40" t="s">
        <v>47</v>
      </c>
      <c r="E84" s="219"/>
      <c r="F84" s="74" t="s">
        <v>860</v>
      </c>
      <c r="G84" s="74" t="s">
        <v>861</v>
      </c>
      <c r="H84" s="68">
        <v>30</v>
      </c>
      <c r="I84" s="55">
        <v>4</v>
      </c>
      <c r="J84" s="69">
        <f t="shared" si="2"/>
        <v>0.13333333333333333</v>
      </c>
      <c r="K84" s="90">
        <f>+I84+'SEPTIEMBRE 2025'!K84</f>
        <v>24</v>
      </c>
      <c r="L84" s="94">
        <f t="shared" si="3"/>
        <v>0.8</v>
      </c>
      <c r="N84"/>
      <c r="O84" s="8"/>
      <c r="P84"/>
      <c r="Q84" s="8"/>
    </row>
    <row r="85" spans="2:17" x14ac:dyDescent="0.25">
      <c r="B85" s="38">
        <v>3</v>
      </c>
      <c r="C85" s="39" t="s">
        <v>98</v>
      </c>
      <c r="D85" s="40" t="s">
        <v>99</v>
      </c>
      <c r="E85" s="219"/>
      <c r="F85" s="62" t="s">
        <v>862</v>
      </c>
      <c r="G85" s="62" t="s">
        <v>169</v>
      </c>
      <c r="H85" s="55">
        <v>30</v>
      </c>
      <c r="I85" s="70">
        <v>4</v>
      </c>
      <c r="J85" s="69">
        <f t="shared" si="2"/>
        <v>0.13333333333333333</v>
      </c>
      <c r="K85" s="90">
        <f>+I85+'SEPTIEMBRE 2025'!K85</f>
        <v>24</v>
      </c>
      <c r="L85" s="94">
        <f t="shared" si="3"/>
        <v>0.8</v>
      </c>
      <c r="N85"/>
      <c r="O85" s="8"/>
      <c r="P85"/>
      <c r="Q85" s="8"/>
    </row>
    <row r="86" spans="2:17" x14ac:dyDescent="0.25">
      <c r="B86" s="38">
        <v>3</v>
      </c>
      <c r="C86" s="39" t="s">
        <v>49</v>
      </c>
      <c r="D86" s="40" t="s">
        <v>50</v>
      </c>
      <c r="E86" s="219"/>
      <c r="F86" s="62" t="s">
        <v>213</v>
      </c>
      <c r="G86" s="62" t="s">
        <v>169</v>
      </c>
      <c r="H86" s="55">
        <v>30</v>
      </c>
      <c r="I86" s="55">
        <v>3</v>
      </c>
      <c r="J86" s="69">
        <f t="shared" si="2"/>
        <v>0.1</v>
      </c>
      <c r="K86" s="90">
        <f>+I86+'SEPTIEMBRE 2025'!K86</f>
        <v>21</v>
      </c>
      <c r="L86" s="94">
        <f t="shared" si="3"/>
        <v>0.7</v>
      </c>
      <c r="N86"/>
      <c r="O86" s="8"/>
      <c r="P86"/>
      <c r="Q86" s="8"/>
    </row>
    <row r="87" spans="2:17" x14ac:dyDescent="0.25">
      <c r="B87" s="38">
        <v>3</v>
      </c>
      <c r="C87" s="39" t="s">
        <v>52</v>
      </c>
      <c r="D87" s="40" t="s">
        <v>53</v>
      </c>
      <c r="E87" s="219"/>
      <c r="F87" s="62" t="s">
        <v>214</v>
      </c>
      <c r="G87" s="62" t="s">
        <v>191</v>
      </c>
      <c r="H87" s="55">
        <v>30</v>
      </c>
      <c r="I87" s="55">
        <v>3</v>
      </c>
      <c r="J87" s="69">
        <f t="shared" si="2"/>
        <v>0.1</v>
      </c>
      <c r="K87" s="90">
        <f>+I87+'SEPTIEMBRE 2025'!K87</f>
        <v>21</v>
      </c>
      <c r="L87" s="94">
        <f t="shared" si="3"/>
        <v>0.7</v>
      </c>
      <c r="N87"/>
      <c r="O87" s="8"/>
      <c r="P87"/>
      <c r="Q87" s="8"/>
    </row>
    <row r="88" spans="2:17" s="16" customFormat="1" x14ac:dyDescent="0.25">
      <c r="B88" s="38">
        <v>3</v>
      </c>
      <c r="C88" s="39" t="s">
        <v>55</v>
      </c>
      <c r="D88" s="40" t="s">
        <v>56</v>
      </c>
      <c r="E88" s="219"/>
      <c r="F88" s="62" t="s">
        <v>215</v>
      </c>
      <c r="G88" s="62"/>
      <c r="H88" s="55">
        <v>30</v>
      </c>
      <c r="I88" s="55">
        <v>3</v>
      </c>
      <c r="J88" s="69">
        <f t="shared" si="2"/>
        <v>0.1</v>
      </c>
      <c r="K88" s="90">
        <f>+I88+'SEPTIEMBRE 2025'!K88</f>
        <v>21</v>
      </c>
      <c r="L88" s="94">
        <f t="shared" si="3"/>
        <v>0.7</v>
      </c>
      <c r="N88" s="41"/>
      <c r="P88" s="41"/>
    </row>
    <row r="89" spans="2:17" x14ac:dyDescent="0.25">
      <c r="B89" s="38">
        <v>5</v>
      </c>
      <c r="C89" s="39" t="s">
        <v>57</v>
      </c>
      <c r="D89" s="40" t="s">
        <v>58</v>
      </c>
      <c r="E89" s="219"/>
      <c r="F89" s="62" t="s">
        <v>216</v>
      </c>
      <c r="G89" s="62"/>
      <c r="H89" s="55">
        <v>30</v>
      </c>
      <c r="I89" s="55">
        <v>3</v>
      </c>
      <c r="J89" s="69">
        <f t="shared" si="2"/>
        <v>0.1</v>
      </c>
      <c r="K89" s="90">
        <f>+I89+'SEPTIEMBRE 2025'!K89</f>
        <v>25</v>
      </c>
      <c r="L89" s="94">
        <f t="shared" si="3"/>
        <v>0.83333333333333337</v>
      </c>
      <c r="N89"/>
      <c r="O89" s="8"/>
      <c r="P89"/>
      <c r="Q89" s="8"/>
    </row>
    <row r="90" spans="2:17" x14ac:dyDescent="0.25">
      <c r="B90" s="38">
        <v>5</v>
      </c>
      <c r="C90" s="39" t="s">
        <v>59</v>
      </c>
      <c r="D90" s="40" t="s">
        <v>60</v>
      </c>
      <c r="E90" s="219"/>
      <c r="F90" s="62" t="s">
        <v>194</v>
      </c>
      <c r="G90" s="62" t="s">
        <v>195</v>
      </c>
      <c r="H90" s="55">
        <v>30</v>
      </c>
      <c r="I90" s="55">
        <v>3</v>
      </c>
      <c r="J90" s="69">
        <f t="shared" si="2"/>
        <v>0.1</v>
      </c>
      <c r="K90" s="90">
        <f>+I90+'SEPTIEMBRE 2025'!K90</f>
        <v>25</v>
      </c>
      <c r="L90" s="94">
        <f t="shared" si="3"/>
        <v>0.83333333333333337</v>
      </c>
      <c r="N90"/>
      <c r="O90" s="8"/>
      <c r="P90"/>
      <c r="Q90" s="8"/>
    </row>
    <row r="91" spans="2:17" x14ac:dyDescent="0.25">
      <c r="B91" s="42">
        <v>8</v>
      </c>
      <c r="C91" s="43" t="s">
        <v>61</v>
      </c>
      <c r="D91" s="44" t="s">
        <v>62</v>
      </c>
      <c r="E91" s="220"/>
      <c r="F91" s="65" t="s">
        <v>196</v>
      </c>
      <c r="G91" s="65" t="s">
        <v>206</v>
      </c>
      <c r="H91" s="56">
        <v>30</v>
      </c>
      <c r="I91" s="56">
        <v>3</v>
      </c>
      <c r="J91" s="72">
        <f t="shared" si="2"/>
        <v>0.1</v>
      </c>
      <c r="K91" s="91">
        <f>+I91+'SEPTIEMBRE 2025'!K91</f>
        <v>25</v>
      </c>
      <c r="L91" s="96">
        <f t="shared" si="3"/>
        <v>0.83333333333333337</v>
      </c>
      <c r="N91"/>
      <c r="O91" s="8"/>
      <c r="P91"/>
      <c r="Q91" s="8"/>
    </row>
    <row r="92" spans="2:17" x14ac:dyDescent="0.25">
      <c r="B92" s="35">
        <v>3</v>
      </c>
      <c r="C92" s="36" t="s">
        <v>43</v>
      </c>
      <c r="D92" s="37" t="s">
        <v>44</v>
      </c>
      <c r="E92" s="228" t="s">
        <v>179</v>
      </c>
      <c r="F92" s="59" t="s">
        <v>172</v>
      </c>
      <c r="G92" s="59" t="s">
        <v>172</v>
      </c>
      <c r="H92" s="66">
        <v>18</v>
      </c>
      <c r="I92" s="66">
        <v>0</v>
      </c>
      <c r="J92" s="69">
        <f t="shared" si="2"/>
        <v>0</v>
      </c>
      <c r="K92" s="103">
        <f>+I92+'SEPTIEMBRE 2025'!K92</f>
        <v>18</v>
      </c>
      <c r="L92" s="151">
        <f t="shared" si="3"/>
        <v>1</v>
      </c>
      <c r="N92"/>
      <c r="O92" s="8"/>
      <c r="P92"/>
      <c r="Q92" s="8"/>
    </row>
    <row r="93" spans="2:17" x14ac:dyDescent="0.25">
      <c r="B93" s="38">
        <v>3</v>
      </c>
      <c r="C93" s="39" t="s">
        <v>46</v>
      </c>
      <c r="D93" s="40" t="s">
        <v>47</v>
      </c>
      <c r="E93" s="229"/>
      <c r="F93" s="61" t="s">
        <v>172</v>
      </c>
      <c r="G93" s="61" t="s">
        <v>172</v>
      </c>
      <c r="H93" s="68">
        <v>16</v>
      </c>
      <c r="I93" s="55">
        <v>0</v>
      </c>
      <c r="J93" s="69">
        <f t="shared" si="2"/>
        <v>0</v>
      </c>
      <c r="K93" s="90">
        <f>+I93+'SEPTIEMBRE 2025'!K93</f>
        <v>16</v>
      </c>
      <c r="L93" s="151">
        <f t="shared" si="3"/>
        <v>1</v>
      </c>
      <c r="N93"/>
      <c r="O93" s="8"/>
      <c r="P93"/>
      <c r="Q93" s="8"/>
    </row>
    <row r="94" spans="2:17" x14ac:dyDescent="0.25">
      <c r="B94" s="38">
        <v>3</v>
      </c>
      <c r="C94" s="39" t="s">
        <v>98</v>
      </c>
      <c r="D94" s="40" t="s">
        <v>99</v>
      </c>
      <c r="E94" s="229"/>
      <c r="F94" s="61" t="s">
        <v>172</v>
      </c>
      <c r="G94" s="61" t="s">
        <v>172</v>
      </c>
      <c r="H94" s="55">
        <v>16</v>
      </c>
      <c r="I94" s="70">
        <v>0</v>
      </c>
      <c r="J94" s="69">
        <f t="shared" si="2"/>
        <v>0</v>
      </c>
      <c r="K94" s="90">
        <f>+I94+'SEPTIEMBRE 2025'!K94</f>
        <v>16</v>
      </c>
      <c r="L94" s="151">
        <f t="shared" si="3"/>
        <v>1</v>
      </c>
      <c r="N94"/>
      <c r="O94" s="8"/>
      <c r="P94"/>
      <c r="Q94" s="8"/>
    </row>
    <row r="95" spans="2:17" x14ac:dyDescent="0.25">
      <c r="B95" s="38">
        <v>3</v>
      </c>
      <c r="C95" s="39" t="s">
        <v>49</v>
      </c>
      <c r="D95" s="40" t="s">
        <v>50</v>
      </c>
      <c r="E95" s="229"/>
      <c r="F95" s="61" t="s">
        <v>172</v>
      </c>
      <c r="G95" s="61" t="s">
        <v>172</v>
      </c>
      <c r="H95" s="55">
        <v>16</v>
      </c>
      <c r="I95" s="55">
        <v>0</v>
      </c>
      <c r="J95" s="69">
        <f t="shared" si="2"/>
        <v>0</v>
      </c>
      <c r="K95" s="90">
        <f>+I95+'SEPTIEMBRE 2025'!K95</f>
        <v>16</v>
      </c>
      <c r="L95" s="151">
        <f t="shared" si="3"/>
        <v>1</v>
      </c>
      <c r="N95"/>
      <c r="O95" s="8"/>
      <c r="P95"/>
      <c r="Q95" s="8"/>
    </row>
    <row r="96" spans="2:17" x14ac:dyDescent="0.25">
      <c r="B96" s="38">
        <v>3</v>
      </c>
      <c r="C96" s="39" t="s">
        <v>52</v>
      </c>
      <c r="D96" s="40" t="s">
        <v>53</v>
      </c>
      <c r="E96" s="229"/>
      <c r="F96" s="61" t="s">
        <v>172</v>
      </c>
      <c r="G96" s="61" t="s">
        <v>172</v>
      </c>
      <c r="H96" s="55">
        <v>16</v>
      </c>
      <c r="I96" s="55">
        <v>0</v>
      </c>
      <c r="J96" s="69">
        <f t="shared" si="2"/>
        <v>0</v>
      </c>
      <c r="K96" s="90">
        <f>+I96+'SEPTIEMBRE 2025'!K96</f>
        <v>16</v>
      </c>
      <c r="L96" s="151">
        <f t="shared" si="3"/>
        <v>1</v>
      </c>
      <c r="N96"/>
      <c r="O96" s="8"/>
      <c r="P96"/>
      <c r="Q96" s="8"/>
    </row>
    <row r="97" spans="2:17" x14ac:dyDescent="0.25">
      <c r="B97" s="38">
        <v>3</v>
      </c>
      <c r="C97" s="39" t="s">
        <v>55</v>
      </c>
      <c r="D97" s="40" t="s">
        <v>56</v>
      </c>
      <c r="E97" s="229"/>
      <c r="F97" s="61" t="s">
        <v>172</v>
      </c>
      <c r="G97" s="129" t="s">
        <v>172</v>
      </c>
      <c r="H97" s="55">
        <v>16</v>
      </c>
      <c r="I97" s="55">
        <v>0</v>
      </c>
      <c r="J97" s="69">
        <f t="shared" si="2"/>
        <v>0</v>
      </c>
      <c r="K97" s="90">
        <f>+I97+'SEPTIEMBRE 2025'!K97</f>
        <v>16</v>
      </c>
      <c r="L97" s="151">
        <f t="shared" si="3"/>
        <v>1</v>
      </c>
      <c r="N97"/>
      <c r="O97" s="8"/>
      <c r="P97"/>
      <c r="Q97" s="8"/>
    </row>
    <row r="98" spans="2:17" x14ac:dyDescent="0.25">
      <c r="B98" s="38">
        <v>5</v>
      </c>
      <c r="C98" s="39" t="s">
        <v>57</v>
      </c>
      <c r="D98" s="40" t="s">
        <v>58</v>
      </c>
      <c r="E98" s="229"/>
      <c r="F98" s="127" t="s">
        <v>172</v>
      </c>
      <c r="G98" s="61" t="s">
        <v>172</v>
      </c>
      <c r="H98" s="128">
        <v>16</v>
      </c>
      <c r="I98" s="55">
        <v>0</v>
      </c>
      <c r="J98" s="69">
        <f t="shared" si="2"/>
        <v>0</v>
      </c>
      <c r="K98" s="90">
        <f>+I98+'SEPTIEMBRE 2025'!K98</f>
        <v>16</v>
      </c>
      <c r="L98" s="151">
        <f t="shared" si="3"/>
        <v>1</v>
      </c>
      <c r="N98"/>
      <c r="O98" s="8"/>
      <c r="P98"/>
      <c r="Q98" s="8"/>
    </row>
    <row r="99" spans="2:17" s="16" customFormat="1" x14ac:dyDescent="0.25">
      <c r="B99" s="38">
        <v>5</v>
      </c>
      <c r="C99" s="39" t="s">
        <v>118</v>
      </c>
      <c r="D99" s="40" t="s">
        <v>119</v>
      </c>
      <c r="E99" s="229"/>
      <c r="F99" s="61" t="s">
        <v>172</v>
      </c>
      <c r="G99" s="130" t="s">
        <v>172</v>
      </c>
      <c r="H99" s="55">
        <v>16</v>
      </c>
      <c r="I99" s="55">
        <v>0</v>
      </c>
      <c r="J99" s="69">
        <f t="shared" si="2"/>
        <v>0</v>
      </c>
      <c r="K99" s="90">
        <f>+I99+'SEPTIEMBRE 2025'!K99</f>
        <v>16</v>
      </c>
      <c r="L99" s="151">
        <f t="shared" si="3"/>
        <v>1</v>
      </c>
      <c r="N99" s="41"/>
      <c r="P99" s="41"/>
    </row>
    <row r="100" spans="2:17" x14ac:dyDescent="0.25">
      <c r="B100" s="38">
        <v>5</v>
      </c>
      <c r="C100" s="39" t="s">
        <v>120</v>
      </c>
      <c r="D100" s="40" t="s">
        <v>121</v>
      </c>
      <c r="E100" s="229"/>
      <c r="F100" s="61" t="s">
        <v>172</v>
      </c>
      <c r="G100" s="61" t="s">
        <v>172</v>
      </c>
      <c r="H100" s="68">
        <v>18</v>
      </c>
      <c r="I100" s="55">
        <v>0</v>
      </c>
      <c r="J100" s="69">
        <f t="shared" si="2"/>
        <v>0</v>
      </c>
      <c r="K100" s="90">
        <f>+I100+'SEPTIEMBRE 2025'!K100</f>
        <v>18</v>
      </c>
      <c r="L100" s="151">
        <f t="shared" si="3"/>
        <v>1</v>
      </c>
      <c r="N100"/>
      <c r="O100" s="8"/>
      <c r="P100"/>
      <c r="Q100" s="8"/>
    </row>
    <row r="101" spans="2:17" x14ac:dyDescent="0.25">
      <c r="B101" s="38">
        <v>5</v>
      </c>
      <c r="C101" s="39" t="s">
        <v>122</v>
      </c>
      <c r="D101" s="40" t="s">
        <v>123</v>
      </c>
      <c r="E101" s="229"/>
      <c r="F101" s="61" t="s">
        <v>172</v>
      </c>
      <c r="G101" s="61" t="s">
        <v>172</v>
      </c>
      <c r="H101" s="55">
        <v>16</v>
      </c>
      <c r="I101" s="55">
        <v>0</v>
      </c>
      <c r="J101" s="69">
        <f t="shared" si="2"/>
        <v>0</v>
      </c>
      <c r="K101" s="90">
        <f>+I101+'SEPTIEMBRE 2025'!K101</f>
        <v>16</v>
      </c>
      <c r="L101" s="151">
        <f t="shared" si="3"/>
        <v>1</v>
      </c>
      <c r="N101"/>
      <c r="O101" s="8"/>
      <c r="P101"/>
      <c r="Q101" s="8"/>
    </row>
    <row r="102" spans="2:17" x14ac:dyDescent="0.25">
      <c r="B102" s="42">
        <v>5</v>
      </c>
      <c r="C102" s="43" t="s">
        <v>59</v>
      </c>
      <c r="D102" s="44" t="s">
        <v>60</v>
      </c>
      <c r="E102" s="230"/>
      <c r="F102" s="64" t="s">
        <v>172</v>
      </c>
      <c r="G102" s="61" t="s">
        <v>172</v>
      </c>
      <c r="H102" s="56">
        <v>16</v>
      </c>
      <c r="I102" s="56">
        <v>0</v>
      </c>
      <c r="J102" s="72">
        <f t="shared" si="2"/>
        <v>0</v>
      </c>
      <c r="K102" s="91">
        <f>+I102+'SEPTIEMBRE 2025'!K102</f>
        <v>16</v>
      </c>
      <c r="L102" s="152">
        <f t="shared" si="3"/>
        <v>1</v>
      </c>
      <c r="N102"/>
      <c r="O102" s="8"/>
      <c r="P102"/>
      <c r="Q102" s="8"/>
    </row>
    <row r="103" spans="2:17" x14ac:dyDescent="0.25">
      <c r="B103" s="35">
        <v>3</v>
      </c>
      <c r="C103" s="36" t="s">
        <v>43</v>
      </c>
      <c r="D103" s="37" t="s">
        <v>44</v>
      </c>
      <c r="E103" s="218" t="s">
        <v>124</v>
      </c>
      <c r="F103" s="59" t="s">
        <v>172</v>
      </c>
      <c r="G103" s="75" t="s">
        <v>172</v>
      </c>
      <c r="H103" s="66">
        <v>13</v>
      </c>
      <c r="I103" s="66">
        <v>0</v>
      </c>
      <c r="J103" s="69">
        <f t="shared" si="2"/>
        <v>0</v>
      </c>
      <c r="K103" s="103">
        <f>+I103+'SEPTIEMBRE 2025'!K103</f>
        <v>13</v>
      </c>
      <c r="L103" s="151">
        <f t="shared" si="3"/>
        <v>1</v>
      </c>
      <c r="N103"/>
      <c r="O103" s="8"/>
      <c r="P103"/>
      <c r="Q103" s="8"/>
    </row>
    <row r="104" spans="2:17" x14ac:dyDescent="0.25">
      <c r="B104" s="38">
        <v>3</v>
      </c>
      <c r="C104" s="39" t="s">
        <v>46</v>
      </c>
      <c r="D104" s="40" t="s">
        <v>47</v>
      </c>
      <c r="E104" s="219"/>
      <c r="F104" s="61" t="s">
        <v>172</v>
      </c>
      <c r="G104" s="76" t="s">
        <v>172</v>
      </c>
      <c r="H104" s="68">
        <v>14</v>
      </c>
      <c r="I104" s="55">
        <v>0</v>
      </c>
      <c r="J104" s="69">
        <f t="shared" si="2"/>
        <v>0</v>
      </c>
      <c r="K104" s="90">
        <f>+I104+'SEPTIEMBRE 2025'!K104</f>
        <v>14</v>
      </c>
      <c r="L104" s="151">
        <f t="shared" si="3"/>
        <v>1</v>
      </c>
      <c r="N104"/>
      <c r="O104" s="8"/>
      <c r="P104"/>
      <c r="Q104" s="8"/>
    </row>
    <row r="105" spans="2:17" x14ac:dyDescent="0.25">
      <c r="B105" s="38">
        <v>3</v>
      </c>
      <c r="C105" s="39" t="s">
        <v>98</v>
      </c>
      <c r="D105" s="40" t="s">
        <v>99</v>
      </c>
      <c r="E105" s="219"/>
      <c r="F105" s="61" t="s">
        <v>172</v>
      </c>
      <c r="G105" s="62" t="s">
        <v>172</v>
      </c>
      <c r="H105" s="55">
        <v>14</v>
      </c>
      <c r="I105" s="70">
        <v>0</v>
      </c>
      <c r="J105" s="69">
        <f t="shared" si="2"/>
        <v>0</v>
      </c>
      <c r="K105" s="90">
        <f>+I105+'SEPTIEMBRE 2025'!K105</f>
        <v>14</v>
      </c>
      <c r="L105" s="151">
        <f t="shared" si="3"/>
        <v>1</v>
      </c>
      <c r="N105"/>
      <c r="O105" s="8"/>
      <c r="P105"/>
      <c r="Q105" s="8"/>
    </row>
    <row r="106" spans="2:17" x14ac:dyDescent="0.25">
      <c r="B106" s="38">
        <v>3</v>
      </c>
      <c r="C106" s="39" t="s">
        <v>49</v>
      </c>
      <c r="D106" s="40" t="s">
        <v>50</v>
      </c>
      <c r="E106" s="219"/>
      <c r="F106" s="61" t="s">
        <v>172</v>
      </c>
      <c r="G106" s="62" t="s">
        <v>172</v>
      </c>
      <c r="H106" s="55">
        <v>16</v>
      </c>
      <c r="I106" s="55">
        <v>0</v>
      </c>
      <c r="J106" s="69">
        <f t="shared" si="2"/>
        <v>0</v>
      </c>
      <c r="K106" s="90">
        <f>+I106+'SEPTIEMBRE 2025'!K106</f>
        <v>16</v>
      </c>
      <c r="L106" s="151">
        <f t="shared" si="3"/>
        <v>1</v>
      </c>
      <c r="N106"/>
      <c r="O106" s="8"/>
      <c r="P106"/>
      <c r="Q106" s="8"/>
    </row>
    <row r="107" spans="2:17" x14ac:dyDescent="0.25">
      <c r="B107" s="38">
        <v>3</v>
      </c>
      <c r="C107" s="39" t="s">
        <v>52</v>
      </c>
      <c r="D107" s="40" t="s">
        <v>53</v>
      </c>
      <c r="E107" s="219"/>
      <c r="F107" s="61" t="s">
        <v>172</v>
      </c>
      <c r="G107" s="62" t="s">
        <v>172</v>
      </c>
      <c r="H107" s="55">
        <v>16</v>
      </c>
      <c r="I107" s="55">
        <v>0</v>
      </c>
      <c r="J107" s="69">
        <f t="shared" si="2"/>
        <v>0</v>
      </c>
      <c r="K107" s="90">
        <f>+I107+'SEPTIEMBRE 2025'!K107</f>
        <v>16</v>
      </c>
      <c r="L107" s="151">
        <f t="shared" si="3"/>
        <v>1</v>
      </c>
      <c r="N107"/>
      <c r="O107" s="8"/>
      <c r="P107"/>
      <c r="Q107" s="8"/>
    </row>
    <row r="108" spans="2:17" x14ac:dyDescent="0.25">
      <c r="B108" s="38">
        <v>3</v>
      </c>
      <c r="C108" s="39" t="s">
        <v>55</v>
      </c>
      <c r="D108" s="40" t="s">
        <v>56</v>
      </c>
      <c r="E108" s="219"/>
      <c r="F108" s="61" t="s">
        <v>172</v>
      </c>
      <c r="G108" s="62" t="s">
        <v>172</v>
      </c>
      <c r="H108" s="55">
        <v>15</v>
      </c>
      <c r="I108" s="55">
        <v>0</v>
      </c>
      <c r="J108" s="69">
        <f t="shared" si="2"/>
        <v>0</v>
      </c>
      <c r="K108" s="90">
        <f>+I108+'SEPTIEMBRE 2025'!K108</f>
        <v>15</v>
      </c>
      <c r="L108" s="151">
        <f t="shared" si="3"/>
        <v>1</v>
      </c>
      <c r="N108"/>
      <c r="O108" s="8"/>
      <c r="P108"/>
      <c r="Q108" s="8"/>
    </row>
    <row r="109" spans="2:17" x14ac:dyDescent="0.25">
      <c r="B109" s="38">
        <v>5</v>
      </c>
      <c r="C109" s="39" t="s">
        <v>57</v>
      </c>
      <c r="D109" s="40" t="s">
        <v>58</v>
      </c>
      <c r="E109" s="219"/>
      <c r="F109" s="61" t="s">
        <v>172</v>
      </c>
      <c r="G109" s="62" t="s">
        <v>172</v>
      </c>
      <c r="H109" s="55">
        <v>16</v>
      </c>
      <c r="I109" s="55">
        <v>0</v>
      </c>
      <c r="J109" s="69">
        <f t="shared" si="2"/>
        <v>0</v>
      </c>
      <c r="K109" s="90">
        <f>+I109+'SEPTIEMBRE 2025'!K109</f>
        <v>16</v>
      </c>
      <c r="L109" s="151">
        <f t="shared" si="3"/>
        <v>1</v>
      </c>
      <c r="N109"/>
      <c r="O109" s="8"/>
      <c r="P109"/>
      <c r="Q109" s="8"/>
    </row>
    <row r="110" spans="2:17" s="16" customFormat="1" x14ac:dyDescent="0.25">
      <c r="B110" s="38">
        <v>5</v>
      </c>
      <c r="C110" s="39" t="s">
        <v>118</v>
      </c>
      <c r="D110" s="40" t="s">
        <v>119</v>
      </c>
      <c r="E110" s="219"/>
      <c r="F110" s="61" t="s">
        <v>172</v>
      </c>
      <c r="G110" s="62" t="s">
        <v>172</v>
      </c>
      <c r="H110" s="55">
        <v>16</v>
      </c>
      <c r="I110" s="55">
        <v>0</v>
      </c>
      <c r="J110" s="69">
        <f t="shared" si="2"/>
        <v>0</v>
      </c>
      <c r="K110" s="90">
        <f>+I110+'SEPTIEMBRE 2025'!K110</f>
        <v>16</v>
      </c>
      <c r="L110" s="151">
        <f t="shared" si="3"/>
        <v>1</v>
      </c>
      <c r="N110" s="41"/>
      <c r="P110" s="41"/>
    </row>
    <row r="111" spans="2:17" x14ac:dyDescent="0.25">
      <c r="B111" s="38">
        <v>5</v>
      </c>
      <c r="C111" s="39" t="s">
        <v>120</v>
      </c>
      <c r="D111" s="40" t="s">
        <v>121</v>
      </c>
      <c r="E111" s="219"/>
      <c r="F111" s="61" t="s">
        <v>172</v>
      </c>
      <c r="G111" s="62" t="s">
        <v>172</v>
      </c>
      <c r="H111" s="68">
        <v>16</v>
      </c>
      <c r="I111" s="68">
        <v>0</v>
      </c>
      <c r="J111" s="69">
        <f t="shared" si="2"/>
        <v>0</v>
      </c>
      <c r="K111" s="90">
        <f>+I111+'SEPTIEMBRE 2025'!K111</f>
        <v>16</v>
      </c>
      <c r="L111" s="151">
        <f t="shared" si="3"/>
        <v>1</v>
      </c>
      <c r="N111"/>
      <c r="O111" s="8"/>
      <c r="P111"/>
      <c r="Q111" s="8"/>
    </row>
    <row r="112" spans="2:17" x14ac:dyDescent="0.25">
      <c r="B112" s="38">
        <v>5</v>
      </c>
      <c r="C112" s="39" t="s">
        <v>122</v>
      </c>
      <c r="D112" s="40" t="s">
        <v>123</v>
      </c>
      <c r="E112" s="219"/>
      <c r="F112" s="61" t="s">
        <v>172</v>
      </c>
      <c r="G112" s="62" t="s">
        <v>172</v>
      </c>
      <c r="H112" s="68">
        <v>20</v>
      </c>
      <c r="I112" s="68">
        <v>0</v>
      </c>
      <c r="J112" s="69">
        <f t="shared" si="2"/>
        <v>0</v>
      </c>
      <c r="K112" s="90">
        <f>+I112+'SEPTIEMBRE 2025'!K112</f>
        <v>20</v>
      </c>
      <c r="L112" s="151">
        <f t="shared" si="3"/>
        <v>1</v>
      </c>
      <c r="N112"/>
      <c r="O112" s="8"/>
      <c r="P112"/>
      <c r="Q112" s="8"/>
    </row>
    <row r="113" spans="2:17" x14ac:dyDescent="0.25">
      <c r="B113" s="42">
        <v>5</v>
      </c>
      <c r="C113" s="43" t="s">
        <v>59</v>
      </c>
      <c r="D113" s="44" t="s">
        <v>60</v>
      </c>
      <c r="E113" s="220"/>
      <c r="F113" s="64" t="s">
        <v>172</v>
      </c>
      <c r="G113" s="65" t="s">
        <v>172</v>
      </c>
      <c r="H113" s="56">
        <v>24</v>
      </c>
      <c r="I113" s="56">
        <v>0</v>
      </c>
      <c r="J113" s="72">
        <f t="shared" si="2"/>
        <v>0</v>
      </c>
      <c r="K113" s="91">
        <f>+I113+'SEPTIEMBRE 2025'!K113</f>
        <v>24</v>
      </c>
      <c r="L113" s="152">
        <f t="shared" si="3"/>
        <v>1</v>
      </c>
      <c r="N113"/>
      <c r="O113" s="8"/>
      <c r="P113"/>
      <c r="Q113" s="8"/>
    </row>
    <row r="114" spans="2:17" x14ac:dyDescent="0.25">
      <c r="B114" s="46">
        <v>3</v>
      </c>
      <c r="C114" s="45" t="s">
        <v>43</v>
      </c>
      <c r="D114" s="47" t="s">
        <v>44</v>
      </c>
      <c r="E114" s="231" t="s">
        <v>128</v>
      </c>
      <c r="F114" s="59" t="s">
        <v>172</v>
      </c>
      <c r="G114" s="60" t="s">
        <v>172</v>
      </c>
      <c r="H114" s="66">
        <v>20</v>
      </c>
      <c r="I114" s="66">
        <v>0</v>
      </c>
      <c r="J114" s="69">
        <f t="shared" si="2"/>
        <v>0</v>
      </c>
      <c r="K114" s="103">
        <f>+I114+'SEPTIEMBRE 2025'!K114</f>
        <v>20</v>
      </c>
      <c r="L114" s="151">
        <f t="shared" si="3"/>
        <v>1</v>
      </c>
      <c r="N114"/>
      <c r="O114" s="8"/>
      <c r="P114"/>
      <c r="Q114" s="8"/>
    </row>
    <row r="115" spans="2:17" x14ac:dyDescent="0.25">
      <c r="B115" s="38">
        <v>3</v>
      </c>
      <c r="C115" s="39" t="s">
        <v>46</v>
      </c>
      <c r="D115" s="40" t="s">
        <v>47</v>
      </c>
      <c r="E115" s="219"/>
      <c r="F115" s="61" t="s">
        <v>172</v>
      </c>
      <c r="G115" s="74" t="s">
        <v>172</v>
      </c>
      <c r="H115" s="68">
        <v>14</v>
      </c>
      <c r="I115" s="55">
        <v>0</v>
      </c>
      <c r="J115" s="69">
        <f t="shared" si="2"/>
        <v>0</v>
      </c>
      <c r="K115" s="90">
        <f>+I115+'SEPTIEMBRE 2025'!K115</f>
        <v>14</v>
      </c>
      <c r="L115" s="151">
        <f t="shared" si="3"/>
        <v>1</v>
      </c>
      <c r="N115"/>
      <c r="O115" s="8"/>
      <c r="P115"/>
      <c r="Q115" s="8"/>
    </row>
    <row r="116" spans="2:17" x14ac:dyDescent="0.25">
      <c r="B116" s="38">
        <v>3</v>
      </c>
      <c r="C116" s="39" t="s">
        <v>98</v>
      </c>
      <c r="D116" s="40" t="s">
        <v>99</v>
      </c>
      <c r="E116" s="219"/>
      <c r="F116" s="61" t="s">
        <v>172</v>
      </c>
      <c r="G116" s="62" t="s">
        <v>172</v>
      </c>
      <c r="H116" s="55">
        <v>28</v>
      </c>
      <c r="I116" s="70">
        <v>0</v>
      </c>
      <c r="J116" s="69">
        <f t="shared" si="2"/>
        <v>0</v>
      </c>
      <c r="K116" s="90">
        <f>+I116+'SEPTIEMBRE 2025'!K116</f>
        <v>28</v>
      </c>
      <c r="L116" s="151">
        <f t="shared" si="3"/>
        <v>1</v>
      </c>
      <c r="N116"/>
      <c r="O116" s="8"/>
      <c r="P116"/>
      <c r="Q116" s="8"/>
    </row>
    <row r="117" spans="2:17" x14ac:dyDescent="0.25">
      <c r="B117" s="38">
        <v>3</v>
      </c>
      <c r="C117" s="39" t="s">
        <v>49</v>
      </c>
      <c r="D117" s="40" t="s">
        <v>50</v>
      </c>
      <c r="E117" s="219"/>
      <c r="F117" s="61" t="s">
        <v>172</v>
      </c>
      <c r="G117" s="62" t="s">
        <v>172</v>
      </c>
      <c r="H117" s="55">
        <v>16</v>
      </c>
      <c r="I117" s="55">
        <v>0</v>
      </c>
      <c r="J117" s="69">
        <f t="shared" si="2"/>
        <v>0</v>
      </c>
      <c r="K117" s="90">
        <f>+I117+'SEPTIEMBRE 2025'!K117</f>
        <v>16</v>
      </c>
      <c r="L117" s="151">
        <f t="shared" si="3"/>
        <v>1</v>
      </c>
      <c r="N117"/>
      <c r="O117" s="8"/>
      <c r="P117"/>
      <c r="Q117" s="8"/>
    </row>
    <row r="118" spans="2:17" x14ac:dyDescent="0.25">
      <c r="B118" s="38">
        <v>3</v>
      </c>
      <c r="C118" s="39" t="s">
        <v>52</v>
      </c>
      <c r="D118" s="40" t="s">
        <v>53</v>
      </c>
      <c r="E118" s="219"/>
      <c r="F118" s="61" t="s">
        <v>172</v>
      </c>
      <c r="G118" s="62" t="s">
        <v>172</v>
      </c>
      <c r="H118" s="55">
        <v>16</v>
      </c>
      <c r="I118" s="55">
        <v>0</v>
      </c>
      <c r="J118" s="69">
        <f t="shared" si="2"/>
        <v>0</v>
      </c>
      <c r="K118" s="90">
        <f>+I118+'SEPTIEMBRE 2025'!K118</f>
        <v>16</v>
      </c>
      <c r="L118" s="151">
        <f t="shared" si="3"/>
        <v>1</v>
      </c>
      <c r="N118"/>
      <c r="O118" s="8"/>
      <c r="P118"/>
      <c r="Q118" s="8"/>
    </row>
    <row r="119" spans="2:17" s="16" customFormat="1" x14ac:dyDescent="0.25">
      <c r="B119" s="38">
        <v>3</v>
      </c>
      <c r="C119" s="39" t="s">
        <v>55</v>
      </c>
      <c r="D119" s="40" t="s">
        <v>56</v>
      </c>
      <c r="E119" s="219"/>
      <c r="F119" s="61" t="s">
        <v>172</v>
      </c>
      <c r="G119" s="62" t="s">
        <v>172</v>
      </c>
      <c r="H119" s="55">
        <v>12</v>
      </c>
      <c r="I119" s="55">
        <v>0</v>
      </c>
      <c r="J119" s="69">
        <f t="shared" si="2"/>
        <v>0</v>
      </c>
      <c r="K119" s="90">
        <f>+I119+'SEPTIEMBRE 2025'!K119</f>
        <v>12</v>
      </c>
      <c r="L119" s="151">
        <f t="shared" si="3"/>
        <v>1</v>
      </c>
      <c r="N119" s="41"/>
      <c r="P119" s="41"/>
    </row>
    <row r="120" spans="2:17" x14ac:dyDescent="0.25">
      <c r="B120" s="38">
        <v>5</v>
      </c>
      <c r="C120" s="39" t="s">
        <v>57</v>
      </c>
      <c r="D120" s="40" t="s">
        <v>58</v>
      </c>
      <c r="E120" s="219"/>
      <c r="F120" s="73" t="s">
        <v>172</v>
      </c>
      <c r="G120" s="62" t="s">
        <v>172</v>
      </c>
      <c r="H120" s="55">
        <v>24</v>
      </c>
      <c r="I120" s="55">
        <v>0</v>
      </c>
      <c r="J120" s="69">
        <f t="shared" si="2"/>
        <v>0</v>
      </c>
      <c r="K120" s="90">
        <f>+I120+'SEPTIEMBRE 2025'!K120</f>
        <v>24</v>
      </c>
      <c r="L120" s="151">
        <f t="shared" si="3"/>
        <v>1</v>
      </c>
      <c r="N120"/>
      <c r="O120" s="8"/>
      <c r="P120"/>
      <c r="Q120" s="8"/>
    </row>
    <row r="121" spans="2:17" x14ac:dyDescent="0.25">
      <c r="B121" s="38">
        <v>5</v>
      </c>
      <c r="C121" s="39" t="s">
        <v>59</v>
      </c>
      <c r="D121" s="40" t="s">
        <v>60</v>
      </c>
      <c r="E121" s="219"/>
      <c r="F121" s="61" t="s">
        <v>172</v>
      </c>
      <c r="G121" s="62" t="s">
        <v>172</v>
      </c>
      <c r="H121" s="55">
        <v>26</v>
      </c>
      <c r="I121" s="55">
        <v>0</v>
      </c>
      <c r="J121" s="69">
        <f t="shared" si="2"/>
        <v>0</v>
      </c>
      <c r="K121" s="90">
        <f>+I121+'SEPTIEMBRE 2025'!K121</f>
        <v>26</v>
      </c>
      <c r="L121" s="151">
        <f t="shared" si="3"/>
        <v>1</v>
      </c>
      <c r="N121"/>
      <c r="O121" s="8"/>
      <c r="P121"/>
      <c r="Q121" s="8"/>
    </row>
    <row r="122" spans="2:17" x14ac:dyDescent="0.25">
      <c r="B122" s="42">
        <v>8</v>
      </c>
      <c r="C122" s="43" t="s">
        <v>61</v>
      </c>
      <c r="D122" s="44" t="s">
        <v>62</v>
      </c>
      <c r="E122" s="220"/>
      <c r="F122" s="64" t="s">
        <v>172</v>
      </c>
      <c r="G122" s="65" t="s">
        <v>172</v>
      </c>
      <c r="H122" s="56">
        <v>24</v>
      </c>
      <c r="I122" s="56">
        <v>0</v>
      </c>
      <c r="J122" s="72">
        <f t="shared" si="2"/>
        <v>0</v>
      </c>
      <c r="K122" s="91">
        <f>+I122+'SEPTIEMBRE 2025'!K122</f>
        <v>24</v>
      </c>
      <c r="L122" s="152">
        <f t="shared" si="3"/>
        <v>1</v>
      </c>
      <c r="N122"/>
      <c r="O122" s="8"/>
      <c r="P122"/>
      <c r="Q122" s="8"/>
    </row>
    <row r="123" spans="2:17" x14ac:dyDescent="0.25">
      <c r="B123" s="35">
        <v>1</v>
      </c>
      <c r="C123" s="36" t="s">
        <v>74</v>
      </c>
      <c r="D123" s="37" t="s">
        <v>75</v>
      </c>
      <c r="E123" s="218" t="s">
        <v>143</v>
      </c>
      <c r="F123" s="59" t="s">
        <v>172</v>
      </c>
      <c r="G123" s="60" t="s">
        <v>172</v>
      </c>
      <c r="H123" s="66">
        <v>14</v>
      </c>
      <c r="I123" s="66">
        <v>0</v>
      </c>
      <c r="J123" s="69">
        <f t="shared" si="2"/>
        <v>0</v>
      </c>
      <c r="K123" s="103">
        <f>+I123+'SEPTIEMBRE 2025'!K123</f>
        <v>14</v>
      </c>
      <c r="L123" s="151">
        <f t="shared" si="3"/>
        <v>1</v>
      </c>
      <c r="N123"/>
      <c r="O123" s="8"/>
      <c r="P123"/>
      <c r="Q123" s="8"/>
    </row>
    <row r="124" spans="2:17" x14ac:dyDescent="0.25">
      <c r="B124" s="38">
        <v>1</v>
      </c>
      <c r="C124" s="39" t="s">
        <v>77</v>
      </c>
      <c r="D124" s="40" t="s">
        <v>78</v>
      </c>
      <c r="E124" s="219"/>
      <c r="F124" s="61" t="s">
        <v>172</v>
      </c>
      <c r="G124" s="62" t="s">
        <v>172</v>
      </c>
      <c r="H124" s="68">
        <v>14</v>
      </c>
      <c r="I124" s="55">
        <v>0</v>
      </c>
      <c r="J124" s="69">
        <f t="shared" si="2"/>
        <v>0</v>
      </c>
      <c r="K124" s="90">
        <f>+I124+'SEPTIEMBRE 2025'!K124</f>
        <v>14</v>
      </c>
      <c r="L124" s="151">
        <f t="shared" si="3"/>
        <v>1</v>
      </c>
      <c r="N124"/>
      <c r="O124" s="8"/>
      <c r="P124"/>
      <c r="Q124" s="8"/>
    </row>
    <row r="125" spans="2:17" x14ac:dyDescent="0.25">
      <c r="B125" s="38">
        <v>1</v>
      </c>
      <c r="C125" s="39" t="s">
        <v>79</v>
      </c>
      <c r="D125" s="40" t="s">
        <v>80</v>
      </c>
      <c r="E125" s="219"/>
      <c r="F125" s="61" t="s">
        <v>172</v>
      </c>
      <c r="G125" s="62" t="s">
        <v>172</v>
      </c>
      <c r="H125" s="55">
        <v>16</v>
      </c>
      <c r="I125" s="70">
        <v>0</v>
      </c>
      <c r="J125" s="69">
        <f t="shared" si="2"/>
        <v>0</v>
      </c>
      <c r="K125" s="90">
        <f>+I125+'SEPTIEMBRE 2025'!K125</f>
        <v>16</v>
      </c>
      <c r="L125" s="151">
        <f t="shared" si="3"/>
        <v>1</v>
      </c>
      <c r="N125"/>
      <c r="O125" s="8"/>
      <c r="P125"/>
      <c r="Q125" s="8"/>
    </row>
    <row r="126" spans="2:17" x14ac:dyDescent="0.25">
      <c r="B126" s="38">
        <v>1</v>
      </c>
      <c r="C126" s="39" t="s">
        <v>82</v>
      </c>
      <c r="D126" s="40" t="s">
        <v>83</v>
      </c>
      <c r="E126" s="219"/>
      <c r="F126" s="61" t="s">
        <v>172</v>
      </c>
      <c r="G126" s="62" t="s">
        <v>172</v>
      </c>
      <c r="H126" s="55">
        <v>18</v>
      </c>
      <c r="I126" s="55">
        <v>0</v>
      </c>
      <c r="J126" s="69">
        <f t="shared" si="2"/>
        <v>0</v>
      </c>
      <c r="K126" s="90">
        <f>+I126+'SEPTIEMBRE 2025'!K126</f>
        <v>18</v>
      </c>
      <c r="L126" s="151">
        <f t="shared" si="3"/>
        <v>1</v>
      </c>
      <c r="N126"/>
      <c r="O126" s="8"/>
      <c r="P126"/>
      <c r="Q126" s="8"/>
    </row>
    <row r="127" spans="2:17" x14ac:dyDescent="0.25">
      <c r="B127" s="38">
        <v>1</v>
      </c>
      <c r="C127" s="39" t="s">
        <v>84</v>
      </c>
      <c r="D127" s="40" t="s">
        <v>85</v>
      </c>
      <c r="E127" s="219"/>
      <c r="F127" s="61" t="s">
        <v>172</v>
      </c>
      <c r="G127" s="62" t="s">
        <v>172</v>
      </c>
      <c r="H127" s="55">
        <v>24</v>
      </c>
      <c r="I127" s="55">
        <v>0</v>
      </c>
      <c r="J127" s="69">
        <f t="shared" si="2"/>
        <v>0</v>
      </c>
      <c r="K127" s="90">
        <f>+I127+'SEPTIEMBRE 2025'!K127</f>
        <v>24</v>
      </c>
      <c r="L127" s="151">
        <f t="shared" si="3"/>
        <v>1</v>
      </c>
      <c r="N127"/>
      <c r="O127" s="8"/>
      <c r="P127"/>
      <c r="Q127" s="8"/>
    </row>
    <row r="128" spans="2:17" x14ac:dyDescent="0.25">
      <c r="B128" s="38">
        <v>1</v>
      </c>
      <c r="C128" s="39" t="s">
        <v>86</v>
      </c>
      <c r="D128" s="40" t="s">
        <v>87</v>
      </c>
      <c r="E128" s="219"/>
      <c r="F128" s="61" t="s">
        <v>172</v>
      </c>
      <c r="G128" s="62" t="s">
        <v>172</v>
      </c>
      <c r="H128" s="55">
        <v>16</v>
      </c>
      <c r="I128" s="55">
        <v>0</v>
      </c>
      <c r="J128" s="69">
        <f t="shared" si="2"/>
        <v>0</v>
      </c>
      <c r="K128" s="90">
        <f>+I128+'SEPTIEMBRE 2025'!K128</f>
        <v>16</v>
      </c>
      <c r="L128" s="151">
        <f t="shared" si="3"/>
        <v>1</v>
      </c>
      <c r="N128"/>
      <c r="O128" s="8"/>
      <c r="P128"/>
      <c r="Q128" s="8"/>
    </row>
    <row r="129" spans="2:17" x14ac:dyDescent="0.25">
      <c r="B129" s="38">
        <v>1</v>
      </c>
      <c r="C129" s="39" t="s">
        <v>89</v>
      </c>
      <c r="D129" s="40" t="s">
        <v>90</v>
      </c>
      <c r="E129" s="219"/>
      <c r="F129" s="61" t="s">
        <v>172</v>
      </c>
      <c r="G129" s="62" t="s">
        <v>172</v>
      </c>
      <c r="H129" s="55">
        <v>18</v>
      </c>
      <c r="I129" s="55">
        <v>0</v>
      </c>
      <c r="J129" s="69">
        <f t="shared" si="2"/>
        <v>0</v>
      </c>
      <c r="K129" s="90">
        <f>+I129+'SEPTIEMBRE 2025'!K129</f>
        <v>18</v>
      </c>
      <c r="L129" s="151">
        <f t="shared" si="3"/>
        <v>1</v>
      </c>
      <c r="N129"/>
      <c r="O129" s="8"/>
      <c r="P129"/>
      <c r="Q129" s="8"/>
    </row>
    <row r="130" spans="2:17" s="16" customFormat="1" x14ac:dyDescent="0.25">
      <c r="B130" s="38">
        <v>1</v>
      </c>
      <c r="C130" s="39" t="s">
        <v>92</v>
      </c>
      <c r="D130" s="40" t="s">
        <v>93</v>
      </c>
      <c r="E130" s="219"/>
      <c r="F130" s="61" t="s">
        <v>172</v>
      </c>
      <c r="G130" s="62" t="s">
        <v>172</v>
      </c>
      <c r="H130" s="55">
        <v>16</v>
      </c>
      <c r="I130" s="55">
        <v>0</v>
      </c>
      <c r="J130" s="69">
        <f t="shared" si="2"/>
        <v>0</v>
      </c>
      <c r="K130" s="90">
        <f>+I130+'SEPTIEMBRE 2025'!K130</f>
        <v>16</v>
      </c>
      <c r="L130" s="151">
        <f t="shared" si="3"/>
        <v>1</v>
      </c>
      <c r="N130" s="41"/>
      <c r="P130" s="41"/>
    </row>
    <row r="131" spans="2:17" x14ac:dyDescent="0.25">
      <c r="B131" s="38">
        <v>1</v>
      </c>
      <c r="C131" s="39" t="s">
        <v>95</v>
      </c>
      <c r="D131" s="40" t="s">
        <v>96</v>
      </c>
      <c r="E131" s="219"/>
      <c r="F131" s="61" t="s">
        <v>172</v>
      </c>
      <c r="G131" s="62" t="s">
        <v>172</v>
      </c>
      <c r="H131" s="68">
        <v>10</v>
      </c>
      <c r="I131" s="55">
        <v>0</v>
      </c>
      <c r="J131" s="69">
        <f t="shared" si="2"/>
        <v>0</v>
      </c>
      <c r="K131" s="90">
        <f>+I131+'SEPTIEMBRE 2025'!K131</f>
        <v>10</v>
      </c>
      <c r="L131" s="151">
        <f t="shared" si="3"/>
        <v>1</v>
      </c>
      <c r="N131"/>
      <c r="O131" s="8"/>
      <c r="P131"/>
      <c r="Q131" s="8"/>
    </row>
    <row r="132" spans="2:17" x14ac:dyDescent="0.25">
      <c r="B132" s="38">
        <v>2</v>
      </c>
      <c r="C132" s="39" t="s">
        <v>140</v>
      </c>
      <c r="D132" s="40" t="s">
        <v>141</v>
      </c>
      <c r="E132" s="219"/>
      <c r="F132" s="61" t="s">
        <v>172</v>
      </c>
      <c r="G132" s="62" t="s">
        <v>172</v>
      </c>
      <c r="H132" s="55">
        <v>14</v>
      </c>
      <c r="I132" s="55">
        <v>0</v>
      </c>
      <c r="J132" s="69">
        <f t="shared" si="2"/>
        <v>0</v>
      </c>
      <c r="K132" s="90">
        <f>+I132+'SEPTIEMBRE 2025'!K132</f>
        <v>14</v>
      </c>
      <c r="L132" s="151">
        <f t="shared" si="3"/>
        <v>1</v>
      </c>
      <c r="N132"/>
      <c r="O132" s="8"/>
      <c r="P132"/>
      <c r="Q132" s="8"/>
    </row>
    <row r="133" spans="2:17" x14ac:dyDescent="0.25">
      <c r="B133" s="42">
        <v>2</v>
      </c>
      <c r="C133" s="43" t="s">
        <v>57</v>
      </c>
      <c r="D133" s="44" t="s">
        <v>58</v>
      </c>
      <c r="E133" s="220"/>
      <c r="F133" s="64" t="s">
        <v>172</v>
      </c>
      <c r="G133" s="65" t="s">
        <v>172</v>
      </c>
      <c r="H133" s="56">
        <v>20</v>
      </c>
      <c r="I133" s="56">
        <v>0</v>
      </c>
      <c r="J133" s="72">
        <f t="shared" si="2"/>
        <v>0</v>
      </c>
      <c r="K133" s="91">
        <f>+I133+'SEPTIEMBRE 2025'!K133</f>
        <v>20</v>
      </c>
      <c r="L133" s="152">
        <f t="shared" si="3"/>
        <v>1</v>
      </c>
      <c r="N133"/>
      <c r="O133" s="8"/>
      <c r="P133"/>
      <c r="Q133" s="8"/>
    </row>
    <row r="134" spans="2:17" x14ac:dyDescent="0.25">
      <c r="B134" s="35">
        <v>1</v>
      </c>
      <c r="C134" s="36" t="s">
        <v>144</v>
      </c>
      <c r="D134" s="37" t="s">
        <v>145</v>
      </c>
      <c r="E134" s="228" t="s">
        <v>205</v>
      </c>
      <c r="F134" s="61" t="s">
        <v>172</v>
      </c>
      <c r="G134" s="60" t="s">
        <v>172</v>
      </c>
      <c r="H134" s="66">
        <v>20</v>
      </c>
      <c r="I134" s="66">
        <v>0</v>
      </c>
      <c r="J134" s="69">
        <f t="shared" si="2"/>
        <v>0</v>
      </c>
      <c r="K134" s="103">
        <f>+I134+'SEPTIEMBRE 2025'!K134</f>
        <v>20</v>
      </c>
      <c r="L134" s="151">
        <f t="shared" si="3"/>
        <v>1</v>
      </c>
      <c r="N134"/>
      <c r="O134" s="8"/>
      <c r="P134"/>
      <c r="Q134" s="8"/>
    </row>
    <row r="135" spans="2:17" x14ac:dyDescent="0.25">
      <c r="B135" s="38">
        <v>1</v>
      </c>
      <c r="C135" s="39" t="s">
        <v>74</v>
      </c>
      <c r="D135" s="40" t="s">
        <v>75</v>
      </c>
      <c r="E135" s="229"/>
      <c r="F135" s="61" t="s">
        <v>172</v>
      </c>
      <c r="G135" s="62" t="s">
        <v>172</v>
      </c>
      <c r="H135" s="68">
        <v>20</v>
      </c>
      <c r="I135" s="55">
        <v>0</v>
      </c>
      <c r="J135" s="69">
        <f t="shared" si="2"/>
        <v>0</v>
      </c>
      <c r="K135" s="90">
        <f>+I135+'SEPTIEMBRE 2025'!K135</f>
        <v>20</v>
      </c>
      <c r="L135" s="151">
        <f t="shared" si="3"/>
        <v>1</v>
      </c>
      <c r="N135"/>
      <c r="O135" s="8"/>
      <c r="P135"/>
      <c r="Q135" s="8"/>
    </row>
    <row r="136" spans="2:17" x14ac:dyDescent="0.25">
      <c r="B136" s="38">
        <v>1</v>
      </c>
      <c r="C136" s="39" t="s">
        <v>77</v>
      </c>
      <c r="D136" s="40" t="s">
        <v>78</v>
      </c>
      <c r="E136" s="229"/>
      <c r="F136" s="61" t="s">
        <v>172</v>
      </c>
      <c r="G136" s="63" t="s">
        <v>172</v>
      </c>
      <c r="H136" s="55">
        <v>20</v>
      </c>
      <c r="I136" s="70">
        <v>0</v>
      </c>
      <c r="J136" s="69">
        <f t="shared" si="2"/>
        <v>0</v>
      </c>
      <c r="K136" s="90">
        <f>+I136+'SEPTIEMBRE 2025'!K136</f>
        <v>20</v>
      </c>
      <c r="L136" s="151">
        <f t="shared" si="3"/>
        <v>1</v>
      </c>
      <c r="N136"/>
      <c r="O136" s="8"/>
      <c r="P136"/>
      <c r="Q136" s="8"/>
    </row>
    <row r="137" spans="2:17" x14ac:dyDescent="0.25">
      <c r="B137" s="38">
        <v>1</v>
      </c>
      <c r="C137" s="39" t="s">
        <v>79</v>
      </c>
      <c r="D137" s="40" t="s">
        <v>80</v>
      </c>
      <c r="E137" s="229"/>
      <c r="F137" s="61" t="s">
        <v>172</v>
      </c>
      <c r="G137" s="62" t="s">
        <v>172</v>
      </c>
      <c r="H137" s="55">
        <v>20</v>
      </c>
      <c r="I137" s="55">
        <v>0</v>
      </c>
      <c r="J137" s="69">
        <f t="shared" si="2"/>
        <v>0</v>
      </c>
      <c r="K137" s="90">
        <f>+I137+'SEPTIEMBRE 2025'!K137</f>
        <v>20</v>
      </c>
      <c r="L137" s="151">
        <f t="shared" si="3"/>
        <v>1</v>
      </c>
      <c r="N137"/>
      <c r="O137" s="8"/>
      <c r="P137"/>
      <c r="Q137" s="8"/>
    </row>
    <row r="138" spans="2:17" x14ac:dyDescent="0.25">
      <c r="B138" s="38">
        <v>1</v>
      </c>
      <c r="C138" s="39" t="s">
        <v>82</v>
      </c>
      <c r="D138" s="40" t="s">
        <v>83</v>
      </c>
      <c r="E138" s="229"/>
      <c r="F138" s="61" t="s">
        <v>172</v>
      </c>
      <c r="G138" s="62" t="s">
        <v>172</v>
      </c>
      <c r="H138" s="55">
        <v>2</v>
      </c>
      <c r="I138" s="55">
        <v>0</v>
      </c>
      <c r="J138" s="69">
        <f t="shared" si="2"/>
        <v>0</v>
      </c>
      <c r="K138" s="90">
        <f>+I138+'SEPTIEMBRE 2025'!K138</f>
        <v>2</v>
      </c>
      <c r="L138" s="151">
        <f t="shared" si="3"/>
        <v>1</v>
      </c>
      <c r="N138"/>
      <c r="O138" s="8"/>
      <c r="P138"/>
      <c r="Q138" s="8"/>
    </row>
    <row r="139" spans="2:17" x14ac:dyDescent="0.25">
      <c r="B139" s="38">
        <v>1</v>
      </c>
      <c r="C139" s="39" t="s">
        <v>84</v>
      </c>
      <c r="D139" s="40" t="s">
        <v>85</v>
      </c>
      <c r="E139" s="229"/>
      <c r="F139" s="61" t="s">
        <v>172</v>
      </c>
      <c r="G139" s="62" t="s">
        <v>172</v>
      </c>
      <c r="H139" s="55">
        <v>40</v>
      </c>
      <c r="I139" s="55">
        <v>0</v>
      </c>
      <c r="J139" s="69">
        <f t="shared" si="2"/>
        <v>0</v>
      </c>
      <c r="K139" s="90">
        <f>+I139+'SEPTIEMBRE 2025'!K139</f>
        <v>40</v>
      </c>
      <c r="L139" s="151">
        <f t="shared" si="3"/>
        <v>1</v>
      </c>
      <c r="N139"/>
      <c r="O139" s="8"/>
      <c r="P139"/>
      <c r="Q139" s="8"/>
    </row>
    <row r="140" spans="2:17" x14ac:dyDescent="0.25">
      <c r="B140" s="38">
        <v>1</v>
      </c>
      <c r="C140" s="39" t="s">
        <v>86</v>
      </c>
      <c r="D140" s="40" t="s">
        <v>87</v>
      </c>
      <c r="E140" s="229"/>
      <c r="F140" s="40" t="s">
        <v>172</v>
      </c>
      <c r="G140" s="62" t="s">
        <v>172</v>
      </c>
      <c r="H140" s="55">
        <v>2</v>
      </c>
      <c r="I140" s="55">
        <v>0</v>
      </c>
      <c r="J140" s="69">
        <f t="shared" si="2"/>
        <v>0</v>
      </c>
      <c r="K140" s="90">
        <f>+I140+'SEPTIEMBRE 2025'!K140</f>
        <v>2</v>
      </c>
      <c r="L140" s="151">
        <f t="shared" si="3"/>
        <v>1</v>
      </c>
      <c r="N140"/>
      <c r="O140" s="8"/>
      <c r="P140"/>
      <c r="Q140" s="8"/>
    </row>
    <row r="141" spans="2:17" x14ac:dyDescent="0.25">
      <c r="B141" s="38">
        <v>1</v>
      </c>
      <c r="C141" s="39" t="s">
        <v>89</v>
      </c>
      <c r="D141" s="40" t="s">
        <v>90</v>
      </c>
      <c r="E141" s="229"/>
      <c r="F141" s="61" t="s">
        <v>172</v>
      </c>
      <c r="G141" s="62" t="s">
        <v>172</v>
      </c>
      <c r="H141" s="55">
        <v>8</v>
      </c>
      <c r="I141" s="55">
        <v>0</v>
      </c>
      <c r="J141" s="69">
        <f t="shared" si="2"/>
        <v>0</v>
      </c>
      <c r="K141" s="90">
        <f>+I141+'SEPTIEMBRE 2025'!K141</f>
        <v>8</v>
      </c>
      <c r="L141" s="151">
        <f t="shared" si="3"/>
        <v>1</v>
      </c>
      <c r="N141"/>
      <c r="O141" s="8"/>
      <c r="P141"/>
      <c r="Q141" s="8"/>
    </row>
    <row r="142" spans="2:17" s="16" customFormat="1" x14ac:dyDescent="0.25">
      <c r="B142" s="38">
        <v>1</v>
      </c>
      <c r="C142" s="39" t="s">
        <v>92</v>
      </c>
      <c r="D142" s="40" t="s">
        <v>93</v>
      </c>
      <c r="E142" s="229"/>
      <c r="F142" s="1" t="s">
        <v>172</v>
      </c>
      <c r="G142" s="62" t="s">
        <v>172</v>
      </c>
      <c r="H142" s="68">
        <v>15</v>
      </c>
      <c r="I142" s="55">
        <v>0</v>
      </c>
      <c r="J142" s="69">
        <f t="shared" si="2"/>
        <v>0</v>
      </c>
      <c r="K142" s="90">
        <f>+I142+'SEPTIEMBRE 2025'!K142</f>
        <v>15</v>
      </c>
      <c r="L142" s="151">
        <f t="shared" si="3"/>
        <v>1</v>
      </c>
      <c r="N142" s="41"/>
      <c r="P142" s="41"/>
    </row>
    <row r="143" spans="2:17" x14ac:dyDescent="0.25">
      <c r="B143" s="38">
        <v>1</v>
      </c>
      <c r="C143" s="39" t="s">
        <v>146</v>
      </c>
      <c r="D143" s="40" t="s">
        <v>147</v>
      </c>
      <c r="E143" s="229"/>
      <c r="F143" s="61" t="s">
        <v>172</v>
      </c>
      <c r="G143" s="62" t="s">
        <v>172</v>
      </c>
      <c r="H143" s="55">
        <v>5</v>
      </c>
      <c r="I143" s="55">
        <v>0</v>
      </c>
      <c r="J143" s="69">
        <f t="shared" ref="J143:J206" si="4">IFERROR(I143/H143,0)</f>
        <v>0</v>
      </c>
      <c r="K143" s="90">
        <f>+I143+'SEPTIEMBRE 2025'!K143</f>
        <v>5</v>
      </c>
      <c r="L143" s="151">
        <f t="shared" ref="L143:L206" si="5">IFERROR(K143/H143,0)</f>
        <v>1</v>
      </c>
      <c r="N143"/>
      <c r="O143" s="8"/>
      <c r="P143"/>
      <c r="Q143" s="8"/>
    </row>
    <row r="144" spans="2:17" x14ac:dyDescent="0.25">
      <c r="B144" s="38">
        <v>1</v>
      </c>
      <c r="C144" s="39" t="s">
        <v>95</v>
      </c>
      <c r="D144" s="40" t="s">
        <v>96</v>
      </c>
      <c r="E144" s="229"/>
      <c r="F144" s="61" t="s">
        <v>172</v>
      </c>
      <c r="G144" s="63" t="s">
        <v>172</v>
      </c>
      <c r="H144" s="55">
        <v>13</v>
      </c>
      <c r="I144" s="70">
        <v>0</v>
      </c>
      <c r="J144" s="69">
        <f t="shared" si="4"/>
        <v>0</v>
      </c>
      <c r="K144" s="90">
        <f>+I144+'SEPTIEMBRE 2025'!K144</f>
        <v>13</v>
      </c>
      <c r="L144" s="151">
        <f t="shared" si="5"/>
        <v>1</v>
      </c>
      <c r="N144"/>
      <c r="O144" s="8"/>
      <c r="P144"/>
      <c r="Q144" s="8"/>
    </row>
    <row r="145" spans="2:17" x14ac:dyDescent="0.25">
      <c r="B145" s="42">
        <v>8</v>
      </c>
      <c r="C145" s="43" t="s">
        <v>148</v>
      </c>
      <c r="D145" s="44" t="s">
        <v>141</v>
      </c>
      <c r="E145" s="230"/>
      <c r="F145" s="64" t="s">
        <v>172</v>
      </c>
      <c r="G145" s="65" t="s">
        <v>172</v>
      </c>
      <c r="H145" s="56">
        <v>15</v>
      </c>
      <c r="I145" s="56">
        <v>0</v>
      </c>
      <c r="J145" s="72">
        <f t="shared" si="4"/>
        <v>0</v>
      </c>
      <c r="K145" s="91">
        <f>+I145+'SEPTIEMBRE 2025'!K145</f>
        <v>15</v>
      </c>
      <c r="L145" s="152">
        <f t="shared" si="5"/>
        <v>1</v>
      </c>
      <c r="N145"/>
      <c r="O145" s="8"/>
      <c r="P145"/>
      <c r="Q145" s="8"/>
    </row>
    <row r="146" spans="2:17" x14ac:dyDescent="0.25">
      <c r="B146" s="35">
        <v>3</v>
      </c>
      <c r="C146" s="36" t="s">
        <v>43</v>
      </c>
      <c r="D146" s="37" t="s">
        <v>44</v>
      </c>
      <c r="E146" s="235" t="s">
        <v>239</v>
      </c>
      <c r="F146" s="59" t="s">
        <v>172</v>
      </c>
      <c r="G146" s="60" t="s">
        <v>172</v>
      </c>
      <c r="H146" s="66">
        <v>16</v>
      </c>
      <c r="I146" s="66">
        <v>0</v>
      </c>
      <c r="J146" s="69">
        <f t="shared" si="4"/>
        <v>0</v>
      </c>
      <c r="K146" s="103">
        <f>+I146+'SEPTIEMBRE 2025'!K146</f>
        <v>16</v>
      </c>
      <c r="L146" s="151">
        <f t="shared" si="5"/>
        <v>1</v>
      </c>
      <c r="N146"/>
      <c r="O146" s="8"/>
      <c r="P146"/>
      <c r="Q146" s="8"/>
    </row>
    <row r="147" spans="2:17" x14ac:dyDescent="0.25">
      <c r="B147" s="38">
        <v>3</v>
      </c>
      <c r="C147" s="39" t="s">
        <v>149</v>
      </c>
      <c r="D147" s="40" t="s">
        <v>150</v>
      </c>
      <c r="E147" s="236"/>
      <c r="F147" s="61" t="s">
        <v>172</v>
      </c>
      <c r="G147" s="62" t="s">
        <v>172</v>
      </c>
      <c r="H147" s="68">
        <v>17</v>
      </c>
      <c r="I147" s="55">
        <v>0</v>
      </c>
      <c r="J147" s="69">
        <f t="shared" si="4"/>
        <v>0</v>
      </c>
      <c r="K147" s="90">
        <f>+I147+'SEPTIEMBRE 2025'!K147</f>
        <v>17</v>
      </c>
      <c r="L147" s="151">
        <f t="shared" si="5"/>
        <v>1</v>
      </c>
      <c r="N147"/>
      <c r="O147" s="8"/>
      <c r="P147"/>
      <c r="Q147" s="8"/>
    </row>
    <row r="148" spans="2:17" x14ac:dyDescent="0.25">
      <c r="B148" s="38">
        <v>3</v>
      </c>
      <c r="C148" s="39" t="s">
        <v>46</v>
      </c>
      <c r="D148" s="40" t="s">
        <v>47</v>
      </c>
      <c r="E148" s="236"/>
      <c r="F148" s="61" t="s">
        <v>172</v>
      </c>
      <c r="G148" s="63" t="s">
        <v>172</v>
      </c>
      <c r="H148" s="55">
        <v>16</v>
      </c>
      <c r="I148" s="70">
        <v>0</v>
      </c>
      <c r="J148" s="69">
        <f t="shared" si="4"/>
        <v>0</v>
      </c>
      <c r="K148" s="90">
        <f>+I148+'SEPTIEMBRE 2025'!K148</f>
        <v>16</v>
      </c>
      <c r="L148" s="151">
        <f t="shared" si="5"/>
        <v>1</v>
      </c>
      <c r="N148"/>
      <c r="O148" s="8"/>
      <c r="P148"/>
      <c r="Q148" s="8"/>
    </row>
    <row r="149" spans="2:17" x14ac:dyDescent="0.25">
      <c r="B149" s="38">
        <v>3</v>
      </c>
      <c r="C149" s="39" t="s">
        <v>98</v>
      </c>
      <c r="D149" s="40" t="s">
        <v>99</v>
      </c>
      <c r="E149" s="236"/>
      <c r="F149" s="61" t="s">
        <v>172</v>
      </c>
      <c r="G149" s="62" t="s">
        <v>172</v>
      </c>
      <c r="H149" s="55">
        <v>17</v>
      </c>
      <c r="I149" s="55">
        <v>0</v>
      </c>
      <c r="J149" s="69">
        <f t="shared" si="4"/>
        <v>0</v>
      </c>
      <c r="K149" s="90">
        <f>+I149+'SEPTIEMBRE 2025'!K149</f>
        <v>17</v>
      </c>
      <c r="L149" s="151">
        <f t="shared" si="5"/>
        <v>1</v>
      </c>
      <c r="N149"/>
      <c r="O149" s="8"/>
      <c r="P149"/>
      <c r="Q149" s="8"/>
    </row>
    <row r="150" spans="2:17" x14ac:dyDescent="0.25">
      <c r="B150" s="38">
        <v>3</v>
      </c>
      <c r="C150" s="39" t="s">
        <v>49</v>
      </c>
      <c r="D150" s="40" t="s">
        <v>50</v>
      </c>
      <c r="E150" s="236"/>
      <c r="F150" s="61" t="s">
        <v>172</v>
      </c>
      <c r="G150" s="62" t="s">
        <v>172</v>
      </c>
      <c r="H150" s="55">
        <v>16</v>
      </c>
      <c r="I150" s="55">
        <v>0</v>
      </c>
      <c r="J150" s="69">
        <f t="shared" si="4"/>
        <v>0</v>
      </c>
      <c r="K150" s="90">
        <f>+I150+'SEPTIEMBRE 2025'!K150</f>
        <v>16</v>
      </c>
      <c r="L150" s="151">
        <f t="shared" si="5"/>
        <v>1</v>
      </c>
      <c r="N150"/>
      <c r="O150" s="8"/>
      <c r="P150"/>
      <c r="Q150" s="8"/>
    </row>
    <row r="151" spans="2:17" x14ac:dyDescent="0.25">
      <c r="B151" s="38">
        <v>3</v>
      </c>
      <c r="C151" s="39" t="s">
        <v>52</v>
      </c>
      <c r="D151" s="40" t="s">
        <v>53</v>
      </c>
      <c r="E151" s="236"/>
      <c r="F151" s="61" t="s">
        <v>172</v>
      </c>
      <c r="G151" s="62" t="s">
        <v>172</v>
      </c>
      <c r="H151" s="55">
        <v>17</v>
      </c>
      <c r="I151" s="55">
        <v>0</v>
      </c>
      <c r="J151" s="69">
        <f t="shared" si="4"/>
        <v>0</v>
      </c>
      <c r="K151" s="90">
        <f>+I151+'SEPTIEMBRE 2025'!K151</f>
        <v>17</v>
      </c>
      <c r="L151" s="151">
        <f t="shared" si="5"/>
        <v>1</v>
      </c>
      <c r="N151"/>
      <c r="O151" s="8"/>
      <c r="P151"/>
      <c r="Q151" s="8"/>
    </row>
    <row r="152" spans="2:17" x14ac:dyDescent="0.25">
      <c r="B152" s="38">
        <v>3</v>
      </c>
      <c r="C152" s="39" t="s">
        <v>55</v>
      </c>
      <c r="D152" s="40" t="s">
        <v>56</v>
      </c>
      <c r="E152" s="236"/>
      <c r="F152" s="61" t="s">
        <v>172</v>
      </c>
      <c r="G152" s="62" t="s">
        <v>172</v>
      </c>
      <c r="H152" s="55">
        <v>16</v>
      </c>
      <c r="I152" s="55">
        <v>0</v>
      </c>
      <c r="J152" s="69">
        <f t="shared" si="4"/>
        <v>0</v>
      </c>
      <c r="K152" s="90">
        <f>+I152+'SEPTIEMBRE 2025'!K152</f>
        <v>16</v>
      </c>
      <c r="L152" s="151">
        <f t="shared" si="5"/>
        <v>1</v>
      </c>
      <c r="N152"/>
      <c r="O152" s="8"/>
      <c r="P152"/>
      <c r="Q152" s="8"/>
    </row>
    <row r="153" spans="2:17" s="16" customFormat="1" x14ac:dyDescent="0.25">
      <c r="B153" s="38">
        <v>5</v>
      </c>
      <c r="C153" s="39" t="s">
        <v>151</v>
      </c>
      <c r="D153" s="40" t="s">
        <v>152</v>
      </c>
      <c r="E153" s="236"/>
      <c r="F153" s="61" t="s">
        <v>172</v>
      </c>
      <c r="G153" s="62" t="s">
        <v>172</v>
      </c>
      <c r="H153" s="55">
        <v>16</v>
      </c>
      <c r="I153" s="55">
        <v>0</v>
      </c>
      <c r="J153" s="69">
        <f t="shared" si="4"/>
        <v>0</v>
      </c>
      <c r="K153" s="90">
        <f>+I153+'SEPTIEMBRE 2025'!K153</f>
        <v>16</v>
      </c>
      <c r="L153" s="151">
        <f t="shared" si="5"/>
        <v>1</v>
      </c>
      <c r="N153" s="41"/>
      <c r="P153" s="41"/>
    </row>
    <row r="154" spans="2:17" x14ac:dyDescent="0.25">
      <c r="B154" s="38">
        <v>5</v>
      </c>
      <c r="C154" s="39" t="s">
        <v>57</v>
      </c>
      <c r="D154" s="40" t="s">
        <v>58</v>
      </c>
      <c r="E154" s="236"/>
      <c r="F154" s="61" t="s">
        <v>172</v>
      </c>
      <c r="G154" s="62" t="s">
        <v>172</v>
      </c>
      <c r="H154" s="68">
        <v>16</v>
      </c>
      <c r="I154" s="55">
        <v>0</v>
      </c>
      <c r="J154" s="69">
        <f t="shared" si="4"/>
        <v>0</v>
      </c>
      <c r="K154" s="90">
        <f>+I154+'SEPTIEMBRE 2025'!K154</f>
        <v>16</v>
      </c>
      <c r="L154" s="151">
        <f t="shared" si="5"/>
        <v>1</v>
      </c>
      <c r="N154"/>
      <c r="O154" s="8"/>
      <c r="P154"/>
      <c r="Q154" s="8"/>
    </row>
    <row r="155" spans="2:17" x14ac:dyDescent="0.25">
      <c r="B155" s="38">
        <v>5</v>
      </c>
      <c r="C155" s="39" t="s">
        <v>59</v>
      </c>
      <c r="D155" s="40" t="s">
        <v>60</v>
      </c>
      <c r="E155" s="236"/>
      <c r="F155" s="61" t="s">
        <v>172</v>
      </c>
      <c r="G155" s="62" t="s">
        <v>172</v>
      </c>
      <c r="H155" s="55">
        <v>16</v>
      </c>
      <c r="I155" s="55">
        <v>0</v>
      </c>
      <c r="J155" s="69">
        <f t="shared" si="4"/>
        <v>0</v>
      </c>
      <c r="K155" s="90">
        <f>+I155+'SEPTIEMBRE 2025'!K155</f>
        <v>16</v>
      </c>
      <c r="L155" s="151">
        <f t="shared" si="5"/>
        <v>1</v>
      </c>
      <c r="N155"/>
      <c r="O155" s="8"/>
      <c r="P155"/>
      <c r="Q155" s="8"/>
    </row>
    <row r="156" spans="2:17" x14ac:dyDescent="0.25">
      <c r="B156" s="42">
        <v>8</v>
      </c>
      <c r="C156" s="43" t="s">
        <v>61</v>
      </c>
      <c r="D156" s="44" t="s">
        <v>62</v>
      </c>
      <c r="E156" s="237"/>
      <c r="F156" s="64" t="s">
        <v>172</v>
      </c>
      <c r="G156" s="135" t="s">
        <v>172</v>
      </c>
      <c r="H156" s="56">
        <v>17</v>
      </c>
      <c r="I156" s="56">
        <v>0</v>
      </c>
      <c r="J156" s="72">
        <f t="shared" si="4"/>
        <v>0</v>
      </c>
      <c r="K156" s="91">
        <f>+I156+'SEPTIEMBRE 2025'!K156</f>
        <v>17</v>
      </c>
      <c r="L156" s="152">
        <f t="shared" si="5"/>
        <v>1</v>
      </c>
      <c r="N156"/>
      <c r="O156" s="8"/>
      <c r="P156"/>
      <c r="Q156" s="8"/>
    </row>
    <row r="157" spans="2:17" x14ac:dyDescent="0.25">
      <c r="B157" s="35">
        <v>3</v>
      </c>
      <c r="C157" s="36" t="s">
        <v>43</v>
      </c>
      <c r="D157" s="37" t="s">
        <v>44</v>
      </c>
      <c r="E157" s="218" t="s">
        <v>157</v>
      </c>
      <c r="F157" s="59" t="s">
        <v>1281</v>
      </c>
      <c r="G157" s="60" t="s">
        <v>32</v>
      </c>
      <c r="H157" s="66">
        <v>27</v>
      </c>
      <c r="I157" s="66">
        <v>3</v>
      </c>
      <c r="J157" s="69">
        <f t="shared" si="4"/>
        <v>0.1111111111111111</v>
      </c>
      <c r="K157" s="103">
        <f>+I157+'SEPTIEMBRE 2025'!K157</f>
        <v>21</v>
      </c>
      <c r="L157" s="94">
        <f t="shared" si="5"/>
        <v>0.77777777777777779</v>
      </c>
      <c r="N157"/>
      <c r="O157" s="8"/>
      <c r="P157"/>
      <c r="Q157" s="8"/>
    </row>
    <row r="158" spans="2:17" x14ac:dyDescent="0.25">
      <c r="B158" s="38">
        <v>3</v>
      </c>
      <c r="C158" s="39" t="s">
        <v>153</v>
      </c>
      <c r="D158" s="40" t="s">
        <v>154</v>
      </c>
      <c r="E158" s="219"/>
      <c r="F158" s="61" t="s">
        <v>288</v>
      </c>
      <c r="G158" s="63" t="s">
        <v>32</v>
      </c>
      <c r="H158" s="55">
        <v>27</v>
      </c>
      <c r="I158" s="55">
        <v>3</v>
      </c>
      <c r="J158" s="69">
        <f t="shared" si="4"/>
        <v>0.1111111111111111</v>
      </c>
      <c r="K158" s="90">
        <f>+I158+'SEPTIEMBRE 2025'!K158</f>
        <v>21</v>
      </c>
      <c r="L158" s="94">
        <f t="shared" si="5"/>
        <v>0.77777777777777779</v>
      </c>
      <c r="N158"/>
      <c r="O158" s="8"/>
      <c r="P158"/>
      <c r="Q158" s="8"/>
    </row>
    <row r="159" spans="2:17" x14ac:dyDescent="0.25">
      <c r="B159" s="38">
        <v>3</v>
      </c>
      <c r="C159" s="39" t="s">
        <v>46</v>
      </c>
      <c r="D159" s="40" t="s">
        <v>47</v>
      </c>
      <c r="E159" s="219"/>
      <c r="F159" s="61" t="s">
        <v>289</v>
      </c>
      <c r="G159" s="62" t="s">
        <v>32</v>
      </c>
      <c r="H159" s="55">
        <v>27</v>
      </c>
      <c r="I159" s="55">
        <v>3</v>
      </c>
      <c r="J159" s="69">
        <f t="shared" si="4"/>
        <v>0.1111111111111111</v>
      </c>
      <c r="K159" s="90">
        <f>+I159+'SEPTIEMBRE 2025'!K159</f>
        <v>21</v>
      </c>
      <c r="L159" s="94">
        <f t="shared" si="5"/>
        <v>0.77777777777777779</v>
      </c>
      <c r="N159"/>
      <c r="O159" s="8"/>
      <c r="P159"/>
      <c r="Q159" s="8"/>
    </row>
    <row r="160" spans="2:17" x14ac:dyDescent="0.25">
      <c r="B160" s="38">
        <v>3</v>
      </c>
      <c r="C160" s="39" t="s">
        <v>98</v>
      </c>
      <c r="D160" s="40" t="s">
        <v>99</v>
      </c>
      <c r="E160" s="219"/>
      <c r="F160" s="61" t="s">
        <v>1281</v>
      </c>
      <c r="G160" s="62" t="s">
        <v>32</v>
      </c>
      <c r="H160" s="55">
        <v>27</v>
      </c>
      <c r="I160" s="55">
        <v>3</v>
      </c>
      <c r="J160" s="69">
        <f t="shared" si="4"/>
        <v>0.1111111111111111</v>
      </c>
      <c r="K160" s="90">
        <f>+I160+'SEPTIEMBRE 2025'!K160</f>
        <v>21</v>
      </c>
      <c r="L160" s="94">
        <f t="shared" si="5"/>
        <v>0.77777777777777779</v>
      </c>
      <c r="N160"/>
      <c r="O160" s="8"/>
      <c r="P160"/>
      <c r="Q160" s="8"/>
    </row>
    <row r="161" spans="2:17" s="16" customFormat="1" x14ac:dyDescent="0.25">
      <c r="B161" s="38">
        <v>3</v>
      </c>
      <c r="C161" s="39" t="s">
        <v>49</v>
      </c>
      <c r="D161" s="40" t="s">
        <v>50</v>
      </c>
      <c r="E161" s="219"/>
      <c r="F161" s="61" t="s">
        <v>155</v>
      </c>
      <c r="G161" s="62" t="s">
        <v>32</v>
      </c>
      <c r="H161" s="55">
        <v>27</v>
      </c>
      <c r="I161" s="55">
        <v>3</v>
      </c>
      <c r="J161" s="69">
        <f t="shared" si="4"/>
        <v>0.1111111111111111</v>
      </c>
      <c r="K161" s="90">
        <f>+I161+'SEPTIEMBRE 2025'!K161</f>
        <v>21</v>
      </c>
      <c r="L161" s="94">
        <f t="shared" si="5"/>
        <v>0.77777777777777779</v>
      </c>
      <c r="N161" s="41"/>
      <c r="P161" s="41"/>
    </row>
    <row r="162" spans="2:17" x14ac:dyDescent="0.25">
      <c r="B162" s="38">
        <v>3</v>
      </c>
      <c r="C162" s="39" t="s">
        <v>52</v>
      </c>
      <c r="D162" s="40" t="s">
        <v>53</v>
      </c>
      <c r="E162" s="219"/>
      <c r="F162" s="61" t="s">
        <v>167</v>
      </c>
      <c r="G162" s="62" t="s">
        <v>32</v>
      </c>
      <c r="H162" s="55">
        <v>27</v>
      </c>
      <c r="I162" s="55">
        <v>3</v>
      </c>
      <c r="J162" s="69">
        <f t="shared" si="4"/>
        <v>0.1111111111111111</v>
      </c>
      <c r="K162" s="90">
        <f>+I162+'SEPTIEMBRE 2025'!K162</f>
        <v>21</v>
      </c>
      <c r="L162" s="94">
        <f t="shared" si="5"/>
        <v>0.77777777777777779</v>
      </c>
      <c r="N162"/>
      <c r="O162" s="8"/>
      <c r="P162"/>
      <c r="Q162" s="8"/>
    </row>
    <row r="163" spans="2:17" x14ac:dyDescent="0.25">
      <c r="B163" s="38">
        <v>3</v>
      </c>
      <c r="C163" s="39" t="s">
        <v>55</v>
      </c>
      <c r="D163" s="40" t="s">
        <v>56</v>
      </c>
      <c r="E163" s="219"/>
      <c r="F163" s="61" t="s">
        <v>168</v>
      </c>
      <c r="G163" s="62" t="s">
        <v>32</v>
      </c>
      <c r="H163" s="55">
        <v>27</v>
      </c>
      <c r="I163" s="55">
        <v>3</v>
      </c>
      <c r="J163" s="69">
        <f t="shared" si="4"/>
        <v>0.1111111111111111</v>
      </c>
      <c r="K163" s="90">
        <f>+I163+'SEPTIEMBRE 2025'!K163</f>
        <v>21</v>
      </c>
      <c r="L163" s="94">
        <f t="shared" si="5"/>
        <v>0.77777777777777779</v>
      </c>
      <c r="N163"/>
      <c r="O163" s="8"/>
      <c r="P163"/>
      <c r="Q163" s="8"/>
    </row>
    <row r="164" spans="2:17" x14ac:dyDescent="0.25">
      <c r="B164" s="38">
        <v>5</v>
      </c>
      <c r="C164" s="39" t="s">
        <v>57</v>
      </c>
      <c r="D164" s="40" t="s">
        <v>58</v>
      </c>
      <c r="E164" s="219"/>
      <c r="F164" s="61" t="s">
        <v>155</v>
      </c>
      <c r="G164" s="62" t="s">
        <v>32</v>
      </c>
      <c r="H164" s="68">
        <v>27</v>
      </c>
      <c r="I164" s="55">
        <v>3</v>
      </c>
      <c r="J164" s="69">
        <f t="shared" si="4"/>
        <v>0.1111111111111111</v>
      </c>
      <c r="K164" s="90">
        <f>+I164+'SEPTIEMBRE 2025'!K164</f>
        <v>21</v>
      </c>
      <c r="L164" s="94">
        <f t="shared" si="5"/>
        <v>0.77777777777777779</v>
      </c>
      <c r="N164"/>
      <c r="O164" s="8"/>
      <c r="P164"/>
      <c r="Q164" s="8"/>
    </row>
    <row r="165" spans="2:17" x14ac:dyDescent="0.25">
      <c r="B165" s="38">
        <v>5</v>
      </c>
      <c r="C165" s="39" t="s">
        <v>59</v>
      </c>
      <c r="D165" s="40" t="s">
        <v>60</v>
      </c>
      <c r="E165" s="219"/>
      <c r="F165" s="61" t="s">
        <v>1281</v>
      </c>
      <c r="G165" s="62" t="s">
        <v>32</v>
      </c>
      <c r="H165" s="55">
        <v>27</v>
      </c>
      <c r="I165" s="55">
        <v>3</v>
      </c>
      <c r="J165" s="69">
        <f t="shared" si="4"/>
        <v>0.1111111111111111</v>
      </c>
      <c r="K165" s="90">
        <f>+I165+'SEPTIEMBRE 2025'!K165</f>
        <v>21</v>
      </c>
      <c r="L165" s="94">
        <f t="shared" si="5"/>
        <v>0.77777777777777779</v>
      </c>
      <c r="N165"/>
      <c r="O165" s="8"/>
      <c r="P165"/>
      <c r="Q165" s="8"/>
    </row>
    <row r="166" spans="2:17" x14ac:dyDescent="0.25">
      <c r="B166" s="42">
        <v>8</v>
      </c>
      <c r="C166" s="43" t="s">
        <v>61</v>
      </c>
      <c r="D166" s="44" t="s">
        <v>62</v>
      </c>
      <c r="E166" s="220"/>
      <c r="F166" s="64" t="s">
        <v>156</v>
      </c>
      <c r="G166" s="135" t="s">
        <v>32</v>
      </c>
      <c r="H166" s="56">
        <v>27</v>
      </c>
      <c r="I166" s="56">
        <v>3</v>
      </c>
      <c r="J166" s="72">
        <f t="shared" si="4"/>
        <v>0.1111111111111111</v>
      </c>
      <c r="K166" s="91">
        <f>+I166+'SEPTIEMBRE 2025'!K166</f>
        <v>21</v>
      </c>
      <c r="L166" s="96">
        <f t="shared" si="5"/>
        <v>0.77777777777777779</v>
      </c>
      <c r="N166"/>
      <c r="O166" s="8"/>
      <c r="P166"/>
      <c r="Q166" s="8"/>
    </row>
    <row r="167" spans="2:17" x14ac:dyDescent="0.25">
      <c r="B167" s="35">
        <v>3</v>
      </c>
      <c r="C167" s="36" t="s">
        <v>43</v>
      </c>
      <c r="D167" s="37" t="s">
        <v>44</v>
      </c>
      <c r="E167" s="218" t="s">
        <v>158</v>
      </c>
      <c r="F167" s="59" t="s">
        <v>1270</v>
      </c>
      <c r="G167" s="60" t="s">
        <v>1271</v>
      </c>
      <c r="H167" s="66">
        <v>27</v>
      </c>
      <c r="I167" s="66">
        <v>8</v>
      </c>
      <c r="J167" s="69">
        <f t="shared" si="4"/>
        <v>0.29629629629629628</v>
      </c>
      <c r="K167" s="103">
        <f>+I167+'SEPTIEMBRE 2025'!K167</f>
        <v>20</v>
      </c>
      <c r="L167" s="94">
        <f t="shared" si="5"/>
        <v>0.7407407407407407</v>
      </c>
      <c r="N167"/>
      <c r="O167" s="8"/>
      <c r="P167"/>
      <c r="Q167" s="8"/>
    </row>
    <row r="168" spans="2:17" x14ac:dyDescent="0.25">
      <c r="B168" s="38">
        <v>3</v>
      </c>
      <c r="C168" s="39" t="s">
        <v>153</v>
      </c>
      <c r="D168" s="40" t="s">
        <v>154</v>
      </c>
      <c r="E168" s="219"/>
      <c r="F168" s="1" t="s">
        <v>172</v>
      </c>
      <c r="G168" s="62" t="s">
        <v>172</v>
      </c>
      <c r="H168" s="68">
        <v>27</v>
      </c>
      <c r="I168" s="55">
        <v>0</v>
      </c>
      <c r="J168" s="69">
        <f t="shared" si="4"/>
        <v>0</v>
      </c>
      <c r="K168" s="90">
        <f>+I168+'SEPTIEMBRE 2025'!K168</f>
        <v>27</v>
      </c>
      <c r="L168" s="94">
        <f t="shared" si="5"/>
        <v>1</v>
      </c>
      <c r="N168"/>
      <c r="O168" s="8"/>
      <c r="P168"/>
      <c r="Q168" s="8"/>
    </row>
    <row r="169" spans="2:17" x14ac:dyDescent="0.25">
      <c r="B169" s="38">
        <v>3</v>
      </c>
      <c r="C169" s="39" t="s">
        <v>46</v>
      </c>
      <c r="D169" s="40" t="s">
        <v>47</v>
      </c>
      <c r="E169" s="219"/>
      <c r="F169" s="61" t="s">
        <v>1272</v>
      </c>
      <c r="G169" s="63" t="s">
        <v>1271</v>
      </c>
      <c r="H169" s="55">
        <v>27</v>
      </c>
      <c r="I169" s="70">
        <v>8</v>
      </c>
      <c r="J169" s="69">
        <f t="shared" si="4"/>
        <v>0.29629629629629628</v>
      </c>
      <c r="K169" s="90">
        <f>+I169+'SEPTIEMBRE 2025'!K169</f>
        <v>27</v>
      </c>
      <c r="L169" s="94">
        <f t="shared" si="5"/>
        <v>1</v>
      </c>
      <c r="N169"/>
      <c r="O169" s="8"/>
      <c r="P169"/>
      <c r="Q169" s="8"/>
    </row>
    <row r="170" spans="2:17" x14ac:dyDescent="0.25">
      <c r="B170" s="38">
        <v>3</v>
      </c>
      <c r="C170" s="39" t="s">
        <v>98</v>
      </c>
      <c r="D170" s="40" t="s">
        <v>99</v>
      </c>
      <c r="E170" s="219"/>
      <c r="F170" s="61" t="s">
        <v>1273</v>
      </c>
      <c r="G170" s="63" t="s">
        <v>1274</v>
      </c>
      <c r="H170" s="55">
        <v>27</v>
      </c>
      <c r="I170" s="55">
        <v>2</v>
      </c>
      <c r="J170" s="69">
        <f t="shared" si="4"/>
        <v>7.407407407407407E-2</v>
      </c>
      <c r="K170" s="90">
        <f>+I170+'SEPTIEMBRE 2025'!K170</f>
        <v>13</v>
      </c>
      <c r="L170" s="94">
        <f t="shared" si="5"/>
        <v>0.48148148148148145</v>
      </c>
      <c r="N170"/>
      <c r="O170" s="8"/>
      <c r="P170"/>
      <c r="Q170" s="8"/>
    </row>
    <row r="171" spans="2:17" s="16" customFormat="1" x14ac:dyDescent="0.25">
      <c r="B171" s="38">
        <v>3</v>
      </c>
      <c r="C171" s="39" t="s">
        <v>49</v>
      </c>
      <c r="D171" s="40" t="s">
        <v>50</v>
      </c>
      <c r="E171" s="219"/>
      <c r="F171" s="61" t="s">
        <v>172</v>
      </c>
      <c r="G171" s="63" t="s">
        <v>172</v>
      </c>
      <c r="H171" s="55">
        <v>27</v>
      </c>
      <c r="I171" s="55">
        <v>0</v>
      </c>
      <c r="J171" s="69">
        <f t="shared" si="4"/>
        <v>0</v>
      </c>
      <c r="K171" s="90">
        <f>+I171+'SEPTIEMBRE 2025'!K171</f>
        <v>19</v>
      </c>
      <c r="L171" s="94">
        <f t="shared" si="5"/>
        <v>0.70370370370370372</v>
      </c>
      <c r="N171" s="41"/>
      <c r="P171" s="41"/>
    </row>
    <row r="172" spans="2:17" x14ac:dyDescent="0.25">
      <c r="B172" s="38">
        <v>3</v>
      </c>
      <c r="C172" s="39" t="s">
        <v>52</v>
      </c>
      <c r="D172" s="40" t="s">
        <v>53</v>
      </c>
      <c r="E172" s="219"/>
      <c r="F172" s="61" t="s">
        <v>1275</v>
      </c>
      <c r="G172" s="63" t="s">
        <v>1276</v>
      </c>
      <c r="H172" s="55">
        <v>27</v>
      </c>
      <c r="I172" s="55">
        <v>4</v>
      </c>
      <c r="J172" s="69">
        <f t="shared" si="4"/>
        <v>0.14814814814814814</v>
      </c>
      <c r="K172" s="90">
        <f>+I172+'SEPTIEMBRE 2025'!K172</f>
        <v>22</v>
      </c>
      <c r="L172" s="94">
        <f t="shared" si="5"/>
        <v>0.81481481481481477</v>
      </c>
      <c r="N172"/>
      <c r="O172" s="8"/>
      <c r="P172"/>
      <c r="Q172" s="8"/>
    </row>
    <row r="173" spans="2:17" x14ac:dyDescent="0.25">
      <c r="B173" s="38">
        <v>3</v>
      </c>
      <c r="C173" s="39" t="s">
        <v>55</v>
      </c>
      <c r="D173" s="40" t="s">
        <v>56</v>
      </c>
      <c r="E173" s="219"/>
      <c r="F173" s="61" t="s">
        <v>172</v>
      </c>
      <c r="G173" s="63" t="s">
        <v>172</v>
      </c>
      <c r="H173" s="55">
        <v>27</v>
      </c>
      <c r="I173" s="55">
        <v>0</v>
      </c>
      <c r="J173" s="69">
        <f t="shared" si="4"/>
        <v>0</v>
      </c>
      <c r="K173" s="90">
        <f>+I173+'SEPTIEMBRE 2025'!K173</f>
        <v>15</v>
      </c>
      <c r="L173" s="94">
        <f t="shared" si="5"/>
        <v>0.55555555555555558</v>
      </c>
      <c r="N173"/>
      <c r="O173" s="8"/>
      <c r="P173"/>
      <c r="Q173" s="8"/>
    </row>
    <row r="174" spans="2:17" x14ac:dyDescent="0.25">
      <c r="B174" s="38">
        <v>5</v>
      </c>
      <c r="C174" s="39" t="s">
        <v>57</v>
      </c>
      <c r="D174" s="40" t="s">
        <v>58</v>
      </c>
      <c r="E174" s="219"/>
      <c r="F174" s="61" t="s">
        <v>1277</v>
      </c>
      <c r="G174" s="63" t="s">
        <v>1278</v>
      </c>
      <c r="H174" s="55">
        <v>27</v>
      </c>
      <c r="I174" s="55">
        <v>4</v>
      </c>
      <c r="J174" s="69">
        <f t="shared" si="4"/>
        <v>0.14814814814814814</v>
      </c>
      <c r="K174" s="90">
        <f>+I174+'SEPTIEMBRE 2025'!K174</f>
        <v>27</v>
      </c>
      <c r="L174" s="94">
        <f t="shared" si="5"/>
        <v>1</v>
      </c>
      <c r="N174"/>
      <c r="O174" s="8"/>
      <c r="P174"/>
      <c r="Q174" s="8"/>
    </row>
    <row r="175" spans="2:17" x14ac:dyDescent="0.25">
      <c r="B175" s="38">
        <v>5</v>
      </c>
      <c r="C175" s="39" t="s">
        <v>59</v>
      </c>
      <c r="D175" s="40" t="s">
        <v>60</v>
      </c>
      <c r="E175" s="219"/>
      <c r="F175" s="61" t="s">
        <v>1118</v>
      </c>
      <c r="G175" s="63" t="s">
        <v>1119</v>
      </c>
      <c r="H175" s="68">
        <v>27</v>
      </c>
      <c r="I175" s="55">
        <v>2</v>
      </c>
      <c r="J175" s="69">
        <f t="shared" si="4"/>
        <v>7.407407407407407E-2</v>
      </c>
      <c r="K175" s="90">
        <f>+I175+'SEPTIEMBRE 2025'!K175</f>
        <v>27</v>
      </c>
      <c r="L175" s="94">
        <f t="shared" si="5"/>
        <v>1</v>
      </c>
      <c r="N175"/>
      <c r="O175" s="8"/>
      <c r="P175"/>
      <c r="Q175" s="8"/>
    </row>
    <row r="176" spans="2:17" x14ac:dyDescent="0.25">
      <c r="B176" s="42">
        <v>8</v>
      </c>
      <c r="C176" s="43" t="s">
        <v>61</v>
      </c>
      <c r="D176" s="44" t="s">
        <v>62</v>
      </c>
      <c r="E176" s="220"/>
      <c r="F176" s="64" t="s">
        <v>1279</v>
      </c>
      <c r="G176" s="65" t="s">
        <v>1280</v>
      </c>
      <c r="H176" s="56">
        <v>27</v>
      </c>
      <c r="I176" s="56">
        <v>2</v>
      </c>
      <c r="J176" s="72">
        <f t="shared" si="4"/>
        <v>7.407407407407407E-2</v>
      </c>
      <c r="K176" s="91">
        <f>+I176+'SEPTIEMBRE 2025'!K176</f>
        <v>13</v>
      </c>
      <c r="L176" s="96">
        <f t="shared" si="5"/>
        <v>0.48148148148148145</v>
      </c>
      <c r="N176"/>
      <c r="O176" s="8"/>
      <c r="P176"/>
      <c r="Q176" s="8"/>
    </row>
    <row r="177" spans="2:17" x14ac:dyDescent="0.25">
      <c r="B177" s="35">
        <v>3</v>
      </c>
      <c r="C177" s="36" t="s">
        <v>43</v>
      </c>
      <c r="D177" s="37" t="s">
        <v>44</v>
      </c>
      <c r="E177" s="218" t="s">
        <v>183</v>
      </c>
      <c r="F177" s="59" t="s">
        <v>1335</v>
      </c>
      <c r="G177" s="63" t="s">
        <v>1336</v>
      </c>
      <c r="H177" s="66">
        <v>45</v>
      </c>
      <c r="I177" s="66">
        <v>8</v>
      </c>
      <c r="J177" s="69">
        <f t="shared" si="4"/>
        <v>0.17777777777777778</v>
      </c>
      <c r="K177" s="103">
        <f>+I177+'SEPTIEMBRE 2025'!K177</f>
        <v>42</v>
      </c>
      <c r="L177" s="94">
        <f t="shared" si="5"/>
        <v>0.93333333333333335</v>
      </c>
      <c r="N177"/>
      <c r="O177" s="8"/>
      <c r="P177"/>
      <c r="Q177" s="8"/>
    </row>
    <row r="178" spans="2:17" x14ac:dyDescent="0.25">
      <c r="B178" s="38">
        <v>3</v>
      </c>
      <c r="C178" s="39" t="s">
        <v>46</v>
      </c>
      <c r="D178" s="40" t="s">
        <v>47</v>
      </c>
      <c r="E178" s="219"/>
      <c r="F178" s="61" t="s">
        <v>48</v>
      </c>
      <c r="G178" s="63" t="s">
        <v>1336</v>
      </c>
      <c r="H178" s="68">
        <v>45</v>
      </c>
      <c r="I178" s="55">
        <v>4</v>
      </c>
      <c r="J178" s="69">
        <f t="shared" si="4"/>
        <v>8.8888888888888892E-2</v>
      </c>
      <c r="K178" s="90">
        <f>+I178+'SEPTIEMBRE 2025'!K178</f>
        <v>35</v>
      </c>
      <c r="L178" s="94">
        <f t="shared" si="5"/>
        <v>0.77777777777777779</v>
      </c>
      <c r="N178"/>
      <c r="O178" s="8"/>
      <c r="P178"/>
      <c r="Q178" s="8"/>
    </row>
    <row r="179" spans="2:17" x14ac:dyDescent="0.25">
      <c r="B179" s="38">
        <v>3</v>
      </c>
      <c r="C179" s="39" t="s">
        <v>49</v>
      </c>
      <c r="D179" s="40" t="s">
        <v>50</v>
      </c>
      <c r="E179" s="219"/>
      <c r="F179" s="61" t="s">
        <v>1337</v>
      </c>
      <c r="G179" s="63" t="s">
        <v>1336</v>
      </c>
      <c r="H179" s="55">
        <v>40</v>
      </c>
      <c r="I179" s="70">
        <v>3</v>
      </c>
      <c r="J179" s="69">
        <f t="shared" si="4"/>
        <v>7.4999999999999997E-2</v>
      </c>
      <c r="K179" s="90">
        <f>+I179+'SEPTIEMBRE 2025'!K179</f>
        <v>32</v>
      </c>
      <c r="L179" s="94">
        <f t="shared" si="5"/>
        <v>0.8</v>
      </c>
      <c r="N179"/>
      <c r="O179" s="8"/>
      <c r="P179"/>
      <c r="Q179" s="8"/>
    </row>
    <row r="180" spans="2:17" x14ac:dyDescent="0.25">
      <c r="B180" s="38">
        <v>3</v>
      </c>
      <c r="C180" s="39" t="s">
        <v>52</v>
      </c>
      <c r="D180" s="40" t="s">
        <v>53</v>
      </c>
      <c r="E180" s="219"/>
      <c r="F180" s="61" t="s">
        <v>1226</v>
      </c>
      <c r="G180" s="63" t="s">
        <v>1336</v>
      </c>
      <c r="H180" s="55">
        <v>70</v>
      </c>
      <c r="I180" s="55">
        <v>7</v>
      </c>
      <c r="J180" s="69">
        <f t="shared" si="4"/>
        <v>0.1</v>
      </c>
      <c r="K180" s="90">
        <f>+I180+'SEPTIEMBRE 2025'!K180</f>
        <v>49</v>
      </c>
      <c r="L180" s="94">
        <f t="shared" si="5"/>
        <v>0.7</v>
      </c>
      <c r="N180"/>
      <c r="O180" s="8"/>
      <c r="P180"/>
      <c r="Q180" s="8"/>
    </row>
    <row r="181" spans="2:17" x14ac:dyDescent="0.25">
      <c r="B181" s="42">
        <v>3</v>
      </c>
      <c r="C181" s="43" t="s">
        <v>55</v>
      </c>
      <c r="D181" s="44" t="s">
        <v>56</v>
      </c>
      <c r="E181" s="220"/>
      <c r="F181" s="64" t="s">
        <v>1338</v>
      </c>
      <c r="G181" s="63" t="s">
        <v>1336</v>
      </c>
      <c r="H181" s="56">
        <v>70</v>
      </c>
      <c r="I181" s="56">
        <v>8</v>
      </c>
      <c r="J181" s="72">
        <f t="shared" si="4"/>
        <v>0.11428571428571428</v>
      </c>
      <c r="K181" s="91">
        <f>+I181+'SEPTIEMBRE 2025'!K181</f>
        <v>52</v>
      </c>
      <c r="L181" s="96">
        <f t="shared" si="5"/>
        <v>0.74285714285714288</v>
      </c>
      <c r="N181"/>
      <c r="O181" s="8"/>
      <c r="P181"/>
      <c r="Q181" s="8"/>
    </row>
    <row r="182" spans="2:17" x14ac:dyDescent="0.25">
      <c r="B182" s="85">
        <v>3</v>
      </c>
      <c r="C182" s="105" t="s">
        <v>332</v>
      </c>
      <c r="D182" s="106" t="s">
        <v>333</v>
      </c>
      <c r="E182" s="238" t="s">
        <v>334</v>
      </c>
      <c r="F182" s="59" t="s">
        <v>172</v>
      </c>
      <c r="G182" s="60" t="s">
        <v>172</v>
      </c>
      <c r="H182" s="89">
        <v>30</v>
      </c>
      <c r="I182" s="89">
        <v>0</v>
      </c>
      <c r="J182" s="69">
        <f t="shared" si="4"/>
        <v>0</v>
      </c>
      <c r="K182" s="103">
        <f>+I182+'SEPTIEMBRE 2025'!K182</f>
        <v>30</v>
      </c>
      <c r="L182" s="94">
        <f t="shared" si="5"/>
        <v>1</v>
      </c>
      <c r="N182"/>
      <c r="O182" s="8"/>
      <c r="P182"/>
      <c r="Q182" s="8"/>
    </row>
    <row r="183" spans="2:17" x14ac:dyDescent="0.25">
      <c r="B183" s="86">
        <v>3</v>
      </c>
      <c r="C183" s="107" t="s">
        <v>52</v>
      </c>
      <c r="D183" s="108" t="s">
        <v>53</v>
      </c>
      <c r="E183" s="239"/>
      <c r="F183" s="61" t="s">
        <v>172</v>
      </c>
      <c r="G183" s="76" t="s">
        <v>172</v>
      </c>
      <c r="H183" s="2">
        <v>20</v>
      </c>
      <c r="I183" s="3">
        <v>0</v>
      </c>
      <c r="J183" s="69">
        <f t="shared" si="4"/>
        <v>0</v>
      </c>
      <c r="K183" s="90">
        <f>+I183+'SEPTIEMBRE 2025'!K183</f>
        <v>20</v>
      </c>
      <c r="L183" s="94">
        <f t="shared" si="5"/>
        <v>1</v>
      </c>
      <c r="N183"/>
      <c r="O183" s="8"/>
      <c r="P183"/>
      <c r="Q183" s="8"/>
    </row>
    <row r="184" spans="2:17" x14ac:dyDescent="0.25">
      <c r="B184" s="86">
        <v>3</v>
      </c>
      <c r="C184" s="107" t="s">
        <v>55</v>
      </c>
      <c r="D184" s="108" t="s">
        <v>56</v>
      </c>
      <c r="E184" s="239"/>
      <c r="F184" s="61" t="s">
        <v>172</v>
      </c>
      <c r="G184" s="62" t="s">
        <v>172</v>
      </c>
      <c r="H184" s="3">
        <v>20</v>
      </c>
      <c r="I184" s="4">
        <v>0</v>
      </c>
      <c r="J184" s="69">
        <f t="shared" si="4"/>
        <v>0</v>
      </c>
      <c r="K184" s="90">
        <f>+I184+'SEPTIEMBRE 2025'!K184</f>
        <v>20</v>
      </c>
      <c r="L184" s="94">
        <f t="shared" si="5"/>
        <v>1</v>
      </c>
      <c r="N184"/>
      <c r="O184" s="8"/>
      <c r="P184"/>
      <c r="Q184" s="8"/>
    </row>
    <row r="185" spans="2:17" x14ac:dyDescent="0.25">
      <c r="B185" s="86">
        <v>5</v>
      </c>
      <c r="C185" s="107" t="s">
        <v>57</v>
      </c>
      <c r="D185" s="108" t="s">
        <v>58</v>
      </c>
      <c r="E185" s="239"/>
      <c r="F185" s="61" t="s">
        <v>172</v>
      </c>
      <c r="G185" s="62" t="s">
        <v>172</v>
      </c>
      <c r="H185" s="3">
        <v>15</v>
      </c>
      <c r="I185" s="3">
        <v>0</v>
      </c>
      <c r="J185" s="69">
        <f t="shared" si="4"/>
        <v>0</v>
      </c>
      <c r="K185" s="90">
        <f>+I185+'SEPTIEMBRE 2025'!K185</f>
        <v>15</v>
      </c>
      <c r="L185" s="94">
        <f t="shared" si="5"/>
        <v>1</v>
      </c>
      <c r="N185"/>
      <c r="O185" s="8"/>
      <c r="P185"/>
      <c r="Q185" s="8"/>
    </row>
    <row r="186" spans="2:17" x14ac:dyDescent="0.25">
      <c r="B186" s="86">
        <v>5</v>
      </c>
      <c r="C186" s="107" t="s">
        <v>59</v>
      </c>
      <c r="D186" s="108" t="s">
        <v>60</v>
      </c>
      <c r="E186" s="239"/>
      <c r="F186" s="62" t="s">
        <v>172</v>
      </c>
      <c r="G186" s="62" t="s">
        <v>172</v>
      </c>
      <c r="H186" s="3">
        <v>20</v>
      </c>
      <c r="I186" s="3">
        <v>0</v>
      </c>
      <c r="J186" s="69">
        <f t="shared" si="4"/>
        <v>0</v>
      </c>
      <c r="K186" s="90">
        <f>+I186+'SEPTIEMBRE 2025'!K186</f>
        <v>20</v>
      </c>
      <c r="L186" s="94">
        <f t="shared" si="5"/>
        <v>1</v>
      </c>
      <c r="N186"/>
      <c r="O186" s="8"/>
      <c r="P186"/>
      <c r="Q186" s="8"/>
    </row>
    <row r="187" spans="2:17" x14ac:dyDescent="0.25">
      <c r="B187" s="86">
        <v>8</v>
      </c>
      <c r="C187" s="107" t="s">
        <v>61</v>
      </c>
      <c r="D187" s="108" t="s">
        <v>62</v>
      </c>
      <c r="E187" s="239"/>
      <c r="F187" s="62" t="s">
        <v>172</v>
      </c>
      <c r="G187" s="62" t="s">
        <v>172</v>
      </c>
      <c r="H187" s="3">
        <v>15</v>
      </c>
      <c r="I187" s="3">
        <v>0</v>
      </c>
      <c r="J187" s="69">
        <f t="shared" si="4"/>
        <v>0</v>
      </c>
      <c r="K187" s="90">
        <f>+I187+'SEPTIEMBRE 2025'!K187</f>
        <v>15</v>
      </c>
      <c r="L187" s="94">
        <f t="shared" si="5"/>
        <v>1</v>
      </c>
      <c r="N187"/>
      <c r="O187" s="8"/>
      <c r="P187"/>
      <c r="Q187" s="8"/>
    </row>
    <row r="188" spans="2:17" x14ac:dyDescent="0.25">
      <c r="B188" s="86">
        <v>8</v>
      </c>
      <c r="C188" s="107" t="s">
        <v>344</v>
      </c>
      <c r="D188" s="108" t="s">
        <v>345</v>
      </c>
      <c r="E188" s="239"/>
      <c r="F188" s="61" t="s">
        <v>172</v>
      </c>
      <c r="G188" s="62" t="s">
        <v>172</v>
      </c>
      <c r="H188" s="3">
        <v>20</v>
      </c>
      <c r="I188" s="3">
        <v>0</v>
      </c>
      <c r="J188" s="69">
        <f t="shared" si="4"/>
        <v>0</v>
      </c>
      <c r="K188" s="90">
        <f>+I188+'SEPTIEMBRE 2025'!K188</f>
        <v>20</v>
      </c>
      <c r="L188" s="94">
        <f t="shared" si="5"/>
        <v>1</v>
      </c>
      <c r="N188"/>
      <c r="O188" s="8"/>
      <c r="P188"/>
      <c r="Q188" s="8"/>
    </row>
    <row r="189" spans="2:17" x14ac:dyDescent="0.25">
      <c r="B189" s="86">
        <v>8</v>
      </c>
      <c r="C189" s="107" t="s">
        <v>346</v>
      </c>
      <c r="D189" s="108" t="s">
        <v>347</v>
      </c>
      <c r="E189" s="239"/>
      <c r="F189" s="62" t="s">
        <v>172</v>
      </c>
      <c r="G189" s="62" t="s">
        <v>172</v>
      </c>
      <c r="H189" s="3">
        <v>20</v>
      </c>
      <c r="I189" s="3">
        <v>0</v>
      </c>
      <c r="J189" s="69">
        <f t="shared" si="4"/>
        <v>0</v>
      </c>
      <c r="K189" s="90">
        <f>+I189+'SEPTIEMBRE 2025'!K189</f>
        <v>20</v>
      </c>
      <c r="L189" s="94">
        <f t="shared" si="5"/>
        <v>1</v>
      </c>
      <c r="N189"/>
      <c r="O189" s="8"/>
      <c r="P189"/>
      <c r="Q189" s="8"/>
    </row>
    <row r="190" spans="2:17" x14ac:dyDescent="0.25">
      <c r="B190" s="87">
        <v>8</v>
      </c>
      <c r="C190" s="109" t="s">
        <v>349</v>
      </c>
      <c r="D190" s="110" t="s">
        <v>350</v>
      </c>
      <c r="E190" s="227"/>
      <c r="F190" s="64" t="s">
        <v>172</v>
      </c>
      <c r="G190" s="63" t="s">
        <v>172</v>
      </c>
      <c r="H190" s="97">
        <v>20</v>
      </c>
      <c r="I190" s="97">
        <v>0</v>
      </c>
      <c r="J190" s="72">
        <f t="shared" si="4"/>
        <v>0</v>
      </c>
      <c r="K190" s="91">
        <f>+I190+'SEPTIEMBRE 2025'!K190</f>
        <v>20</v>
      </c>
      <c r="L190" s="96">
        <f t="shared" si="5"/>
        <v>1</v>
      </c>
      <c r="N190"/>
      <c r="O190" s="8"/>
      <c r="P190"/>
      <c r="Q190" s="8"/>
    </row>
    <row r="191" spans="2:17" x14ac:dyDescent="0.25">
      <c r="B191" s="85">
        <v>3</v>
      </c>
      <c r="C191" s="105" t="s">
        <v>43</v>
      </c>
      <c r="D191" s="106" t="s">
        <v>44</v>
      </c>
      <c r="E191" s="232" t="s">
        <v>353</v>
      </c>
      <c r="F191" s="59" t="s">
        <v>172</v>
      </c>
      <c r="G191" s="60" t="s">
        <v>172</v>
      </c>
      <c r="H191" s="89">
        <v>18</v>
      </c>
      <c r="I191" s="89">
        <v>0</v>
      </c>
      <c r="J191" s="69">
        <f t="shared" si="4"/>
        <v>0</v>
      </c>
      <c r="K191" s="103">
        <f>+I191+'SEPTIEMBRE 2025'!K191</f>
        <v>18</v>
      </c>
      <c r="L191" s="94">
        <f t="shared" si="5"/>
        <v>1</v>
      </c>
      <c r="N191"/>
      <c r="O191" s="8"/>
      <c r="P191"/>
      <c r="Q191" s="8"/>
    </row>
    <row r="192" spans="2:17" x14ac:dyDescent="0.25">
      <c r="B192" s="86">
        <v>3</v>
      </c>
      <c r="C192" s="107" t="s">
        <v>46</v>
      </c>
      <c r="D192" s="108" t="s">
        <v>47</v>
      </c>
      <c r="E192" s="232"/>
      <c r="F192" s="61" t="s">
        <v>172</v>
      </c>
      <c r="G192" s="63" t="s">
        <v>172</v>
      </c>
      <c r="H192" s="2">
        <v>18</v>
      </c>
      <c r="I192" s="3">
        <v>0</v>
      </c>
      <c r="J192" s="69">
        <f t="shared" si="4"/>
        <v>0</v>
      </c>
      <c r="K192" s="90">
        <f>+I192+'SEPTIEMBRE 2025'!K192</f>
        <v>18</v>
      </c>
      <c r="L192" s="94">
        <f t="shared" si="5"/>
        <v>1</v>
      </c>
      <c r="N192"/>
      <c r="O192" s="8"/>
      <c r="P192"/>
      <c r="Q192" s="8"/>
    </row>
    <row r="193" spans="2:17" x14ac:dyDescent="0.25">
      <c r="B193" s="86">
        <v>3</v>
      </c>
      <c r="C193" s="107" t="s">
        <v>98</v>
      </c>
      <c r="D193" s="108" t="s">
        <v>99</v>
      </c>
      <c r="E193" s="232"/>
      <c r="F193" s="61" t="s">
        <v>172</v>
      </c>
      <c r="G193" s="62" t="s">
        <v>172</v>
      </c>
      <c r="H193" s="3">
        <v>24</v>
      </c>
      <c r="I193" s="3">
        <v>0</v>
      </c>
      <c r="J193" s="69">
        <f t="shared" si="4"/>
        <v>0</v>
      </c>
      <c r="K193" s="90">
        <f>+I193+'SEPTIEMBRE 2025'!K193</f>
        <v>24</v>
      </c>
      <c r="L193" s="94">
        <f t="shared" si="5"/>
        <v>1</v>
      </c>
      <c r="N193"/>
      <c r="O193" s="8"/>
      <c r="P193"/>
      <c r="Q193" s="8"/>
    </row>
    <row r="194" spans="2:17" x14ac:dyDescent="0.25">
      <c r="B194" s="86">
        <v>3</v>
      </c>
      <c r="C194" s="107" t="s">
        <v>49</v>
      </c>
      <c r="D194" s="108" t="s">
        <v>50</v>
      </c>
      <c r="E194" s="232"/>
      <c r="F194" s="61" t="s">
        <v>172</v>
      </c>
      <c r="G194" s="62" t="s">
        <v>172</v>
      </c>
      <c r="H194" s="3">
        <v>24</v>
      </c>
      <c r="I194" s="3">
        <v>0</v>
      </c>
      <c r="J194" s="69">
        <f t="shared" si="4"/>
        <v>0</v>
      </c>
      <c r="K194" s="90">
        <f>+I194+'SEPTIEMBRE 2025'!K194</f>
        <v>24</v>
      </c>
      <c r="L194" s="94">
        <f t="shared" si="5"/>
        <v>1</v>
      </c>
      <c r="N194"/>
      <c r="O194" s="8"/>
      <c r="P194"/>
      <c r="Q194" s="8"/>
    </row>
    <row r="195" spans="2:17" x14ac:dyDescent="0.25">
      <c r="B195" s="86">
        <v>3</v>
      </c>
      <c r="C195" s="107" t="s">
        <v>52</v>
      </c>
      <c r="D195" s="108" t="s">
        <v>53</v>
      </c>
      <c r="E195" s="232"/>
      <c r="F195" s="61" t="s">
        <v>172</v>
      </c>
      <c r="G195" s="62" t="s">
        <v>172</v>
      </c>
      <c r="H195" s="3">
        <v>24</v>
      </c>
      <c r="I195" s="3">
        <v>0</v>
      </c>
      <c r="J195" s="69">
        <f t="shared" si="4"/>
        <v>0</v>
      </c>
      <c r="K195" s="90">
        <f>+I195+'SEPTIEMBRE 2025'!K195</f>
        <v>24</v>
      </c>
      <c r="L195" s="94">
        <f t="shared" si="5"/>
        <v>1</v>
      </c>
      <c r="N195"/>
      <c r="O195" s="8"/>
      <c r="P195"/>
      <c r="Q195" s="8"/>
    </row>
    <row r="196" spans="2:17" x14ac:dyDescent="0.25">
      <c r="B196" s="86">
        <v>3</v>
      </c>
      <c r="C196" s="107" t="s">
        <v>55</v>
      </c>
      <c r="D196" s="108" t="s">
        <v>56</v>
      </c>
      <c r="E196" s="232"/>
      <c r="F196" s="61" t="s">
        <v>172</v>
      </c>
      <c r="G196" s="62" t="s">
        <v>172</v>
      </c>
      <c r="H196" s="3">
        <v>24</v>
      </c>
      <c r="I196" s="3">
        <v>0</v>
      </c>
      <c r="J196" s="69">
        <f t="shared" si="4"/>
        <v>0</v>
      </c>
      <c r="K196" s="90">
        <f>+I196+'SEPTIEMBRE 2025'!K196</f>
        <v>24</v>
      </c>
      <c r="L196" s="94">
        <f t="shared" si="5"/>
        <v>1</v>
      </c>
      <c r="N196"/>
      <c r="O196" s="8"/>
      <c r="P196"/>
      <c r="Q196" s="8"/>
    </row>
    <row r="197" spans="2:17" x14ac:dyDescent="0.25">
      <c r="B197" s="86">
        <v>5</v>
      </c>
      <c r="C197" s="107" t="s">
        <v>57</v>
      </c>
      <c r="D197" s="108" t="s">
        <v>58</v>
      </c>
      <c r="E197" s="232"/>
      <c r="F197" s="61" t="s">
        <v>172</v>
      </c>
      <c r="G197" s="62" t="s">
        <v>172</v>
      </c>
      <c r="H197" s="3">
        <v>24</v>
      </c>
      <c r="I197" s="3">
        <v>0</v>
      </c>
      <c r="J197" s="69">
        <f t="shared" si="4"/>
        <v>0</v>
      </c>
      <c r="K197" s="90">
        <f>+I197+'SEPTIEMBRE 2025'!K197</f>
        <v>24</v>
      </c>
      <c r="L197" s="94">
        <f t="shared" si="5"/>
        <v>1</v>
      </c>
      <c r="N197"/>
      <c r="O197" s="8"/>
      <c r="P197"/>
      <c r="Q197" s="8"/>
    </row>
    <row r="198" spans="2:17" x14ac:dyDescent="0.25">
      <c r="B198" s="87">
        <v>8</v>
      </c>
      <c r="C198" s="109" t="s">
        <v>61</v>
      </c>
      <c r="D198" s="110" t="s">
        <v>62</v>
      </c>
      <c r="E198" s="232"/>
      <c r="F198" s="64" t="s">
        <v>172</v>
      </c>
      <c r="G198" s="65" t="s">
        <v>172</v>
      </c>
      <c r="H198" s="97">
        <v>24</v>
      </c>
      <c r="I198" s="97">
        <v>0</v>
      </c>
      <c r="J198" s="72">
        <f t="shared" si="4"/>
        <v>0</v>
      </c>
      <c r="K198" s="91">
        <f>+I198+'SEPTIEMBRE 2025'!K198</f>
        <v>24</v>
      </c>
      <c r="L198" s="96">
        <f t="shared" si="5"/>
        <v>1</v>
      </c>
      <c r="N198"/>
      <c r="O198" s="8"/>
      <c r="P198"/>
      <c r="Q198" s="8"/>
    </row>
    <row r="199" spans="2:17" x14ac:dyDescent="0.25">
      <c r="B199" s="85">
        <v>2</v>
      </c>
      <c r="C199" s="105" t="s">
        <v>356</v>
      </c>
      <c r="D199" s="106" t="s">
        <v>357</v>
      </c>
      <c r="E199" s="226" t="s">
        <v>359</v>
      </c>
      <c r="F199" s="59" t="s">
        <v>172</v>
      </c>
      <c r="G199" s="60" t="s">
        <v>172</v>
      </c>
      <c r="H199" s="89">
        <v>60</v>
      </c>
      <c r="I199" s="89">
        <v>0</v>
      </c>
      <c r="J199" s="69">
        <f t="shared" si="4"/>
        <v>0</v>
      </c>
      <c r="K199" s="103">
        <f>+I199+'SEPTIEMBRE 2025'!K199</f>
        <v>60</v>
      </c>
      <c r="L199" s="94">
        <f t="shared" si="5"/>
        <v>1</v>
      </c>
      <c r="N199"/>
      <c r="O199" s="8"/>
      <c r="P199"/>
      <c r="Q199" s="8"/>
    </row>
    <row r="200" spans="2:17" x14ac:dyDescent="0.25">
      <c r="B200" s="86">
        <v>2</v>
      </c>
      <c r="C200" s="107" t="s">
        <v>360</v>
      </c>
      <c r="D200" s="108" t="s">
        <v>361</v>
      </c>
      <c r="E200" s="226"/>
      <c r="F200" s="61" t="s">
        <v>172</v>
      </c>
      <c r="G200" s="62" t="s">
        <v>172</v>
      </c>
      <c r="H200" s="2">
        <v>40</v>
      </c>
      <c r="I200" s="3">
        <v>0</v>
      </c>
      <c r="J200" s="69">
        <f t="shared" si="4"/>
        <v>0</v>
      </c>
      <c r="K200" s="90">
        <f>+I200+'SEPTIEMBRE 2025'!K200</f>
        <v>40</v>
      </c>
      <c r="L200" s="94">
        <f t="shared" si="5"/>
        <v>1</v>
      </c>
      <c r="N200"/>
      <c r="O200" s="8"/>
      <c r="P200"/>
      <c r="Q200" s="8"/>
    </row>
    <row r="201" spans="2:17" x14ac:dyDescent="0.25">
      <c r="B201" s="86">
        <v>2</v>
      </c>
      <c r="C201" s="107" t="s">
        <v>363</v>
      </c>
      <c r="D201" s="108" t="s">
        <v>364</v>
      </c>
      <c r="E201" s="226"/>
      <c r="F201" s="61" t="s">
        <v>172</v>
      </c>
      <c r="G201" s="63" t="s">
        <v>172</v>
      </c>
      <c r="H201" s="3">
        <v>10</v>
      </c>
      <c r="I201" s="4">
        <v>0</v>
      </c>
      <c r="J201" s="69">
        <f t="shared" si="4"/>
        <v>0</v>
      </c>
      <c r="K201" s="90">
        <f>+I201+'SEPTIEMBRE 2025'!K201</f>
        <v>10</v>
      </c>
      <c r="L201" s="94">
        <f t="shared" si="5"/>
        <v>1</v>
      </c>
      <c r="N201"/>
      <c r="O201" s="8"/>
      <c r="P201"/>
      <c r="Q201" s="8"/>
    </row>
    <row r="202" spans="2:17" x14ac:dyDescent="0.25">
      <c r="B202" s="86">
        <v>2</v>
      </c>
      <c r="C202" s="107" t="s">
        <v>366</v>
      </c>
      <c r="D202" s="108" t="s">
        <v>367</v>
      </c>
      <c r="E202" s="226"/>
      <c r="F202" s="61" t="s">
        <v>172</v>
      </c>
      <c r="G202" s="62" t="s">
        <v>172</v>
      </c>
      <c r="H202" s="3">
        <v>10</v>
      </c>
      <c r="I202" s="3">
        <v>0</v>
      </c>
      <c r="J202" s="69">
        <f t="shared" si="4"/>
        <v>0</v>
      </c>
      <c r="K202" s="90">
        <f>+I202+'SEPTIEMBRE 2025'!K202</f>
        <v>10</v>
      </c>
      <c r="L202" s="94">
        <f t="shared" si="5"/>
        <v>1</v>
      </c>
      <c r="N202"/>
      <c r="O202" s="8"/>
      <c r="P202"/>
      <c r="Q202" s="8"/>
    </row>
    <row r="203" spans="2:17" x14ac:dyDescent="0.25">
      <c r="B203" s="86">
        <v>2</v>
      </c>
      <c r="C203" s="107" t="s">
        <v>368</v>
      </c>
      <c r="D203" s="108" t="s">
        <v>369</v>
      </c>
      <c r="E203" s="226"/>
      <c r="F203" s="61" t="s">
        <v>172</v>
      </c>
      <c r="G203" s="146" t="s">
        <v>172</v>
      </c>
      <c r="H203" s="3">
        <v>10</v>
      </c>
      <c r="I203" s="3">
        <v>0</v>
      </c>
      <c r="J203" s="69">
        <f t="shared" si="4"/>
        <v>0</v>
      </c>
      <c r="K203" s="90">
        <f>+I203+'SEPTIEMBRE 2025'!K203</f>
        <v>10</v>
      </c>
      <c r="L203" s="94">
        <f t="shared" si="5"/>
        <v>1</v>
      </c>
      <c r="N203"/>
      <c r="O203" s="8"/>
      <c r="P203"/>
      <c r="Q203" s="8"/>
    </row>
    <row r="204" spans="2:17" x14ac:dyDescent="0.25">
      <c r="B204" s="86">
        <v>2</v>
      </c>
      <c r="C204" s="107" t="s">
        <v>140</v>
      </c>
      <c r="D204" s="108" t="s">
        <v>141</v>
      </c>
      <c r="E204" s="226"/>
      <c r="F204" s="61" t="s">
        <v>172</v>
      </c>
      <c r="G204" s="62" t="s">
        <v>172</v>
      </c>
      <c r="H204" s="3">
        <v>20</v>
      </c>
      <c r="I204" s="3">
        <v>0</v>
      </c>
      <c r="J204" s="69">
        <f t="shared" si="4"/>
        <v>0</v>
      </c>
      <c r="K204" s="90">
        <f>+I204+'SEPTIEMBRE 2025'!K204</f>
        <v>20</v>
      </c>
      <c r="L204" s="94">
        <f t="shared" si="5"/>
        <v>1</v>
      </c>
      <c r="N204"/>
      <c r="O204" s="8"/>
      <c r="P204"/>
      <c r="Q204" s="8"/>
    </row>
    <row r="205" spans="2:17" x14ac:dyDescent="0.25">
      <c r="B205" s="86">
        <v>2</v>
      </c>
      <c r="C205" s="107" t="s">
        <v>371</v>
      </c>
      <c r="D205" s="108" t="s">
        <v>372</v>
      </c>
      <c r="E205" s="226"/>
      <c r="F205" s="61" t="s">
        <v>172</v>
      </c>
      <c r="G205" s="62" t="s">
        <v>172</v>
      </c>
      <c r="H205" s="3">
        <v>10</v>
      </c>
      <c r="I205" s="3">
        <v>0</v>
      </c>
      <c r="J205" s="69">
        <f t="shared" si="4"/>
        <v>0</v>
      </c>
      <c r="K205" s="90">
        <f>+I205+'SEPTIEMBRE 2025'!K205</f>
        <v>10</v>
      </c>
      <c r="L205" s="94">
        <f t="shared" si="5"/>
        <v>1</v>
      </c>
      <c r="N205"/>
      <c r="O205" s="8"/>
      <c r="P205"/>
      <c r="Q205" s="8"/>
    </row>
    <row r="206" spans="2:17" x14ac:dyDescent="0.25">
      <c r="B206" s="87">
        <v>2</v>
      </c>
      <c r="C206" s="109" t="s">
        <v>374</v>
      </c>
      <c r="D206" s="110" t="s">
        <v>375</v>
      </c>
      <c r="E206" s="226"/>
      <c r="F206" s="64" t="s">
        <v>172</v>
      </c>
      <c r="G206" s="65" t="s">
        <v>172</v>
      </c>
      <c r="H206" s="97">
        <v>20</v>
      </c>
      <c r="I206" s="97">
        <v>0</v>
      </c>
      <c r="J206" s="72">
        <f t="shared" si="4"/>
        <v>0</v>
      </c>
      <c r="K206" s="91">
        <f>+I206+'SEPTIEMBRE 2025'!K206</f>
        <v>20</v>
      </c>
      <c r="L206" s="96">
        <f t="shared" si="5"/>
        <v>1</v>
      </c>
      <c r="N206"/>
      <c r="O206" s="8"/>
      <c r="P206"/>
      <c r="Q206" s="8"/>
    </row>
    <row r="207" spans="2:17" x14ac:dyDescent="0.25">
      <c r="B207" s="88">
        <v>1</v>
      </c>
      <c r="C207" s="111" t="s">
        <v>230</v>
      </c>
      <c r="D207" s="112" t="s">
        <v>377</v>
      </c>
      <c r="E207" s="226" t="s">
        <v>745</v>
      </c>
      <c r="F207" s="59" t="s">
        <v>172</v>
      </c>
      <c r="G207" s="60" t="s">
        <v>172</v>
      </c>
      <c r="H207" s="66">
        <v>30</v>
      </c>
      <c r="I207" s="66">
        <v>0</v>
      </c>
      <c r="J207" s="69">
        <f t="shared" ref="J207:J268" si="6">IFERROR(I207/H207,0)</f>
        <v>0</v>
      </c>
      <c r="K207" s="103">
        <f>+I207+'SEPTIEMBRE 2025'!K207</f>
        <v>30</v>
      </c>
      <c r="L207" s="94">
        <f t="shared" ref="L207:L268" si="7">IFERROR(K207/H207,0)</f>
        <v>1</v>
      </c>
      <c r="N207"/>
      <c r="O207" s="8"/>
      <c r="P207"/>
      <c r="Q207" s="8"/>
    </row>
    <row r="208" spans="2:17" x14ac:dyDescent="0.25">
      <c r="B208" s="86">
        <v>1</v>
      </c>
      <c r="C208" s="107" t="s">
        <v>74</v>
      </c>
      <c r="D208" s="108" t="s">
        <v>226</v>
      </c>
      <c r="E208" s="226"/>
      <c r="F208" s="61" t="s">
        <v>172</v>
      </c>
      <c r="G208" s="62" t="s">
        <v>172</v>
      </c>
      <c r="H208" s="68">
        <v>30</v>
      </c>
      <c r="I208" s="55">
        <v>0</v>
      </c>
      <c r="J208" s="69">
        <f t="shared" si="6"/>
        <v>0</v>
      </c>
      <c r="K208" s="90">
        <f>+I208+'SEPTIEMBRE 2025'!K208</f>
        <v>30</v>
      </c>
      <c r="L208" s="94">
        <f t="shared" si="7"/>
        <v>1</v>
      </c>
      <c r="N208"/>
      <c r="O208" s="8"/>
      <c r="P208"/>
      <c r="Q208" s="8"/>
    </row>
    <row r="209" spans="2:17" x14ac:dyDescent="0.25">
      <c r="B209" s="86">
        <v>1</v>
      </c>
      <c r="C209" s="107" t="s">
        <v>77</v>
      </c>
      <c r="D209" s="108" t="s">
        <v>78</v>
      </c>
      <c r="E209" s="226"/>
      <c r="F209" s="61" t="s">
        <v>172</v>
      </c>
      <c r="G209" s="63" t="s">
        <v>172</v>
      </c>
      <c r="H209" s="55">
        <v>30</v>
      </c>
      <c r="I209" s="70">
        <v>0</v>
      </c>
      <c r="J209" s="69">
        <f t="shared" si="6"/>
        <v>0</v>
      </c>
      <c r="K209" s="90">
        <f>+I209+'SEPTIEMBRE 2025'!K209</f>
        <v>30</v>
      </c>
      <c r="L209" s="94">
        <f t="shared" si="7"/>
        <v>1</v>
      </c>
      <c r="N209"/>
      <c r="O209" s="8"/>
      <c r="P209"/>
      <c r="Q209" s="8"/>
    </row>
    <row r="210" spans="2:17" x14ac:dyDescent="0.25">
      <c r="B210" s="86">
        <v>1</v>
      </c>
      <c r="C210" s="107" t="s">
        <v>89</v>
      </c>
      <c r="D210" s="108" t="s">
        <v>90</v>
      </c>
      <c r="E210" s="226"/>
      <c r="F210" s="61" t="s">
        <v>172</v>
      </c>
      <c r="G210" s="62" t="s">
        <v>172</v>
      </c>
      <c r="H210" s="55">
        <v>30</v>
      </c>
      <c r="I210" s="55">
        <v>0</v>
      </c>
      <c r="J210" s="69">
        <f t="shared" si="6"/>
        <v>0</v>
      </c>
      <c r="K210" s="90">
        <f>+I210+'SEPTIEMBRE 2025'!K210</f>
        <v>30</v>
      </c>
      <c r="L210" s="94">
        <f t="shared" si="7"/>
        <v>1</v>
      </c>
      <c r="N210"/>
      <c r="O210" s="8"/>
      <c r="P210"/>
      <c r="Q210" s="8"/>
    </row>
    <row r="211" spans="2:17" x14ac:dyDescent="0.25">
      <c r="B211" s="86">
        <v>1</v>
      </c>
      <c r="C211" s="107" t="s">
        <v>379</v>
      </c>
      <c r="D211" s="108" t="s">
        <v>380</v>
      </c>
      <c r="E211" s="226"/>
      <c r="F211" s="61" t="s">
        <v>172</v>
      </c>
      <c r="G211" s="62" t="s">
        <v>172</v>
      </c>
      <c r="H211" s="55">
        <v>30</v>
      </c>
      <c r="I211" s="55">
        <v>0</v>
      </c>
      <c r="J211" s="69">
        <f t="shared" si="6"/>
        <v>0</v>
      </c>
      <c r="K211" s="90">
        <f>+I211+'SEPTIEMBRE 2025'!K211</f>
        <v>30</v>
      </c>
      <c r="L211" s="94">
        <f t="shared" si="7"/>
        <v>1</v>
      </c>
      <c r="N211"/>
      <c r="O211" s="8"/>
      <c r="P211"/>
      <c r="Q211" s="8"/>
    </row>
    <row r="212" spans="2:17" x14ac:dyDescent="0.25">
      <c r="B212" s="87">
        <v>2</v>
      </c>
      <c r="C212" s="109" t="s">
        <v>360</v>
      </c>
      <c r="D212" s="110" t="s">
        <v>361</v>
      </c>
      <c r="E212" s="226"/>
      <c r="F212" s="64" t="s">
        <v>172</v>
      </c>
      <c r="G212" s="65" t="s">
        <v>172</v>
      </c>
      <c r="H212" s="56">
        <v>30</v>
      </c>
      <c r="I212" s="56">
        <v>0</v>
      </c>
      <c r="J212" s="72">
        <f t="shared" si="6"/>
        <v>0</v>
      </c>
      <c r="K212" s="91">
        <f>+I212+'SEPTIEMBRE 2025'!K212</f>
        <v>30</v>
      </c>
      <c r="L212" s="96">
        <f t="shared" si="7"/>
        <v>1</v>
      </c>
      <c r="N212"/>
      <c r="O212" s="8"/>
      <c r="P212"/>
      <c r="Q212" s="8"/>
    </row>
    <row r="213" spans="2:17" x14ac:dyDescent="0.25">
      <c r="B213" s="88">
        <v>3</v>
      </c>
      <c r="C213" s="111" t="s">
        <v>43</v>
      </c>
      <c r="D213" s="112" t="s">
        <v>44</v>
      </c>
      <c r="E213" s="232" t="s">
        <v>382</v>
      </c>
      <c r="F213" s="59" t="s">
        <v>1258</v>
      </c>
      <c r="G213" s="60" t="s">
        <v>1259</v>
      </c>
      <c r="H213" s="89">
        <v>28</v>
      </c>
      <c r="I213" s="89">
        <v>1</v>
      </c>
      <c r="J213" s="69">
        <f t="shared" si="6"/>
        <v>3.5714285714285712E-2</v>
      </c>
      <c r="K213" s="103">
        <f>+I213+'SEPTIEMBRE 2025'!K213</f>
        <v>17</v>
      </c>
      <c r="L213" s="94">
        <f t="shared" si="7"/>
        <v>0.6071428571428571</v>
      </c>
      <c r="N213"/>
      <c r="O213" s="8"/>
      <c r="P213"/>
      <c r="Q213" s="8"/>
    </row>
    <row r="214" spans="2:17" x14ac:dyDescent="0.25">
      <c r="B214" s="86">
        <v>3</v>
      </c>
      <c r="C214" s="107" t="s">
        <v>46</v>
      </c>
      <c r="D214" s="108" t="s">
        <v>47</v>
      </c>
      <c r="E214" s="232"/>
      <c r="F214" s="61" t="s">
        <v>1260</v>
      </c>
      <c r="G214" s="76" t="s">
        <v>393</v>
      </c>
      <c r="H214" s="2">
        <v>28</v>
      </c>
      <c r="I214" s="3">
        <v>2</v>
      </c>
      <c r="J214" s="69">
        <f t="shared" si="6"/>
        <v>7.1428571428571425E-2</v>
      </c>
      <c r="K214" s="90">
        <f>+I214+'SEPTIEMBRE 2025'!K214</f>
        <v>18</v>
      </c>
      <c r="L214" s="94">
        <f t="shared" si="7"/>
        <v>0.6428571428571429</v>
      </c>
      <c r="N214"/>
      <c r="O214" s="8"/>
      <c r="P214"/>
      <c r="Q214" s="8"/>
    </row>
    <row r="215" spans="2:17" x14ac:dyDescent="0.25">
      <c r="B215" s="86">
        <v>3</v>
      </c>
      <c r="C215" s="107" t="s">
        <v>98</v>
      </c>
      <c r="D215" s="108" t="s">
        <v>99</v>
      </c>
      <c r="E215" s="232"/>
      <c r="F215" s="61" t="s">
        <v>1261</v>
      </c>
      <c r="G215" s="62" t="s">
        <v>1259</v>
      </c>
      <c r="H215" s="3">
        <v>27</v>
      </c>
      <c r="I215" s="4">
        <v>2</v>
      </c>
      <c r="J215" s="69">
        <f t="shared" si="6"/>
        <v>7.407407407407407E-2</v>
      </c>
      <c r="K215" s="90">
        <f>+I215+'SEPTIEMBRE 2025'!K215</f>
        <v>18</v>
      </c>
      <c r="L215" s="94">
        <f t="shared" si="7"/>
        <v>0.66666666666666663</v>
      </c>
      <c r="N215"/>
      <c r="O215" s="8"/>
      <c r="P215"/>
      <c r="Q215" s="8"/>
    </row>
    <row r="216" spans="2:17" x14ac:dyDescent="0.25">
      <c r="B216" s="86">
        <v>3</v>
      </c>
      <c r="C216" s="107" t="s">
        <v>49</v>
      </c>
      <c r="D216" s="108" t="s">
        <v>50</v>
      </c>
      <c r="E216" s="232"/>
      <c r="F216" s="61" t="s">
        <v>1262</v>
      </c>
      <c r="G216" s="62" t="s">
        <v>1263</v>
      </c>
      <c r="H216" s="3">
        <v>32</v>
      </c>
      <c r="I216" s="3">
        <v>4</v>
      </c>
      <c r="J216" s="69">
        <f t="shared" si="6"/>
        <v>0.125</v>
      </c>
      <c r="K216" s="90">
        <f>+I216+'SEPTIEMBRE 2025'!K216</f>
        <v>24</v>
      </c>
      <c r="L216" s="94">
        <f t="shared" si="7"/>
        <v>0.75</v>
      </c>
      <c r="N216"/>
      <c r="O216" s="8"/>
      <c r="P216"/>
      <c r="Q216" s="8"/>
    </row>
    <row r="217" spans="2:17" x14ac:dyDescent="0.25">
      <c r="B217" s="86">
        <v>3</v>
      </c>
      <c r="C217" s="107" t="s">
        <v>52</v>
      </c>
      <c r="D217" s="108" t="s">
        <v>53</v>
      </c>
      <c r="E217" s="232"/>
      <c r="F217" s="62" t="s">
        <v>1264</v>
      </c>
      <c r="G217" s="62" t="s">
        <v>1265</v>
      </c>
      <c r="H217" s="3">
        <v>30</v>
      </c>
      <c r="I217" s="3">
        <v>4</v>
      </c>
      <c r="J217" s="69">
        <f t="shared" si="6"/>
        <v>0.13333333333333333</v>
      </c>
      <c r="K217" s="90">
        <f>+I217+'SEPTIEMBRE 2025'!K217</f>
        <v>27</v>
      </c>
      <c r="L217" s="94">
        <f t="shared" si="7"/>
        <v>0.9</v>
      </c>
      <c r="N217"/>
      <c r="O217" s="8"/>
      <c r="P217"/>
      <c r="Q217" s="8"/>
    </row>
    <row r="218" spans="2:17" x14ac:dyDescent="0.25">
      <c r="B218" s="86">
        <v>3</v>
      </c>
      <c r="C218" s="107" t="s">
        <v>55</v>
      </c>
      <c r="D218" s="108" t="s">
        <v>56</v>
      </c>
      <c r="E218" s="232"/>
      <c r="F218" s="62" t="s">
        <v>1266</v>
      </c>
      <c r="G218" s="62" t="s">
        <v>387</v>
      </c>
      <c r="H218" s="3">
        <v>30</v>
      </c>
      <c r="I218" s="3">
        <v>5</v>
      </c>
      <c r="J218" s="69">
        <f t="shared" si="6"/>
        <v>0.16666666666666666</v>
      </c>
      <c r="K218" s="90">
        <f>+I218+'SEPTIEMBRE 2025'!K218</f>
        <v>27</v>
      </c>
      <c r="L218" s="94">
        <f t="shared" si="7"/>
        <v>0.9</v>
      </c>
      <c r="N218"/>
      <c r="O218" s="8"/>
      <c r="P218"/>
      <c r="Q218" s="8"/>
    </row>
    <row r="219" spans="2:17" x14ac:dyDescent="0.25">
      <c r="B219" s="86">
        <v>5</v>
      </c>
      <c r="C219" s="107" t="s">
        <v>57</v>
      </c>
      <c r="D219" s="108" t="s">
        <v>58</v>
      </c>
      <c r="E219" s="232"/>
      <c r="F219" s="61" t="s">
        <v>1267</v>
      </c>
      <c r="G219" s="62" t="s">
        <v>387</v>
      </c>
      <c r="H219" s="3">
        <v>30</v>
      </c>
      <c r="I219" s="3">
        <v>5</v>
      </c>
      <c r="J219" s="69">
        <f t="shared" si="6"/>
        <v>0.16666666666666666</v>
      </c>
      <c r="K219" s="90">
        <f>+I219+'SEPTIEMBRE 2025'!K219</f>
        <v>27</v>
      </c>
      <c r="L219" s="94">
        <f t="shared" si="7"/>
        <v>0.9</v>
      </c>
      <c r="N219"/>
      <c r="O219" s="8"/>
      <c r="P219"/>
      <c r="Q219" s="8"/>
    </row>
    <row r="220" spans="2:17" x14ac:dyDescent="0.25">
      <c r="B220" s="86">
        <v>5</v>
      </c>
      <c r="C220" s="107" t="s">
        <v>59</v>
      </c>
      <c r="D220" s="108" t="s">
        <v>60</v>
      </c>
      <c r="E220" s="232"/>
      <c r="F220" s="62" t="s">
        <v>1268</v>
      </c>
      <c r="G220" s="62" t="s">
        <v>958</v>
      </c>
      <c r="H220" s="3">
        <v>35</v>
      </c>
      <c r="I220" s="3">
        <v>4</v>
      </c>
      <c r="J220" s="69">
        <f t="shared" si="6"/>
        <v>0.11428571428571428</v>
      </c>
      <c r="K220" s="90">
        <f>+I220+'SEPTIEMBRE 2025'!K220</f>
        <v>27</v>
      </c>
      <c r="L220" s="94">
        <f t="shared" si="7"/>
        <v>0.77142857142857146</v>
      </c>
      <c r="N220"/>
      <c r="O220" s="8"/>
      <c r="P220"/>
      <c r="Q220" s="8"/>
    </row>
    <row r="221" spans="2:17" x14ac:dyDescent="0.25">
      <c r="B221" s="104">
        <v>8</v>
      </c>
      <c r="C221" s="113" t="s">
        <v>61</v>
      </c>
      <c r="D221" s="114" t="s">
        <v>62</v>
      </c>
      <c r="E221" s="232"/>
      <c r="F221" s="64" t="s">
        <v>1269</v>
      </c>
      <c r="G221" s="63" t="s">
        <v>387</v>
      </c>
      <c r="H221" s="97">
        <v>30</v>
      </c>
      <c r="I221" s="97">
        <v>3</v>
      </c>
      <c r="J221" s="72">
        <f t="shared" si="6"/>
        <v>0.1</v>
      </c>
      <c r="K221" s="91">
        <f>+I221+'SEPTIEMBRE 2025'!K221</f>
        <v>25</v>
      </c>
      <c r="L221" s="96">
        <f t="shared" si="7"/>
        <v>0.83333333333333337</v>
      </c>
      <c r="N221"/>
      <c r="O221" s="8"/>
      <c r="P221"/>
      <c r="Q221" s="8"/>
    </row>
    <row r="222" spans="2:17" x14ac:dyDescent="0.25">
      <c r="B222" s="85">
        <v>3</v>
      </c>
      <c r="C222" s="105" t="s">
        <v>43</v>
      </c>
      <c r="D222" s="106" t="s">
        <v>44</v>
      </c>
      <c r="E222" s="232" t="s">
        <v>400</v>
      </c>
      <c r="F222" s="59" t="s">
        <v>172</v>
      </c>
      <c r="G222" s="60" t="s">
        <v>172</v>
      </c>
      <c r="H222" s="89">
        <v>20</v>
      </c>
      <c r="I222" s="66">
        <v>0</v>
      </c>
      <c r="J222" s="69">
        <f t="shared" si="6"/>
        <v>0</v>
      </c>
      <c r="K222" s="103">
        <f>+I222+'SEPTIEMBRE 2025'!K222</f>
        <v>20</v>
      </c>
      <c r="L222" s="94">
        <f t="shared" si="7"/>
        <v>1</v>
      </c>
      <c r="N222"/>
      <c r="O222" s="8"/>
      <c r="P222"/>
      <c r="Q222" s="8"/>
    </row>
    <row r="223" spans="2:17" x14ac:dyDescent="0.25">
      <c r="B223" s="86">
        <v>3</v>
      </c>
      <c r="C223" s="107" t="s">
        <v>46</v>
      </c>
      <c r="D223" s="108" t="s">
        <v>47</v>
      </c>
      <c r="E223" s="232"/>
      <c r="F223" s="61" t="s">
        <v>172</v>
      </c>
      <c r="G223" s="76" t="s">
        <v>172</v>
      </c>
      <c r="H223" s="2">
        <v>20</v>
      </c>
      <c r="I223" s="55">
        <v>0</v>
      </c>
      <c r="J223" s="69">
        <f t="shared" si="6"/>
        <v>0</v>
      </c>
      <c r="K223" s="90">
        <f>+I223+'SEPTIEMBRE 2025'!K223</f>
        <v>20</v>
      </c>
      <c r="L223" s="94">
        <f t="shared" si="7"/>
        <v>1</v>
      </c>
      <c r="N223"/>
      <c r="O223" s="8"/>
      <c r="P223"/>
      <c r="Q223" s="8"/>
    </row>
    <row r="224" spans="2:17" x14ac:dyDescent="0.25">
      <c r="B224" s="86">
        <v>3</v>
      </c>
      <c r="C224" s="107" t="s">
        <v>98</v>
      </c>
      <c r="D224" s="108" t="s">
        <v>99</v>
      </c>
      <c r="E224" s="232"/>
      <c r="F224" s="61" t="s">
        <v>172</v>
      </c>
      <c r="G224" s="62" t="s">
        <v>172</v>
      </c>
      <c r="H224" s="3">
        <v>20</v>
      </c>
      <c r="I224" s="70">
        <v>0</v>
      </c>
      <c r="J224" s="69">
        <f t="shared" si="6"/>
        <v>0</v>
      </c>
      <c r="K224" s="90">
        <f>+I224+'SEPTIEMBRE 2025'!K224</f>
        <v>20</v>
      </c>
      <c r="L224" s="94">
        <f t="shared" si="7"/>
        <v>1</v>
      </c>
      <c r="N224"/>
      <c r="O224" s="8"/>
      <c r="P224"/>
      <c r="Q224" s="8"/>
    </row>
    <row r="225" spans="2:17" x14ac:dyDescent="0.25">
      <c r="B225" s="86">
        <v>3</v>
      </c>
      <c r="C225" s="107" t="s">
        <v>49</v>
      </c>
      <c r="D225" s="108" t="s">
        <v>50</v>
      </c>
      <c r="E225" s="232"/>
      <c r="F225" s="61" t="s">
        <v>172</v>
      </c>
      <c r="G225" s="62" t="s">
        <v>172</v>
      </c>
      <c r="H225" s="3">
        <v>20</v>
      </c>
      <c r="I225" s="55">
        <v>0</v>
      </c>
      <c r="J225" s="69">
        <f t="shared" si="6"/>
        <v>0</v>
      </c>
      <c r="K225" s="90">
        <f>+I225+'SEPTIEMBRE 2025'!K225</f>
        <v>20</v>
      </c>
      <c r="L225" s="94">
        <f t="shared" si="7"/>
        <v>1</v>
      </c>
      <c r="N225"/>
      <c r="O225" s="8"/>
      <c r="P225"/>
      <c r="Q225" s="8"/>
    </row>
    <row r="226" spans="2:17" x14ac:dyDescent="0.25">
      <c r="B226" s="86">
        <v>3</v>
      </c>
      <c r="C226" s="107" t="s">
        <v>52</v>
      </c>
      <c r="D226" s="108" t="s">
        <v>53</v>
      </c>
      <c r="E226" s="232"/>
      <c r="F226" s="62" t="s">
        <v>172</v>
      </c>
      <c r="G226" s="62" t="s">
        <v>172</v>
      </c>
      <c r="H226" s="3">
        <v>20</v>
      </c>
      <c r="I226" s="55">
        <v>0</v>
      </c>
      <c r="J226" s="69">
        <f t="shared" si="6"/>
        <v>0</v>
      </c>
      <c r="K226" s="90">
        <f>+I226+'SEPTIEMBRE 2025'!K226</f>
        <v>20</v>
      </c>
      <c r="L226" s="94">
        <f t="shared" si="7"/>
        <v>1</v>
      </c>
      <c r="N226"/>
      <c r="O226" s="8"/>
      <c r="P226"/>
      <c r="Q226" s="8"/>
    </row>
    <row r="227" spans="2:17" x14ac:dyDescent="0.25">
      <c r="B227" s="86">
        <v>3</v>
      </c>
      <c r="C227" s="107" t="s">
        <v>55</v>
      </c>
      <c r="D227" s="108" t="s">
        <v>56</v>
      </c>
      <c r="E227" s="232"/>
      <c r="F227" s="62" t="s">
        <v>172</v>
      </c>
      <c r="G227" s="62" t="s">
        <v>172</v>
      </c>
      <c r="H227" s="3">
        <v>20</v>
      </c>
      <c r="I227" s="55">
        <v>0</v>
      </c>
      <c r="J227" s="69">
        <f t="shared" si="6"/>
        <v>0</v>
      </c>
      <c r="K227" s="90">
        <f>+I227+'SEPTIEMBRE 2025'!K227</f>
        <v>20</v>
      </c>
      <c r="L227" s="94">
        <f t="shared" si="7"/>
        <v>1</v>
      </c>
      <c r="N227"/>
      <c r="O227" s="8"/>
      <c r="P227"/>
      <c r="Q227" s="8"/>
    </row>
    <row r="228" spans="2:17" x14ac:dyDescent="0.25">
      <c r="B228" s="86">
        <v>5</v>
      </c>
      <c r="C228" s="107" t="s">
        <v>57</v>
      </c>
      <c r="D228" s="108" t="s">
        <v>58</v>
      </c>
      <c r="E228" s="232"/>
      <c r="F228" s="61" t="s">
        <v>172</v>
      </c>
      <c r="G228" s="62" t="s">
        <v>172</v>
      </c>
      <c r="H228" s="3">
        <v>20</v>
      </c>
      <c r="I228" s="55">
        <v>0</v>
      </c>
      <c r="J228" s="69">
        <f t="shared" si="6"/>
        <v>0</v>
      </c>
      <c r="K228" s="90">
        <f>+I228+'SEPTIEMBRE 2025'!K228</f>
        <v>20</v>
      </c>
      <c r="L228" s="94">
        <f t="shared" si="7"/>
        <v>1</v>
      </c>
      <c r="N228"/>
      <c r="O228" s="8"/>
      <c r="P228"/>
      <c r="Q228" s="8"/>
    </row>
    <row r="229" spans="2:17" x14ac:dyDescent="0.25">
      <c r="B229" s="86">
        <v>5</v>
      </c>
      <c r="C229" s="107" t="s">
        <v>59</v>
      </c>
      <c r="D229" s="108" t="s">
        <v>60</v>
      </c>
      <c r="E229" s="232"/>
      <c r="F229" s="62" t="s">
        <v>172</v>
      </c>
      <c r="G229" s="62" t="s">
        <v>172</v>
      </c>
      <c r="H229" s="3">
        <v>20</v>
      </c>
      <c r="I229" s="55">
        <v>0</v>
      </c>
      <c r="J229" s="69">
        <f t="shared" si="6"/>
        <v>0</v>
      </c>
      <c r="K229" s="90">
        <f>+I229+'SEPTIEMBRE 2025'!K229</f>
        <v>20</v>
      </c>
      <c r="L229" s="94">
        <f t="shared" si="7"/>
        <v>1</v>
      </c>
      <c r="N229"/>
      <c r="O229" s="8"/>
      <c r="P229"/>
      <c r="Q229" s="8"/>
    </row>
    <row r="230" spans="2:17" x14ac:dyDescent="0.25">
      <c r="B230" s="87">
        <v>8</v>
      </c>
      <c r="C230" s="109" t="s">
        <v>61</v>
      </c>
      <c r="D230" s="110" t="s">
        <v>62</v>
      </c>
      <c r="E230" s="232"/>
      <c r="F230" s="64" t="s">
        <v>172</v>
      </c>
      <c r="G230" s="65" t="s">
        <v>172</v>
      </c>
      <c r="H230" s="97">
        <v>20</v>
      </c>
      <c r="I230" s="56">
        <v>0</v>
      </c>
      <c r="J230" s="72">
        <f t="shared" si="6"/>
        <v>0</v>
      </c>
      <c r="K230" s="91">
        <f>+I230+'SEPTIEMBRE 2025'!K230</f>
        <v>20</v>
      </c>
      <c r="L230" s="96">
        <f t="shared" si="7"/>
        <v>1</v>
      </c>
      <c r="N230"/>
      <c r="O230" s="8"/>
      <c r="P230"/>
      <c r="Q230" s="8"/>
    </row>
    <row r="231" spans="2:17" x14ac:dyDescent="0.25">
      <c r="B231" s="85">
        <v>3</v>
      </c>
      <c r="C231" s="105" t="s">
        <v>43</v>
      </c>
      <c r="D231" s="106" t="s">
        <v>44</v>
      </c>
      <c r="E231" s="232" t="s">
        <v>407</v>
      </c>
      <c r="F231" s="62" t="s">
        <v>1339</v>
      </c>
      <c r="G231" s="63" t="s">
        <v>1348</v>
      </c>
      <c r="H231" s="66">
        <v>30</v>
      </c>
      <c r="I231" s="66">
        <v>4</v>
      </c>
      <c r="J231" s="69">
        <f t="shared" si="6"/>
        <v>0.13333333333333333</v>
      </c>
      <c r="K231" s="103">
        <f>+I231+'SEPTIEMBRE 2025'!K231</f>
        <v>27</v>
      </c>
      <c r="L231" s="94">
        <f t="shared" si="7"/>
        <v>0.9</v>
      </c>
      <c r="N231"/>
      <c r="O231" s="8"/>
      <c r="P231"/>
      <c r="Q231" s="8"/>
    </row>
    <row r="232" spans="2:17" x14ac:dyDescent="0.25">
      <c r="B232" s="86">
        <v>3</v>
      </c>
      <c r="C232" s="107" t="s">
        <v>46</v>
      </c>
      <c r="D232" s="108" t="s">
        <v>47</v>
      </c>
      <c r="E232" s="232"/>
      <c r="F232" s="61" t="s">
        <v>1340</v>
      </c>
      <c r="G232" s="62" t="s">
        <v>1349</v>
      </c>
      <c r="H232" s="68">
        <v>30</v>
      </c>
      <c r="I232" s="55">
        <v>2</v>
      </c>
      <c r="J232" s="69">
        <f t="shared" si="6"/>
        <v>6.6666666666666666E-2</v>
      </c>
      <c r="K232" s="90">
        <f>+I232+'SEPTIEMBRE 2025'!K232</f>
        <v>22</v>
      </c>
      <c r="L232" s="94">
        <f t="shared" si="7"/>
        <v>0.73333333333333328</v>
      </c>
      <c r="N232"/>
      <c r="O232" s="8"/>
      <c r="P232"/>
      <c r="Q232" s="8"/>
    </row>
    <row r="233" spans="2:17" x14ac:dyDescent="0.25">
      <c r="B233" s="86">
        <v>3</v>
      </c>
      <c r="C233" s="107" t="s">
        <v>98</v>
      </c>
      <c r="D233" s="108" t="s">
        <v>99</v>
      </c>
      <c r="E233" s="232"/>
      <c r="F233" s="61" t="s">
        <v>1341</v>
      </c>
      <c r="G233" s="63" t="s">
        <v>1350</v>
      </c>
      <c r="H233" s="55">
        <v>30</v>
      </c>
      <c r="I233" s="70">
        <v>4</v>
      </c>
      <c r="J233" s="69">
        <f t="shared" si="6"/>
        <v>0.13333333333333333</v>
      </c>
      <c r="K233" s="90">
        <f>+I233+'SEPTIEMBRE 2025'!K233</f>
        <v>23</v>
      </c>
      <c r="L233" s="94">
        <f t="shared" si="7"/>
        <v>0.76666666666666672</v>
      </c>
      <c r="N233"/>
      <c r="O233" s="8"/>
      <c r="P233"/>
      <c r="Q233" s="8"/>
    </row>
    <row r="234" spans="2:17" x14ac:dyDescent="0.25">
      <c r="B234" s="86">
        <v>3</v>
      </c>
      <c r="C234" s="107" t="s">
        <v>49</v>
      </c>
      <c r="D234" s="108" t="s">
        <v>50</v>
      </c>
      <c r="E234" s="232"/>
      <c r="F234" s="61" t="s">
        <v>1342</v>
      </c>
      <c r="G234" s="62" t="s">
        <v>1351</v>
      </c>
      <c r="H234" s="55">
        <v>30</v>
      </c>
      <c r="I234" s="55">
        <v>4</v>
      </c>
      <c r="J234" s="69">
        <f t="shared" si="6"/>
        <v>0.13333333333333333</v>
      </c>
      <c r="K234" s="90">
        <f>+I234+'SEPTIEMBRE 2025'!K234</f>
        <v>25</v>
      </c>
      <c r="L234" s="94">
        <f t="shared" si="7"/>
        <v>0.83333333333333337</v>
      </c>
      <c r="N234"/>
      <c r="O234" s="8"/>
      <c r="P234"/>
      <c r="Q234" s="8"/>
    </row>
    <row r="235" spans="2:17" x14ac:dyDescent="0.25">
      <c r="B235" s="86">
        <v>3</v>
      </c>
      <c r="C235" s="107" t="s">
        <v>52</v>
      </c>
      <c r="D235" s="108" t="s">
        <v>53</v>
      </c>
      <c r="E235" s="232"/>
      <c r="F235" s="61" t="s">
        <v>1343</v>
      </c>
      <c r="G235" s="62" t="s">
        <v>1352</v>
      </c>
      <c r="H235" s="55">
        <v>30</v>
      </c>
      <c r="I235" s="55">
        <v>2</v>
      </c>
      <c r="J235" s="69">
        <f t="shared" si="6"/>
        <v>6.6666666666666666E-2</v>
      </c>
      <c r="K235" s="90">
        <f>+I235+'SEPTIEMBRE 2025'!K235</f>
        <v>24</v>
      </c>
      <c r="L235" s="94">
        <f t="shared" si="7"/>
        <v>0.8</v>
      </c>
      <c r="N235"/>
      <c r="O235" s="8"/>
      <c r="P235"/>
      <c r="Q235" s="8"/>
    </row>
    <row r="236" spans="2:17" x14ac:dyDescent="0.25">
      <c r="B236" s="86">
        <v>3</v>
      </c>
      <c r="C236" s="107" t="s">
        <v>55</v>
      </c>
      <c r="D236" s="108" t="s">
        <v>56</v>
      </c>
      <c r="E236" s="232"/>
      <c r="F236" s="61" t="s">
        <v>1344</v>
      </c>
      <c r="G236" s="62" t="s">
        <v>1353</v>
      </c>
      <c r="H236" s="55">
        <v>30</v>
      </c>
      <c r="I236" s="55">
        <v>5</v>
      </c>
      <c r="J236" s="69">
        <f t="shared" si="6"/>
        <v>0.16666666666666666</v>
      </c>
      <c r="K236" s="90">
        <f>+I236+'SEPTIEMBRE 2025'!K236</f>
        <v>21</v>
      </c>
      <c r="L236" s="94">
        <f t="shared" si="7"/>
        <v>0.7</v>
      </c>
      <c r="N236"/>
      <c r="O236" s="8"/>
      <c r="P236"/>
      <c r="Q236" s="8"/>
    </row>
    <row r="237" spans="2:17" x14ac:dyDescent="0.25">
      <c r="B237" s="86">
        <v>5</v>
      </c>
      <c r="C237" s="107" t="s">
        <v>57</v>
      </c>
      <c r="D237" s="108" t="s">
        <v>58</v>
      </c>
      <c r="E237" s="232"/>
      <c r="F237" s="129" t="s">
        <v>1345</v>
      </c>
      <c r="G237" s="76" t="s">
        <v>1354</v>
      </c>
      <c r="H237" s="55">
        <v>30</v>
      </c>
      <c r="I237" s="55">
        <v>2</v>
      </c>
      <c r="J237" s="69">
        <f t="shared" si="6"/>
        <v>6.6666666666666666E-2</v>
      </c>
      <c r="K237" s="90">
        <f>+I237+'SEPTIEMBRE 2025'!K237</f>
        <v>26</v>
      </c>
      <c r="L237" s="94">
        <f t="shared" si="7"/>
        <v>0.8666666666666667</v>
      </c>
      <c r="N237"/>
      <c r="O237" s="8"/>
      <c r="P237"/>
      <c r="Q237" s="8"/>
    </row>
    <row r="238" spans="2:17" x14ac:dyDescent="0.25">
      <c r="B238" s="86">
        <v>5</v>
      </c>
      <c r="C238" s="107" t="s">
        <v>59</v>
      </c>
      <c r="D238" s="108" t="s">
        <v>60</v>
      </c>
      <c r="E238" s="233"/>
      <c r="F238" s="61" t="s">
        <v>1346</v>
      </c>
      <c r="G238" s="62" t="s">
        <v>1355</v>
      </c>
      <c r="H238" s="128">
        <v>30</v>
      </c>
      <c r="I238" s="55">
        <v>3</v>
      </c>
      <c r="J238" s="69">
        <f t="shared" si="6"/>
        <v>0.1</v>
      </c>
      <c r="K238" s="90">
        <f>+I238+'SEPTIEMBRE 2025'!K238</f>
        <v>21</v>
      </c>
      <c r="L238" s="94">
        <f t="shared" si="7"/>
        <v>0.7</v>
      </c>
      <c r="N238"/>
      <c r="O238" s="8"/>
      <c r="P238"/>
      <c r="Q238" s="8"/>
    </row>
    <row r="239" spans="2:17" x14ac:dyDescent="0.25">
      <c r="B239" s="87">
        <v>8</v>
      </c>
      <c r="C239" s="109" t="s">
        <v>61</v>
      </c>
      <c r="D239" s="110" t="s">
        <v>62</v>
      </c>
      <c r="E239" s="234"/>
      <c r="F239" s="63" t="s">
        <v>1347</v>
      </c>
      <c r="G239" s="63" t="s">
        <v>1356</v>
      </c>
      <c r="H239" s="56">
        <v>30</v>
      </c>
      <c r="I239" s="56">
        <v>4</v>
      </c>
      <c r="J239" s="72">
        <f t="shared" si="6"/>
        <v>0.13333333333333333</v>
      </c>
      <c r="K239" s="91">
        <f>+I239+'SEPTIEMBRE 2025'!K239</f>
        <v>21</v>
      </c>
      <c r="L239" s="96">
        <f t="shared" si="7"/>
        <v>0.7</v>
      </c>
      <c r="N239"/>
      <c r="O239" s="8"/>
      <c r="P239"/>
      <c r="Q239" s="8"/>
    </row>
    <row r="240" spans="2:17" x14ac:dyDescent="0.25">
      <c r="B240" s="85">
        <v>3</v>
      </c>
      <c r="C240" s="105" t="s">
        <v>46</v>
      </c>
      <c r="D240" s="106" t="s">
        <v>47</v>
      </c>
      <c r="E240" s="226" t="s">
        <v>426</v>
      </c>
      <c r="F240" s="59" t="s">
        <v>1282</v>
      </c>
      <c r="G240" s="60" t="s">
        <v>979</v>
      </c>
      <c r="H240" s="66">
        <v>45</v>
      </c>
      <c r="I240" s="66">
        <v>4</v>
      </c>
      <c r="J240" s="69">
        <f t="shared" si="6"/>
        <v>8.8888888888888892E-2</v>
      </c>
      <c r="K240" s="103">
        <f>+I240+'SEPTIEMBRE 2025'!K240</f>
        <v>36</v>
      </c>
      <c r="L240" s="94">
        <f t="shared" si="7"/>
        <v>0.8</v>
      </c>
      <c r="N240"/>
      <c r="O240" s="8"/>
      <c r="P240"/>
      <c r="Q240" s="8"/>
    </row>
    <row r="241" spans="1:17" x14ac:dyDescent="0.25">
      <c r="B241" s="86">
        <v>3</v>
      </c>
      <c r="C241" s="107" t="s">
        <v>98</v>
      </c>
      <c r="D241" s="108" t="s">
        <v>99</v>
      </c>
      <c r="E241" s="226"/>
      <c r="F241" s="61" t="s">
        <v>428</v>
      </c>
      <c r="G241" s="62" t="s">
        <v>429</v>
      </c>
      <c r="H241" s="68">
        <v>45</v>
      </c>
      <c r="I241" s="55">
        <v>5</v>
      </c>
      <c r="J241" s="69">
        <f t="shared" si="6"/>
        <v>0.1111111111111111</v>
      </c>
      <c r="K241" s="90">
        <f>+I241+'SEPTIEMBRE 2025'!K241</f>
        <v>35</v>
      </c>
      <c r="L241" s="94">
        <f t="shared" si="7"/>
        <v>0.77777777777777779</v>
      </c>
      <c r="N241"/>
      <c r="O241" s="8"/>
      <c r="P241"/>
      <c r="Q241" s="8"/>
    </row>
    <row r="242" spans="1:17" x14ac:dyDescent="0.25">
      <c r="B242" s="86">
        <v>3</v>
      </c>
      <c r="C242" s="107" t="s">
        <v>49</v>
      </c>
      <c r="D242" s="108" t="s">
        <v>50</v>
      </c>
      <c r="E242" s="226"/>
      <c r="F242" s="61" t="s">
        <v>430</v>
      </c>
      <c r="G242" s="63" t="s">
        <v>431</v>
      </c>
      <c r="H242" s="55">
        <v>45</v>
      </c>
      <c r="I242" s="70">
        <v>6</v>
      </c>
      <c r="J242" s="69">
        <f t="shared" si="6"/>
        <v>0.13333333333333333</v>
      </c>
      <c r="K242" s="90">
        <f>+I242+'SEPTIEMBRE 2025'!K242</f>
        <v>35</v>
      </c>
      <c r="L242" s="94">
        <f t="shared" si="7"/>
        <v>0.77777777777777779</v>
      </c>
    </row>
    <row r="243" spans="1:17" s="16" customFormat="1" x14ac:dyDescent="0.25">
      <c r="B243" s="86">
        <v>3</v>
      </c>
      <c r="C243" s="107" t="s">
        <v>52</v>
      </c>
      <c r="D243" s="108" t="s">
        <v>53</v>
      </c>
      <c r="E243" s="226"/>
      <c r="F243" s="61" t="s">
        <v>432</v>
      </c>
      <c r="G243" s="62" t="s">
        <v>296</v>
      </c>
      <c r="H243" s="55">
        <v>45</v>
      </c>
      <c r="I243" s="55">
        <v>5</v>
      </c>
      <c r="J243" s="69">
        <f t="shared" si="6"/>
        <v>0.1111111111111111</v>
      </c>
      <c r="K243" s="90">
        <f>+I243+'SEPTIEMBRE 2025'!K243</f>
        <v>34</v>
      </c>
      <c r="L243" s="94">
        <f t="shared" si="7"/>
        <v>0.75555555555555554</v>
      </c>
      <c r="O243"/>
      <c r="Q243"/>
    </row>
    <row r="244" spans="1:17" x14ac:dyDescent="0.25">
      <c r="B244" s="86">
        <v>5</v>
      </c>
      <c r="C244" s="107" t="s">
        <v>59</v>
      </c>
      <c r="D244" s="108" t="s">
        <v>60</v>
      </c>
      <c r="E244" s="226"/>
      <c r="F244" s="61" t="s">
        <v>433</v>
      </c>
      <c r="G244" s="62" t="s">
        <v>434</v>
      </c>
      <c r="H244" s="55">
        <v>45</v>
      </c>
      <c r="I244" s="55">
        <v>5</v>
      </c>
      <c r="J244" s="69">
        <f t="shared" si="6"/>
        <v>0.1111111111111111</v>
      </c>
      <c r="K244" s="90">
        <f>+I244+'SEPTIEMBRE 2025'!K244</f>
        <v>35</v>
      </c>
      <c r="L244" s="94">
        <f t="shared" si="7"/>
        <v>0.77777777777777779</v>
      </c>
    </row>
    <row r="245" spans="1:17" ht="14.45" customHeight="1" x14ac:dyDescent="0.25">
      <c r="B245" s="86">
        <v>8</v>
      </c>
      <c r="C245" s="107" t="s">
        <v>61</v>
      </c>
      <c r="D245" s="108" t="s">
        <v>62</v>
      </c>
      <c r="E245" s="226"/>
      <c r="F245" s="64" t="s">
        <v>435</v>
      </c>
      <c r="G245" s="65" t="s">
        <v>436</v>
      </c>
      <c r="H245" s="56">
        <v>45</v>
      </c>
      <c r="I245" s="56">
        <v>5</v>
      </c>
      <c r="J245" s="72">
        <f t="shared" si="6"/>
        <v>0.1111111111111111</v>
      </c>
      <c r="K245" s="91">
        <f>+I245+'SEPTIEMBRE 2025'!K245</f>
        <v>35</v>
      </c>
      <c r="L245" s="96">
        <f t="shared" si="7"/>
        <v>0.77777777777777779</v>
      </c>
    </row>
    <row r="246" spans="1:17" ht="14.45" customHeight="1" x14ac:dyDescent="0.25">
      <c r="A246" s="5"/>
      <c r="B246" s="85">
        <v>3</v>
      </c>
      <c r="C246" s="105" t="s">
        <v>52</v>
      </c>
      <c r="D246" s="106" t="s">
        <v>53</v>
      </c>
      <c r="E246" s="227" t="s">
        <v>438</v>
      </c>
      <c r="F246" s="59" t="s">
        <v>1303</v>
      </c>
      <c r="G246" s="60" t="s">
        <v>447</v>
      </c>
      <c r="H246" s="66">
        <v>45</v>
      </c>
      <c r="I246" s="66">
        <v>5</v>
      </c>
      <c r="J246" s="69">
        <f t="shared" si="6"/>
        <v>0.1111111111111111</v>
      </c>
      <c r="K246" s="103">
        <f>+I246+'SEPTIEMBRE 2025'!K246</f>
        <v>35</v>
      </c>
      <c r="L246" s="94">
        <f t="shared" si="7"/>
        <v>0.77777777777777779</v>
      </c>
    </row>
    <row r="247" spans="1:17" x14ac:dyDescent="0.25">
      <c r="A247" s="5"/>
      <c r="B247" s="86">
        <v>3</v>
      </c>
      <c r="C247" s="107" t="s">
        <v>55</v>
      </c>
      <c r="D247" s="108" t="s">
        <v>56</v>
      </c>
      <c r="E247" s="226"/>
      <c r="F247" s="61" t="s">
        <v>1304</v>
      </c>
      <c r="G247" s="62" t="s">
        <v>172</v>
      </c>
      <c r="H247" s="68">
        <v>45</v>
      </c>
      <c r="I247" s="55">
        <v>5</v>
      </c>
      <c r="J247" s="69">
        <f t="shared" si="6"/>
        <v>0.1111111111111111</v>
      </c>
      <c r="K247" s="90">
        <f>+I247+'SEPTIEMBRE 2025'!K247</f>
        <v>35</v>
      </c>
      <c r="L247" s="94">
        <f t="shared" si="7"/>
        <v>0.77777777777777779</v>
      </c>
    </row>
    <row r="248" spans="1:17" x14ac:dyDescent="0.25">
      <c r="A248" s="5"/>
      <c r="B248" s="86">
        <v>4</v>
      </c>
      <c r="C248" s="107" t="s">
        <v>441</v>
      </c>
      <c r="D248" s="108" t="s">
        <v>442</v>
      </c>
      <c r="E248" s="226"/>
      <c r="F248" s="61" t="s">
        <v>1305</v>
      </c>
      <c r="G248" s="63" t="s">
        <v>447</v>
      </c>
      <c r="H248" s="55">
        <v>45</v>
      </c>
      <c r="I248" s="70">
        <v>5</v>
      </c>
      <c r="J248" s="69">
        <f t="shared" si="6"/>
        <v>0.1111111111111111</v>
      </c>
      <c r="K248" s="90">
        <f>+I248+'SEPTIEMBRE 2025'!K248</f>
        <v>35</v>
      </c>
      <c r="L248" s="94">
        <f t="shared" si="7"/>
        <v>0.77777777777777779</v>
      </c>
    </row>
    <row r="249" spans="1:17" ht="14.45" customHeight="1" x14ac:dyDescent="0.25">
      <c r="A249" s="5"/>
      <c r="B249" s="86">
        <v>5</v>
      </c>
      <c r="C249" s="107" t="s">
        <v>57</v>
      </c>
      <c r="D249" s="108" t="s">
        <v>58</v>
      </c>
      <c r="E249" s="226"/>
      <c r="F249" s="61" t="s">
        <v>1306</v>
      </c>
      <c r="G249" s="62" t="s">
        <v>447</v>
      </c>
      <c r="H249" s="55">
        <v>45</v>
      </c>
      <c r="I249" s="55">
        <v>5</v>
      </c>
      <c r="J249" s="69">
        <f t="shared" si="6"/>
        <v>0.1111111111111111</v>
      </c>
      <c r="K249" s="90">
        <f>+I249+'SEPTIEMBRE 2025'!K249</f>
        <v>35</v>
      </c>
      <c r="L249" s="94">
        <f t="shared" si="7"/>
        <v>0.77777777777777779</v>
      </c>
    </row>
    <row r="250" spans="1:17" ht="14.45" customHeight="1" x14ac:dyDescent="0.25">
      <c r="A250" s="5"/>
      <c r="B250" s="86">
        <v>5</v>
      </c>
      <c r="C250" s="107" t="s">
        <v>59</v>
      </c>
      <c r="D250" s="108" t="s">
        <v>60</v>
      </c>
      <c r="E250" s="226"/>
      <c r="F250" s="61" t="s">
        <v>1307</v>
      </c>
      <c r="G250" s="62" t="s">
        <v>1308</v>
      </c>
      <c r="H250" s="55">
        <v>45</v>
      </c>
      <c r="I250" s="55">
        <v>5</v>
      </c>
      <c r="J250" s="69">
        <f t="shared" si="6"/>
        <v>0.1111111111111111</v>
      </c>
      <c r="K250" s="90">
        <f>+I250+'SEPTIEMBRE 2025'!K250</f>
        <v>35</v>
      </c>
      <c r="L250" s="94">
        <f t="shared" si="7"/>
        <v>0.77777777777777779</v>
      </c>
    </row>
    <row r="251" spans="1:17" ht="14.45" customHeight="1" x14ac:dyDescent="0.25">
      <c r="A251" s="5"/>
      <c r="B251" s="87">
        <v>8</v>
      </c>
      <c r="C251" s="109" t="s">
        <v>61</v>
      </c>
      <c r="D251" s="110" t="s">
        <v>62</v>
      </c>
      <c r="E251" s="226"/>
      <c r="F251" s="64" t="s">
        <v>1309</v>
      </c>
      <c r="G251" s="65" t="s">
        <v>447</v>
      </c>
      <c r="H251" s="56">
        <v>45</v>
      </c>
      <c r="I251" s="56">
        <v>5</v>
      </c>
      <c r="J251" s="72">
        <f t="shared" si="6"/>
        <v>0.1111111111111111</v>
      </c>
      <c r="K251" s="91">
        <f>+I251+'SEPTIEMBRE 2025'!K251</f>
        <v>35</v>
      </c>
      <c r="L251" s="96">
        <f t="shared" si="7"/>
        <v>0.77777777777777779</v>
      </c>
    </row>
    <row r="252" spans="1:17" x14ac:dyDescent="0.25">
      <c r="A252" s="5"/>
      <c r="B252" s="85">
        <v>3</v>
      </c>
      <c r="C252" s="105" t="s">
        <v>43</v>
      </c>
      <c r="D252" s="106" t="s">
        <v>44</v>
      </c>
      <c r="E252" s="226" t="s">
        <v>450</v>
      </c>
      <c r="F252" s="60" t="s">
        <v>1284</v>
      </c>
      <c r="G252" s="60" t="s">
        <v>1285</v>
      </c>
      <c r="H252" s="66">
        <v>34</v>
      </c>
      <c r="I252" s="66">
        <v>3</v>
      </c>
      <c r="J252" s="69">
        <f t="shared" si="6"/>
        <v>8.8235294117647065E-2</v>
      </c>
      <c r="K252" s="103">
        <f>+I252+'SEPTIEMBRE 2025'!K252</f>
        <v>26</v>
      </c>
      <c r="L252" s="94">
        <f t="shared" si="7"/>
        <v>0.76470588235294112</v>
      </c>
    </row>
    <row r="253" spans="1:17" x14ac:dyDescent="0.25">
      <c r="A253" s="5"/>
      <c r="B253" s="86">
        <v>3</v>
      </c>
      <c r="C253" s="107" t="s">
        <v>46</v>
      </c>
      <c r="D253" s="108" t="s">
        <v>47</v>
      </c>
      <c r="E253" s="226"/>
      <c r="F253" s="74" t="s">
        <v>1286</v>
      </c>
      <c r="G253" s="62" t="s">
        <v>1287</v>
      </c>
      <c r="H253" s="68">
        <v>34</v>
      </c>
      <c r="I253" s="55">
        <v>3</v>
      </c>
      <c r="J253" s="69">
        <f t="shared" si="6"/>
        <v>8.8235294117647065E-2</v>
      </c>
      <c r="K253" s="90">
        <f>+I253+'SEPTIEMBRE 2025'!K253</f>
        <v>26</v>
      </c>
      <c r="L253" s="94">
        <f t="shared" si="7"/>
        <v>0.76470588235294112</v>
      </c>
    </row>
    <row r="254" spans="1:17" ht="14.45" customHeight="1" x14ac:dyDescent="0.25">
      <c r="B254" s="86">
        <v>3</v>
      </c>
      <c r="C254" s="107" t="s">
        <v>49</v>
      </c>
      <c r="D254" s="108" t="s">
        <v>50</v>
      </c>
      <c r="E254" s="226"/>
      <c r="F254" s="62" t="s">
        <v>1288</v>
      </c>
      <c r="G254" s="63" t="s">
        <v>1285</v>
      </c>
      <c r="H254" s="55">
        <v>34</v>
      </c>
      <c r="I254" s="70">
        <v>3</v>
      </c>
      <c r="J254" s="69">
        <f t="shared" si="6"/>
        <v>8.8235294117647065E-2</v>
      </c>
      <c r="K254" s="90">
        <f>+I254+'SEPTIEMBRE 2025'!K254</f>
        <v>26</v>
      </c>
      <c r="L254" s="94">
        <f t="shared" si="7"/>
        <v>0.76470588235294112</v>
      </c>
    </row>
    <row r="255" spans="1:17" ht="14.45" customHeight="1" x14ac:dyDescent="0.25">
      <c r="B255" s="86">
        <v>3</v>
      </c>
      <c r="C255" s="107" t="s">
        <v>52</v>
      </c>
      <c r="D255" s="108" t="s">
        <v>53</v>
      </c>
      <c r="E255" s="226"/>
      <c r="F255" s="62" t="s">
        <v>1289</v>
      </c>
      <c r="G255" s="62" t="s">
        <v>1290</v>
      </c>
      <c r="H255" s="55">
        <v>34</v>
      </c>
      <c r="I255" s="55">
        <v>3</v>
      </c>
      <c r="J255" s="69">
        <f t="shared" si="6"/>
        <v>8.8235294117647065E-2</v>
      </c>
      <c r="K255" s="90">
        <f>+I255+'SEPTIEMBRE 2025'!K255</f>
        <v>26</v>
      </c>
      <c r="L255" s="94">
        <f t="shared" si="7"/>
        <v>0.76470588235294112</v>
      </c>
    </row>
    <row r="256" spans="1:17" x14ac:dyDescent="0.25">
      <c r="B256" s="86">
        <v>3</v>
      </c>
      <c r="C256" s="107" t="s">
        <v>55</v>
      </c>
      <c r="D256" s="108" t="s">
        <v>56</v>
      </c>
      <c r="E256" s="226"/>
      <c r="F256" s="62" t="s">
        <v>1291</v>
      </c>
      <c r="G256" s="62" t="s">
        <v>1292</v>
      </c>
      <c r="H256" s="55">
        <v>34</v>
      </c>
      <c r="I256" s="55">
        <v>3</v>
      </c>
      <c r="J256" s="69">
        <f t="shared" si="6"/>
        <v>8.8235294117647065E-2</v>
      </c>
      <c r="K256" s="90">
        <f>+I256+'SEPTIEMBRE 2025'!K256</f>
        <v>26</v>
      </c>
      <c r="L256" s="94">
        <f t="shared" si="7"/>
        <v>0.76470588235294112</v>
      </c>
    </row>
    <row r="257" spans="1:18" x14ac:dyDescent="0.25">
      <c r="B257" s="86">
        <v>5</v>
      </c>
      <c r="C257" s="107" t="s">
        <v>57</v>
      </c>
      <c r="D257" s="108" t="s">
        <v>58</v>
      </c>
      <c r="E257" s="226"/>
      <c r="F257" s="74" t="s">
        <v>1293</v>
      </c>
      <c r="G257" s="62" t="s">
        <v>1285</v>
      </c>
      <c r="H257" s="55">
        <v>34</v>
      </c>
      <c r="I257" s="55">
        <v>3</v>
      </c>
      <c r="J257" s="69">
        <f t="shared" si="6"/>
        <v>8.8235294117647065E-2</v>
      </c>
      <c r="K257" s="90">
        <f>+I257+'SEPTIEMBRE 2025'!K257</f>
        <v>26</v>
      </c>
      <c r="L257" s="94">
        <f t="shared" si="7"/>
        <v>0.76470588235294112</v>
      </c>
    </row>
    <row r="258" spans="1:18" s="6" customFormat="1" ht="14.45" customHeight="1" x14ac:dyDescent="0.25">
      <c r="A258" s="8"/>
      <c r="B258" s="86">
        <v>5</v>
      </c>
      <c r="C258" s="107" t="s">
        <v>59</v>
      </c>
      <c r="D258" s="108" t="s">
        <v>60</v>
      </c>
      <c r="E258" s="226"/>
      <c r="F258" s="62" t="s">
        <v>1294</v>
      </c>
      <c r="G258" s="62" t="s">
        <v>1295</v>
      </c>
      <c r="H258" s="55">
        <v>33</v>
      </c>
      <c r="I258" s="55">
        <v>6</v>
      </c>
      <c r="J258" s="69">
        <f t="shared" si="6"/>
        <v>0.18181818181818182</v>
      </c>
      <c r="K258" s="90">
        <f>+I258+'SEPTIEMBRE 2025'!K258</f>
        <v>27</v>
      </c>
      <c r="L258" s="94">
        <f t="shared" si="7"/>
        <v>0.81818181818181823</v>
      </c>
      <c r="M258" s="8"/>
      <c r="N258" s="8"/>
      <c r="O258"/>
      <c r="P258" s="8"/>
      <c r="Q258"/>
      <c r="R258" s="8"/>
    </row>
    <row r="259" spans="1:18" s="6" customFormat="1" ht="14.45" customHeight="1" x14ac:dyDescent="0.25">
      <c r="A259" s="8"/>
      <c r="B259" s="86">
        <v>8</v>
      </c>
      <c r="C259" s="107" t="s">
        <v>61</v>
      </c>
      <c r="D259" s="108" t="s">
        <v>62</v>
      </c>
      <c r="E259" s="226"/>
      <c r="F259" s="65" t="s">
        <v>1296</v>
      </c>
      <c r="G259" s="65" t="s">
        <v>464</v>
      </c>
      <c r="H259" s="56">
        <v>33</v>
      </c>
      <c r="I259" s="56">
        <v>6</v>
      </c>
      <c r="J259" s="72">
        <f t="shared" si="6"/>
        <v>0.18181818181818182</v>
      </c>
      <c r="K259" s="91">
        <f>+I259+'SEPTIEMBRE 2025'!K259</f>
        <v>27</v>
      </c>
      <c r="L259" s="96">
        <f t="shared" si="7"/>
        <v>0.81818181818181823</v>
      </c>
      <c r="M259" s="8"/>
      <c r="N259" s="8"/>
      <c r="O259"/>
      <c r="P259" s="8"/>
      <c r="Q259"/>
      <c r="R259" s="8"/>
    </row>
    <row r="260" spans="1:18" x14ac:dyDescent="0.25">
      <c r="B260" s="85">
        <v>3</v>
      </c>
      <c r="C260" s="105" t="s">
        <v>43</v>
      </c>
      <c r="D260" s="106" t="s">
        <v>44</v>
      </c>
      <c r="E260" s="238" t="s">
        <v>466</v>
      </c>
      <c r="F260" s="60" t="s">
        <v>172</v>
      </c>
      <c r="G260" s="60" t="s">
        <v>172</v>
      </c>
      <c r="H260" s="66">
        <v>20</v>
      </c>
      <c r="I260" s="66">
        <v>0</v>
      </c>
      <c r="J260" s="69">
        <f t="shared" si="6"/>
        <v>0</v>
      </c>
      <c r="K260" s="103">
        <f>+I260+'SEPTIEMBRE 2025'!K260</f>
        <v>20</v>
      </c>
      <c r="L260" s="94">
        <f t="shared" si="7"/>
        <v>1</v>
      </c>
    </row>
    <row r="261" spans="1:18" x14ac:dyDescent="0.25">
      <c r="B261" s="86">
        <v>3</v>
      </c>
      <c r="C261" s="107" t="s">
        <v>46</v>
      </c>
      <c r="D261" s="108" t="s">
        <v>47</v>
      </c>
      <c r="E261" s="239"/>
      <c r="F261" s="61" t="s">
        <v>172</v>
      </c>
      <c r="G261" s="62" t="s">
        <v>172</v>
      </c>
      <c r="H261" s="68">
        <v>20</v>
      </c>
      <c r="I261" s="55">
        <v>0</v>
      </c>
      <c r="J261" s="69">
        <f t="shared" si="6"/>
        <v>0</v>
      </c>
      <c r="K261" s="90">
        <f>+I261+'SEPTIEMBRE 2025'!K261</f>
        <v>20</v>
      </c>
      <c r="L261" s="94">
        <f t="shared" si="7"/>
        <v>1</v>
      </c>
    </row>
    <row r="262" spans="1:18" x14ac:dyDescent="0.25">
      <c r="B262" s="86">
        <v>3</v>
      </c>
      <c r="C262" s="107" t="s">
        <v>98</v>
      </c>
      <c r="D262" s="108" t="s">
        <v>99</v>
      </c>
      <c r="E262" s="239"/>
      <c r="F262" s="61" t="s">
        <v>172</v>
      </c>
      <c r="G262" s="63" t="s">
        <v>172</v>
      </c>
      <c r="H262" s="55">
        <v>20</v>
      </c>
      <c r="I262" s="70">
        <v>0</v>
      </c>
      <c r="J262" s="69">
        <f t="shared" si="6"/>
        <v>0</v>
      </c>
      <c r="K262" s="90">
        <f>+I262+'SEPTIEMBRE 2025'!K262</f>
        <v>20</v>
      </c>
      <c r="L262" s="94">
        <f t="shared" si="7"/>
        <v>1</v>
      </c>
    </row>
    <row r="263" spans="1:18" x14ac:dyDescent="0.25">
      <c r="B263" s="86">
        <v>3</v>
      </c>
      <c r="C263" s="107" t="s">
        <v>49</v>
      </c>
      <c r="D263" s="108" t="s">
        <v>50</v>
      </c>
      <c r="E263" s="239"/>
      <c r="F263" s="61" t="s">
        <v>172</v>
      </c>
      <c r="G263" s="62" t="s">
        <v>172</v>
      </c>
      <c r="H263" s="55">
        <v>20</v>
      </c>
      <c r="I263" s="55">
        <v>0</v>
      </c>
      <c r="J263" s="69">
        <f t="shared" si="6"/>
        <v>0</v>
      </c>
      <c r="K263" s="90">
        <f>+I263+'SEPTIEMBRE 2025'!K263</f>
        <v>20</v>
      </c>
      <c r="L263" s="94">
        <f t="shared" si="7"/>
        <v>1</v>
      </c>
    </row>
    <row r="264" spans="1:18" x14ac:dyDescent="0.25">
      <c r="B264" s="86">
        <v>3</v>
      </c>
      <c r="C264" s="107" t="s">
        <v>52</v>
      </c>
      <c r="D264" s="108" t="s">
        <v>53</v>
      </c>
      <c r="E264" s="239"/>
      <c r="F264" s="61" t="s">
        <v>172</v>
      </c>
      <c r="G264" s="62" t="s">
        <v>172</v>
      </c>
      <c r="H264" s="55">
        <v>20</v>
      </c>
      <c r="I264" s="55">
        <v>0</v>
      </c>
      <c r="J264" s="69">
        <f t="shared" si="6"/>
        <v>0</v>
      </c>
      <c r="K264" s="90">
        <f>+I264+'SEPTIEMBRE 2025'!K264</f>
        <v>20</v>
      </c>
      <c r="L264" s="94">
        <f t="shared" si="7"/>
        <v>1</v>
      </c>
    </row>
    <row r="265" spans="1:18" x14ac:dyDescent="0.25">
      <c r="B265" s="86">
        <v>3</v>
      </c>
      <c r="C265" s="107" t="s">
        <v>55</v>
      </c>
      <c r="D265" s="108" t="s">
        <v>56</v>
      </c>
      <c r="E265" s="239"/>
      <c r="F265" s="61" t="s">
        <v>172</v>
      </c>
      <c r="G265" s="62" t="s">
        <v>172</v>
      </c>
      <c r="H265" s="55">
        <v>20</v>
      </c>
      <c r="I265" s="55">
        <v>0</v>
      </c>
      <c r="J265" s="69">
        <f t="shared" si="6"/>
        <v>0</v>
      </c>
      <c r="K265" s="90">
        <f>+I265+'SEPTIEMBRE 2025'!K265</f>
        <v>20</v>
      </c>
      <c r="L265" s="94">
        <f t="shared" si="7"/>
        <v>1</v>
      </c>
    </row>
    <row r="266" spans="1:18" x14ac:dyDescent="0.25">
      <c r="B266" s="86">
        <v>5</v>
      </c>
      <c r="C266" s="107" t="s">
        <v>57</v>
      </c>
      <c r="D266" s="108" t="s">
        <v>58</v>
      </c>
      <c r="E266" s="239"/>
      <c r="F266" s="129" t="s">
        <v>172</v>
      </c>
      <c r="G266" s="76" t="s">
        <v>172</v>
      </c>
      <c r="H266" s="55">
        <v>20</v>
      </c>
      <c r="I266" s="55">
        <v>0</v>
      </c>
      <c r="J266" s="69">
        <f t="shared" si="6"/>
        <v>0</v>
      </c>
      <c r="K266" s="90">
        <f>+I266+'SEPTIEMBRE 2025'!K266</f>
        <v>20</v>
      </c>
      <c r="L266" s="94">
        <f t="shared" si="7"/>
        <v>1</v>
      </c>
    </row>
    <row r="267" spans="1:18" x14ac:dyDescent="0.25">
      <c r="B267" s="86">
        <v>5</v>
      </c>
      <c r="C267" s="107" t="s">
        <v>59</v>
      </c>
      <c r="D267" s="108" t="s">
        <v>60</v>
      </c>
      <c r="E267" s="239"/>
      <c r="F267" s="61" t="s">
        <v>172</v>
      </c>
      <c r="G267" s="62" t="s">
        <v>172</v>
      </c>
      <c r="H267" s="128">
        <v>20</v>
      </c>
      <c r="I267" s="55">
        <v>0</v>
      </c>
      <c r="J267" s="69">
        <f t="shared" si="6"/>
        <v>0</v>
      </c>
      <c r="K267" s="90">
        <f>+I267+'SEPTIEMBRE 2025'!K267</f>
        <v>20</v>
      </c>
      <c r="L267" s="94">
        <f t="shared" si="7"/>
        <v>1</v>
      </c>
    </row>
    <row r="268" spans="1:18" x14ac:dyDescent="0.25">
      <c r="B268" s="87">
        <v>8</v>
      </c>
      <c r="C268" s="109" t="s">
        <v>61</v>
      </c>
      <c r="D268" s="110" t="s">
        <v>62</v>
      </c>
      <c r="E268" s="227"/>
      <c r="F268" s="135" t="s">
        <v>172</v>
      </c>
      <c r="G268" s="135" t="s">
        <v>172</v>
      </c>
      <c r="H268" s="56">
        <v>20</v>
      </c>
      <c r="I268" s="56">
        <v>0</v>
      </c>
      <c r="J268" s="72">
        <f t="shared" si="6"/>
        <v>0</v>
      </c>
      <c r="K268" s="91">
        <f>+I268+'SEPTIEMBRE 2025'!K268</f>
        <v>20</v>
      </c>
      <c r="L268" s="96">
        <f t="shared" si="7"/>
        <v>1</v>
      </c>
    </row>
    <row r="269" spans="1:18" x14ac:dyDescent="0.25">
      <c r="D269" s="18"/>
      <c r="E269" s="5"/>
      <c r="F269" s="14"/>
      <c r="G269" s="5"/>
      <c r="H269" s="240" t="str">
        <f>+CONCATENATE("TOTAL A ",D7)</f>
        <v>TOTAL A OCTUBRE</v>
      </c>
      <c r="I269" s="241"/>
      <c r="J269" s="242"/>
      <c r="K269" s="240" t="s">
        <v>33</v>
      </c>
      <c r="L269" s="242"/>
    </row>
    <row r="270" spans="1:18" x14ac:dyDescent="0.25">
      <c r="D270" s="48"/>
      <c r="E270" s="54"/>
      <c r="F270" s="16"/>
      <c r="G270" s="54"/>
      <c r="H270" s="49">
        <f>+SUM(H13:H268)</f>
        <v>6480</v>
      </c>
      <c r="I270" s="50">
        <f>SUM(I13:I268)</f>
        <v>420</v>
      </c>
      <c r="J270" s="51">
        <f>IFERROR(I270/H270,0)</f>
        <v>6.4814814814814811E-2</v>
      </c>
      <c r="K270" s="50">
        <f>+SUM(K13:K268)</f>
        <v>5640</v>
      </c>
      <c r="L270" s="51">
        <f>IFERROR(K270/H270,0)</f>
        <v>0.87037037037037035</v>
      </c>
    </row>
    <row r="271" spans="1:18" x14ac:dyDescent="0.25">
      <c r="D271" s="48"/>
      <c r="E271" s="54"/>
      <c r="F271" s="16"/>
      <c r="G271" s="54"/>
      <c r="H271" s="118"/>
      <c r="I271" s="119"/>
      <c r="J271" s="120"/>
      <c r="K271" s="119"/>
      <c r="L271" s="120"/>
    </row>
    <row r="272" spans="1:18" ht="57" customHeight="1" x14ac:dyDescent="0.25">
      <c r="D272" s="275" t="s">
        <v>1297</v>
      </c>
      <c r="E272" s="275"/>
      <c r="F272" s="275"/>
      <c r="G272" s="275"/>
      <c r="H272" s="275"/>
      <c r="I272" s="275"/>
      <c r="J272" s="275"/>
      <c r="K272" s="275"/>
      <c r="L272" s="275"/>
    </row>
    <row r="273" spans="1:18" ht="76.349999999999994" customHeight="1" x14ac:dyDescent="0.25">
      <c r="B273" s="271" t="s">
        <v>34</v>
      </c>
      <c r="C273" s="272"/>
      <c r="D273" s="275" t="s">
        <v>1254</v>
      </c>
      <c r="E273" s="275"/>
      <c r="F273" s="275"/>
      <c r="G273" s="275"/>
      <c r="H273" s="275"/>
      <c r="I273" s="275"/>
      <c r="J273" s="275"/>
      <c r="K273" s="275"/>
      <c r="L273" s="275"/>
    </row>
    <row r="274" spans="1:18" ht="141" customHeight="1" x14ac:dyDescent="0.25">
      <c r="B274" s="273"/>
      <c r="C274" s="274"/>
      <c r="D274" s="275" t="s">
        <v>1255</v>
      </c>
      <c r="E274" s="275"/>
      <c r="F274" s="275"/>
      <c r="G274" s="275"/>
      <c r="H274" s="275"/>
      <c r="I274" s="275"/>
      <c r="J274" s="275"/>
      <c r="K274" s="275"/>
      <c r="L274" s="275"/>
    </row>
    <row r="275" spans="1:18" ht="26.45" customHeight="1" x14ac:dyDescent="0.25">
      <c r="B275" s="273"/>
      <c r="C275" s="274"/>
      <c r="D275" s="275" t="s">
        <v>1256</v>
      </c>
      <c r="E275" s="275"/>
      <c r="F275" s="275"/>
      <c r="G275" s="275"/>
      <c r="H275" s="275"/>
      <c r="I275" s="275"/>
      <c r="J275" s="275"/>
      <c r="K275" s="275"/>
      <c r="L275" s="275"/>
    </row>
    <row r="276" spans="1:18" ht="120" customHeight="1" x14ac:dyDescent="0.25">
      <c r="B276" s="273"/>
      <c r="C276" s="274"/>
      <c r="D276" s="275" t="s">
        <v>1283</v>
      </c>
      <c r="E276" s="275"/>
      <c r="F276" s="275"/>
      <c r="G276" s="275"/>
      <c r="H276" s="275"/>
      <c r="I276" s="275"/>
      <c r="J276" s="275"/>
      <c r="K276" s="275"/>
      <c r="L276" s="275"/>
    </row>
    <row r="277" spans="1:18" ht="48" customHeight="1" x14ac:dyDescent="0.25">
      <c r="B277" s="240"/>
      <c r="C277" s="242"/>
      <c r="D277" s="275" t="s">
        <v>1257</v>
      </c>
      <c r="E277" s="275"/>
      <c r="F277" s="275"/>
      <c r="G277" s="275"/>
      <c r="H277" s="275"/>
      <c r="I277" s="275"/>
      <c r="J277" s="275"/>
      <c r="K277" s="275"/>
      <c r="L277" s="275"/>
    </row>
    <row r="278" spans="1:18" x14ac:dyDescent="0.25">
      <c r="B278" s="248" t="s">
        <v>36</v>
      </c>
      <c r="C278" s="249"/>
      <c r="D278" s="249"/>
      <c r="E278" s="249"/>
      <c r="F278" s="249"/>
      <c r="G278" s="249"/>
      <c r="H278" s="249"/>
      <c r="I278" s="249"/>
      <c r="J278" s="249"/>
      <c r="K278" s="249"/>
      <c r="L278" s="250"/>
    </row>
    <row r="279" spans="1:18" x14ac:dyDescent="0.25">
      <c r="B279" s="251"/>
      <c r="C279" s="252"/>
      <c r="D279" s="252"/>
      <c r="E279" s="252"/>
      <c r="F279" s="252"/>
      <c r="G279" s="252"/>
      <c r="H279" s="252"/>
      <c r="I279" s="252"/>
      <c r="J279" s="252"/>
      <c r="K279" s="252"/>
      <c r="L279" s="253"/>
    </row>
    <row r="280" spans="1:18" x14ac:dyDescent="0.25">
      <c r="B280" s="254" t="s">
        <v>37</v>
      </c>
      <c r="C280" s="255"/>
      <c r="D280" s="255"/>
      <c r="E280" s="255"/>
      <c r="F280" s="255"/>
      <c r="G280" s="255"/>
      <c r="H280" s="255"/>
      <c r="I280" s="255"/>
      <c r="J280" s="255"/>
      <c r="K280" s="255"/>
      <c r="L280" s="256"/>
    </row>
    <row r="281" spans="1:18" ht="24.75" x14ac:dyDescent="0.3">
      <c r="B281" s="52" t="s">
        <v>38</v>
      </c>
      <c r="C281" s="121"/>
      <c r="D281" s="257" t="s">
        <v>35</v>
      </c>
      <c r="E281" s="258"/>
      <c r="F281" s="258"/>
      <c r="G281" s="258"/>
      <c r="H281" s="258"/>
      <c r="I281" s="258"/>
      <c r="J281" s="258"/>
      <c r="K281" s="258"/>
      <c r="L281" s="259"/>
    </row>
    <row r="282" spans="1:18" ht="24.75" x14ac:dyDescent="0.3">
      <c r="B282" s="52" t="s">
        <v>39</v>
      </c>
      <c r="C282" s="121"/>
      <c r="D282" s="260"/>
      <c r="E282" s="261"/>
      <c r="F282" s="261"/>
      <c r="G282" s="261"/>
      <c r="H282" s="261"/>
      <c r="I282" s="261"/>
      <c r="J282" s="261"/>
      <c r="K282" s="261"/>
      <c r="L282" s="262"/>
    </row>
    <row r="283" spans="1:18" x14ac:dyDescent="0.25">
      <c r="B283" s="263" t="s">
        <v>36</v>
      </c>
      <c r="C283" s="264"/>
      <c r="D283" s="264"/>
      <c r="E283" s="264"/>
      <c r="F283" s="264"/>
      <c r="G283" s="264"/>
      <c r="H283" s="264"/>
      <c r="I283" s="264"/>
      <c r="J283" s="264"/>
      <c r="K283" s="264"/>
      <c r="L283" s="265"/>
    </row>
    <row r="284" spans="1:18" s="6" customFormat="1" ht="14.45" hidden="1" customHeight="1" x14ac:dyDescent="0.25">
      <c r="A284" t="s">
        <v>0</v>
      </c>
      <c r="B284" s="266"/>
      <c r="C284" s="267"/>
      <c r="D284" s="267"/>
      <c r="E284" s="267"/>
      <c r="F284" s="267"/>
      <c r="G284" s="267"/>
      <c r="H284" s="267"/>
      <c r="I284" s="267"/>
      <c r="J284" s="267"/>
      <c r="K284" s="267"/>
      <c r="L284" s="268"/>
      <c r="M284" s="8"/>
      <c r="N284" s="8"/>
      <c r="O284"/>
      <c r="P284" s="8"/>
      <c r="Q284"/>
      <c r="R284" s="8"/>
    </row>
    <row r="285" spans="1:18" s="6" customFormat="1" ht="14.45" hidden="1" customHeight="1" x14ac:dyDescent="0.25">
      <c r="A285" t="s">
        <v>2</v>
      </c>
      <c r="B285" s="254" t="s">
        <v>40</v>
      </c>
      <c r="C285" s="255"/>
      <c r="D285" s="255"/>
      <c r="E285" s="255"/>
      <c r="F285" s="255"/>
      <c r="G285" s="255"/>
      <c r="H285" s="255"/>
      <c r="I285" s="255"/>
      <c r="J285" s="255"/>
      <c r="K285" s="255"/>
      <c r="L285" s="256"/>
      <c r="M285" s="8"/>
      <c r="N285" s="8"/>
      <c r="O285"/>
      <c r="P285" s="8"/>
      <c r="Q285"/>
      <c r="R285" s="8"/>
    </row>
    <row r="286" spans="1:18" s="6" customFormat="1" ht="14.45" hidden="1" customHeight="1" x14ac:dyDescent="0.3">
      <c r="A286" t="s">
        <v>6</v>
      </c>
      <c r="B286" s="52" t="s">
        <v>38</v>
      </c>
      <c r="C286" s="121"/>
      <c r="D286" s="257" t="s">
        <v>35</v>
      </c>
      <c r="E286" s="258"/>
      <c r="F286" s="258"/>
      <c r="G286" s="258"/>
      <c r="H286" s="258"/>
      <c r="I286" s="258"/>
      <c r="J286" s="258"/>
      <c r="K286" s="258"/>
      <c r="L286" s="259"/>
      <c r="M286" s="8"/>
      <c r="N286" s="8"/>
      <c r="O286"/>
      <c r="P286" s="8"/>
      <c r="Q286"/>
      <c r="R286" s="8"/>
    </row>
    <row r="287" spans="1:18" s="6" customFormat="1" ht="14.45" hidden="1" customHeight="1" x14ac:dyDescent="0.3">
      <c r="A287" t="s">
        <v>8</v>
      </c>
      <c r="B287" s="52" t="s">
        <v>39</v>
      </c>
      <c r="C287" s="121"/>
      <c r="D287" s="260"/>
      <c r="E287" s="261"/>
      <c r="F287" s="261"/>
      <c r="G287" s="261"/>
      <c r="H287" s="261"/>
      <c r="I287" s="261"/>
      <c r="J287" s="261"/>
      <c r="K287" s="261"/>
      <c r="L287" s="262"/>
      <c r="M287" s="8"/>
      <c r="N287" s="8"/>
      <c r="O287"/>
      <c r="P287" s="8"/>
      <c r="Q287"/>
      <c r="R287" s="8"/>
    </row>
    <row r="288" spans="1:18" s="6" customFormat="1" ht="14.45" hidden="1" customHeight="1" x14ac:dyDescent="0.25">
      <c r="A288" t="s">
        <v>9</v>
      </c>
      <c r="B288" s="53"/>
      <c r="C288" s="53"/>
      <c r="D288" s="18"/>
      <c r="E288" s="5"/>
      <c r="G288" s="5"/>
      <c r="H288" s="53"/>
      <c r="I288" s="122"/>
      <c r="M288" s="8"/>
      <c r="N288" s="8"/>
      <c r="O288"/>
      <c r="P288" s="8"/>
      <c r="Q288"/>
      <c r="R288" s="8"/>
    </row>
    <row r="289" spans="1:18" s="6" customFormat="1" ht="14.45" hidden="1" customHeight="1" x14ac:dyDescent="0.25">
      <c r="A289" t="s">
        <v>10</v>
      </c>
      <c r="B289" s="53"/>
      <c r="C289" s="53"/>
      <c r="D289" s="18"/>
      <c r="E289" s="5"/>
      <c r="G289" s="5"/>
      <c r="H289" s="53"/>
      <c r="I289" s="122"/>
      <c r="M289" s="8"/>
      <c r="N289" s="8"/>
      <c r="O289"/>
      <c r="P289" s="8"/>
      <c r="Q289"/>
      <c r="R289" s="8"/>
    </row>
    <row r="290" spans="1:18" s="6" customFormat="1" ht="14.45" hidden="1" customHeight="1" x14ac:dyDescent="0.25">
      <c r="A290" t="s">
        <v>11</v>
      </c>
      <c r="B290" s="269"/>
      <c r="C290" s="269"/>
      <c r="D290" s="269"/>
      <c r="E290" s="5"/>
      <c r="G290" s="5"/>
      <c r="H290" s="269"/>
      <c r="I290" s="269"/>
      <c r="J290" s="269"/>
      <c r="K290" s="269"/>
      <c r="M290" s="8"/>
      <c r="N290" s="8"/>
      <c r="O290"/>
      <c r="P290" s="8"/>
      <c r="Q290"/>
      <c r="R290" s="8"/>
    </row>
    <row r="291" spans="1:18" s="6" customFormat="1" ht="14.45" hidden="1" customHeight="1" x14ac:dyDescent="0.25">
      <c r="A291" t="s">
        <v>13</v>
      </c>
      <c r="B291" s="5" t="s">
        <v>41</v>
      </c>
      <c r="C291" s="270"/>
      <c r="D291" s="270"/>
      <c r="E291" s="5"/>
      <c r="G291" s="5"/>
      <c r="H291" s="5" t="s">
        <v>42</v>
      </c>
      <c r="I291" s="270" t="s">
        <v>222</v>
      </c>
      <c r="J291" s="270"/>
      <c r="K291" s="270"/>
      <c r="M291" s="8"/>
      <c r="N291" s="8"/>
      <c r="O291"/>
      <c r="P291" s="8"/>
      <c r="Q291"/>
      <c r="R291" s="8"/>
    </row>
    <row r="292" spans="1:18" s="6" customFormat="1" hidden="1" x14ac:dyDescent="0.25">
      <c r="A292" t="s">
        <v>14</v>
      </c>
      <c r="B292" s="54"/>
      <c r="C292" s="5"/>
      <c r="F292" s="7"/>
      <c r="M292" s="8"/>
      <c r="N292" s="8"/>
      <c r="O292"/>
      <c r="P292" s="8"/>
      <c r="Q292"/>
      <c r="R292" s="8"/>
    </row>
    <row r="293" spans="1:18" s="6" customFormat="1" hidden="1" x14ac:dyDescent="0.25">
      <c r="A293" t="s">
        <v>16</v>
      </c>
      <c r="B293" s="54"/>
      <c r="C293" s="5"/>
      <c r="F293" s="7"/>
      <c r="M293" s="8"/>
      <c r="N293" s="8"/>
      <c r="O293"/>
      <c r="P293" s="8"/>
      <c r="Q293"/>
      <c r="R293" s="8"/>
    </row>
    <row r="294" spans="1:18" s="6" customFormat="1" hidden="1" x14ac:dyDescent="0.25">
      <c r="A294" t="s">
        <v>17</v>
      </c>
      <c r="B294" s="54"/>
      <c r="C294" s="5"/>
      <c r="F294" s="7"/>
      <c r="M294" s="8"/>
      <c r="N294" s="8"/>
      <c r="O294"/>
      <c r="P294" s="8"/>
      <c r="Q294"/>
      <c r="R294" s="8"/>
    </row>
    <row r="295" spans="1:18" s="6" customFormat="1" hidden="1" x14ac:dyDescent="0.25">
      <c r="A295" t="s">
        <v>21</v>
      </c>
      <c r="B295" s="54"/>
      <c r="C295" s="5"/>
      <c r="F295" s="7"/>
      <c r="M295" s="8"/>
      <c r="N295" s="8"/>
      <c r="O295"/>
      <c r="P295" s="8"/>
      <c r="Q295"/>
      <c r="R295" s="8"/>
    </row>
    <row r="296" spans="1:18" s="6" customFormat="1" hidden="1" x14ac:dyDescent="0.25">
      <c r="A296" t="s">
        <v>31</v>
      </c>
      <c r="B296" s="54"/>
      <c r="C296" s="5"/>
      <c r="F296" s="7"/>
      <c r="M296" s="8"/>
      <c r="N296" s="8"/>
      <c r="O296"/>
      <c r="P296" s="8"/>
      <c r="Q296"/>
      <c r="R296" s="8"/>
    </row>
    <row r="297" spans="1:18" x14ac:dyDescent="0.25">
      <c r="B297" s="254" t="s">
        <v>40</v>
      </c>
      <c r="C297" s="255"/>
      <c r="D297" s="255"/>
      <c r="E297" s="255"/>
      <c r="F297" s="255"/>
      <c r="G297" s="255"/>
      <c r="H297" s="255"/>
      <c r="I297" s="255"/>
      <c r="J297" s="255"/>
      <c r="K297" s="255"/>
      <c r="L297" s="256"/>
    </row>
    <row r="298" spans="1:18" ht="24.75" x14ac:dyDescent="0.3">
      <c r="B298" s="52" t="s">
        <v>38</v>
      </c>
      <c r="C298" s="121"/>
      <c r="D298" s="257" t="s">
        <v>35</v>
      </c>
      <c r="E298" s="258"/>
      <c r="F298" s="258"/>
      <c r="G298" s="258"/>
      <c r="H298" s="258"/>
      <c r="I298" s="258"/>
      <c r="J298" s="258"/>
      <c r="K298" s="258"/>
      <c r="L298" s="259"/>
    </row>
    <row r="299" spans="1:18" ht="24.75" x14ac:dyDescent="0.3">
      <c r="B299" s="52" t="s">
        <v>39</v>
      </c>
      <c r="C299" s="121"/>
      <c r="D299" s="260"/>
      <c r="E299" s="261"/>
      <c r="F299" s="261"/>
      <c r="G299" s="261"/>
      <c r="H299" s="261"/>
      <c r="I299" s="261"/>
      <c r="J299" s="261"/>
      <c r="K299" s="261"/>
      <c r="L299" s="262"/>
    </row>
    <row r="300" spans="1:18" x14ac:dyDescent="0.25">
      <c r="B300" s="53"/>
      <c r="C300" s="53"/>
      <c r="D300" s="18"/>
      <c r="E300" s="5"/>
      <c r="F300" s="6"/>
      <c r="G300" s="5"/>
      <c r="H300" s="53"/>
      <c r="I300" s="122"/>
    </row>
    <row r="301" spans="1:18" x14ac:dyDescent="0.25">
      <c r="B301" s="53"/>
      <c r="C301" s="53"/>
      <c r="D301" s="18"/>
      <c r="E301" s="5"/>
      <c r="F301" s="6"/>
      <c r="G301" s="5"/>
      <c r="H301" s="53"/>
      <c r="I301" s="122"/>
    </row>
    <row r="302" spans="1:18" x14ac:dyDescent="0.25">
      <c r="B302" s="269"/>
      <c r="C302" s="269"/>
      <c r="D302" s="269"/>
      <c r="E302" s="5"/>
      <c r="F302" s="6"/>
      <c r="G302" s="5"/>
      <c r="H302" s="269"/>
      <c r="I302" s="269"/>
      <c r="J302" s="269"/>
      <c r="K302" s="269"/>
    </row>
    <row r="303" spans="1:18" x14ac:dyDescent="0.25">
      <c r="B303" s="5" t="s">
        <v>41</v>
      </c>
      <c r="C303" s="270"/>
      <c r="D303" s="270"/>
      <c r="E303" s="5"/>
      <c r="F303" s="6"/>
      <c r="G303" s="5"/>
      <c r="H303" s="5" t="s">
        <v>42</v>
      </c>
      <c r="I303" s="270" t="s">
        <v>222</v>
      </c>
      <c r="J303" s="270"/>
      <c r="K303" s="270"/>
    </row>
  </sheetData>
  <sheetProtection formatCells="0" formatColumns="0" formatRows="0" insertColumns="0" insertRows="0" insertHyperlinks="0" deleteColumns="0" deleteRows="0" sort="0" autoFilter="0" pivotTables="0"/>
  <autoFilter ref="B12:L270"/>
  <mergeCells count="64">
    <mergeCell ref="I291:K291"/>
    <mergeCell ref="D298:L299"/>
    <mergeCell ref="B302:D302"/>
    <mergeCell ref="H302:K302"/>
    <mergeCell ref="C303:D303"/>
    <mergeCell ref="I303:K303"/>
    <mergeCell ref="B297:L297"/>
    <mergeCell ref="D277:L277"/>
    <mergeCell ref="B278:L279"/>
    <mergeCell ref="B280:L280"/>
    <mergeCell ref="D281:L282"/>
    <mergeCell ref="B283:L284"/>
    <mergeCell ref="D286:L287"/>
    <mergeCell ref="B290:D290"/>
    <mergeCell ref="H290:K290"/>
    <mergeCell ref="C291:D291"/>
    <mergeCell ref="E246:E251"/>
    <mergeCell ref="E252:E259"/>
    <mergeCell ref="E260:E268"/>
    <mergeCell ref="H269:J269"/>
    <mergeCell ref="K269:L269"/>
    <mergeCell ref="D272:L272"/>
    <mergeCell ref="B285:L285"/>
    <mergeCell ref="B273:C277"/>
    <mergeCell ref="D273:L273"/>
    <mergeCell ref="D274:L274"/>
    <mergeCell ref="D275:L275"/>
    <mergeCell ref="D276:L276"/>
    <mergeCell ref="E103:E113"/>
    <mergeCell ref="E114:E122"/>
    <mergeCell ref="E123:E133"/>
    <mergeCell ref="E240:E245"/>
    <mergeCell ref="E146:E156"/>
    <mergeCell ref="E157:E166"/>
    <mergeCell ref="E167:E176"/>
    <mergeCell ref="E177:E181"/>
    <mergeCell ref="E182:E190"/>
    <mergeCell ref="E191:E198"/>
    <mergeCell ref="E199:E206"/>
    <mergeCell ref="E207:E212"/>
    <mergeCell ref="E213:E221"/>
    <mergeCell ref="E222:E230"/>
    <mergeCell ref="E231:E239"/>
    <mergeCell ref="E134:E145"/>
    <mergeCell ref="E56:E64"/>
    <mergeCell ref="E65:E73"/>
    <mergeCell ref="E74:E82"/>
    <mergeCell ref="E83:E91"/>
    <mergeCell ref="E92:E102"/>
    <mergeCell ref="E47:E55"/>
    <mergeCell ref="E30:E38"/>
    <mergeCell ref="E39:E46"/>
    <mergeCell ref="E21:E29"/>
    <mergeCell ref="B2:L2"/>
    <mergeCell ref="B3:D3"/>
    <mergeCell ref="F3:I3"/>
    <mergeCell ref="J3:L3"/>
    <mergeCell ref="B5:C5"/>
    <mergeCell ref="B7:C7"/>
    <mergeCell ref="B9:C9"/>
    <mergeCell ref="B11:H11"/>
    <mergeCell ref="I11:J11"/>
    <mergeCell ref="K11:L11"/>
    <mergeCell ref="E13:E20"/>
  </mergeCells>
  <conditionalFormatting sqref="L13:L268">
    <cfRule type="cellIs" dxfId="9" priority="1" operator="equal">
      <formula>1</formula>
    </cfRule>
    <cfRule type="cellIs" dxfId="8" priority="2" operator="greaterThan">
      <formula>1</formula>
    </cfRule>
  </conditionalFormatting>
  <dataValidations count="3">
    <dataValidation type="list" allowBlank="1" showInputMessage="1" showErrorMessage="1" sqref="D7">
      <formula1>$A$285:$A$296</formula1>
    </dataValidation>
    <dataValidation type="whole" allowBlank="1" showInputMessage="1" showErrorMessage="1" errorTitle="¡Error!" error="Introduzca un número válido." promptTitle="¡Atención!" prompt="Introduzca un número entre 0 y 366" sqref="H13:H268 H271">
      <formula1>0</formula1>
      <formula2>366</formula2>
    </dataValidation>
    <dataValidation type="whole" allowBlank="1" showInputMessage="1" showErrorMessage="1" errorTitle="¡Error!" error="Introduzca un número válido." promptTitle="¡Atención!" prompt="Introduzca un número entre 0 y 30" sqref="I13:I268">
      <formula1>0</formula1>
      <formula2>30</formula2>
    </dataValidation>
  </dataValidations>
  <pageMargins left="0.7" right="0.7" top="0.75" bottom="0.75" header="0.3" footer="0.3"/>
  <pageSetup scale="12"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02"/>
  <sheetViews>
    <sheetView showGridLines="0" view="pageBreakPreview" topLeftCell="A264" zoomScaleNormal="100" zoomScaleSheetLayoutView="100" workbookViewId="0">
      <selection activeCell="F83" sqref="F83:I91"/>
    </sheetView>
  </sheetViews>
  <sheetFormatPr baseColWidth="10" defaultColWidth="8.5703125" defaultRowHeight="15" x14ac:dyDescent="0.25"/>
  <cols>
    <col min="1" max="1" width="7.42578125" style="8" customWidth="1"/>
    <col min="2" max="2" width="15.5703125" style="5" customWidth="1"/>
    <col min="3" max="3" width="8.5703125" style="5" customWidth="1"/>
    <col min="4" max="4" width="43.42578125" style="6" customWidth="1"/>
    <col min="5" max="5" width="16.85546875" style="6" bestFit="1" customWidth="1"/>
    <col min="6" max="6" width="31" style="7" customWidth="1"/>
    <col min="7" max="7" width="30.140625" style="6" customWidth="1"/>
    <col min="8" max="8" width="13.5703125" style="6" customWidth="1"/>
    <col min="9" max="9" width="13.42578125" style="6" customWidth="1"/>
    <col min="10" max="10" width="10.42578125" style="6" customWidth="1"/>
    <col min="11" max="12" width="12.42578125" style="6" customWidth="1"/>
    <col min="13" max="13" width="6.5703125" style="8" customWidth="1"/>
    <col min="14" max="14" width="16.42578125" style="8" customWidth="1"/>
    <col min="16" max="16" width="16.42578125" style="8" customWidth="1"/>
    <col min="17" max="17" width="0" hidden="1" customWidth="1"/>
    <col min="18" max="18" width="16.42578125" style="8" customWidth="1"/>
    <col min="19" max="16384" width="8.5703125" style="8"/>
  </cols>
  <sheetData>
    <row r="1" spans="2:17" x14ac:dyDescent="0.25">
      <c r="Q1" t="s">
        <v>0</v>
      </c>
    </row>
    <row r="2" spans="2:17" ht="49.5" customHeight="1" x14ac:dyDescent="0.25">
      <c r="B2" s="221" t="s">
        <v>1</v>
      </c>
      <c r="C2" s="221"/>
      <c r="D2" s="221"/>
      <c r="E2" s="221"/>
      <c r="F2" s="221"/>
      <c r="G2" s="221"/>
      <c r="H2" s="221"/>
      <c r="I2" s="221"/>
      <c r="J2" s="221"/>
      <c r="K2" s="221"/>
      <c r="L2" s="221"/>
      <c r="Q2" t="s">
        <v>2</v>
      </c>
    </row>
    <row r="3" spans="2:17" ht="18.75" customHeight="1" x14ac:dyDescent="0.25">
      <c r="B3" s="222" t="s">
        <v>3</v>
      </c>
      <c r="C3" s="223"/>
      <c r="D3" s="223"/>
      <c r="E3" s="58"/>
      <c r="F3" s="223" t="s">
        <v>4</v>
      </c>
      <c r="G3" s="223"/>
      <c r="H3" s="223"/>
      <c r="I3" s="223"/>
      <c r="J3" s="223" t="s">
        <v>5</v>
      </c>
      <c r="K3" s="223"/>
      <c r="L3" s="224"/>
    </row>
    <row r="4" spans="2:17" x14ac:dyDescent="0.25">
      <c r="B4" s="9"/>
      <c r="C4" s="57"/>
      <c r="L4" s="10"/>
      <c r="Q4" t="s">
        <v>6</v>
      </c>
    </row>
    <row r="5" spans="2:17" s="16" customFormat="1" ht="27.6" customHeight="1" x14ac:dyDescent="0.25">
      <c r="B5" s="225" t="s">
        <v>7</v>
      </c>
      <c r="C5" s="225"/>
      <c r="D5" s="11">
        <v>90141005</v>
      </c>
      <c r="E5"/>
      <c r="F5" s="12"/>
      <c r="G5" s="13"/>
      <c r="H5" s="14"/>
      <c r="I5" s="14"/>
      <c r="J5" s="14"/>
      <c r="K5" s="14"/>
      <c r="L5" s="15"/>
      <c r="O5"/>
      <c r="Q5" t="s">
        <v>8</v>
      </c>
    </row>
    <row r="6" spans="2:17" s="16" customFormat="1" x14ac:dyDescent="0.25">
      <c r="B6" s="17"/>
      <c r="C6" s="5"/>
      <c r="D6" s="14"/>
      <c r="E6"/>
      <c r="F6" s="18"/>
      <c r="G6" s="14"/>
      <c r="H6" s="14"/>
      <c r="I6" s="14"/>
      <c r="J6" s="14"/>
      <c r="K6" s="14"/>
      <c r="L6" s="15"/>
      <c r="O6"/>
      <c r="Q6" t="s">
        <v>11</v>
      </c>
    </row>
    <row r="7" spans="2:17" s="16" customFormat="1" x14ac:dyDescent="0.25">
      <c r="B7" s="225" t="s">
        <v>12</v>
      </c>
      <c r="C7" s="225"/>
      <c r="D7" s="19" t="s">
        <v>21</v>
      </c>
      <c r="E7"/>
      <c r="F7" s="20"/>
      <c r="G7" s="21"/>
      <c r="H7" s="14"/>
      <c r="I7" s="14"/>
      <c r="J7" s="14"/>
      <c r="K7" s="14"/>
      <c r="L7" s="15"/>
      <c r="O7"/>
      <c r="Q7" t="s">
        <v>13</v>
      </c>
    </row>
    <row r="8" spans="2:17" s="16" customFormat="1" x14ac:dyDescent="0.25">
      <c r="B8" s="22"/>
      <c r="C8" s="23"/>
      <c r="D8" s="24"/>
      <c r="E8"/>
      <c r="F8" s="20"/>
      <c r="G8" s="21"/>
      <c r="H8" s="14"/>
      <c r="I8" s="14"/>
      <c r="J8" s="14"/>
      <c r="K8" s="14"/>
      <c r="L8" s="15"/>
      <c r="O8"/>
      <c r="Q8" t="s">
        <v>14</v>
      </c>
    </row>
    <row r="9" spans="2:17" s="16" customFormat="1" x14ac:dyDescent="0.25">
      <c r="B9" s="225" t="s">
        <v>15</v>
      </c>
      <c r="C9" s="225"/>
      <c r="D9" s="25">
        <v>45991</v>
      </c>
      <c r="E9"/>
      <c r="F9" s="26"/>
      <c r="G9" s="27"/>
      <c r="H9" s="14"/>
      <c r="I9" s="14"/>
      <c r="J9" s="14"/>
      <c r="K9" s="14"/>
      <c r="L9" s="15"/>
      <c r="O9"/>
      <c r="Q9" t="s">
        <v>16</v>
      </c>
    </row>
    <row r="10" spans="2:17" x14ac:dyDescent="0.25">
      <c r="B10" s="28"/>
      <c r="C10" s="29"/>
      <c r="L10" s="30"/>
      <c r="Q10" t="s">
        <v>17</v>
      </c>
    </row>
    <row r="11" spans="2:17" s="31" customFormat="1" ht="26.85" customHeight="1" x14ac:dyDescent="0.25">
      <c r="B11" s="225" t="s">
        <v>18</v>
      </c>
      <c r="C11" s="225"/>
      <c r="D11" s="225"/>
      <c r="E11" s="225"/>
      <c r="F11" s="225"/>
      <c r="G11" s="225"/>
      <c r="H11" s="225"/>
      <c r="I11" s="225" t="s">
        <v>19</v>
      </c>
      <c r="J11" s="225"/>
      <c r="K11" s="225" t="s">
        <v>20</v>
      </c>
      <c r="L11" s="225"/>
      <c r="O11" s="32"/>
      <c r="Q11" s="32" t="s">
        <v>21</v>
      </c>
    </row>
    <row r="12" spans="2:17" s="31" customFormat="1" ht="57.6" customHeight="1" x14ac:dyDescent="0.25">
      <c r="B12" s="33" t="s">
        <v>22</v>
      </c>
      <c r="C12" s="33" t="s">
        <v>23</v>
      </c>
      <c r="D12" s="33" t="s">
        <v>24</v>
      </c>
      <c r="E12" s="33" t="s">
        <v>72</v>
      </c>
      <c r="F12" s="34" t="s">
        <v>25</v>
      </c>
      <c r="G12" s="33" t="s">
        <v>26</v>
      </c>
      <c r="H12" s="33" t="s">
        <v>27</v>
      </c>
      <c r="I12" s="33" t="s">
        <v>28</v>
      </c>
      <c r="J12" s="33" t="s">
        <v>29</v>
      </c>
      <c r="K12" s="33" t="s">
        <v>30</v>
      </c>
      <c r="L12" s="33" t="s">
        <v>29</v>
      </c>
      <c r="O12" s="32"/>
      <c r="Q12" s="32" t="s">
        <v>31</v>
      </c>
    </row>
    <row r="13" spans="2:17" x14ac:dyDescent="0.25">
      <c r="B13" s="35">
        <v>3</v>
      </c>
      <c r="C13" s="36" t="s">
        <v>43</v>
      </c>
      <c r="D13" s="37" t="s">
        <v>44</v>
      </c>
      <c r="E13" s="218" t="s">
        <v>73</v>
      </c>
      <c r="F13" s="59" t="s">
        <v>64</v>
      </c>
      <c r="G13" s="60" t="s">
        <v>65</v>
      </c>
      <c r="H13" s="89">
        <v>33</v>
      </c>
      <c r="I13" s="89">
        <v>1</v>
      </c>
      <c r="J13" s="67">
        <f>IFERROR(I13/H13,0)</f>
        <v>3.0303030303030304E-2</v>
      </c>
      <c r="K13" s="93">
        <f>+I13+'OCTUBRE 2025'!K13</f>
        <v>33</v>
      </c>
      <c r="L13" s="92">
        <f>IFERROR(K13/H13,0)</f>
        <v>1</v>
      </c>
    </row>
    <row r="14" spans="2:17" x14ac:dyDescent="0.25">
      <c r="B14" s="38">
        <v>3</v>
      </c>
      <c r="C14" s="39" t="s">
        <v>46</v>
      </c>
      <c r="D14" s="40" t="s">
        <v>47</v>
      </c>
      <c r="E14" s="219"/>
      <c r="F14" s="61" t="s">
        <v>66</v>
      </c>
      <c r="G14" s="63" t="s">
        <v>67</v>
      </c>
      <c r="H14" s="2">
        <v>39</v>
      </c>
      <c r="I14" s="3">
        <v>5</v>
      </c>
      <c r="J14" s="69">
        <f>IFERROR(I14/H14,0)</f>
        <v>0.12820512820512819</v>
      </c>
      <c r="K14" s="90">
        <f>+I14+'OCTUBRE 2025'!K14</f>
        <v>29</v>
      </c>
      <c r="L14" s="94">
        <f>IFERROR(K14/H14,0)</f>
        <v>0.74358974358974361</v>
      </c>
    </row>
    <row r="15" spans="2:17" x14ac:dyDescent="0.25">
      <c r="B15" s="38">
        <v>3</v>
      </c>
      <c r="C15" s="39" t="s">
        <v>49</v>
      </c>
      <c r="D15" s="40" t="s">
        <v>50</v>
      </c>
      <c r="E15" s="219"/>
      <c r="F15" s="61" t="s">
        <v>68</v>
      </c>
      <c r="G15" s="62" t="s">
        <v>65</v>
      </c>
      <c r="H15" s="3">
        <v>33</v>
      </c>
      <c r="I15" s="4">
        <v>5</v>
      </c>
      <c r="J15" s="69">
        <f t="shared" ref="J15:J78" si="0">IFERROR(I15/H15,0)</f>
        <v>0.15151515151515152</v>
      </c>
      <c r="K15" s="90">
        <f>+I15+'OCTUBRE 2025'!K15</f>
        <v>30</v>
      </c>
      <c r="L15" s="94">
        <f t="shared" ref="L15:L78" si="1">IFERROR(K15/H15,0)</f>
        <v>0.90909090909090906</v>
      </c>
    </row>
    <row r="16" spans="2:17" x14ac:dyDescent="0.25">
      <c r="B16" s="38">
        <v>3</v>
      </c>
      <c r="C16" s="39" t="s">
        <v>52</v>
      </c>
      <c r="D16" s="40" t="s">
        <v>53</v>
      </c>
      <c r="E16" s="219"/>
      <c r="F16" s="61" t="s">
        <v>54</v>
      </c>
      <c r="G16" s="62" t="s">
        <v>65</v>
      </c>
      <c r="H16" s="3">
        <v>33</v>
      </c>
      <c r="I16" s="3">
        <v>5</v>
      </c>
      <c r="J16" s="69">
        <f t="shared" si="0"/>
        <v>0.15151515151515152</v>
      </c>
      <c r="K16" s="90">
        <f>+I16+'OCTUBRE 2025'!K16</f>
        <v>31</v>
      </c>
      <c r="L16" s="94">
        <f t="shared" si="1"/>
        <v>0.93939393939393945</v>
      </c>
    </row>
    <row r="17" spans="2:17" s="16" customFormat="1" x14ac:dyDescent="0.25">
      <c r="B17" s="38">
        <v>3</v>
      </c>
      <c r="C17" s="39" t="s">
        <v>55</v>
      </c>
      <c r="D17" s="40" t="s">
        <v>56</v>
      </c>
      <c r="E17" s="219"/>
      <c r="F17" s="61" t="s">
        <v>69</v>
      </c>
      <c r="G17" s="62" t="s">
        <v>65</v>
      </c>
      <c r="H17" s="3">
        <v>33</v>
      </c>
      <c r="I17" s="3">
        <v>2</v>
      </c>
      <c r="J17" s="69">
        <f t="shared" si="0"/>
        <v>6.0606060606060608E-2</v>
      </c>
      <c r="K17" s="90">
        <f>+I17+'OCTUBRE 2025'!K17</f>
        <v>32</v>
      </c>
      <c r="L17" s="94">
        <f t="shared" si="1"/>
        <v>0.96969696969696972</v>
      </c>
      <c r="O17" s="41"/>
      <c r="Q17" s="41"/>
    </row>
    <row r="18" spans="2:17" x14ac:dyDescent="0.25">
      <c r="B18" s="38">
        <v>5</v>
      </c>
      <c r="C18" s="39" t="s">
        <v>57</v>
      </c>
      <c r="D18" s="40" t="s">
        <v>58</v>
      </c>
      <c r="E18" s="219"/>
      <c r="F18" s="61" t="s">
        <v>54</v>
      </c>
      <c r="G18" s="62" t="s">
        <v>203</v>
      </c>
      <c r="H18" s="3">
        <v>33</v>
      </c>
      <c r="I18" s="3">
        <v>2</v>
      </c>
      <c r="J18" s="69">
        <f t="shared" si="0"/>
        <v>6.0606060606060608E-2</v>
      </c>
      <c r="K18" s="90">
        <f>+I18+'OCTUBRE 2025'!K18</f>
        <v>30</v>
      </c>
      <c r="L18" s="94">
        <f t="shared" si="1"/>
        <v>0.90909090909090906</v>
      </c>
    </row>
    <row r="19" spans="2:17" x14ac:dyDescent="0.25">
      <c r="B19" s="38">
        <v>5</v>
      </c>
      <c r="C19" s="39" t="s">
        <v>59</v>
      </c>
      <c r="D19" s="40" t="s">
        <v>60</v>
      </c>
      <c r="E19" s="219"/>
      <c r="F19" s="61" t="s">
        <v>70</v>
      </c>
      <c r="G19" s="62" t="s">
        <v>204</v>
      </c>
      <c r="H19" s="3">
        <v>33</v>
      </c>
      <c r="I19" s="3">
        <v>0</v>
      </c>
      <c r="J19" s="69">
        <f t="shared" si="0"/>
        <v>0</v>
      </c>
      <c r="K19" s="90">
        <f>+I19+'OCTUBRE 2025'!K19</f>
        <v>27</v>
      </c>
      <c r="L19" s="94">
        <f t="shared" si="1"/>
        <v>0.81818181818181823</v>
      </c>
    </row>
    <row r="20" spans="2:17" x14ac:dyDescent="0.25">
      <c r="B20" s="42">
        <v>8</v>
      </c>
      <c r="C20" s="43" t="s">
        <v>61</v>
      </c>
      <c r="D20" s="44" t="s">
        <v>62</v>
      </c>
      <c r="E20" s="220"/>
      <c r="F20" s="64" t="s">
        <v>63</v>
      </c>
      <c r="G20" s="65" t="s">
        <v>71</v>
      </c>
      <c r="H20" s="97">
        <v>33</v>
      </c>
      <c r="I20" s="97">
        <v>10</v>
      </c>
      <c r="J20" s="72">
        <f t="shared" si="0"/>
        <v>0.30303030303030304</v>
      </c>
      <c r="K20" s="91">
        <f>+I20+'OCTUBRE 2025'!K20</f>
        <v>28</v>
      </c>
      <c r="L20" s="96">
        <f t="shared" si="1"/>
        <v>0.84848484848484851</v>
      </c>
    </row>
    <row r="21" spans="2:17" x14ac:dyDescent="0.25">
      <c r="B21" s="35">
        <v>3</v>
      </c>
      <c r="C21" s="36" t="s">
        <v>43</v>
      </c>
      <c r="D21" s="37" t="s">
        <v>44</v>
      </c>
      <c r="E21" s="218" t="s">
        <v>100</v>
      </c>
      <c r="F21" s="59" t="s">
        <v>1371</v>
      </c>
      <c r="G21" s="60" t="s">
        <v>1372</v>
      </c>
      <c r="H21" s="89">
        <v>30</v>
      </c>
      <c r="I21" s="89">
        <v>2</v>
      </c>
      <c r="J21" s="69">
        <f t="shared" si="0"/>
        <v>6.6666666666666666E-2</v>
      </c>
      <c r="K21" s="103">
        <f>+I21+'OCTUBRE 2025'!K21</f>
        <v>27</v>
      </c>
      <c r="L21" s="94">
        <f t="shared" si="1"/>
        <v>0.9</v>
      </c>
      <c r="N21"/>
      <c r="O21" s="8"/>
      <c r="P21"/>
      <c r="Q21" s="8"/>
    </row>
    <row r="22" spans="2:17" x14ac:dyDescent="0.25">
      <c r="B22" s="38">
        <v>3</v>
      </c>
      <c r="C22" s="39" t="s">
        <v>46</v>
      </c>
      <c r="D22" s="40" t="s">
        <v>47</v>
      </c>
      <c r="E22" s="219"/>
      <c r="F22" s="61" t="s">
        <v>1373</v>
      </c>
      <c r="G22" s="62" t="s">
        <v>1374</v>
      </c>
      <c r="H22" s="2">
        <v>30</v>
      </c>
      <c r="I22" s="3">
        <v>4</v>
      </c>
      <c r="J22" s="69">
        <f t="shared" si="0"/>
        <v>0.13333333333333333</v>
      </c>
      <c r="K22" s="90">
        <f>+I22+'OCTUBRE 2025'!K22</f>
        <v>26</v>
      </c>
      <c r="L22" s="94">
        <f t="shared" si="1"/>
        <v>0.8666666666666667</v>
      </c>
      <c r="N22"/>
      <c r="O22" s="8"/>
      <c r="P22"/>
      <c r="Q22" s="8"/>
    </row>
    <row r="23" spans="2:17" x14ac:dyDescent="0.25">
      <c r="B23" s="38">
        <v>3</v>
      </c>
      <c r="C23" s="39" t="s">
        <v>98</v>
      </c>
      <c r="D23" s="40" t="s">
        <v>99</v>
      </c>
      <c r="E23" s="219"/>
      <c r="F23" s="61" t="s">
        <v>1314</v>
      </c>
      <c r="G23" s="63" t="s">
        <v>1375</v>
      </c>
      <c r="H23" s="3">
        <v>30</v>
      </c>
      <c r="I23" s="4">
        <v>4</v>
      </c>
      <c r="J23" s="69">
        <f t="shared" si="0"/>
        <v>0.13333333333333333</v>
      </c>
      <c r="K23" s="90">
        <f>+I23+'OCTUBRE 2025'!K23</f>
        <v>27</v>
      </c>
      <c r="L23" s="94">
        <f t="shared" si="1"/>
        <v>0.9</v>
      </c>
      <c r="N23"/>
      <c r="O23" s="8"/>
      <c r="P23"/>
      <c r="Q23" s="8"/>
    </row>
    <row r="24" spans="2:17" x14ac:dyDescent="0.25">
      <c r="B24" s="38">
        <v>3</v>
      </c>
      <c r="C24" s="39" t="s">
        <v>49</v>
      </c>
      <c r="D24" s="40" t="s">
        <v>50</v>
      </c>
      <c r="E24" s="219"/>
      <c r="F24" s="61" t="s">
        <v>1376</v>
      </c>
      <c r="G24" s="62" t="s">
        <v>1377</v>
      </c>
      <c r="H24" s="3">
        <v>30</v>
      </c>
      <c r="I24" s="3">
        <v>3</v>
      </c>
      <c r="J24" s="69">
        <f t="shared" si="0"/>
        <v>0.1</v>
      </c>
      <c r="K24" s="90">
        <f>+I24+'OCTUBRE 2025'!K24</f>
        <v>26</v>
      </c>
      <c r="L24" s="94">
        <f t="shared" si="1"/>
        <v>0.8666666666666667</v>
      </c>
      <c r="N24"/>
      <c r="O24" s="8"/>
      <c r="P24"/>
      <c r="Q24" s="8"/>
    </row>
    <row r="25" spans="2:17" x14ac:dyDescent="0.25">
      <c r="B25" s="38">
        <v>3</v>
      </c>
      <c r="C25" s="39" t="s">
        <v>52</v>
      </c>
      <c r="D25" s="40" t="s">
        <v>53</v>
      </c>
      <c r="E25" s="219"/>
      <c r="F25" s="61" t="s">
        <v>1378</v>
      </c>
      <c r="G25" s="62" t="s">
        <v>1379</v>
      </c>
      <c r="H25" s="3">
        <v>30</v>
      </c>
      <c r="I25" s="3">
        <v>3</v>
      </c>
      <c r="J25" s="69">
        <f t="shared" si="0"/>
        <v>0.1</v>
      </c>
      <c r="K25" s="90">
        <f>+I25+'OCTUBRE 2025'!K25</f>
        <v>26</v>
      </c>
      <c r="L25" s="94">
        <f t="shared" si="1"/>
        <v>0.8666666666666667</v>
      </c>
      <c r="N25"/>
      <c r="O25" s="8"/>
      <c r="P25"/>
      <c r="Q25" s="8"/>
    </row>
    <row r="26" spans="2:17" s="16" customFormat="1" x14ac:dyDescent="0.25">
      <c r="B26" s="38">
        <v>3</v>
      </c>
      <c r="C26" s="39" t="s">
        <v>55</v>
      </c>
      <c r="D26" s="40" t="s">
        <v>56</v>
      </c>
      <c r="E26" s="219"/>
      <c r="F26" s="61" t="s">
        <v>1320</v>
      </c>
      <c r="G26" s="62" t="s">
        <v>1380</v>
      </c>
      <c r="H26" s="3">
        <v>30</v>
      </c>
      <c r="I26" s="3">
        <v>4</v>
      </c>
      <c r="J26" s="69">
        <f t="shared" si="0"/>
        <v>0.13333333333333333</v>
      </c>
      <c r="K26" s="90">
        <f>+I26+'OCTUBRE 2025'!K26</f>
        <v>29</v>
      </c>
      <c r="L26" s="94">
        <f t="shared" si="1"/>
        <v>0.96666666666666667</v>
      </c>
      <c r="N26" s="41"/>
      <c r="P26" s="41"/>
    </row>
    <row r="27" spans="2:17" x14ac:dyDescent="0.25">
      <c r="B27" s="38">
        <v>5</v>
      </c>
      <c r="C27" s="39" t="s">
        <v>57</v>
      </c>
      <c r="D27" s="40" t="s">
        <v>58</v>
      </c>
      <c r="E27" s="219"/>
      <c r="F27" s="61" t="s">
        <v>1381</v>
      </c>
      <c r="G27" s="62" t="s">
        <v>1382</v>
      </c>
      <c r="H27" s="3">
        <v>30</v>
      </c>
      <c r="I27" s="3">
        <v>3</v>
      </c>
      <c r="J27" s="69">
        <f t="shared" si="0"/>
        <v>0.1</v>
      </c>
      <c r="K27" s="90">
        <f>+I27+'OCTUBRE 2025'!K27</f>
        <v>26</v>
      </c>
      <c r="L27" s="94">
        <f t="shared" si="1"/>
        <v>0.8666666666666667</v>
      </c>
      <c r="N27"/>
      <c r="O27" s="8"/>
      <c r="P27"/>
      <c r="Q27" s="8"/>
    </row>
    <row r="28" spans="2:17" x14ac:dyDescent="0.25">
      <c r="B28" s="38">
        <v>5</v>
      </c>
      <c r="C28" s="39" t="s">
        <v>59</v>
      </c>
      <c r="D28" s="40" t="s">
        <v>60</v>
      </c>
      <c r="E28" s="219"/>
      <c r="F28" s="61" t="s">
        <v>1383</v>
      </c>
      <c r="G28" s="62" t="s">
        <v>1384</v>
      </c>
      <c r="H28" s="3">
        <v>30</v>
      </c>
      <c r="I28" s="3">
        <v>3</v>
      </c>
      <c r="J28" s="69">
        <f t="shared" si="0"/>
        <v>0.1</v>
      </c>
      <c r="K28" s="90">
        <f>+I28+'OCTUBRE 2025'!K28</f>
        <v>26</v>
      </c>
      <c r="L28" s="94">
        <f t="shared" si="1"/>
        <v>0.8666666666666667</v>
      </c>
      <c r="N28"/>
      <c r="O28" s="8"/>
      <c r="P28"/>
      <c r="Q28" s="8"/>
    </row>
    <row r="29" spans="2:17" x14ac:dyDescent="0.25">
      <c r="B29" s="42">
        <v>8</v>
      </c>
      <c r="C29" s="43" t="s">
        <v>61</v>
      </c>
      <c r="D29" s="44" t="s">
        <v>62</v>
      </c>
      <c r="E29" s="220"/>
      <c r="F29" s="64" t="s">
        <v>681</v>
      </c>
      <c r="G29" s="65" t="s">
        <v>1325</v>
      </c>
      <c r="H29" s="97">
        <v>30</v>
      </c>
      <c r="I29" s="97">
        <v>4</v>
      </c>
      <c r="J29" s="72">
        <f t="shared" si="0"/>
        <v>0.13333333333333333</v>
      </c>
      <c r="K29" s="91">
        <f>+I29+'OCTUBRE 2025'!K29</f>
        <v>27</v>
      </c>
      <c r="L29" s="96">
        <f t="shared" si="1"/>
        <v>0.9</v>
      </c>
      <c r="N29"/>
      <c r="O29" s="8"/>
      <c r="P29"/>
      <c r="Q29" s="8"/>
    </row>
    <row r="30" spans="2:17" x14ac:dyDescent="0.25">
      <c r="B30" s="35">
        <v>1</v>
      </c>
      <c r="C30" s="36" t="s">
        <v>74</v>
      </c>
      <c r="D30" s="37" t="s">
        <v>75</v>
      </c>
      <c r="E30" s="218" t="s">
        <v>97</v>
      </c>
      <c r="F30" s="59" t="s">
        <v>1385</v>
      </c>
      <c r="G30" s="60" t="s">
        <v>76</v>
      </c>
      <c r="H30" s="89">
        <v>55</v>
      </c>
      <c r="I30" s="89">
        <v>7</v>
      </c>
      <c r="J30" s="69">
        <f t="shared" si="0"/>
        <v>0.12727272727272726</v>
      </c>
      <c r="K30" s="103">
        <f>+I30+'OCTUBRE 2025'!K30</f>
        <v>49</v>
      </c>
      <c r="L30" s="94">
        <f t="shared" si="1"/>
        <v>0.89090909090909087</v>
      </c>
      <c r="N30"/>
      <c r="O30" s="8"/>
      <c r="P30"/>
      <c r="Q30" s="8"/>
    </row>
    <row r="31" spans="2:17" x14ac:dyDescent="0.25">
      <c r="B31" s="38">
        <v>1</v>
      </c>
      <c r="C31" s="39" t="s">
        <v>77</v>
      </c>
      <c r="D31" s="40" t="s">
        <v>78</v>
      </c>
      <c r="E31" s="219"/>
      <c r="F31" s="61" t="s">
        <v>1386</v>
      </c>
      <c r="G31" s="76" t="s">
        <v>1387</v>
      </c>
      <c r="H31" s="2">
        <v>20</v>
      </c>
      <c r="I31" s="3">
        <v>2</v>
      </c>
      <c r="J31" s="69">
        <f t="shared" si="0"/>
        <v>0.1</v>
      </c>
      <c r="K31" s="90">
        <f>+I31+'OCTUBRE 2025'!K31</f>
        <v>18</v>
      </c>
      <c r="L31" s="94">
        <f t="shared" si="1"/>
        <v>0.9</v>
      </c>
      <c r="N31"/>
      <c r="O31" s="8"/>
      <c r="P31"/>
      <c r="Q31" s="8"/>
    </row>
    <row r="32" spans="2:17" x14ac:dyDescent="0.25">
      <c r="B32" s="38">
        <v>1</v>
      </c>
      <c r="C32" s="39" t="s">
        <v>79</v>
      </c>
      <c r="D32" s="40" t="s">
        <v>80</v>
      </c>
      <c r="E32" s="219"/>
      <c r="F32" s="61" t="s">
        <v>1388</v>
      </c>
      <c r="G32" s="62" t="s">
        <v>81</v>
      </c>
      <c r="H32" s="3">
        <v>30</v>
      </c>
      <c r="I32" s="4">
        <v>4</v>
      </c>
      <c r="J32" s="69">
        <f t="shared" si="0"/>
        <v>0.13333333333333333</v>
      </c>
      <c r="K32" s="90">
        <f>+I32+'OCTUBRE 2025'!K32</f>
        <v>27</v>
      </c>
      <c r="L32" s="94">
        <f t="shared" si="1"/>
        <v>0.9</v>
      </c>
      <c r="N32"/>
      <c r="O32" s="8"/>
      <c r="P32"/>
      <c r="Q32" s="8"/>
    </row>
    <row r="33" spans="2:17" x14ac:dyDescent="0.25">
      <c r="B33" s="38">
        <v>1</v>
      </c>
      <c r="C33" s="39" t="s">
        <v>82</v>
      </c>
      <c r="D33" s="40" t="s">
        <v>83</v>
      </c>
      <c r="E33" s="219"/>
      <c r="F33" s="61" t="s">
        <v>897</v>
      </c>
      <c r="G33" s="62" t="s">
        <v>81</v>
      </c>
      <c r="H33" s="3">
        <v>25</v>
      </c>
      <c r="I33" s="3">
        <v>2</v>
      </c>
      <c r="J33" s="69">
        <f t="shared" si="0"/>
        <v>0.08</v>
      </c>
      <c r="K33" s="90">
        <f>+I33+'OCTUBRE 2025'!K33</f>
        <v>22</v>
      </c>
      <c r="L33" s="94">
        <f t="shared" si="1"/>
        <v>0.88</v>
      </c>
      <c r="N33"/>
      <c r="O33" s="8"/>
      <c r="P33"/>
      <c r="Q33" s="8"/>
    </row>
    <row r="34" spans="2:17" x14ac:dyDescent="0.25">
      <c r="B34" s="38">
        <v>1</v>
      </c>
      <c r="C34" s="39" t="s">
        <v>84</v>
      </c>
      <c r="D34" s="40" t="s">
        <v>85</v>
      </c>
      <c r="E34" s="219"/>
      <c r="F34" s="61" t="s">
        <v>1201</v>
      </c>
      <c r="G34" s="76" t="s">
        <v>1387</v>
      </c>
      <c r="H34" s="3">
        <v>30</v>
      </c>
      <c r="I34" s="3">
        <v>4</v>
      </c>
      <c r="J34" s="69">
        <f t="shared" si="0"/>
        <v>0.13333333333333333</v>
      </c>
      <c r="K34" s="90">
        <f>+I34+'OCTUBRE 2025'!K34</f>
        <v>27</v>
      </c>
      <c r="L34" s="94">
        <f t="shared" si="1"/>
        <v>0.9</v>
      </c>
      <c r="N34"/>
      <c r="O34" s="8"/>
      <c r="P34"/>
      <c r="Q34" s="8"/>
    </row>
    <row r="35" spans="2:17" s="16" customFormat="1" x14ac:dyDescent="0.25">
      <c r="B35" s="38">
        <v>1</v>
      </c>
      <c r="C35" s="39" t="s">
        <v>86</v>
      </c>
      <c r="D35" s="40" t="s">
        <v>87</v>
      </c>
      <c r="E35" s="219"/>
      <c r="F35" s="61" t="s">
        <v>1202</v>
      </c>
      <c r="G35" s="62" t="s">
        <v>88</v>
      </c>
      <c r="H35" s="3">
        <v>20</v>
      </c>
      <c r="I35" s="3">
        <v>2</v>
      </c>
      <c r="J35" s="69">
        <f t="shared" si="0"/>
        <v>0.1</v>
      </c>
      <c r="K35" s="90">
        <f>+I35+'OCTUBRE 2025'!K35</f>
        <v>18</v>
      </c>
      <c r="L35" s="94">
        <f t="shared" si="1"/>
        <v>0.9</v>
      </c>
      <c r="N35" s="41"/>
      <c r="P35" s="41"/>
    </row>
    <row r="36" spans="2:17" x14ac:dyDescent="0.25">
      <c r="B36" s="38">
        <v>1</v>
      </c>
      <c r="C36" s="39" t="s">
        <v>89</v>
      </c>
      <c r="D36" s="40" t="s">
        <v>90</v>
      </c>
      <c r="E36" s="219"/>
      <c r="F36" s="61" t="s">
        <v>1389</v>
      </c>
      <c r="G36" s="62" t="s">
        <v>91</v>
      </c>
      <c r="H36" s="3">
        <v>20</v>
      </c>
      <c r="I36" s="3">
        <v>2</v>
      </c>
      <c r="J36" s="69">
        <f t="shared" si="0"/>
        <v>0.1</v>
      </c>
      <c r="K36" s="90">
        <f>+I36+'OCTUBRE 2025'!K36</f>
        <v>18</v>
      </c>
      <c r="L36" s="94">
        <f t="shared" si="1"/>
        <v>0.9</v>
      </c>
      <c r="N36"/>
      <c r="O36" s="8"/>
      <c r="P36"/>
      <c r="Q36" s="8"/>
    </row>
    <row r="37" spans="2:17" x14ac:dyDescent="0.25">
      <c r="B37" s="38">
        <v>1</v>
      </c>
      <c r="C37" s="39" t="s">
        <v>92</v>
      </c>
      <c r="D37" s="40" t="s">
        <v>93</v>
      </c>
      <c r="E37" s="219"/>
      <c r="F37" s="61" t="s">
        <v>1390</v>
      </c>
      <c r="G37" s="62" t="s">
        <v>94</v>
      </c>
      <c r="H37" s="3">
        <v>50</v>
      </c>
      <c r="I37" s="3">
        <v>5</v>
      </c>
      <c r="J37" s="69">
        <f t="shared" si="0"/>
        <v>0.1</v>
      </c>
      <c r="K37" s="90">
        <f>+I37+'OCTUBRE 2025'!K37</f>
        <v>43</v>
      </c>
      <c r="L37" s="94">
        <f t="shared" si="1"/>
        <v>0.86</v>
      </c>
      <c r="N37"/>
      <c r="O37" s="8"/>
      <c r="P37"/>
      <c r="Q37" s="8"/>
    </row>
    <row r="38" spans="2:17" x14ac:dyDescent="0.25">
      <c r="B38" s="42">
        <v>1</v>
      </c>
      <c r="C38" s="43" t="s">
        <v>95</v>
      </c>
      <c r="D38" s="44" t="s">
        <v>96</v>
      </c>
      <c r="E38" s="220"/>
      <c r="F38" s="64" t="s">
        <v>1334</v>
      </c>
      <c r="G38" s="65" t="s">
        <v>94</v>
      </c>
      <c r="H38" s="97">
        <v>20</v>
      </c>
      <c r="I38" s="97">
        <v>2</v>
      </c>
      <c r="J38" s="72">
        <f t="shared" si="0"/>
        <v>0.1</v>
      </c>
      <c r="K38" s="91">
        <f>+I38+'OCTUBRE 2025'!K38</f>
        <v>18</v>
      </c>
      <c r="L38" s="96">
        <f t="shared" si="1"/>
        <v>0.9</v>
      </c>
      <c r="N38"/>
      <c r="O38" s="8"/>
      <c r="P38"/>
      <c r="Q38" s="8"/>
    </row>
    <row r="39" spans="2:17" x14ac:dyDescent="0.25">
      <c r="B39" s="35">
        <v>3</v>
      </c>
      <c r="C39" s="36" t="s">
        <v>43</v>
      </c>
      <c r="D39" s="37" t="s">
        <v>44</v>
      </c>
      <c r="E39" s="228" t="s">
        <v>103</v>
      </c>
      <c r="F39" s="59" t="s">
        <v>1222</v>
      </c>
      <c r="G39" s="60" t="s">
        <v>101</v>
      </c>
      <c r="H39" s="89">
        <v>35</v>
      </c>
      <c r="I39" s="89">
        <v>4</v>
      </c>
      <c r="J39" s="69">
        <f t="shared" si="0"/>
        <v>0.11428571428571428</v>
      </c>
      <c r="K39" s="103">
        <f>+I39+'OCTUBRE 2025'!K39</f>
        <v>31</v>
      </c>
      <c r="L39" s="94">
        <f t="shared" si="1"/>
        <v>0.88571428571428568</v>
      </c>
      <c r="N39"/>
      <c r="O39" s="8"/>
      <c r="P39"/>
      <c r="Q39" s="8"/>
    </row>
    <row r="40" spans="2:17" x14ac:dyDescent="0.25">
      <c r="B40" s="38">
        <v>3</v>
      </c>
      <c r="C40" s="39" t="s">
        <v>46</v>
      </c>
      <c r="D40" s="40" t="s">
        <v>47</v>
      </c>
      <c r="E40" s="229"/>
      <c r="F40" s="61" t="s">
        <v>689</v>
      </c>
      <c r="G40" s="76" t="s">
        <v>101</v>
      </c>
      <c r="H40" s="2">
        <v>33</v>
      </c>
      <c r="I40" s="3">
        <v>4</v>
      </c>
      <c r="J40" s="69">
        <f t="shared" si="0"/>
        <v>0.12121212121212122</v>
      </c>
      <c r="K40" s="90">
        <f>+I40+'OCTUBRE 2025'!K40</f>
        <v>29</v>
      </c>
      <c r="L40" s="94">
        <f t="shared" si="1"/>
        <v>0.87878787878787878</v>
      </c>
      <c r="N40"/>
      <c r="O40" s="8"/>
      <c r="P40"/>
      <c r="Q40" s="8"/>
    </row>
    <row r="41" spans="2:17" x14ac:dyDescent="0.25">
      <c r="B41" s="38">
        <v>3</v>
      </c>
      <c r="C41" s="39" t="s">
        <v>49</v>
      </c>
      <c r="D41" s="40" t="s">
        <v>50</v>
      </c>
      <c r="E41" s="229"/>
      <c r="F41" s="61" t="s">
        <v>240</v>
      </c>
      <c r="G41" s="62" t="s">
        <v>101</v>
      </c>
      <c r="H41" s="3">
        <v>33</v>
      </c>
      <c r="I41" s="4">
        <v>3</v>
      </c>
      <c r="J41" s="69">
        <f t="shared" si="0"/>
        <v>9.0909090909090912E-2</v>
      </c>
      <c r="K41" s="90">
        <f>+I41+'OCTUBRE 2025'!K41</f>
        <v>29</v>
      </c>
      <c r="L41" s="94">
        <f t="shared" si="1"/>
        <v>0.87878787878787878</v>
      </c>
      <c r="N41"/>
      <c r="O41" s="8"/>
      <c r="P41"/>
      <c r="Q41" s="8"/>
    </row>
    <row r="42" spans="2:17" x14ac:dyDescent="0.25">
      <c r="B42" s="38">
        <v>3</v>
      </c>
      <c r="C42" s="39" t="s">
        <v>52</v>
      </c>
      <c r="D42" s="40" t="s">
        <v>53</v>
      </c>
      <c r="E42" s="229"/>
      <c r="F42" s="61" t="s">
        <v>170</v>
      </c>
      <c r="G42" s="62" t="s">
        <v>101</v>
      </c>
      <c r="H42" s="3">
        <v>33</v>
      </c>
      <c r="I42" s="3">
        <v>3</v>
      </c>
      <c r="J42" s="69">
        <f t="shared" si="0"/>
        <v>9.0909090909090912E-2</v>
      </c>
      <c r="K42" s="90">
        <f>+I42+'OCTUBRE 2025'!K42</f>
        <v>29</v>
      </c>
      <c r="L42" s="94">
        <f t="shared" si="1"/>
        <v>0.87878787878787878</v>
      </c>
      <c r="N42"/>
      <c r="O42" s="8"/>
      <c r="P42"/>
      <c r="Q42" s="8"/>
    </row>
    <row r="43" spans="2:17" s="16" customFormat="1" x14ac:dyDescent="0.25">
      <c r="B43" s="38">
        <v>3</v>
      </c>
      <c r="C43" s="39" t="s">
        <v>55</v>
      </c>
      <c r="D43" s="40" t="s">
        <v>56</v>
      </c>
      <c r="E43" s="229"/>
      <c r="F43" s="61" t="s">
        <v>1223</v>
      </c>
      <c r="G43" s="76" t="s">
        <v>101</v>
      </c>
      <c r="H43" s="3">
        <v>35</v>
      </c>
      <c r="I43" s="3">
        <v>4</v>
      </c>
      <c r="J43" s="69">
        <f t="shared" si="0"/>
        <v>0.11428571428571428</v>
      </c>
      <c r="K43" s="90">
        <f>+I43+'OCTUBRE 2025'!K43</f>
        <v>31</v>
      </c>
      <c r="L43" s="94">
        <f t="shared" si="1"/>
        <v>0.88571428571428568</v>
      </c>
      <c r="N43" s="41"/>
      <c r="P43" s="41"/>
    </row>
    <row r="44" spans="2:17" x14ac:dyDescent="0.25">
      <c r="B44" s="38">
        <v>5</v>
      </c>
      <c r="C44" s="39" t="s">
        <v>57</v>
      </c>
      <c r="D44" s="40" t="s">
        <v>58</v>
      </c>
      <c r="E44" s="229"/>
      <c r="F44" s="61" t="s">
        <v>241</v>
      </c>
      <c r="G44" s="62" t="s">
        <v>101</v>
      </c>
      <c r="H44" s="3">
        <v>33</v>
      </c>
      <c r="I44" s="3">
        <v>4</v>
      </c>
      <c r="J44" s="69">
        <f t="shared" si="0"/>
        <v>0.12121212121212122</v>
      </c>
      <c r="K44" s="90">
        <f>+I44+'OCTUBRE 2025'!K44</f>
        <v>30</v>
      </c>
      <c r="L44" s="94">
        <f t="shared" si="1"/>
        <v>0.90909090909090906</v>
      </c>
      <c r="N44"/>
      <c r="O44" s="8"/>
      <c r="P44"/>
      <c r="Q44" s="8"/>
    </row>
    <row r="45" spans="2:17" x14ac:dyDescent="0.25">
      <c r="B45" s="38">
        <v>5</v>
      </c>
      <c r="C45" s="39" t="s">
        <v>59</v>
      </c>
      <c r="D45" s="40" t="s">
        <v>60</v>
      </c>
      <c r="E45" s="229"/>
      <c r="F45" s="61" t="s">
        <v>102</v>
      </c>
      <c r="G45" s="62" t="s">
        <v>101</v>
      </c>
      <c r="H45" s="3">
        <v>35</v>
      </c>
      <c r="I45" s="3">
        <v>4</v>
      </c>
      <c r="J45" s="69">
        <f t="shared" si="0"/>
        <v>0.11428571428571428</v>
      </c>
      <c r="K45" s="90">
        <f>+I45+'OCTUBRE 2025'!K45</f>
        <v>31</v>
      </c>
      <c r="L45" s="94">
        <f t="shared" si="1"/>
        <v>0.88571428571428568</v>
      </c>
      <c r="N45"/>
      <c r="O45" s="8"/>
      <c r="P45"/>
      <c r="Q45" s="8"/>
    </row>
    <row r="46" spans="2:17" x14ac:dyDescent="0.25">
      <c r="B46" s="42">
        <v>8</v>
      </c>
      <c r="C46" s="43" t="s">
        <v>61</v>
      </c>
      <c r="D46" s="44" t="s">
        <v>62</v>
      </c>
      <c r="E46" s="230"/>
      <c r="F46" s="64" t="s">
        <v>212</v>
      </c>
      <c r="G46" s="62" t="s">
        <v>101</v>
      </c>
      <c r="H46" s="97">
        <v>33</v>
      </c>
      <c r="I46" s="97">
        <v>4</v>
      </c>
      <c r="J46" s="72">
        <f t="shared" si="0"/>
        <v>0.12121212121212122</v>
      </c>
      <c r="K46" s="91">
        <f>+I46+'OCTUBRE 2025'!K46</f>
        <v>30</v>
      </c>
      <c r="L46" s="96">
        <f t="shared" si="1"/>
        <v>0.90909090909090906</v>
      </c>
      <c r="N46"/>
      <c r="O46" s="8"/>
      <c r="P46"/>
      <c r="Q46" s="8"/>
    </row>
    <row r="47" spans="2:17" x14ac:dyDescent="0.25">
      <c r="B47" s="153">
        <v>3</v>
      </c>
      <c r="C47" s="154" t="s">
        <v>43</v>
      </c>
      <c r="D47" s="155" t="s">
        <v>44</v>
      </c>
      <c r="E47" s="281" t="s">
        <v>108</v>
      </c>
      <c r="F47" s="59"/>
      <c r="G47" s="60"/>
      <c r="H47" s="89">
        <v>20</v>
      </c>
      <c r="I47" s="89">
        <v>0</v>
      </c>
      <c r="J47" s="69">
        <f t="shared" si="0"/>
        <v>0</v>
      </c>
      <c r="K47" s="103">
        <f>+I47+'OCTUBRE 2025'!K47</f>
        <v>20</v>
      </c>
      <c r="L47" s="94">
        <f t="shared" si="1"/>
        <v>1</v>
      </c>
      <c r="N47"/>
      <c r="O47" s="8"/>
      <c r="P47"/>
      <c r="Q47" s="8"/>
    </row>
    <row r="48" spans="2:17" x14ac:dyDescent="0.25">
      <c r="B48" s="156">
        <v>3</v>
      </c>
      <c r="C48" s="157" t="s">
        <v>46</v>
      </c>
      <c r="D48" s="158" t="s">
        <v>47</v>
      </c>
      <c r="E48" s="282"/>
      <c r="F48" s="61"/>
      <c r="G48" s="62"/>
      <c r="H48" s="2">
        <v>20</v>
      </c>
      <c r="I48" s="3">
        <v>0</v>
      </c>
      <c r="J48" s="69">
        <f t="shared" si="0"/>
        <v>0</v>
      </c>
      <c r="K48" s="90">
        <f>+I48+'OCTUBRE 2025'!K48</f>
        <v>20</v>
      </c>
      <c r="L48" s="94">
        <f t="shared" si="1"/>
        <v>1</v>
      </c>
      <c r="N48"/>
      <c r="O48" s="8"/>
      <c r="P48"/>
      <c r="Q48" s="8"/>
    </row>
    <row r="49" spans="2:17" x14ac:dyDescent="0.25">
      <c r="B49" s="156">
        <v>3</v>
      </c>
      <c r="C49" s="157" t="s">
        <v>98</v>
      </c>
      <c r="D49" s="158" t="s">
        <v>99</v>
      </c>
      <c r="E49" s="282"/>
      <c r="F49" s="61"/>
      <c r="G49" s="63"/>
      <c r="H49" s="3">
        <v>20</v>
      </c>
      <c r="I49" s="4">
        <v>0</v>
      </c>
      <c r="J49" s="69">
        <f t="shared" si="0"/>
        <v>0</v>
      </c>
      <c r="K49" s="90">
        <f>+I49+'OCTUBRE 2025'!K49</f>
        <v>20</v>
      </c>
      <c r="L49" s="94">
        <f t="shared" si="1"/>
        <v>1</v>
      </c>
      <c r="N49"/>
      <c r="O49" s="8"/>
      <c r="P49"/>
      <c r="Q49" s="8"/>
    </row>
    <row r="50" spans="2:17" x14ac:dyDescent="0.25">
      <c r="B50" s="156">
        <v>3</v>
      </c>
      <c r="C50" s="157" t="s">
        <v>49</v>
      </c>
      <c r="D50" s="158" t="s">
        <v>50</v>
      </c>
      <c r="E50" s="282"/>
      <c r="F50" s="61"/>
      <c r="G50" s="63"/>
      <c r="H50" s="3">
        <v>20</v>
      </c>
      <c r="I50" s="3">
        <v>0</v>
      </c>
      <c r="J50" s="69">
        <f t="shared" si="0"/>
        <v>0</v>
      </c>
      <c r="K50" s="90">
        <f>+I50+'OCTUBRE 2025'!K50</f>
        <v>20</v>
      </c>
      <c r="L50" s="94">
        <f t="shared" si="1"/>
        <v>1</v>
      </c>
      <c r="N50"/>
      <c r="O50" s="8"/>
      <c r="P50"/>
      <c r="Q50" s="8"/>
    </row>
    <row r="51" spans="2:17" x14ac:dyDescent="0.25">
      <c r="B51" s="156">
        <v>3</v>
      </c>
      <c r="C51" s="157" t="s">
        <v>52</v>
      </c>
      <c r="D51" s="158" t="s">
        <v>53</v>
      </c>
      <c r="E51" s="282"/>
      <c r="F51" s="61"/>
      <c r="G51" s="62"/>
      <c r="H51" s="3">
        <v>20</v>
      </c>
      <c r="I51" s="3">
        <v>0</v>
      </c>
      <c r="J51" s="69">
        <f t="shared" si="0"/>
        <v>0</v>
      </c>
      <c r="K51" s="90">
        <f>+I51+'OCTUBRE 2025'!K51</f>
        <v>20</v>
      </c>
      <c r="L51" s="94">
        <f t="shared" si="1"/>
        <v>1</v>
      </c>
      <c r="N51"/>
      <c r="O51" s="8"/>
      <c r="P51"/>
      <c r="Q51" s="8"/>
    </row>
    <row r="52" spans="2:17" s="16" customFormat="1" x14ac:dyDescent="0.25">
      <c r="B52" s="156">
        <v>3</v>
      </c>
      <c r="C52" s="157" t="s">
        <v>55</v>
      </c>
      <c r="D52" s="158" t="s">
        <v>56</v>
      </c>
      <c r="E52" s="282"/>
      <c r="F52" s="61"/>
      <c r="G52" s="62"/>
      <c r="H52" s="3">
        <v>20</v>
      </c>
      <c r="I52" s="3">
        <v>0</v>
      </c>
      <c r="J52" s="69">
        <f t="shared" si="0"/>
        <v>0</v>
      </c>
      <c r="K52" s="90">
        <f>+I52+'OCTUBRE 2025'!K52</f>
        <v>20</v>
      </c>
      <c r="L52" s="94">
        <f t="shared" si="1"/>
        <v>1</v>
      </c>
      <c r="N52" s="41"/>
      <c r="P52" s="41"/>
    </row>
    <row r="53" spans="2:17" x14ac:dyDescent="0.25">
      <c r="B53" s="156">
        <v>5</v>
      </c>
      <c r="C53" s="157" t="s">
        <v>57</v>
      </c>
      <c r="D53" s="158" t="s">
        <v>58</v>
      </c>
      <c r="E53" s="282"/>
      <c r="F53" s="61"/>
      <c r="G53" s="62"/>
      <c r="H53" s="3">
        <v>20</v>
      </c>
      <c r="I53" s="3">
        <v>0</v>
      </c>
      <c r="J53" s="69">
        <f t="shared" si="0"/>
        <v>0</v>
      </c>
      <c r="K53" s="90">
        <f>+I53+'OCTUBRE 2025'!K53</f>
        <v>20</v>
      </c>
      <c r="L53" s="94">
        <f t="shared" si="1"/>
        <v>1</v>
      </c>
      <c r="N53"/>
      <c r="O53" s="8"/>
      <c r="P53"/>
      <c r="Q53" s="8"/>
    </row>
    <row r="54" spans="2:17" x14ac:dyDescent="0.25">
      <c r="B54" s="156">
        <v>5</v>
      </c>
      <c r="C54" s="157" t="s">
        <v>59</v>
      </c>
      <c r="D54" s="158" t="s">
        <v>60</v>
      </c>
      <c r="E54" s="282"/>
      <c r="F54" s="61"/>
      <c r="G54" s="62"/>
      <c r="H54" s="3">
        <v>20</v>
      </c>
      <c r="I54" s="3">
        <v>0</v>
      </c>
      <c r="J54" s="69">
        <f t="shared" si="0"/>
        <v>0</v>
      </c>
      <c r="K54" s="90">
        <f>+I54+'OCTUBRE 2025'!K54</f>
        <v>20</v>
      </c>
      <c r="L54" s="94">
        <f t="shared" si="1"/>
        <v>1</v>
      </c>
      <c r="N54"/>
      <c r="O54" s="8"/>
      <c r="P54"/>
      <c r="Q54" s="8"/>
    </row>
    <row r="55" spans="2:17" x14ac:dyDescent="0.25">
      <c r="B55" s="159">
        <v>8</v>
      </c>
      <c r="C55" s="160" t="s">
        <v>61</v>
      </c>
      <c r="D55" s="161" t="s">
        <v>62</v>
      </c>
      <c r="E55" s="283"/>
      <c r="F55" s="64"/>
      <c r="G55" s="65"/>
      <c r="H55" s="97">
        <v>20</v>
      </c>
      <c r="I55" s="97">
        <v>0</v>
      </c>
      <c r="J55" s="72">
        <f t="shared" si="0"/>
        <v>0</v>
      </c>
      <c r="K55" s="91">
        <f>+I55+'OCTUBRE 2025'!K55</f>
        <v>20</v>
      </c>
      <c r="L55" s="96">
        <f t="shared" si="1"/>
        <v>1</v>
      </c>
      <c r="N55"/>
      <c r="O55" s="8"/>
      <c r="P55"/>
      <c r="Q55" s="8"/>
    </row>
    <row r="56" spans="2:17" x14ac:dyDescent="0.25">
      <c r="B56" s="153">
        <v>3</v>
      </c>
      <c r="C56" s="154" t="s">
        <v>43</v>
      </c>
      <c r="D56" s="155" t="s">
        <v>44</v>
      </c>
      <c r="E56" s="281" t="s">
        <v>171</v>
      </c>
      <c r="F56" s="59"/>
      <c r="G56" s="60"/>
      <c r="H56" s="123">
        <v>18</v>
      </c>
      <c r="I56" s="66">
        <v>0</v>
      </c>
      <c r="J56" s="69">
        <f t="shared" si="0"/>
        <v>0</v>
      </c>
      <c r="K56" s="103">
        <f>+I56+'OCTUBRE 2025'!K56</f>
        <v>18</v>
      </c>
      <c r="L56" s="94">
        <f t="shared" si="1"/>
        <v>1</v>
      </c>
      <c r="N56"/>
      <c r="O56" s="8"/>
      <c r="P56"/>
      <c r="Q56" s="8"/>
    </row>
    <row r="57" spans="2:17" x14ac:dyDescent="0.25">
      <c r="B57" s="156">
        <v>3</v>
      </c>
      <c r="C57" s="157" t="s">
        <v>46</v>
      </c>
      <c r="D57" s="158" t="s">
        <v>47</v>
      </c>
      <c r="E57" s="282"/>
      <c r="F57" s="61"/>
      <c r="G57" s="62"/>
      <c r="H57" s="124">
        <v>36</v>
      </c>
      <c r="I57" s="55">
        <v>0</v>
      </c>
      <c r="J57" s="69">
        <f t="shared" si="0"/>
        <v>0</v>
      </c>
      <c r="K57" s="90">
        <f>+I57+'OCTUBRE 2025'!K57</f>
        <v>36</v>
      </c>
      <c r="L57" s="94">
        <f t="shared" si="1"/>
        <v>1</v>
      </c>
      <c r="N57"/>
      <c r="O57" s="8"/>
      <c r="P57"/>
      <c r="Q57" s="8"/>
    </row>
    <row r="58" spans="2:17" x14ac:dyDescent="0.25">
      <c r="B58" s="156">
        <v>3</v>
      </c>
      <c r="C58" s="157" t="s">
        <v>98</v>
      </c>
      <c r="D58" s="158" t="s">
        <v>99</v>
      </c>
      <c r="E58" s="282"/>
      <c r="F58" s="61"/>
      <c r="G58" s="63"/>
      <c r="H58" s="125">
        <v>12</v>
      </c>
      <c r="I58" s="70">
        <v>0</v>
      </c>
      <c r="J58" s="69">
        <f t="shared" si="0"/>
        <v>0</v>
      </c>
      <c r="K58" s="90">
        <f>+I58+'OCTUBRE 2025'!K58</f>
        <v>12</v>
      </c>
      <c r="L58" s="94">
        <f t="shared" si="1"/>
        <v>1</v>
      </c>
      <c r="N58"/>
      <c r="O58" s="8"/>
      <c r="P58"/>
      <c r="Q58" s="8"/>
    </row>
    <row r="59" spans="2:17" x14ac:dyDescent="0.25">
      <c r="B59" s="156">
        <v>3</v>
      </c>
      <c r="C59" s="157" t="s">
        <v>49</v>
      </c>
      <c r="D59" s="158" t="s">
        <v>50</v>
      </c>
      <c r="E59" s="282"/>
      <c r="F59" s="61"/>
      <c r="G59" s="63"/>
      <c r="H59" s="125">
        <v>36</v>
      </c>
      <c r="I59" s="55">
        <v>0</v>
      </c>
      <c r="J59" s="69">
        <f t="shared" si="0"/>
        <v>0</v>
      </c>
      <c r="K59" s="90">
        <f>+I59+'OCTUBRE 2025'!K59</f>
        <v>36</v>
      </c>
      <c r="L59" s="94">
        <f t="shared" si="1"/>
        <v>1</v>
      </c>
      <c r="N59"/>
      <c r="O59" s="8"/>
      <c r="P59"/>
      <c r="Q59" s="8"/>
    </row>
    <row r="60" spans="2:17" x14ac:dyDescent="0.25">
      <c r="B60" s="156">
        <v>3</v>
      </c>
      <c r="C60" s="157" t="s">
        <v>52</v>
      </c>
      <c r="D60" s="158" t="s">
        <v>53</v>
      </c>
      <c r="E60" s="282"/>
      <c r="F60" s="61"/>
      <c r="G60" s="62"/>
      <c r="H60" s="125">
        <v>18</v>
      </c>
      <c r="I60" s="55">
        <v>0</v>
      </c>
      <c r="J60" s="69">
        <f t="shared" si="0"/>
        <v>0</v>
      </c>
      <c r="K60" s="90">
        <f>+I60+'OCTUBRE 2025'!K60</f>
        <v>18</v>
      </c>
      <c r="L60" s="94">
        <f t="shared" si="1"/>
        <v>1</v>
      </c>
      <c r="N60"/>
      <c r="O60" s="8"/>
      <c r="P60"/>
      <c r="Q60" s="8"/>
    </row>
    <row r="61" spans="2:17" s="16" customFormat="1" x14ac:dyDescent="0.25">
      <c r="B61" s="156">
        <v>3</v>
      </c>
      <c r="C61" s="157" t="s">
        <v>55</v>
      </c>
      <c r="D61" s="158" t="s">
        <v>56</v>
      </c>
      <c r="E61" s="282"/>
      <c r="F61" s="61"/>
      <c r="G61" s="62"/>
      <c r="H61" s="125">
        <v>18</v>
      </c>
      <c r="I61" s="55">
        <v>0</v>
      </c>
      <c r="J61" s="69">
        <f t="shared" si="0"/>
        <v>0</v>
      </c>
      <c r="K61" s="90">
        <f>+I61+'OCTUBRE 2025'!K61</f>
        <v>18</v>
      </c>
      <c r="L61" s="94">
        <f t="shared" si="1"/>
        <v>1</v>
      </c>
      <c r="N61" s="41"/>
      <c r="P61" s="41"/>
    </row>
    <row r="62" spans="2:17" x14ac:dyDescent="0.25">
      <c r="B62" s="156">
        <v>5</v>
      </c>
      <c r="C62" s="157" t="s">
        <v>57</v>
      </c>
      <c r="D62" s="158" t="s">
        <v>58</v>
      </c>
      <c r="E62" s="282"/>
      <c r="F62" s="61"/>
      <c r="G62" s="62"/>
      <c r="H62" s="125">
        <v>12</v>
      </c>
      <c r="I62" s="55">
        <v>0</v>
      </c>
      <c r="J62" s="69">
        <f t="shared" si="0"/>
        <v>0</v>
      </c>
      <c r="K62" s="90">
        <f>+I62+'OCTUBRE 2025'!K62</f>
        <v>12</v>
      </c>
      <c r="L62" s="94">
        <f t="shared" si="1"/>
        <v>1</v>
      </c>
      <c r="N62"/>
      <c r="O62" s="8"/>
      <c r="P62"/>
      <c r="Q62" s="8"/>
    </row>
    <row r="63" spans="2:17" x14ac:dyDescent="0.25">
      <c r="B63" s="156">
        <v>5</v>
      </c>
      <c r="C63" s="157" t="s">
        <v>59</v>
      </c>
      <c r="D63" s="158" t="s">
        <v>60</v>
      </c>
      <c r="E63" s="282"/>
      <c r="F63" s="61"/>
      <c r="G63" s="62"/>
      <c r="H63" s="125">
        <v>18</v>
      </c>
      <c r="I63" s="55">
        <v>0</v>
      </c>
      <c r="J63" s="69">
        <f t="shared" si="0"/>
        <v>0</v>
      </c>
      <c r="K63" s="90">
        <f>+I63+'OCTUBRE 2025'!K63</f>
        <v>18</v>
      </c>
      <c r="L63" s="94">
        <f t="shared" si="1"/>
        <v>1</v>
      </c>
      <c r="N63"/>
      <c r="O63" s="8"/>
      <c r="P63"/>
      <c r="Q63" s="8"/>
    </row>
    <row r="64" spans="2:17" x14ac:dyDescent="0.25">
      <c r="B64" s="159">
        <v>8</v>
      </c>
      <c r="C64" s="160" t="s">
        <v>61</v>
      </c>
      <c r="D64" s="161" t="s">
        <v>62</v>
      </c>
      <c r="E64" s="283"/>
      <c r="F64" s="64"/>
      <c r="G64" s="65"/>
      <c r="H64" s="126">
        <v>12</v>
      </c>
      <c r="I64" s="56">
        <v>0</v>
      </c>
      <c r="J64" s="72">
        <f t="shared" si="0"/>
        <v>0</v>
      </c>
      <c r="K64" s="91">
        <f>+I64+'OCTUBRE 2025'!K64</f>
        <v>12</v>
      </c>
      <c r="L64" s="96">
        <f t="shared" si="1"/>
        <v>1</v>
      </c>
      <c r="N64"/>
      <c r="O64" s="8"/>
      <c r="P64"/>
      <c r="Q64" s="8"/>
    </row>
    <row r="65" spans="2:17" x14ac:dyDescent="0.25">
      <c r="B65" s="35">
        <v>3</v>
      </c>
      <c r="C65" s="36" t="s">
        <v>43</v>
      </c>
      <c r="D65" s="37" t="s">
        <v>44</v>
      </c>
      <c r="E65" s="218" t="s">
        <v>115</v>
      </c>
      <c r="F65" s="59" t="s">
        <v>1364</v>
      </c>
      <c r="G65" s="60" t="s">
        <v>1013</v>
      </c>
      <c r="H65" s="66">
        <v>30</v>
      </c>
      <c r="I65" s="66">
        <v>2</v>
      </c>
      <c r="J65" s="69">
        <f t="shared" si="0"/>
        <v>6.6666666666666666E-2</v>
      </c>
      <c r="K65" s="103">
        <f>+I65+'OCTUBRE 2025'!K65</f>
        <v>29</v>
      </c>
      <c r="L65" s="94">
        <f t="shared" si="1"/>
        <v>0.96666666666666667</v>
      </c>
      <c r="N65"/>
      <c r="O65" s="8"/>
      <c r="P65"/>
      <c r="Q65" s="8"/>
    </row>
    <row r="66" spans="2:17" x14ac:dyDescent="0.25">
      <c r="B66" s="38">
        <v>3</v>
      </c>
      <c r="C66" s="39" t="s">
        <v>46</v>
      </c>
      <c r="D66" s="40" t="s">
        <v>47</v>
      </c>
      <c r="E66" s="219"/>
      <c r="F66" s="61" t="s">
        <v>1365</v>
      </c>
      <c r="G66" s="61" t="s">
        <v>700</v>
      </c>
      <c r="H66" s="68">
        <v>30</v>
      </c>
      <c r="I66" s="55">
        <v>2</v>
      </c>
      <c r="J66" s="69">
        <f t="shared" si="0"/>
        <v>6.6666666666666666E-2</v>
      </c>
      <c r="K66" s="90">
        <f>+I66+'OCTUBRE 2025'!K66</f>
        <v>27</v>
      </c>
      <c r="L66" s="94">
        <f t="shared" si="1"/>
        <v>0.9</v>
      </c>
      <c r="N66"/>
      <c r="O66" s="8"/>
      <c r="P66"/>
      <c r="Q66" s="8"/>
    </row>
    <row r="67" spans="2:17" x14ac:dyDescent="0.25">
      <c r="B67" s="38">
        <v>3</v>
      </c>
      <c r="C67" s="39" t="s">
        <v>98</v>
      </c>
      <c r="D67" s="40" t="s">
        <v>99</v>
      </c>
      <c r="E67" s="219"/>
      <c r="F67" s="61" t="s">
        <v>1366</v>
      </c>
      <c r="G67" s="63" t="s">
        <v>700</v>
      </c>
      <c r="H67" s="55">
        <v>30</v>
      </c>
      <c r="I67" s="70">
        <v>2</v>
      </c>
      <c r="J67" s="69">
        <f t="shared" si="0"/>
        <v>6.6666666666666666E-2</v>
      </c>
      <c r="K67" s="90">
        <f>+I67+'OCTUBRE 2025'!K67</f>
        <v>27</v>
      </c>
      <c r="L67" s="94">
        <f t="shared" si="1"/>
        <v>0.9</v>
      </c>
      <c r="N67"/>
      <c r="O67" s="8"/>
      <c r="P67"/>
      <c r="Q67" s="8"/>
    </row>
    <row r="68" spans="2:17" x14ac:dyDescent="0.25">
      <c r="B68" s="38">
        <v>3</v>
      </c>
      <c r="C68" s="39" t="s">
        <v>49</v>
      </c>
      <c r="D68" s="40" t="s">
        <v>50</v>
      </c>
      <c r="E68" s="219"/>
      <c r="F68" s="61" t="s">
        <v>1367</v>
      </c>
      <c r="G68" s="63" t="s">
        <v>114</v>
      </c>
      <c r="H68" s="55">
        <v>30</v>
      </c>
      <c r="I68" s="55">
        <v>3</v>
      </c>
      <c r="J68" s="69">
        <f t="shared" si="0"/>
        <v>0.1</v>
      </c>
      <c r="K68" s="90">
        <f>+I68+'OCTUBRE 2025'!K68</f>
        <v>27</v>
      </c>
      <c r="L68" s="94">
        <f t="shared" si="1"/>
        <v>0.9</v>
      </c>
      <c r="N68"/>
      <c r="O68" s="8"/>
      <c r="P68"/>
      <c r="Q68" s="8"/>
    </row>
    <row r="69" spans="2:17" x14ac:dyDescent="0.25">
      <c r="B69" s="38">
        <v>3</v>
      </c>
      <c r="C69" s="39" t="s">
        <v>52</v>
      </c>
      <c r="D69" s="40" t="s">
        <v>53</v>
      </c>
      <c r="E69" s="219"/>
      <c r="F69" s="61" t="s">
        <v>1368</v>
      </c>
      <c r="G69" s="62" t="s">
        <v>871</v>
      </c>
      <c r="H69" s="55">
        <v>30</v>
      </c>
      <c r="I69" s="55">
        <v>5</v>
      </c>
      <c r="J69" s="69">
        <f t="shared" si="0"/>
        <v>0.16666666666666666</v>
      </c>
      <c r="K69" s="90">
        <f>+I69+'OCTUBRE 2025'!K69</f>
        <v>26</v>
      </c>
      <c r="L69" s="94">
        <f t="shared" si="1"/>
        <v>0.8666666666666667</v>
      </c>
      <c r="N69"/>
      <c r="O69" s="8"/>
      <c r="P69"/>
      <c r="Q69" s="8"/>
    </row>
    <row r="70" spans="2:17" s="16" customFormat="1" x14ac:dyDescent="0.25">
      <c r="B70" s="38">
        <v>3</v>
      </c>
      <c r="C70" s="39" t="s">
        <v>55</v>
      </c>
      <c r="D70" s="40" t="s">
        <v>56</v>
      </c>
      <c r="E70" s="219"/>
      <c r="F70" s="61" t="s">
        <v>1369</v>
      </c>
      <c r="G70" s="62" t="s">
        <v>114</v>
      </c>
      <c r="H70" s="55">
        <v>30</v>
      </c>
      <c r="I70" s="55">
        <v>4</v>
      </c>
      <c r="J70" s="69">
        <f t="shared" si="0"/>
        <v>0.13333333333333333</v>
      </c>
      <c r="K70" s="90">
        <f>+I70+'OCTUBRE 2025'!K70</f>
        <v>26</v>
      </c>
      <c r="L70" s="94">
        <f t="shared" si="1"/>
        <v>0.8666666666666667</v>
      </c>
      <c r="N70" s="41"/>
      <c r="P70" s="41"/>
    </row>
    <row r="71" spans="2:17" x14ac:dyDescent="0.25">
      <c r="B71" s="38">
        <v>5</v>
      </c>
      <c r="C71" s="39" t="s">
        <v>57</v>
      </c>
      <c r="D71" s="40" t="s">
        <v>58</v>
      </c>
      <c r="E71" s="219"/>
      <c r="F71" s="61" t="s">
        <v>262</v>
      </c>
      <c r="G71" s="62" t="s">
        <v>208</v>
      </c>
      <c r="H71" s="55">
        <v>30</v>
      </c>
      <c r="I71" s="55">
        <v>5</v>
      </c>
      <c r="J71" s="69">
        <f t="shared" si="0"/>
        <v>0.16666666666666666</v>
      </c>
      <c r="K71" s="90">
        <f>+I71+'OCTUBRE 2025'!K71</f>
        <v>26</v>
      </c>
      <c r="L71" s="94">
        <f t="shared" si="1"/>
        <v>0.8666666666666667</v>
      </c>
      <c r="N71"/>
      <c r="O71" s="8"/>
      <c r="P71"/>
      <c r="Q71" s="8"/>
    </row>
    <row r="72" spans="2:17" x14ac:dyDescent="0.25">
      <c r="B72" s="38">
        <v>5</v>
      </c>
      <c r="C72" s="39" t="s">
        <v>59</v>
      </c>
      <c r="D72" s="40" t="s">
        <v>60</v>
      </c>
      <c r="E72" s="219"/>
      <c r="F72" s="61" t="s">
        <v>1370</v>
      </c>
      <c r="G72" s="62" t="s">
        <v>114</v>
      </c>
      <c r="H72" s="55">
        <v>30</v>
      </c>
      <c r="I72" s="55">
        <v>3</v>
      </c>
      <c r="J72" s="69">
        <f t="shared" si="0"/>
        <v>0.1</v>
      </c>
      <c r="K72" s="90">
        <f>+I72+'OCTUBRE 2025'!K72</f>
        <v>26</v>
      </c>
      <c r="L72" s="94">
        <f t="shared" si="1"/>
        <v>0.8666666666666667</v>
      </c>
      <c r="N72"/>
      <c r="O72" s="8"/>
      <c r="P72"/>
      <c r="Q72" s="8"/>
    </row>
    <row r="73" spans="2:17" x14ac:dyDescent="0.25">
      <c r="B73" s="42">
        <v>8</v>
      </c>
      <c r="C73" s="43" t="s">
        <v>61</v>
      </c>
      <c r="D73" s="44" t="s">
        <v>62</v>
      </c>
      <c r="E73" s="220"/>
      <c r="F73" s="64" t="s">
        <v>706</v>
      </c>
      <c r="G73" s="65" t="s">
        <v>114</v>
      </c>
      <c r="H73" s="56">
        <v>30</v>
      </c>
      <c r="I73" s="56">
        <v>4</v>
      </c>
      <c r="J73" s="72">
        <f t="shared" si="0"/>
        <v>0.13333333333333333</v>
      </c>
      <c r="K73" s="91">
        <f>+I73+'OCTUBRE 2025'!K73</f>
        <v>26</v>
      </c>
      <c r="L73" s="96">
        <f t="shared" si="1"/>
        <v>0.8666666666666667</v>
      </c>
      <c r="N73"/>
      <c r="O73" s="8"/>
      <c r="P73"/>
      <c r="Q73" s="8"/>
    </row>
    <row r="74" spans="2:17" x14ac:dyDescent="0.25">
      <c r="B74" s="153">
        <v>3</v>
      </c>
      <c r="C74" s="154" t="s">
        <v>43</v>
      </c>
      <c r="D74" s="155" t="s">
        <v>44</v>
      </c>
      <c r="E74" s="281" t="s">
        <v>116</v>
      </c>
      <c r="F74" s="59"/>
      <c r="G74" s="60"/>
      <c r="H74" s="66">
        <v>20</v>
      </c>
      <c r="I74" s="66">
        <v>0</v>
      </c>
      <c r="J74" s="69">
        <f t="shared" si="0"/>
        <v>0</v>
      </c>
      <c r="K74" s="103">
        <f>+I74+'OCTUBRE 2025'!K74</f>
        <v>20</v>
      </c>
      <c r="L74" s="94">
        <f t="shared" si="1"/>
        <v>1</v>
      </c>
      <c r="N74"/>
      <c r="O74" s="8"/>
      <c r="P74"/>
      <c r="Q74" s="8"/>
    </row>
    <row r="75" spans="2:17" x14ac:dyDescent="0.25">
      <c r="B75" s="156">
        <v>3</v>
      </c>
      <c r="C75" s="157" t="s">
        <v>46</v>
      </c>
      <c r="D75" s="158" t="s">
        <v>47</v>
      </c>
      <c r="E75" s="282"/>
      <c r="F75" s="61" t="s">
        <v>172</v>
      </c>
      <c r="G75" s="61" t="s">
        <v>172</v>
      </c>
      <c r="H75" s="68">
        <v>14</v>
      </c>
      <c r="I75" s="55">
        <v>0</v>
      </c>
      <c r="J75" s="69">
        <f t="shared" si="0"/>
        <v>0</v>
      </c>
      <c r="K75" s="90">
        <f>+I75+'OCTUBRE 2025'!K75</f>
        <v>14</v>
      </c>
      <c r="L75" s="94">
        <f t="shared" si="1"/>
        <v>1</v>
      </c>
      <c r="N75"/>
      <c r="O75" s="8"/>
      <c r="P75"/>
      <c r="Q75" s="8"/>
    </row>
    <row r="76" spans="2:17" x14ac:dyDescent="0.25">
      <c r="B76" s="156">
        <v>3</v>
      </c>
      <c r="C76" s="157" t="s">
        <v>98</v>
      </c>
      <c r="D76" s="158" t="s">
        <v>99</v>
      </c>
      <c r="E76" s="282"/>
      <c r="F76" s="61" t="s">
        <v>172</v>
      </c>
      <c r="G76" s="63" t="s">
        <v>172</v>
      </c>
      <c r="H76" s="55">
        <v>28</v>
      </c>
      <c r="I76" s="70">
        <v>0</v>
      </c>
      <c r="J76" s="69">
        <f t="shared" si="0"/>
        <v>0</v>
      </c>
      <c r="K76" s="90">
        <f>+I76+'OCTUBRE 2025'!K76</f>
        <v>28</v>
      </c>
      <c r="L76" s="94">
        <f t="shared" si="1"/>
        <v>1</v>
      </c>
      <c r="N76"/>
      <c r="O76" s="8"/>
      <c r="P76"/>
      <c r="Q76" s="8"/>
    </row>
    <row r="77" spans="2:17" x14ac:dyDescent="0.25">
      <c r="B77" s="156">
        <v>3</v>
      </c>
      <c r="C77" s="157" t="s">
        <v>49</v>
      </c>
      <c r="D77" s="158" t="s">
        <v>50</v>
      </c>
      <c r="E77" s="282"/>
      <c r="F77" s="61" t="s">
        <v>172</v>
      </c>
      <c r="G77" s="63" t="s">
        <v>172</v>
      </c>
      <c r="H77" s="55">
        <v>16</v>
      </c>
      <c r="I77" s="55">
        <v>0</v>
      </c>
      <c r="J77" s="69">
        <f t="shared" si="0"/>
        <v>0</v>
      </c>
      <c r="K77" s="90">
        <f>+I77+'OCTUBRE 2025'!K77</f>
        <v>16</v>
      </c>
      <c r="L77" s="94">
        <f t="shared" si="1"/>
        <v>1</v>
      </c>
      <c r="N77"/>
      <c r="O77" s="8"/>
      <c r="P77"/>
      <c r="Q77" s="8"/>
    </row>
    <row r="78" spans="2:17" x14ac:dyDescent="0.25">
      <c r="B78" s="156">
        <v>3</v>
      </c>
      <c r="C78" s="157" t="s">
        <v>52</v>
      </c>
      <c r="D78" s="158" t="s">
        <v>53</v>
      </c>
      <c r="E78" s="282"/>
      <c r="F78" s="61" t="s">
        <v>172</v>
      </c>
      <c r="G78" s="62" t="s">
        <v>172</v>
      </c>
      <c r="H78" s="55">
        <v>16</v>
      </c>
      <c r="I78" s="55">
        <v>0</v>
      </c>
      <c r="J78" s="69">
        <f t="shared" si="0"/>
        <v>0</v>
      </c>
      <c r="K78" s="90">
        <f>+I78+'OCTUBRE 2025'!K78</f>
        <v>16</v>
      </c>
      <c r="L78" s="94">
        <f t="shared" si="1"/>
        <v>1</v>
      </c>
      <c r="N78"/>
      <c r="O78" s="8"/>
      <c r="P78"/>
      <c r="Q78" s="8"/>
    </row>
    <row r="79" spans="2:17" s="16" customFormat="1" x14ac:dyDescent="0.25">
      <c r="B79" s="156">
        <v>3</v>
      </c>
      <c r="C79" s="157" t="s">
        <v>55</v>
      </c>
      <c r="D79" s="158" t="s">
        <v>56</v>
      </c>
      <c r="E79" s="282"/>
      <c r="F79" s="61" t="s">
        <v>172</v>
      </c>
      <c r="G79" s="62" t="s">
        <v>172</v>
      </c>
      <c r="H79" s="55">
        <v>12</v>
      </c>
      <c r="I79" s="55">
        <v>0</v>
      </c>
      <c r="J79" s="69">
        <f t="shared" ref="J79:J142" si="2">IFERROR(I79/H79,0)</f>
        <v>0</v>
      </c>
      <c r="K79" s="90">
        <f>+I79+'OCTUBRE 2025'!K79</f>
        <v>12</v>
      </c>
      <c r="L79" s="94">
        <f t="shared" ref="L79:L142" si="3">IFERROR(K79/H79,0)</f>
        <v>1</v>
      </c>
      <c r="N79" s="41"/>
      <c r="P79" s="41"/>
    </row>
    <row r="80" spans="2:17" x14ac:dyDescent="0.25">
      <c r="B80" s="156">
        <v>5</v>
      </c>
      <c r="C80" s="157" t="s">
        <v>57</v>
      </c>
      <c r="D80" s="158" t="s">
        <v>58</v>
      </c>
      <c r="E80" s="282"/>
      <c r="F80" s="73" t="s">
        <v>172</v>
      </c>
      <c r="G80" s="62" t="s">
        <v>172</v>
      </c>
      <c r="H80" s="55">
        <v>24</v>
      </c>
      <c r="I80" s="55">
        <v>0</v>
      </c>
      <c r="J80" s="69">
        <f t="shared" si="2"/>
        <v>0</v>
      </c>
      <c r="K80" s="90">
        <f>+I80+'OCTUBRE 2025'!K80</f>
        <v>24</v>
      </c>
      <c r="L80" s="94">
        <f t="shared" si="3"/>
        <v>1</v>
      </c>
      <c r="N80"/>
      <c r="O80" s="8"/>
      <c r="P80"/>
      <c r="Q80" s="8"/>
    </row>
    <row r="81" spans="2:17" x14ac:dyDescent="0.25">
      <c r="B81" s="156">
        <v>5</v>
      </c>
      <c r="C81" s="157" t="s">
        <v>59</v>
      </c>
      <c r="D81" s="158" t="s">
        <v>60</v>
      </c>
      <c r="E81" s="282"/>
      <c r="F81" s="61" t="s">
        <v>172</v>
      </c>
      <c r="G81" s="62" t="s">
        <v>172</v>
      </c>
      <c r="H81" s="55">
        <v>26</v>
      </c>
      <c r="I81" s="55">
        <v>0</v>
      </c>
      <c r="J81" s="69">
        <f t="shared" si="2"/>
        <v>0</v>
      </c>
      <c r="K81" s="90">
        <f>+I81+'OCTUBRE 2025'!K81</f>
        <v>26</v>
      </c>
      <c r="L81" s="94">
        <f t="shared" si="3"/>
        <v>1</v>
      </c>
      <c r="N81"/>
      <c r="O81" s="8"/>
      <c r="P81"/>
      <c r="Q81" s="8"/>
    </row>
    <row r="82" spans="2:17" x14ac:dyDescent="0.25">
      <c r="B82" s="159">
        <v>8</v>
      </c>
      <c r="C82" s="160" t="s">
        <v>61</v>
      </c>
      <c r="D82" s="161" t="s">
        <v>62</v>
      </c>
      <c r="E82" s="283"/>
      <c r="F82" s="64" t="s">
        <v>172</v>
      </c>
      <c r="G82" s="65" t="s">
        <v>172</v>
      </c>
      <c r="H82" s="56">
        <v>24</v>
      </c>
      <c r="I82" s="56">
        <v>0</v>
      </c>
      <c r="J82" s="72">
        <f t="shared" si="2"/>
        <v>0</v>
      </c>
      <c r="K82" s="91">
        <f>+I82+'OCTUBRE 2025'!K82</f>
        <v>24</v>
      </c>
      <c r="L82" s="96">
        <f t="shared" si="3"/>
        <v>1</v>
      </c>
      <c r="N82"/>
      <c r="O82" s="8"/>
      <c r="P82"/>
      <c r="Q82" s="8"/>
    </row>
    <row r="83" spans="2:17" x14ac:dyDescent="0.25">
      <c r="B83" s="35">
        <v>3</v>
      </c>
      <c r="C83" s="36" t="s">
        <v>43</v>
      </c>
      <c r="D83" s="37" t="s">
        <v>44</v>
      </c>
      <c r="E83" s="218" t="s">
        <v>117</v>
      </c>
      <c r="F83" s="60" t="s">
        <v>213</v>
      </c>
      <c r="G83" s="60" t="s">
        <v>169</v>
      </c>
      <c r="H83" s="66">
        <v>30</v>
      </c>
      <c r="I83" s="66">
        <v>4</v>
      </c>
      <c r="J83" s="69">
        <f t="shared" si="2"/>
        <v>0.13333333333333333</v>
      </c>
      <c r="K83" s="103">
        <f>+I83+'OCTUBRE 2025'!K83</f>
        <v>28</v>
      </c>
      <c r="L83" s="94">
        <f t="shared" si="3"/>
        <v>0.93333333333333335</v>
      </c>
      <c r="N83"/>
      <c r="O83" s="8"/>
      <c r="P83"/>
      <c r="Q83" s="8"/>
    </row>
    <row r="84" spans="2:17" x14ac:dyDescent="0.25">
      <c r="B84" s="38">
        <v>3</v>
      </c>
      <c r="C84" s="39" t="s">
        <v>46</v>
      </c>
      <c r="D84" s="40" t="s">
        <v>47</v>
      </c>
      <c r="E84" s="219"/>
      <c r="F84" s="74" t="s">
        <v>860</v>
      </c>
      <c r="G84" s="74" t="s">
        <v>861</v>
      </c>
      <c r="H84" s="68">
        <v>30</v>
      </c>
      <c r="I84" s="55">
        <v>4</v>
      </c>
      <c r="J84" s="69">
        <f t="shared" si="2"/>
        <v>0.13333333333333333</v>
      </c>
      <c r="K84" s="90">
        <f>+I84+'OCTUBRE 2025'!K84</f>
        <v>28</v>
      </c>
      <c r="L84" s="94">
        <f t="shared" si="3"/>
        <v>0.93333333333333335</v>
      </c>
      <c r="N84"/>
      <c r="O84" s="8"/>
      <c r="P84"/>
      <c r="Q84" s="8"/>
    </row>
    <row r="85" spans="2:17" x14ac:dyDescent="0.25">
      <c r="B85" s="38">
        <v>3</v>
      </c>
      <c r="C85" s="39" t="s">
        <v>98</v>
      </c>
      <c r="D85" s="40" t="s">
        <v>99</v>
      </c>
      <c r="E85" s="219"/>
      <c r="F85" s="62" t="s">
        <v>862</v>
      </c>
      <c r="G85" s="62" t="s">
        <v>169</v>
      </c>
      <c r="H85" s="55">
        <v>30</v>
      </c>
      <c r="I85" s="70">
        <v>4</v>
      </c>
      <c r="J85" s="69">
        <f t="shared" si="2"/>
        <v>0.13333333333333333</v>
      </c>
      <c r="K85" s="90">
        <f>+I85+'OCTUBRE 2025'!K85</f>
        <v>28</v>
      </c>
      <c r="L85" s="94">
        <f t="shared" si="3"/>
        <v>0.93333333333333335</v>
      </c>
      <c r="N85"/>
      <c r="O85" s="8"/>
      <c r="P85"/>
      <c r="Q85" s="8"/>
    </row>
    <row r="86" spans="2:17" x14ac:dyDescent="0.25">
      <c r="B86" s="38">
        <v>3</v>
      </c>
      <c r="C86" s="39" t="s">
        <v>49</v>
      </c>
      <c r="D86" s="40" t="s">
        <v>50</v>
      </c>
      <c r="E86" s="219"/>
      <c r="F86" s="62" t="s">
        <v>213</v>
      </c>
      <c r="G86" s="62" t="s">
        <v>169</v>
      </c>
      <c r="H86" s="55">
        <v>30</v>
      </c>
      <c r="I86" s="55">
        <v>3</v>
      </c>
      <c r="J86" s="69">
        <f t="shared" si="2"/>
        <v>0.1</v>
      </c>
      <c r="K86" s="90">
        <f>+I86+'OCTUBRE 2025'!K86</f>
        <v>24</v>
      </c>
      <c r="L86" s="94">
        <f t="shared" si="3"/>
        <v>0.8</v>
      </c>
      <c r="N86"/>
      <c r="O86" s="8"/>
      <c r="P86"/>
      <c r="Q86" s="8"/>
    </row>
    <row r="87" spans="2:17" x14ac:dyDescent="0.25">
      <c r="B87" s="38">
        <v>3</v>
      </c>
      <c r="C87" s="39" t="s">
        <v>52</v>
      </c>
      <c r="D87" s="40" t="s">
        <v>53</v>
      </c>
      <c r="E87" s="219"/>
      <c r="F87" s="62" t="s">
        <v>214</v>
      </c>
      <c r="G87" s="62" t="s">
        <v>191</v>
      </c>
      <c r="H87" s="55">
        <v>30</v>
      </c>
      <c r="I87" s="55">
        <v>3</v>
      </c>
      <c r="J87" s="69">
        <f t="shared" si="2"/>
        <v>0.1</v>
      </c>
      <c r="K87" s="90">
        <f>+I87+'OCTUBRE 2025'!K87</f>
        <v>24</v>
      </c>
      <c r="L87" s="94">
        <f t="shared" si="3"/>
        <v>0.8</v>
      </c>
      <c r="N87"/>
      <c r="O87" s="8"/>
      <c r="P87"/>
      <c r="Q87" s="8"/>
    </row>
    <row r="88" spans="2:17" s="16" customFormat="1" x14ac:dyDescent="0.25">
      <c r="B88" s="38">
        <v>3</v>
      </c>
      <c r="C88" s="39" t="s">
        <v>55</v>
      </c>
      <c r="D88" s="40" t="s">
        <v>56</v>
      </c>
      <c r="E88" s="219"/>
      <c r="F88" s="62" t="s">
        <v>215</v>
      </c>
      <c r="G88" s="62" t="s">
        <v>169</v>
      </c>
      <c r="H88" s="55">
        <v>30</v>
      </c>
      <c r="I88" s="55">
        <v>3</v>
      </c>
      <c r="J88" s="69">
        <f t="shared" si="2"/>
        <v>0.1</v>
      </c>
      <c r="K88" s="90">
        <f>+I88+'OCTUBRE 2025'!K88</f>
        <v>24</v>
      </c>
      <c r="L88" s="94">
        <f t="shared" si="3"/>
        <v>0.8</v>
      </c>
      <c r="N88" s="41"/>
      <c r="P88" s="41"/>
    </row>
    <row r="89" spans="2:17" x14ac:dyDescent="0.25">
      <c r="B89" s="38">
        <v>5</v>
      </c>
      <c r="C89" s="39" t="s">
        <v>57</v>
      </c>
      <c r="D89" s="40" t="s">
        <v>58</v>
      </c>
      <c r="E89" s="219"/>
      <c r="F89" s="62" t="s">
        <v>216</v>
      </c>
      <c r="G89" s="62" t="s">
        <v>169</v>
      </c>
      <c r="H89" s="55">
        <v>30</v>
      </c>
      <c r="I89" s="55">
        <v>3</v>
      </c>
      <c r="J89" s="69">
        <f t="shared" si="2"/>
        <v>0.1</v>
      </c>
      <c r="K89" s="90">
        <f>+I89+'OCTUBRE 2025'!K89</f>
        <v>28</v>
      </c>
      <c r="L89" s="94">
        <f t="shared" si="3"/>
        <v>0.93333333333333335</v>
      </c>
      <c r="N89"/>
      <c r="O89" s="8"/>
      <c r="P89"/>
      <c r="Q89" s="8"/>
    </row>
    <row r="90" spans="2:17" x14ac:dyDescent="0.25">
      <c r="B90" s="38">
        <v>5</v>
      </c>
      <c r="C90" s="39" t="s">
        <v>59</v>
      </c>
      <c r="D90" s="40" t="s">
        <v>60</v>
      </c>
      <c r="E90" s="219"/>
      <c r="F90" s="62" t="s">
        <v>194</v>
      </c>
      <c r="G90" s="62" t="s">
        <v>195</v>
      </c>
      <c r="H90" s="55">
        <v>30</v>
      </c>
      <c r="I90" s="55">
        <v>3</v>
      </c>
      <c r="J90" s="69">
        <f t="shared" si="2"/>
        <v>0.1</v>
      </c>
      <c r="K90" s="90">
        <f>+I90+'OCTUBRE 2025'!K90</f>
        <v>28</v>
      </c>
      <c r="L90" s="94">
        <f t="shared" si="3"/>
        <v>0.93333333333333335</v>
      </c>
      <c r="N90"/>
      <c r="O90" s="8"/>
      <c r="P90"/>
      <c r="Q90" s="8"/>
    </row>
    <row r="91" spans="2:17" x14ac:dyDescent="0.25">
      <c r="B91" s="42">
        <v>8</v>
      </c>
      <c r="C91" s="43" t="s">
        <v>61</v>
      </c>
      <c r="D91" s="44" t="s">
        <v>62</v>
      </c>
      <c r="E91" s="220"/>
      <c r="F91" s="65" t="s">
        <v>196</v>
      </c>
      <c r="G91" s="65" t="s">
        <v>206</v>
      </c>
      <c r="H91" s="56">
        <v>30</v>
      </c>
      <c r="I91" s="56">
        <v>3</v>
      </c>
      <c r="J91" s="72">
        <f t="shared" si="2"/>
        <v>0.1</v>
      </c>
      <c r="K91" s="91">
        <f>+I91+'OCTUBRE 2025'!K91</f>
        <v>28</v>
      </c>
      <c r="L91" s="96">
        <f t="shared" si="3"/>
        <v>0.93333333333333335</v>
      </c>
      <c r="N91"/>
      <c r="O91" s="8"/>
      <c r="P91"/>
      <c r="Q91" s="8"/>
    </row>
    <row r="92" spans="2:17" x14ac:dyDescent="0.25">
      <c r="B92" s="153">
        <v>3</v>
      </c>
      <c r="C92" s="154" t="s">
        <v>43</v>
      </c>
      <c r="D92" s="155" t="s">
        <v>44</v>
      </c>
      <c r="E92" s="281" t="s">
        <v>179</v>
      </c>
      <c r="F92" s="59"/>
      <c r="G92" s="59"/>
      <c r="H92" s="66">
        <v>18</v>
      </c>
      <c r="I92" s="66"/>
      <c r="J92" s="69">
        <f t="shared" si="2"/>
        <v>0</v>
      </c>
      <c r="K92" s="103">
        <f>+I92+'OCTUBRE 2025'!K92</f>
        <v>18</v>
      </c>
      <c r="L92" s="94">
        <f t="shared" si="3"/>
        <v>1</v>
      </c>
      <c r="N92"/>
      <c r="O92" s="8"/>
      <c r="P92"/>
      <c r="Q92" s="8"/>
    </row>
    <row r="93" spans="2:17" x14ac:dyDescent="0.25">
      <c r="B93" s="156">
        <v>3</v>
      </c>
      <c r="C93" s="157" t="s">
        <v>46</v>
      </c>
      <c r="D93" s="158" t="s">
        <v>47</v>
      </c>
      <c r="E93" s="282"/>
      <c r="F93" s="61"/>
      <c r="G93" s="61"/>
      <c r="H93" s="68">
        <v>16</v>
      </c>
      <c r="I93" s="55"/>
      <c r="J93" s="69">
        <f t="shared" si="2"/>
        <v>0</v>
      </c>
      <c r="K93" s="90">
        <f>+I93+'OCTUBRE 2025'!K93</f>
        <v>16</v>
      </c>
      <c r="L93" s="94">
        <f t="shared" si="3"/>
        <v>1</v>
      </c>
      <c r="N93"/>
      <c r="O93" s="8"/>
      <c r="P93"/>
      <c r="Q93" s="8"/>
    </row>
    <row r="94" spans="2:17" x14ac:dyDescent="0.25">
      <c r="B94" s="156">
        <v>3</v>
      </c>
      <c r="C94" s="157" t="s">
        <v>98</v>
      </c>
      <c r="D94" s="158" t="s">
        <v>99</v>
      </c>
      <c r="E94" s="282"/>
      <c r="F94" s="61"/>
      <c r="G94" s="61"/>
      <c r="H94" s="55">
        <v>16</v>
      </c>
      <c r="I94" s="70"/>
      <c r="J94" s="69">
        <f t="shared" si="2"/>
        <v>0</v>
      </c>
      <c r="K94" s="90">
        <f>+I94+'OCTUBRE 2025'!K94</f>
        <v>16</v>
      </c>
      <c r="L94" s="94">
        <f t="shared" si="3"/>
        <v>1</v>
      </c>
      <c r="N94"/>
      <c r="O94" s="8"/>
      <c r="P94"/>
      <c r="Q94" s="8"/>
    </row>
    <row r="95" spans="2:17" x14ac:dyDescent="0.25">
      <c r="B95" s="156">
        <v>3</v>
      </c>
      <c r="C95" s="157" t="s">
        <v>49</v>
      </c>
      <c r="D95" s="158" t="s">
        <v>50</v>
      </c>
      <c r="E95" s="282"/>
      <c r="F95" s="61"/>
      <c r="G95" s="61"/>
      <c r="H95" s="55">
        <v>16</v>
      </c>
      <c r="I95" s="55"/>
      <c r="J95" s="69">
        <f t="shared" si="2"/>
        <v>0</v>
      </c>
      <c r="K95" s="90">
        <f>+I95+'OCTUBRE 2025'!K95</f>
        <v>16</v>
      </c>
      <c r="L95" s="94">
        <f t="shared" si="3"/>
        <v>1</v>
      </c>
      <c r="N95"/>
      <c r="O95" s="8"/>
      <c r="P95"/>
      <c r="Q95" s="8"/>
    </row>
    <row r="96" spans="2:17" x14ac:dyDescent="0.25">
      <c r="B96" s="156">
        <v>3</v>
      </c>
      <c r="C96" s="157" t="s">
        <v>52</v>
      </c>
      <c r="D96" s="158" t="s">
        <v>53</v>
      </c>
      <c r="E96" s="282"/>
      <c r="F96" s="61"/>
      <c r="G96" s="61"/>
      <c r="H96" s="55">
        <v>16</v>
      </c>
      <c r="I96" s="55"/>
      <c r="J96" s="69">
        <f t="shared" si="2"/>
        <v>0</v>
      </c>
      <c r="K96" s="90">
        <f>+I96+'OCTUBRE 2025'!K96</f>
        <v>16</v>
      </c>
      <c r="L96" s="94">
        <f t="shared" si="3"/>
        <v>1</v>
      </c>
      <c r="N96"/>
      <c r="O96" s="8"/>
      <c r="P96"/>
      <c r="Q96" s="8"/>
    </row>
    <row r="97" spans="2:17" x14ac:dyDescent="0.25">
      <c r="B97" s="156">
        <v>3</v>
      </c>
      <c r="C97" s="157" t="s">
        <v>55</v>
      </c>
      <c r="D97" s="158" t="s">
        <v>56</v>
      </c>
      <c r="E97" s="282"/>
      <c r="F97" s="61"/>
      <c r="G97" s="129"/>
      <c r="H97" s="55">
        <v>16</v>
      </c>
      <c r="I97" s="55"/>
      <c r="J97" s="69">
        <f t="shared" si="2"/>
        <v>0</v>
      </c>
      <c r="K97" s="90">
        <f>+I97+'OCTUBRE 2025'!K97</f>
        <v>16</v>
      </c>
      <c r="L97" s="94">
        <f t="shared" si="3"/>
        <v>1</v>
      </c>
      <c r="N97"/>
      <c r="O97" s="8"/>
      <c r="P97"/>
      <c r="Q97" s="8"/>
    </row>
    <row r="98" spans="2:17" x14ac:dyDescent="0.25">
      <c r="B98" s="156">
        <v>5</v>
      </c>
      <c r="C98" s="157" t="s">
        <v>57</v>
      </c>
      <c r="D98" s="158" t="s">
        <v>58</v>
      </c>
      <c r="E98" s="282"/>
      <c r="F98" s="127"/>
      <c r="G98" s="61"/>
      <c r="H98" s="128">
        <v>16</v>
      </c>
      <c r="I98" s="55"/>
      <c r="J98" s="69">
        <f t="shared" si="2"/>
        <v>0</v>
      </c>
      <c r="K98" s="90">
        <f>+I98+'OCTUBRE 2025'!K98</f>
        <v>16</v>
      </c>
      <c r="L98" s="94">
        <f t="shared" si="3"/>
        <v>1</v>
      </c>
      <c r="N98"/>
      <c r="O98" s="8"/>
      <c r="P98"/>
      <c r="Q98" s="8"/>
    </row>
    <row r="99" spans="2:17" s="16" customFormat="1" x14ac:dyDescent="0.25">
      <c r="B99" s="156">
        <v>5</v>
      </c>
      <c r="C99" s="157" t="s">
        <v>118</v>
      </c>
      <c r="D99" s="158" t="s">
        <v>119</v>
      </c>
      <c r="E99" s="282"/>
      <c r="F99" s="61"/>
      <c r="G99" s="130"/>
      <c r="H99" s="55">
        <v>16</v>
      </c>
      <c r="I99" s="55"/>
      <c r="J99" s="69">
        <f t="shared" si="2"/>
        <v>0</v>
      </c>
      <c r="K99" s="90">
        <f>+I99+'OCTUBRE 2025'!K99</f>
        <v>16</v>
      </c>
      <c r="L99" s="94">
        <f t="shared" si="3"/>
        <v>1</v>
      </c>
      <c r="N99" s="41"/>
      <c r="P99" s="41"/>
    </row>
    <row r="100" spans="2:17" x14ac:dyDescent="0.25">
      <c r="B100" s="156">
        <v>5</v>
      </c>
      <c r="C100" s="157" t="s">
        <v>120</v>
      </c>
      <c r="D100" s="158" t="s">
        <v>121</v>
      </c>
      <c r="E100" s="282"/>
      <c r="F100" s="61"/>
      <c r="G100" s="61"/>
      <c r="H100" s="68">
        <v>18</v>
      </c>
      <c r="I100" s="55"/>
      <c r="J100" s="69">
        <f t="shared" si="2"/>
        <v>0</v>
      </c>
      <c r="K100" s="90">
        <f>+I100+'OCTUBRE 2025'!K100</f>
        <v>18</v>
      </c>
      <c r="L100" s="94">
        <f t="shared" si="3"/>
        <v>1</v>
      </c>
      <c r="N100"/>
      <c r="O100" s="8"/>
      <c r="P100"/>
      <c r="Q100" s="8"/>
    </row>
    <row r="101" spans="2:17" x14ac:dyDescent="0.25">
      <c r="B101" s="156">
        <v>5</v>
      </c>
      <c r="C101" s="157" t="s">
        <v>122</v>
      </c>
      <c r="D101" s="158" t="s">
        <v>123</v>
      </c>
      <c r="E101" s="282"/>
      <c r="F101" s="61"/>
      <c r="G101" s="61"/>
      <c r="H101" s="55">
        <v>16</v>
      </c>
      <c r="I101" s="55"/>
      <c r="J101" s="69">
        <f t="shared" si="2"/>
        <v>0</v>
      </c>
      <c r="K101" s="90">
        <f>+I101+'OCTUBRE 2025'!K101</f>
        <v>16</v>
      </c>
      <c r="L101" s="94">
        <f t="shared" si="3"/>
        <v>1</v>
      </c>
      <c r="N101"/>
      <c r="O101" s="8"/>
      <c r="P101"/>
      <c r="Q101" s="8"/>
    </row>
    <row r="102" spans="2:17" x14ac:dyDescent="0.25">
      <c r="B102" s="159">
        <v>5</v>
      </c>
      <c r="C102" s="160" t="s">
        <v>59</v>
      </c>
      <c r="D102" s="161" t="s">
        <v>60</v>
      </c>
      <c r="E102" s="283"/>
      <c r="F102" s="64"/>
      <c r="G102" s="61"/>
      <c r="H102" s="56">
        <v>16</v>
      </c>
      <c r="I102" s="56"/>
      <c r="J102" s="72">
        <f t="shared" si="2"/>
        <v>0</v>
      </c>
      <c r="K102" s="91">
        <f>+I102+'OCTUBRE 2025'!K102</f>
        <v>16</v>
      </c>
      <c r="L102" s="96">
        <f t="shared" si="3"/>
        <v>1</v>
      </c>
      <c r="N102"/>
      <c r="O102" s="8"/>
      <c r="P102"/>
      <c r="Q102" s="8"/>
    </row>
    <row r="103" spans="2:17" x14ac:dyDescent="0.25">
      <c r="B103" s="153">
        <v>3</v>
      </c>
      <c r="C103" s="154" t="s">
        <v>43</v>
      </c>
      <c r="D103" s="155" t="s">
        <v>44</v>
      </c>
      <c r="E103" s="281" t="s">
        <v>124</v>
      </c>
      <c r="F103" s="59"/>
      <c r="G103" s="75"/>
      <c r="H103" s="66">
        <v>13</v>
      </c>
      <c r="I103" s="66"/>
      <c r="J103" s="69">
        <f t="shared" si="2"/>
        <v>0</v>
      </c>
      <c r="K103" s="103">
        <f>+I103+'OCTUBRE 2025'!K103</f>
        <v>13</v>
      </c>
      <c r="L103" s="94">
        <f t="shared" si="3"/>
        <v>1</v>
      </c>
      <c r="N103"/>
      <c r="O103" s="8"/>
      <c r="P103"/>
      <c r="Q103" s="8"/>
    </row>
    <row r="104" spans="2:17" x14ac:dyDescent="0.25">
      <c r="B104" s="156">
        <v>3</v>
      </c>
      <c r="C104" s="157" t="s">
        <v>46</v>
      </c>
      <c r="D104" s="158" t="s">
        <v>47</v>
      </c>
      <c r="E104" s="282"/>
      <c r="F104" s="61"/>
      <c r="G104" s="76"/>
      <c r="H104" s="68">
        <v>14</v>
      </c>
      <c r="I104" s="55"/>
      <c r="J104" s="69">
        <f t="shared" si="2"/>
        <v>0</v>
      </c>
      <c r="K104" s="90">
        <f>+I104+'OCTUBRE 2025'!K104</f>
        <v>14</v>
      </c>
      <c r="L104" s="94">
        <f t="shared" si="3"/>
        <v>1</v>
      </c>
      <c r="N104"/>
      <c r="O104" s="8"/>
      <c r="P104"/>
      <c r="Q104" s="8"/>
    </row>
    <row r="105" spans="2:17" x14ac:dyDescent="0.25">
      <c r="B105" s="156">
        <v>3</v>
      </c>
      <c r="C105" s="157" t="s">
        <v>98</v>
      </c>
      <c r="D105" s="158" t="s">
        <v>99</v>
      </c>
      <c r="E105" s="282"/>
      <c r="F105" s="61"/>
      <c r="G105" s="62"/>
      <c r="H105" s="55">
        <v>14</v>
      </c>
      <c r="I105" s="70"/>
      <c r="J105" s="69">
        <f t="shared" si="2"/>
        <v>0</v>
      </c>
      <c r="K105" s="90">
        <f>+I105+'OCTUBRE 2025'!K105</f>
        <v>14</v>
      </c>
      <c r="L105" s="94">
        <f t="shared" si="3"/>
        <v>1</v>
      </c>
      <c r="N105"/>
      <c r="O105" s="8"/>
      <c r="P105"/>
      <c r="Q105" s="8"/>
    </row>
    <row r="106" spans="2:17" x14ac:dyDescent="0.25">
      <c r="B106" s="156">
        <v>3</v>
      </c>
      <c r="C106" s="157" t="s">
        <v>49</v>
      </c>
      <c r="D106" s="158" t="s">
        <v>50</v>
      </c>
      <c r="E106" s="282"/>
      <c r="F106" s="61"/>
      <c r="G106" s="62"/>
      <c r="H106" s="55">
        <v>16</v>
      </c>
      <c r="I106" s="55"/>
      <c r="J106" s="69">
        <f t="shared" si="2"/>
        <v>0</v>
      </c>
      <c r="K106" s="90">
        <f>+I106+'OCTUBRE 2025'!K106</f>
        <v>16</v>
      </c>
      <c r="L106" s="94">
        <f t="shared" si="3"/>
        <v>1</v>
      </c>
      <c r="N106"/>
      <c r="O106" s="8"/>
      <c r="P106"/>
      <c r="Q106" s="8"/>
    </row>
    <row r="107" spans="2:17" x14ac:dyDescent="0.25">
      <c r="B107" s="156">
        <v>3</v>
      </c>
      <c r="C107" s="157" t="s">
        <v>52</v>
      </c>
      <c r="D107" s="158" t="s">
        <v>53</v>
      </c>
      <c r="E107" s="282"/>
      <c r="F107" s="61"/>
      <c r="G107" s="62"/>
      <c r="H107" s="55">
        <v>16</v>
      </c>
      <c r="I107" s="55"/>
      <c r="J107" s="69">
        <f t="shared" si="2"/>
        <v>0</v>
      </c>
      <c r="K107" s="90">
        <f>+I107+'OCTUBRE 2025'!K107</f>
        <v>16</v>
      </c>
      <c r="L107" s="94">
        <f t="shared" si="3"/>
        <v>1</v>
      </c>
      <c r="N107"/>
      <c r="O107" s="8"/>
      <c r="P107"/>
      <c r="Q107" s="8"/>
    </row>
    <row r="108" spans="2:17" x14ac:dyDescent="0.25">
      <c r="B108" s="156">
        <v>3</v>
      </c>
      <c r="C108" s="157" t="s">
        <v>55</v>
      </c>
      <c r="D108" s="158" t="s">
        <v>56</v>
      </c>
      <c r="E108" s="282"/>
      <c r="F108" s="61"/>
      <c r="G108" s="62"/>
      <c r="H108" s="55">
        <v>15</v>
      </c>
      <c r="I108" s="55"/>
      <c r="J108" s="69">
        <f t="shared" si="2"/>
        <v>0</v>
      </c>
      <c r="K108" s="90">
        <f>+I108+'OCTUBRE 2025'!K108</f>
        <v>15</v>
      </c>
      <c r="L108" s="94">
        <f t="shared" si="3"/>
        <v>1</v>
      </c>
      <c r="N108"/>
      <c r="O108" s="8"/>
      <c r="P108"/>
      <c r="Q108" s="8"/>
    </row>
    <row r="109" spans="2:17" x14ac:dyDescent="0.25">
      <c r="B109" s="156">
        <v>5</v>
      </c>
      <c r="C109" s="157" t="s">
        <v>57</v>
      </c>
      <c r="D109" s="158" t="s">
        <v>58</v>
      </c>
      <c r="E109" s="282"/>
      <c r="F109" s="61"/>
      <c r="G109" s="62"/>
      <c r="H109" s="55">
        <v>16</v>
      </c>
      <c r="I109" s="55"/>
      <c r="J109" s="69">
        <f t="shared" si="2"/>
        <v>0</v>
      </c>
      <c r="K109" s="90">
        <f>+I109+'OCTUBRE 2025'!K109</f>
        <v>16</v>
      </c>
      <c r="L109" s="94">
        <f t="shared" si="3"/>
        <v>1</v>
      </c>
      <c r="N109"/>
      <c r="O109" s="8"/>
      <c r="P109"/>
      <c r="Q109" s="8"/>
    </row>
    <row r="110" spans="2:17" s="16" customFormat="1" x14ac:dyDescent="0.25">
      <c r="B110" s="156">
        <v>5</v>
      </c>
      <c r="C110" s="157" t="s">
        <v>118</v>
      </c>
      <c r="D110" s="158" t="s">
        <v>119</v>
      </c>
      <c r="E110" s="282"/>
      <c r="F110" s="61"/>
      <c r="G110" s="62"/>
      <c r="H110" s="55">
        <v>16</v>
      </c>
      <c r="I110" s="55"/>
      <c r="J110" s="69">
        <f t="shared" si="2"/>
        <v>0</v>
      </c>
      <c r="K110" s="90">
        <f>+I110+'OCTUBRE 2025'!K110</f>
        <v>16</v>
      </c>
      <c r="L110" s="94">
        <f t="shared" si="3"/>
        <v>1</v>
      </c>
      <c r="N110" s="41"/>
      <c r="P110" s="41"/>
    </row>
    <row r="111" spans="2:17" x14ac:dyDescent="0.25">
      <c r="B111" s="156">
        <v>5</v>
      </c>
      <c r="C111" s="157" t="s">
        <v>120</v>
      </c>
      <c r="D111" s="158" t="s">
        <v>121</v>
      </c>
      <c r="E111" s="282"/>
      <c r="F111" s="61"/>
      <c r="G111" s="62"/>
      <c r="H111" s="68">
        <v>16</v>
      </c>
      <c r="I111" s="68"/>
      <c r="J111" s="69">
        <f t="shared" si="2"/>
        <v>0</v>
      </c>
      <c r="K111" s="90">
        <f>+I111+'OCTUBRE 2025'!K111</f>
        <v>16</v>
      </c>
      <c r="L111" s="94">
        <f t="shared" si="3"/>
        <v>1</v>
      </c>
      <c r="N111"/>
      <c r="O111" s="8"/>
      <c r="P111"/>
      <c r="Q111" s="8"/>
    </row>
    <row r="112" spans="2:17" x14ac:dyDescent="0.25">
      <c r="B112" s="156">
        <v>5</v>
      </c>
      <c r="C112" s="157" t="s">
        <v>122</v>
      </c>
      <c r="D112" s="158" t="s">
        <v>123</v>
      </c>
      <c r="E112" s="282"/>
      <c r="F112" s="61"/>
      <c r="G112" s="62"/>
      <c r="H112" s="68">
        <v>20</v>
      </c>
      <c r="I112" s="68"/>
      <c r="J112" s="69">
        <f t="shared" si="2"/>
        <v>0</v>
      </c>
      <c r="K112" s="90">
        <f>+I112+'OCTUBRE 2025'!K112</f>
        <v>20</v>
      </c>
      <c r="L112" s="94">
        <f t="shared" si="3"/>
        <v>1</v>
      </c>
      <c r="N112"/>
      <c r="O112" s="8"/>
      <c r="P112"/>
      <c r="Q112" s="8"/>
    </row>
    <row r="113" spans="2:17" x14ac:dyDescent="0.25">
      <c r="B113" s="159">
        <v>5</v>
      </c>
      <c r="C113" s="160" t="s">
        <v>59</v>
      </c>
      <c r="D113" s="161" t="s">
        <v>60</v>
      </c>
      <c r="E113" s="283"/>
      <c r="F113" s="64"/>
      <c r="G113" s="65"/>
      <c r="H113" s="56">
        <v>24</v>
      </c>
      <c r="I113" s="56"/>
      <c r="J113" s="72">
        <f t="shared" si="2"/>
        <v>0</v>
      </c>
      <c r="K113" s="91">
        <f>+I113+'OCTUBRE 2025'!K113</f>
        <v>24</v>
      </c>
      <c r="L113" s="96">
        <f t="shared" si="3"/>
        <v>1</v>
      </c>
      <c r="N113"/>
      <c r="O113" s="8"/>
      <c r="P113"/>
      <c r="Q113" s="8"/>
    </row>
    <row r="114" spans="2:17" x14ac:dyDescent="0.25">
      <c r="B114" s="165">
        <v>3</v>
      </c>
      <c r="C114" s="166" t="s">
        <v>43</v>
      </c>
      <c r="D114" s="167" t="s">
        <v>44</v>
      </c>
      <c r="E114" s="284" t="s">
        <v>128</v>
      </c>
      <c r="F114" s="59"/>
      <c r="G114" s="60"/>
      <c r="H114" s="66">
        <v>20</v>
      </c>
      <c r="I114" s="66"/>
      <c r="J114" s="69">
        <f t="shared" si="2"/>
        <v>0</v>
      </c>
      <c r="K114" s="103">
        <f>+I114+'OCTUBRE 2025'!K114</f>
        <v>20</v>
      </c>
      <c r="L114" s="94">
        <f t="shared" si="3"/>
        <v>1</v>
      </c>
      <c r="N114"/>
      <c r="O114" s="8"/>
      <c r="P114"/>
      <c r="Q114" s="8"/>
    </row>
    <row r="115" spans="2:17" x14ac:dyDescent="0.25">
      <c r="B115" s="156">
        <v>3</v>
      </c>
      <c r="C115" s="157" t="s">
        <v>46</v>
      </c>
      <c r="D115" s="158" t="s">
        <v>47</v>
      </c>
      <c r="E115" s="282"/>
      <c r="F115" s="61"/>
      <c r="G115" s="74"/>
      <c r="H115" s="68">
        <v>14</v>
      </c>
      <c r="I115" s="55"/>
      <c r="J115" s="69">
        <f t="shared" si="2"/>
        <v>0</v>
      </c>
      <c r="K115" s="90">
        <f>+I115+'OCTUBRE 2025'!K115</f>
        <v>14</v>
      </c>
      <c r="L115" s="94">
        <f t="shared" si="3"/>
        <v>1</v>
      </c>
      <c r="N115"/>
      <c r="O115" s="8"/>
      <c r="P115"/>
      <c r="Q115" s="8"/>
    </row>
    <row r="116" spans="2:17" x14ac:dyDescent="0.25">
      <c r="B116" s="156">
        <v>3</v>
      </c>
      <c r="C116" s="157" t="s">
        <v>98</v>
      </c>
      <c r="D116" s="158" t="s">
        <v>99</v>
      </c>
      <c r="E116" s="282"/>
      <c r="F116" s="61"/>
      <c r="G116" s="62"/>
      <c r="H116" s="55">
        <v>28</v>
      </c>
      <c r="I116" s="70"/>
      <c r="J116" s="69">
        <f t="shared" si="2"/>
        <v>0</v>
      </c>
      <c r="K116" s="90">
        <f>+I116+'OCTUBRE 2025'!K116</f>
        <v>28</v>
      </c>
      <c r="L116" s="94">
        <f t="shared" si="3"/>
        <v>1</v>
      </c>
      <c r="N116"/>
      <c r="O116" s="8"/>
      <c r="P116"/>
      <c r="Q116" s="8"/>
    </row>
    <row r="117" spans="2:17" x14ac:dyDescent="0.25">
      <c r="B117" s="156">
        <v>3</v>
      </c>
      <c r="C117" s="157" t="s">
        <v>49</v>
      </c>
      <c r="D117" s="158" t="s">
        <v>50</v>
      </c>
      <c r="E117" s="282"/>
      <c r="F117" s="61"/>
      <c r="G117" s="62"/>
      <c r="H117" s="55">
        <v>16</v>
      </c>
      <c r="I117" s="55"/>
      <c r="J117" s="69">
        <f t="shared" si="2"/>
        <v>0</v>
      </c>
      <c r="K117" s="90">
        <f>+I117+'OCTUBRE 2025'!K117</f>
        <v>16</v>
      </c>
      <c r="L117" s="94">
        <f t="shared" si="3"/>
        <v>1</v>
      </c>
      <c r="N117"/>
      <c r="O117" s="8"/>
      <c r="P117"/>
      <c r="Q117" s="8"/>
    </row>
    <row r="118" spans="2:17" x14ac:dyDescent="0.25">
      <c r="B118" s="156">
        <v>3</v>
      </c>
      <c r="C118" s="157" t="s">
        <v>52</v>
      </c>
      <c r="D118" s="158" t="s">
        <v>53</v>
      </c>
      <c r="E118" s="282"/>
      <c r="F118" s="61"/>
      <c r="G118" s="62"/>
      <c r="H118" s="55">
        <v>16</v>
      </c>
      <c r="I118" s="55"/>
      <c r="J118" s="69">
        <f t="shared" si="2"/>
        <v>0</v>
      </c>
      <c r="K118" s="90">
        <f>+I118+'OCTUBRE 2025'!K118</f>
        <v>16</v>
      </c>
      <c r="L118" s="94">
        <f t="shared" si="3"/>
        <v>1</v>
      </c>
      <c r="N118"/>
      <c r="O118" s="8"/>
      <c r="P118"/>
      <c r="Q118" s="8"/>
    </row>
    <row r="119" spans="2:17" s="16" customFormat="1" x14ac:dyDescent="0.25">
      <c r="B119" s="156">
        <v>3</v>
      </c>
      <c r="C119" s="157" t="s">
        <v>55</v>
      </c>
      <c r="D119" s="158" t="s">
        <v>56</v>
      </c>
      <c r="E119" s="282"/>
      <c r="F119" s="61"/>
      <c r="G119" s="62"/>
      <c r="H119" s="55">
        <v>12</v>
      </c>
      <c r="I119" s="55"/>
      <c r="J119" s="69">
        <f t="shared" si="2"/>
        <v>0</v>
      </c>
      <c r="K119" s="90">
        <f>+I119+'OCTUBRE 2025'!K119</f>
        <v>12</v>
      </c>
      <c r="L119" s="94">
        <f t="shared" si="3"/>
        <v>1</v>
      </c>
      <c r="N119" s="41"/>
      <c r="P119" s="41"/>
    </row>
    <row r="120" spans="2:17" x14ac:dyDescent="0.25">
      <c r="B120" s="156">
        <v>5</v>
      </c>
      <c r="C120" s="157" t="s">
        <v>57</v>
      </c>
      <c r="D120" s="158" t="s">
        <v>58</v>
      </c>
      <c r="E120" s="282"/>
      <c r="F120" s="73"/>
      <c r="G120" s="62"/>
      <c r="H120" s="55">
        <v>24</v>
      </c>
      <c r="I120" s="55"/>
      <c r="J120" s="69">
        <f t="shared" si="2"/>
        <v>0</v>
      </c>
      <c r="K120" s="90">
        <f>+I120+'OCTUBRE 2025'!K120</f>
        <v>24</v>
      </c>
      <c r="L120" s="94">
        <f t="shared" si="3"/>
        <v>1</v>
      </c>
      <c r="N120"/>
      <c r="O120" s="8"/>
      <c r="P120"/>
      <c r="Q120" s="8"/>
    </row>
    <row r="121" spans="2:17" x14ac:dyDescent="0.25">
      <c r="B121" s="156">
        <v>5</v>
      </c>
      <c r="C121" s="157" t="s">
        <v>59</v>
      </c>
      <c r="D121" s="158" t="s">
        <v>60</v>
      </c>
      <c r="E121" s="282"/>
      <c r="F121" s="61"/>
      <c r="G121" s="62"/>
      <c r="H121" s="55">
        <v>26</v>
      </c>
      <c r="I121" s="55"/>
      <c r="J121" s="69">
        <f t="shared" si="2"/>
        <v>0</v>
      </c>
      <c r="K121" s="90">
        <f>+I121+'OCTUBRE 2025'!K121</f>
        <v>26</v>
      </c>
      <c r="L121" s="94">
        <f t="shared" si="3"/>
        <v>1</v>
      </c>
      <c r="N121"/>
      <c r="O121" s="8"/>
      <c r="P121"/>
      <c r="Q121" s="8"/>
    </row>
    <row r="122" spans="2:17" x14ac:dyDescent="0.25">
      <c r="B122" s="159">
        <v>8</v>
      </c>
      <c r="C122" s="160" t="s">
        <v>61</v>
      </c>
      <c r="D122" s="161" t="s">
        <v>62</v>
      </c>
      <c r="E122" s="283"/>
      <c r="F122" s="64"/>
      <c r="G122" s="65"/>
      <c r="H122" s="56">
        <v>24</v>
      </c>
      <c r="I122" s="56"/>
      <c r="J122" s="72">
        <f t="shared" si="2"/>
        <v>0</v>
      </c>
      <c r="K122" s="91">
        <f>+I122+'OCTUBRE 2025'!K122</f>
        <v>24</v>
      </c>
      <c r="L122" s="96">
        <f t="shared" si="3"/>
        <v>1</v>
      </c>
      <c r="N122"/>
      <c r="O122" s="8"/>
      <c r="P122"/>
      <c r="Q122" s="8"/>
    </row>
    <row r="123" spans="2:17" x14ac:dyDescent="0.25">
      <c r="B123" s="153">
        <v>1</v>
      </c>
      <c r="C123" s="154" t="s">
        <v>74</v>
      </c>
      <c r="D123" s="155" t="s">
        <v>75</v>
      </c>
      <c r="E123" s="281" t="s">
        <v>143</v>
      </c>
      <c r="F123" s="59"/>
      <c r="G123" s="60"/>
      <c r="H123" s="66">
        <v>14</v>
      </c>
      <c r="I123" s="66"/>
      <c r="J123" s="69">
        <f t="shared" si="2"/>
        <v>0</v>
      </c>
      <c r="K123" s="103">
        <f>+I123+'OCTUBRE 2025'!K123</f>
        <v>14</v>
      </c>
      <c r="L123" s="94">
        <f t="shared" si="3"/>
        <v>1</v>
      </c>
      <c r="N123"/>
      <c r="O123" s="8"/>
      <c r="P123"/>
      <c r="Q123" s="8"/>
    </row>
    <row r="124" spans="2:17" x14ac:dyDescent="0.25">
      <c r="B124" s="156">
        <v>1</v>
      </c>
      <c r="C124" s="157" t="s">
        <v>77</v>
      </c>
      <c r="D124" s="158" t="s">
        <v>78</v>
      </c>
      <c r="E124" s="282"/>
      <c r="F124" s="61"/>
      <c r="G124" s="62"/>
      <c r="H124" s="68">
        <v>14</v>
      </c>
      <c r="I124" s="55"/>
      <c r="J124" s="69">
        <f t="shared" si="2"/>
        <v>0</v>
      </c>
      <c r="K124" s="90">
        <f>+I124+'OCTUBRE 2025'!K124</f>
        <v>14</v>
      </c>
      <c r="L124" s="94">
        <f t="shared" si="3"/>
        <v>1</v>
      </c>
      <c r="N124"/>
      <c r="O124" s="8"/>
      <c r="P124"/>
      <c r="Q124" s="8"/>
    </row>
    <row r="125" spans="2:17" x14ac:dyDescent="0.25">
      <c r="B125" s="156">
        <v>1</v>
      </c>
      <c r="C125" s="157" t="s">
        <v>79</v>
      </c>
      <c r="D125" s="158" t="s">
        <v>80</v>
      </c>
      <c r="E125" s="282"/>
      <c r="F125" s="61"/>
      <c r="G125" s="62"/>
      <c r="H125" s="55">
        <v>16</v>
      </c>
      <c r="I125" s="70"/>
      <c r="J125" s="69">
        <f t="shared" si="2"/>
        <v>0</v>
      </c>
      <c r="K125" s="90">
        <f>+I125+'OCTUBRE 2025'!K125</f>
        <v>16</v>
      </c>
      <c r="L125" s="94">
        <f t="shared" si="3"/>
        <v>1</v>
      </c>
      <c r="N125"/>
      <c r="O125" s="8"/>
      <c r="P125"/>
      <c r="Q125" s="8"/>
    </row>
    <row r="126" spans="2:17" x14ac:dyDescent="0.25">
      <c r="B126" s="156">
        <v>1</v>
      </c>
      <c r="C126" s="157" t="s">
        <v>82</v>
      </c>
      <c r="D126" s="158" t="s">
        <v>83</v>
      </c>
      <c r="E126" s="282"/>
      <c r="F126" s="61"/>
      <c r="G126" s="62"/>
      <c r="H126" s="55">
        <v>18</v>
      </c>
      <c r="I126" s="55"/>
      <c r="J126" s="69">
        <f t="shared" si="2"/>
        <v>0</v>
      </c>
      <c r="K126" s="90">
        <f>+I126+'OCTUBRE 2025'!K126</f>
        <v>18</v>
      </c>
      <c r="L126" s="94">
        <f t="shared" si="3"/>
        <v>1</v>
      </c>
      <c r="N126"/>
      <c r="O126" s="8"/>
      <c r="P126"/>
      <c r="Q126" s="8"/>
    </row>
    <row r="127" spans="2:17" x14ac:dyDescent="0.25">
      <c r="B127" s="156">
        <v>1</v>
      </c>
      <c r="C127" s="157" t="s">
        <v>84</v>
      </c>
      <c r="D127" s="158" t="s">
        <v>85</v>
      </c>
      <c r="E127" s="282"/>
      <c r="F127" s="61"/>
      <c r="G127" s="62"/>
      <c r="H127" s="55">
        <v>24</v>
      </c>
      <c r="I127" s="55"/>
      <c r="J127" s="69">
        <f t="shared" si="2"/>
        <v>0</v>
      </c>
      <c r="K127" s="90">
        <f>+I127+'OCTUBRE 2025'!K127</f>
        <v>24</v>
      </c>
      <c r="L127" s="94">
        <f t="shared" si="3"/>
        <v>1</v>
      </c>
      <c r="N127"/>
      <c r="O127" s="8"/>
      <c r="P127"/>
      <c r="Q127" s="8"/>
    </row>
    <row r="128" spans="2:17" x14ac:dyDescent="0.25">
      <c r="B128" s="156">
        <v>1</v>
      </c>
      <c r="C128" s="157" t="s">
        <v>86</v>
      </c>
      <c r="D128" s="158" t="s">
        <v>87</v>
      </c>
      <c r="E128" s="282"/>
      <c r="F128" s="61"/>
      <c r="G128" s="62"/>
      <c r="H128" s="55">
        <v>16</v>
      </c>
      <c r="I128" s="55"/>
      <c r="J128" s="69">
        <f t="shared" si="2"/>
        <v>0</v>
      </c>
      <c r="K128" s="90">
        <f>+I128+'OCTUBRE 2025'!K128</f>
        <v>16</v>
      </c>
      <c r="L128" s="94">
        <f t="shared" si="3"/>
        <v>1</v>
      </c>
      <c r="N128"/>
      <c r="O128" s="8"/>
      <c r="P128"/>
      <c r="Q128" s="8"/>
    </row>
    <row r="129" spans="2:17" x14ac:dyDescent="0.25">
      <c r="B129" s="156">
        <v>1</v>
      </c>
      <c r="C129" s="157" t="s">
        <v>89</v>
      </c>
      <c r="D129" s="158" t="s">
        <v>90</v>
      </c>
      <c r="E129" s="282"/>
      <c r="F129" s="61"/>
      <c r="G129" s="62"/>
      <c r="H129" s="55">
        <v>18</v>
      </c>
      <c r="I129" s="55"/>
      <c r="J129" s="69">
        <f t="shared" si="2"/>
        <v>0</v>
      </c>
      <c r="K129" s="90">
        <f>+I129+'OCTUBRE 2025'!K129</f>
        <v>18</v>
      </c>
      <c r="L129" s="94">
        <f t="shared" si="3"/>
        <v>1</v>
      </c>
      <c r="N129"/>
      <c r="O129" s="8"/>
      <c r="P129"/>
      <c r="Q129" s="8"/>
    </row>
    <row r="130" spans="2:17" s="16" customFormat="1" x14ac:dyDescent="0.25">
      <c r="B130" s="156">
        <v>1</v>
      </c>
      <c r="C130" s="157" t="s">
        <v>92</v>
      </c>
      <c r="D130" s="158" t="s">
        <v>93</v>
      </c>
      <c r="E130" s="282"/>
      <c r="F130" s="61"/>
      <c r="G130" s="62"/>
      <c r="H130" s="55">
        <v>16</v>
      </c>
      <c r="I130" s="55"/>
      <c r="J130" s="69">
        <f t="shared" si="2"/>
        <v>0</v>
      </c>
      <c r="K130" s="90">
        <f>+I130+'OCTUBRE 2025'!K130</f>
        <v>16</v>
      </c>
      <c r="L130" s="94">
        <f t="shared" si="3"/>
        <v>1</v>
      </c>
      <c r="N130" s="41"/>
      <c r="P130" s="41"/>
    </row>
    <row r="131" spans="2:17" x14ac:dyDescent="0.25">
      <c r="B131" s="156">
        <v>1</v>
      </c>
      <c r="C131" s="157" t="s">
        <v>95</v>
      </c>
      <c r="D131" s="158" t="s">
        <v>96</v>
      </c>
      <c r="E131" s="282"/>
      <c r="F131" s="61"/>
      <c r="G131" s="62"/>
      <c r="H131" s="68">
        <v>10</v>
      </c>
      <c r="I131" s="55"/>
      <c r="J131" s="69">
        <f t="shared" si="2"/>
        <v>0</v>
      </c>
      <c r="K131" s="90">
        <f>+I131+'OCTUBRE 2025'!K131</f>
        <v>10</v>
      </c>
      <c r="L131" s="94">
        <f t="shared" si="3"/>
        <v>1</v>
      </c>
      <c r="N131"/>
      <c r="O131" s="8"/>
      <c r="P131"/>
      <c r="Q131" s="8"/>
    </row>
    <row r="132" spans="2:17" x14ac:dyDescent="0.25">
      <c r="B132" s="156">
        <v>2</v>
      </c>
      <c r="C132" s="157" t="s">
        <v>140</v>
      </c>
      <c r="D132" s="158" t="s">
        <v>141</v>
      </c>
      <c r="E132" s="282"/>
      <c r="F132" s="61"/>
      <c r="G132" s="62"/>
      <c r="H132" s="55">
        <v>14</v>
      </c>
      <c r="I132" s="55"/>
      <c r="J132" s="69">
        <f t="shared" si="2"/>
        <v>0</v>
      </c>
      <c r="K132" s="90">
        <f>+I132+'OCTUBRE 2025'!K132</f>
        <v>14</v>
      </c>
      <c r="L132" s="94">
        <f t="shared" si="3"/>
        <v>1</v>
      </c>
      <c r="N132"/>
      <c r="O132" s="8"/>
      <c r="P132"/>
      <c r="Q132" s="8"/>
    </row>
    <row r="133" spans="2:17" x14ac:dyDescent="0.25">
      <c r="B133" s="159">
        <v>2</v>
      </c>
      <c r="C133" s="160" t="s">
        <v>57</v>
      </c>
      <c r="D133" s="161" t="s">
        <v>58</v>
      </c>
      <c r="E133" s="283"/>
      <c r="F133" s="64"/>
      <c r="G133" s="65"/>
      <c r="H133" s="56">
        <v>20</v>
      </c>
      <c r="I133" s="56"/>
      <c r="J133" s="72">
        <f t="shared" si="2"/>
        <v>0</v>
      </c>
      <c r="K133" s="91">
        <f>+I133+'OCTUBRE 2025'!K133</f>
        <v>20</v>
      </c>
      <c r="L133" s="96">
        <f t="shared" si="3"/>
        <v>1</v>
      </c>
      <c r="N133"/>
      <c r="O133" s="8"/>
      <c r="P133"/>
      <c r="Q133" s="8"/>
    </row>
    <row r="134" spans="2:17" x14ac:dyDescent="0.25">
      <c r="B134" s="153">
        <v>1</v>
      </c>
      <c r="C134" s="154" t="s">
        <v>144</v>
      </c>
      <c r="D134" s="155" t="s">
        <v>145</v>
      </c>
      <c r="E134" s="281" t="s">
        <v>205</v>
      </c>
      <c r="F134" s="61"/>
      <c r="G134" s="60"/>
      <c r="H134" s="66">
        <v>20</v>
      </c>
      <c r="I134" s="66"/>
      <c r="J134" s="69">
        <f t="shared" si="2"/>
        <v>0</v>
      </c>
      <c r="K134" s="103">
        <f>+I134+'OCTUBRE 2025'!K134</f>
        <v>20</v>
      </c>
      <c r="L134" s="94">
        <f t="shared" si="3"/>
        <v>1</v>
      </c>
      <c r="N134"/>
      <c r="O134" s="8"/>
      <c r="P134"/>
      <c r="Q134" s="8"/>
    </row>
    <row r="135" spans="2:17" x14ac:dyDescent="0.25">
      <c r="B135" s="156">
        <v>1</v>
      </c>
      <c r="C135" s="157" t="s">
        <v>74</v>
      </c>
      <c r="D135" s="158" t="s">
        <v>75</v>
      </c>
      <c r="E135" s="282"/>
      <c r="F135" s="61"/>
      <c r="G135" s="62"/>
      <c r="H135" s="68">
        <v>20</v>
      </c>
      <c r="I135" s="55"/>
      <c r="J135" s="69">
        <f t="shared" si="2"/>
        <v>0</v>
      </c>
      <c r="K135" s="90">
        <f>+I135+'OCTUBRE 2025'!K135</f>
        <v>20</v>
      </c>
      <c r="L135" s="94">
        <f t="shared" si="3"/>
        <v>1</v>
      </c>
      <c r="N135"/>
      <c r="O135" s="8"/>
      <c r="P135"/>
      <c r="Q135" s="8"/>
    </row>
    <row r="136" spans="2:17" x14ac:dyDescent="0.25">
      <c r="B136" s="156">
        <v>1</v>
      </c>
      <c r="C136" s="157" t="s">
        <v>77</v>
      </c>
      <c r="D136" s="158" t="s">
        <v>78</v>
      </c>
      <c r="E136" s="282"/>
      <c r="F136" s="61"/>
      <c r="G136" s="63"/>
      <c r="H136" s="55">
        <v>20</v>
      </c>
      <c r="I136" s="70"/>
      <c r="J136" s="69">
        <f t="shared" si="2"/>
        <v>0</v>
      </c>
      <c r="K136" s="90">
        <f>+I136+'OCTUBRE 2025'!K136</f>
        <v>20</v>
      </c>
      <c r="L136" s="94">
        <f t="shared" si="3"/>
        <v>1</v>
      </c>
      <c r="N136"/>
      <c r="O136" s="8"/>
      <c r="P136"/>
      <c r="Q136" s="8"/>
    </row>
    <row r="137" spans="2:17" x14ac:dyDescent="0.25">
      <c r="B137" s="156">
        <v>1</v>
      </c>
      <c r="C137" s="157" t="s">
        <v>79</v>
      </c>
      <c r="D137" s="158" t="s">
        <v>80</v>
      </c>
      <c r="E137" s="282"/>
      <c r="F137" s="61"/>
      <c r="G137" s="62"/>
      <c r="H137" s="55">
        <v>20</v>
      </c>
      <c r="I137" s="55"/>
      <c r="J137" s="69">
        <f t="shared" si="2"/>
        <v>0</v>
      </c>
      <c r="K137" s="90">
        <f>+I137+'OCTUBRE 2025'!K137</f>
        <v>20</v>
      </c>
      <c r="L137" s="94">
        <f t="shared" si="3"/>
        <v>1</v>
      </c>
      <c r="N137"/>
      <c r="O137" s="8"/>
      <c r="P137"/>
      <c r="Q137" s="8"/>
    </row>
    <row r="138" spans="2:17" x14ac:dyDescent="0.25">
      <c r="B138" s="156">
        <v>1</v>
      </c>
      <c r="C138" s="157" t="s">
        <v>82</v>
      </c>
      <c r="D138" s="158" t="s">
        <v>83</v>
      </c>
      <c r="E138" s="282"/>
      <c r="F138" s="61"/>
      <c r="G138" s="62"/>
      <c r="H138" s="55">
        <v>2</v>
      </c>
      <c r="I138" s="55"/>
      <c r="J138" s="69">
        <f t="shared" si="2"/>
        <v>0</v>
      </c>
      <c r="K138" s="90">
        <f>+I138+'OCTUBRE 2025'!K138</f>
        <v>2</v>
      </c>
      <c r="L138" s="94">
        <f t="shared" si="3"/>
        <v>1</v>
      </c>
      <c r="N138"/>
      <c r="O138" s="8"/>
      <c r="P138"/>
      <c r="Q138" s="8"/>
    </row>
    <row r="139" spans="2:17" x14ac:dyDescent="0.25">
      <c r="B139" s="156">
        <v>1</v>
      </c>
      <c r="C139" s="157" t="s">
        <v>84</v>
      </c>
      <c r="D139" s="158" t="s">
        <v>85</v>
      </c>
      <c r="E139" s="282"/>
      <c r="F139" s="61"/>
      <c r="G139" s="62"/>
      <c r="H139" s="55">
        <v>40</v>
      </c>
      <c r="I139" s="55"/>
      <c r="J139" s="69">
        <f t="shared" si="2"/>
        <v>0</v>
      </c>
      <c r="K139" s="90">
        <f>+I139+'OCTUBRE 2025'!K139</f>
        <v>40</v>
      </c>
      <c r="L139" s="94">
        <f t="shared" si="3"/>
        <v>1</v>
      </c>
      <c r="N139"/>
      <c r="O139" s="8"/>
      <c r="P139"/>
      <c r="Q139" s="8"/>
    </row>
    <row r="140" spans="2:17" x14ac:dyDescent="0.25">
      <c r="B140" s="156">
        <v>1</v>
      </c>
      <c r="C140" s="157" t="s">
        <v>86</v>
      </c>
      <c r="D140" s="158" t="s">
        <v>87</v>
      </c>
      <c r="E140" s="282"/>
      <c r="F140" s="40"/>
      <c r="G140" s="62"/>
      <c r="H140" s="55">
        <v>2</v>
      </c>
      <c r="I140" s="55"/>
      <c r="J140" s="69">
        <f t="shared" si="2"/>
        <v>0</v>
      </c>
      <c r="K140" s="90">
        <f>+I140+'OCTUBRE 2025'!K140</f>
        <v>2</v>
      </c>
      <c r="L140" s="94">
        <f t="shared" si="3"/>
        <v>1</v>
      </c>
      <c r="N140"/>
      <c r="O140" s="8"/>
      <c r="P140"/>
      <c r="Q140" s="8"/>
    </row>
    <row r="141" spans="2:17" x14ac:dyDescent="0.25">
      <c r="B141" s="156">
        <v>1</v>
      </c>
      <c r="C141" s="157" t="s">
        <v>89</v>
      </c>
      <c r="D141" s="158" t="s">
        <v>90</v>
      </c>
      <c r="E141" s="282"/>
      <c r="F141" s="61"/>
      <c r="G141" s="62"/>
      <c r="H141" s="55">
        <v>8</v>
      </c>
      <c r="I141" s="55"/>
      <c r="J141" s="69">
        <f t="shared" si="2"/>
        <v>0</v>
      </c>
      <c r="K141" s="90">
        <f>+I141+'OCTUBRE 2025'!K141</f>
        <v>8</v>
      </c>
      <c r="L141" s="94">
        <f t="shared" si="3"/>
        <v>1</v>
      </c>
      <c r="N141"/>
      <c r="O141" s="8"/>
      <c r="P141"/>
      <c r="Q141" s="8"/>
    </row>
    <row r="142" spans="2:17" s="16" customFormat="1" x14ac:dyDescent="0.25">
      <c r="B142" s="156">
        <v>1</v>
      </c>
      <c r="C142" s="157" t="s">
        <v>92</v>
      </c>
      <c r="D142" s="158" t="s">
        <v>93</v>
      </c>
      <c r="E142" s="282"/>
      <c r="F142" s="1"/>
      <c r="G142" s="62"/>
      <c r="H142" s="68">
        <v>15</v>
      </c>
      <c r="I142" s="55"/>
      <c r="J142" s="69">
        <f t="shared" si="2"/>
        <v>0</v>
      </c>
      <c r="K142" s="90">
        <f>+I142+'OCTUBRE 2025'!K142</f>
        <v>15</v>
      </c>
      <c r="L142" s="94">
        <f t="shared" si="3"/>
        <v>1</v>
      </c>
      <c r="N142" s="41"/>
      <c r="P142" s="41"/>
    </row>
    <row r="143" spans="2:17" x14ac:dyDescent="0.25">
      <c r="B143" s="156">
        <v>1</v>
      </c>
      <c r="C143" s="157" t="s">
        <v>146</v>
      </c>
      <c r="D143" s="158" t="s">
        <v>147</v>
      </c>
      <c r="E143" s="282"/>
      <c r="F143" s="61"/>
      <c r="G143" s="62"/>
      <c r="H143" s="55">
        <v>5</v>
      </c>
      <c r="I143" s="55"/>
      <c r="J143" s="69">
        <f t="shared" ref="J143:J206" si="4">IFERROR(I143/H143,0)</f>
        <v>0</v>
      </c>
      <c r="K143" s="90">
        <f>+I143+'OCTUBRE 2025'!K143</f>
        <v>5</v>
      </c>
      <c r="L143" s="94">
        <f t="shared" ref="L143:L206" si="5">IFERROR(K143/H143,0)</f>
        <v>1</v>
      </c>
      <c r="N143"/>
      <c r="O143" s="8"/>
      <c r="P143"/>
      <c r="Q143" s="8"/>
    </row>
    <row r="144" spans="2:17" x14ac:dyDescent="0.25">
      <c r="B144" s="156">
        <v>1</v>
      </c>
      <c r="C144" s="157" t="s">
        <v>95</v>
      </c>
      <c r="D144" s="158" t="s">
        <v>96</v>
      </c>
      <c r="E144" s="282"/>
      <c r="F144" s="61"/>
      <c r="G144" s="63"/>
      <c r="H144" s="55">
        <v>13</v>
      </c>
      <c r="I144" s="70"/>
      <c r="J144" s="69">
        <f t="shared" si="4"/>
        <v>0</v>
      </c>
      <c r="K144" s="90">
        <f>+I144+'OCTUBRE 2025'!K144</f>
        <v>13</v>
      </c>
      <c r="L144" s="94">
        <f t="shared" si="5"/>
        <v>1</v>
      </c>
      <c r="N144"/>
      <c r="O144" s="8"/>
      <c r="P144"/>
      <c r="Q144" s="8"/>
    </row>
    <row r="145" spans="2:17" x14ac:dyDescent="0.25">
      <c r="B145" s="159">
        <v>8</v>
      </c>
      <c r="C145" s="160" t="s">
        <v>148</v>
      </c>
      <c r="D145" s="161" t="s">
        <v>141</v>
      </c>
      <c r="E145" s="283"/>
      <c r="F145" s="64"/>
      <c r="G145" s="65"/>
      <c r="H145" s="56">
        <v>15</v>
      </c>
      <c r="I145" s="56"/>
      <c r="J145" s="72">
        <f t="shared" si="4"/>
        <v>0</v>
      </c>
      <c r="K145" s="91">
        <f>+I145+'OCTUBRE 2025'!K145</f>
        <v>15</v>
      </c>
      <c r="L145" s="96">
        <f t="shared" si="5"/>
        <v>1</v>
      </c>
      <c r="N145"/>
      <c r="O145" s="8"/>
      <c r="P145"/>
      <c r="Q145" s="8"/>
    </row>
    <row r="146" spans="2:17" x14ac:dyDescent="0.25">
      <c r="B146" s="153">
        <v>3</v>
      </c>
      <c r="C146" s="154" t="s">
        <v>43</v>
      </c>
      <c r="D146" s="155" t="s">
        <v>44</v>
      </c>
      <c r="E146" s="285" t="s">
        <v>239</v>
      </c>
      <c r="F146" s="59"/>
      <c r="G146" s="147"/>
      <c r="H146" s="66">
        <v>16</v>
      </c>
      <c r="I146" s="66"/>
      <c r="J146" s="69">
        <f t="shared" si="4"/>
        <v>0</v>
      </c>
      <c r="K146" s="103">
        <f>+I146+'OCTUBRE 2025'!K146</f>
        <v>16</v>
      </c>
      <c r="L146" s="94">
        <f t="shared" si="5"/>
        <v>1</v>
      </c>
      <c r="N146"/>
      <c r="O146" s="8"/>
      <c r="P146"/>
      <c r="Q146" s="8"/>
    </row>
    <row r="147" spans="2:17" x14ac:dyDescent="0.25">
      <c r="B147" s="156">
        <v>3</v>
      </c>
      <c r="C147" s="157" t="s">
        <v>149</v>
      </c>
      <c r="D147" s="158" t="s">
        <v>150</v>
      </c>
      <c r="E147" s="286"/>
      <c r="F147" s="61"/>
      <c r="G147" s="148"/>
      <c r="H147" s="68">
        <v>17</v>
      </c>
      <c r="I147" s="55"/>
      <c r="J147" s="69">
        <f t="shared" si="4"/>
        <v>0</v>
      </c>
      <c r="K147" s="90">
        <f>+I147+'OCTUBRE 2025'!K147</f>
        <v>17</v>
      </c>
      <c r="L147" s="94">
        <f t="shared" si="5"/>
        <v>1</v>
      </c>
      <c r="N147"/>
      <c r="O147" s="8"/>
      <c r="P147"/>
      <c r="Q147" s="8"/>
    </row>
    <row r="148" spans="2:17" x14ac:dyDescent="0.25">
      <c r="B148" s="156">
        <v>3</v>
      </c>
      <c r="C148" s="157" t="s">
        <v>46</v>
      </c>
      <c r="D148" s="158" t="s">
        <v>47</v>
      </c>
      <c r="E148" s="286"/>
      <c r="F148" s="61"/>
      <c r="G148" s="149"/>
      <c r="H148" s="55">
        <v>16</v>
      </c>
      <c r="I148" s="70"/>
      <c r="J148" s="69">
        <f t="shared" si="4"/>
        <v>0</v>
      </c>
      <c r="K148" s="90">
        <f>+I148+'OCTUBRE 2025'!K148</f>
        <v>16</v>
      </c>
      <c r="L148" s="94">
        <f t="shared" si="5"/>
        <v>1</v>
      </c>
      <c r="N148"/>
      <c r="O148" s="8"/>
      <c r="P148"/>
      <c r="Q148" s="8"/>
    </row>
    <row r="149" spans="2:17" x14ac:dyDescent="0.25">
      <c r="B149" s="156">
        <v>3</v>
      </c>
      <c r="C149" s="157" t="s">
        <v>98</v>
      </c>
      <c r="D149" s="158" t="s">
        <v>99</v>
      </c>
      <c r="E149" s="286"/>
      <c r="F149" s="61"/>
      <c r="G149" s="148"/>
      <c r="H149" s="55">
        <v>17</v>
      </c>
      <c r="I149" s="55"/>
      <c r="J149" s="69">
        <f t="shared" si="4"/>
        <v>0</v>
      </c>
      <c r="K149" s="90">
        <f>+I149+'OCTUBRE 2025'!K149</f>
        <v>17</v>
      </c>
      <c r="L149" s="94">
        <f t="shared" si="5"/>
        <v>1</v>
      </c>
      <c r="N149"/>
      <c r="O149" s="8"/>
      <c r="P149"/>
      <c r="Q149" s="8"/>
    </row>
    <row r="150" spans="2:17" x14ac:dyDescent="0.25">
      <c r="B150" s="156">
        <v>3</v>
      </c>
      <c r="C150" s="157" t="s">
        <v>49</v>
      </c>
      <c r="D150" s="158" t="s">
        <v>50</v>
      </c>
      <c r="E150" s="286"/>
      <c r="F150" s="61"/>
      <c r="G150" s="148"/>
      <c r="H150" s="55">
        <v>16</v>
      </c>
      <c r="I150" s="55"/>
      <c r="J150" s="69">
        <f t="shared" si="4"/>
        <v>0</v>
      </c>
      <c r="K150" s="90">
        <f>+I150+'OCTUBRE 2025'!K150</f>
        <v>16</v>
      </c>
      <c r="L150" s="94">
        <f t="shared" si="5"/>
        <v>1</v>
      </c>
      <c r="N150"/>
      <c r="O150" s="8"/>
      <c r="P150"/>
      <c r="Q150" s="8"/>
    </row>
    <row r="151" spans="2:17" x14ac:dyDescent="0.25">
      <c r="B151" s="156">
        <v>3</v>
      </c>
      <c r="C151" s="157" t="s">
        <v>52</v>
      </c>
      <c r="D151" s="158" t="s">
        <v>53</v>
      </c>
      <c r="E151" s="286"/>
      <c r="F151" s="61"/>
      <c r="G151" s="148"/>
      <c r="H151" s="55">
        <v>17</v>
      </c>
      <c r="I151" s="55"/>
      <c r="J151" s="69">
        <f t="shared" si="4"/>
        <v>0</v>
      </c>
      <c r="K151" s="90">
        <f>+I151+'OCTUBRE 2025'!K151</f>
        <v>17</v>
      </c>
      <c r="L151" s="94">
        <f t="shared" si="5"/>
        <v>1</v>
      </c>
      <c r="N151"/>
      <c r="O151" s="8"/>
      <c r="P151"/>
      <c r="Q151" s="8"/>
    </row>
    <row r="152" spans="2:17" x14ac:dyDescent="0.25">
      <c r="B152" s="156">
        <v>3</v>
      </c>
      <c r="C152" s="157" t="s">
        <v>55</v>
      </c>
      <c r="D152" s="158" t="s">
        <v>56</v>
      </c>
      <c r="E152" s="286"/>
      <c r="F152" s="61"/>
      <c r="G152" s="148"/>
      <c r="H152" s="55">
        <v>16</v>
      </c>
      <c r="I152" s="55"/>
      <c r="J152" s="69">
        <f t="shared" si="4"/>
        <v>0</v>
      </c>
      <c r="K152" s="90">
        <f>+I152+'OCTUBRE 2025'!K152</f>
        <v>16</v>
      </c>
      <c r="L152" s="94">
        <f t="shared" si="5"/>
        <v>1</v>
      </c>
      <c r="N152"/>
      <c r="O152" s="8"/>
      <c r="P152"/>
      <c r="Q152" s="8"/>
    </row>
    <row r="153" spans="2:17" s="16" customFormat="1" x14ac:dyDescent="0.25">
      <c r="B153" s="156">
        <v>5</v>
      </c>
      <c r="C153" s="157" t="s">
        <v>151</v>
      </c>
      <c r="D153" s="158" t="s">
        <v>152</v>
      </c>
      <c r="E153" s="286"/>
      <c r="F153" s="61"/>
      <c r="G153" s="148"/>
      <c r="H153" s="55">
        <v>16</v>
      </c>
      <c r="I153" s="55"/>
      <c r="J153" s="69">
        <f t="shared" si="4"/>
        <v>0</v>
      </c>
      <c r="K153" s="90">
        <f>+I153+'OCTUBRE 2025'!K153</f>
        <v>16</v>
      </c>
      <c r="L153" s="94">
        <f t="shared" si="5"/>
        <v>1</v>
      </c>
      <c r="N153" s="41"/>
      <c r="P153" s="41"/>
    </row>
    <row r="154" spans="2:17" x14ac:dyDescent="0.25">
      <c r="B154" s="156">
        <v>5</v>
      </c>
      <c r="C154" s="157" t="s">
        <v>57</v>
      </c>
      <c r="D154" s="158" t="s">
        <v>58</v>
      </c>
      <c r="E154" s="286"/>
      <c r="F154" s="61"/>
      <c r="G154" s="148"/>
      <c r="H154" s="68">
        <v>16</v>
      </c>
      <c r="I154" s="55"/>
      <c r="J154" s="69">
        <f t="shared" si="4"/>
        <v>0</v>
      </c>
      <c r="K154" s="90">
        <f>+I154+'OCTUBRE 2025'!K154</f>
        <v>16</v>
      </c>
      <c r="L154" s="94">
        <f t="shared" si="5"/>
        <v>1</v>
      </c>
      <c r="N154"/>
      <c r="O154" s="8"/>
      <c r="P154"/>
      <c r="Q154" s="8"/>
    </row>
    <row r="155" spans="2:17" x14ac:dyDescent="0.25">
      <c r="B155" s="156">
        <v>5</v>
      </c>
      <c r="C155" s="157" t="s">
        <v>59</v>
      </c>
      <c r="D155" s="158" t="s">
        <v>60</v>
      </c>
      <c r="E155" s="286"/>
      <c r="F155" s="61"/>
      <c r="G155" s="148"/>
      <c r="H155" s="55">
        <v>16</v>
      </c>
      <c r="I155" s="55"/>
      <c r="J155" s="69">
        <f t="shared" si="4"/>
        <v>0</v>
      </c>
      <c r="K155" s="90">
        <f>+I155+'OCTUBRE 2025'!K155</f>
        <v>16</v>
      </c>
      <c r="L155" s="94">
        <f t="shared" si="5"/>
        <v>1</v>
      </c>
      <c r="N155"/>
      <c r="O155" s="8"/>
      <c r="P155"/>
      <c r="Q155" s="8"/>
    </row>
    <row r="156" spans="2:17" x14ac:dyDescent="0.25">
      <c r="B156" s="159">
        <v>8</v>
      </c>
      <c r="C156" s="160" t="s">
        <v>61</v>
      </c>
      <c r="D156" s="161" t="s">
        <v>62</v>
      </c>
      <c r="E156" s="287"/>
      <c r="F156" s="64"/>
      <c r="G156" s="150"/>
      <c r="H156" s="56">
        <v>17</v>
      </c>
      <c r="I156" s="56"/>
      <c r="J156" s="72">
        <f t="shared" si="4"/>
        <v>0</v>
      </c>
      <c r="K156" s="91">
        <f>+I156+'OCTUBRE 2025'!K156</f>
        <v>17</v>
      </c>
      <c r="L156" s="96">
        <f t="shared" si="5"/>
        <v>1</v>
      </c>
      <c r="N156"/>
      <c r="O156" s="8"/>
      <c r="P156"/>
      <c r="Q156" s="8"/>
    </row>
    <row r="157" spans="2:17" x14ac:dyDescent="0.25">
      <c r="B157" s="35">
        <v>3</v>
      </c>
      <c r="C157" s="36" t="s">
        <v>43</v>
      </c>
      <c r="D157" s="37" t="s">
        <v>44</v>
      </c>
      <c r="E157" s="218" t="s">
        <v>157</v>
      </c>
      <c r="F157" s="59" t="s">
        <v>45</v>
      </c>
      <c r="G157" s="60" t="s">
        <v>1363</v>
      </c>
      <c r="H157" s="66">
        <v>27</v>
      </c>
      <c r="I157" s="66">
        <v>3</v>
      </c>
      <c r="J157" s="69">
        <f t="shared" si="4"/>
        <v>0.1111111111111111</v>
      </c>
      <c r="K157" s="103">
        <f>+I157+'OCTUBRE 2025'!K157</f>
        <v>24</v>
      </c>
      <c r="L157" s="94">
        <f t="shared" si="5"/>
        <v>0.88888888888888884</v>
      </c>
      <c r="N157"/>
      <c r="O157" s="8"/>
      <c r="P157"/>
      <c r="Q157" s="8"/>
    </row>
    <row r="158" spans="2:17" x14ac:dyDescent="0.25">
      <c r="B158" s="38">
        <v>3</v>
      </c>
      <c r="C158" s="39" t="s">
        <v>153</v>
      </c>
      <c r="D158" s="40" t="s">
        <v>154</v>
      </c>
      <c r="E158" s="219"/>
      <c r="F158" s="61" t="s">
        <v>159</v>
      </c>
      <c r="G158" s="63" t="s">
        <v>288</v>
      </c>
      <c r="H158" s="55">
        <v>27</v>
      </c>
      <c r="I158" s="55">
        <v>3</v>
      </c>
      <c r="J158" s="69">
        <f t="shared" si="4"/>
        <v>0.1111111111111111</v>
      </c>
      <c r="K158" s="90">
        <f>+I158+'OCTUBRE 2025'!K158</f>
        <v>24</v>
      </c>
      <c r="L158" s="94">
        <f t="shared" si="5"/>
        <v>0.88888888888888884</v>
      </c>
      <c r="N158"/>
      <c r="O158" s="8"/>
      <c r="P158"/>
      <c r="Q158" s="8"/>
    </row>
    <row r="159" spans="2:17" x14ac:dyDescent="0.25">
      <c r="B159" s="38">
        <v>3</v>
      </c>
      <c r="C159" s="39" t="s">
        <v>46</v>
      </c>
      <c r="D159" s="40" t="s">
        <v>47</v>
      </c>
      <c r="E159" s="219"/>
      <c r="F159" s="61" t="s">
        <v>48</v>
      </c>
      <c r="G159" s="62" t="s">
        <v>289</v>
      </c>
      <c r="H159" s="55">
        <v>27</v>
      </c>
      <c r="I159" s="55">
        <v>3</v>
      </c>
      <c r="J159" s="69">
        <f t="shared" si="4"/>
        <v>0.1111111111111111</v>
      </c>
      <c r="K159" s="90">
        <f>+I159+'OCTUBRE 2025'!K159</f>
        <v>24</v>
      </c>
      <c r="L159" s="94">
        <f t="shared" si="5"/>
        <v>0.88888888888888884</v>
      </c>
      <c r="N159"/>
      <c r="O159" s="8"/>
      <c r="P159"/>
      <c r="Q159" s="8"/>
    </row>
    <row r="160" spans="2:17" x14ac:dyDescent="0.25">
      <c r="B160" s="38">
        <v>3</v>
      </c>
      <c r="C160" s="39" t="s">
        <v>98</v>
      </c>
      <c r="D160" s="40" t="s">
        <v>99</v>
      </c>
      <c r="E160" s="219"/>
      <c r="F160" s="61" t="s">
        <v>48</v>
      </c>
      <c r="G160" s="62" t="s">
        <v>1363</v>
      </c>
      <c r="H160" s="55">
        <v>27</v>
      </c>
      <c r="I160" s="55">
        <v>3</v>
      </c>
      <c r="J160" s="69">
        <f t="shared" si="4"/>
        <v>0.1111111111111111</v>
      </c>
      <c r="K160" s="90">
        <f>+I160+'OCTUBRE 2025'!K160</f>
        <v>24</v>
      </c>
      <c r="L160" s="94">
        <f t="shared" si="5"/>
        <v>0.88888888888888884</v>
      </c>
      <c r="N160"/>
      <c r="O160" s="8"/>
      <c r="P160"/>
      <c r="Q160" s="8"/>
    </row>
    <row r="161" spans="2:17" s="16" customFormat="1" x14ac:dyDescent="0.25">
      <c r="B161" s="38">
        <v>3</v>
      </c>
      <c r="C161" s="39" t="s">
        <v>49</v>
      </c>
      <c r="D161" s="40" t="s">
        <v>50</v>
      </c>
      <c r="E161" s="219"/>
      <c r="F161" s="61" t="s">
        <v>51</v>
      </c>
      <c r="G161" s="62" t="s">
        <v>155</v>
      </c>
      <c r="H161" s="55">
        <v>27</v>
      </c>
      <c r="I161" s="55">
        <v>3</v>
      </c>
      <c r="J161" s="69">
        <f t="shared" si="4"/>
        <v>0.1111111111111111</v>
      </c>
      <c r="K161" s="90">
        <f>+I161+'OCTUBRE 2025'!K161</f>
        <v>24</v>
      </c>
      <c r="L161" s="94">
        <f t="shared" si="5"/>
        <v>0.88888888888888884</v>
      </c>
      <c r="N161" s="41"/>
      <c r="P161" s="41"/>
    </row>
    <row r="162" spans="2:17" x14ac:dyDescent="0.25">
      <c r="B162" s="38">
        <v>3</v>
      </c>
      <c r="C162" s="39" t="s">
        <v>52</v>
      </c>
      <c r="D162" s="40" t="s">
        <v>53</v>
      </c>
      <c r="E162" s="219"/>
      <c r="F162" s="61" t="s">
        <v>54</v>
      </c>
      <c r="G162" s="62" t="s">
        <v>167</v>
      </c>
      <c r="H162" s="55">
        <v>27</v>
      </c>
      <c r="I162" s="55">
        <v>3</v>
      </c>
      <c r="J162" s="69">
        <f t="shared" si="4"/>
        <v>0.1111111111111111</v>
      </c>
      <c r="K162" s="90">
        <f>+I162+'OCTUBRE 2025'!K162</f>
        <v>24</v>
      </c>
      <c r="L162" s="94">
        <f t="shared" si="5"/>
        <v>0.88888888888888884</v>
      </c>
      <c r="N162"/>
      <c r="O162" s="8"/>
      <c r="P162"/>
      <c r="Q162" s="8"/>
    </row>
    <row r="163" spans="2:17" x14ac:dyDescent="0.25">
      <c r="B163" s="38">
        <v>3</v>
      </c>
      <c r="C163" s="39" t="s">
        <v>55</v>
      </c>
      <c r="D163" s="40" t="s">
        <v>56</v>
      </c>
      <c r="E163" s="219"/>
      <c r="F163" s="61" t="s">
        <v>54</v>
      </c>
      <c r="G163" s="62" t="s">
        <v>168</v>
      </c>
      <c r="H163" s="55">
        <v>27</v>
      </c>
      <c r="I163" s="55">
        <v>3</v>
      </c>
      <c r="J163" s="69">
        <f t="shared" si="4"/>
        <v>0.1111111111111111</v>
      </c>
      <c r="K163" s="90">
        <f>+I163+'OCTUBRE 2025'!K163</f>
        <v>24</v>
      </c>
      <c r="L163" s="94">
        <f t="shared" si="5"/>
        <v>0.88888888888888884</v>
      </c>
      <c r="N163"/>
      <c r="O163" s="8"/>
      <c r="P163"/>
      <c r="Q163" s="8"/>
    </row>
    <row r="164" spans="2:17" x14ac:dyDescent="0.25">
      <c r="B164" s="38">
        <v>5</v>
      </c>
      <c r="C164" s="39" t="s">
        <v>57</v>
      </c>
      <c r="D164" s="40" t="s">
        <v>58</v>
      </c>
      <c r="E164" s="219"/>
      <c r="F164" s="61" t="s">
        <v>54</v>
      </c>
      <c r="G164" s="62" t="s">
        <v>155</v>
      </c>
      <c r="H164" s="68">
        <v>27</v>
      </c>
      <c r="I164" s="55">
        <v>3</v>
      </c>
      <c r="J164" s="69">
        <f t="shared" si="4"/>
        <v>0.1111111111111111</v>
      </c>
      <c r="K164" s="90">
        <f>+I164+'OCTUBRE 2025'!K164</f>
        <v>24</v>
      </c>
      <c r="L164" s="94">
        <f t="shared" si="5"/>
        <v>0.88888888888888884</v>
      </c>
      <c r="N164"/>
      <c r="O164" s="8"/>
      <c r="P164"/>
      <c r="Q164" s="8"/>
    </row>
    <row r="165" spans="2:17" x14ac:dyDescent="0.25">
      <c r="B165" s="38">
        <v>5</v>
      </c>
      <c r="C165" s="39" t="s">
        <v>59</v>
      </c>
      <c r="D165" s="40" t="s">
        <v>60</v>
      </c>
      <c r="E165" s="219"/>
      <c r="F165" s="61" t="s">
        <v>54</v>
      </c>
      <c r="G165" s="62" t="s">
        <v>1363</v>
      </c>
      <c r="H165" s="55">
        <v>27</v>
      </c>
      <c r="I165" s="55">
        <v>3</v>
      </c>
      <c r="J165" s="69">
        <f t="shared" si="4"/>
        <v>0.1111111111111111</v>
      </c>
      <c r="K165" s="90">
        <f>+I165+'OCTUBRE 2025'!K165</f>
        <v>24</v>
      </c>
      <c r="L165" s="94">
        <f t="shared" si="5"/>
        <v>0.88888888888888884</v>
      </c>
      <c r="N165"/>
      <c r="O165" s="8"/>
      <c r="P165"/>
      <c r="Q165" s="8"/>
    </row>
    <row r="166" spans="2:17" x14ac:dyDescent="0.25">
      <c r="B166" s="42">
        <v>8</v>
      </c>
      <c r="C166" s="43" t="s">
        <v>61</v>
      </c>
      <c r="D166" s="44" t="s">
        <v>62</v>
      </c>
      <c r="E166" s="220"/>
      <c r="F166" s="64" t="s">
        <v>63</v>
      </c>
      <c r="G166" s="135" t="s">
        <v>156</v>
      </c>
      <c r="H166" s="56">
        <v>27</v>
      </c>
      <c r="I166" s="56">
        <v>3</v>
      </c>
      <c r="J166" s="72">
        <f t="shared" si="4"/>
        <v>0.1111111111111111</v>
      </c>
      <c r="K166" s="91">
        <f>+I166+'OCTUBRE 2025'!K166</f>
        <v>24</v>
      </c>
      <c r="L166" s="96">
        <f t="shared" si="5"/>
        <v>0.88888888888888884</v>
      </c>
      <c r="N166"/>
      <c r="O166" s="8"/>
      <c r="P166"/>
      <c r="Q166" s="8"/>
    </row>
    <row r="167" spans="2:17" x14ac:dyDescent="0.25">
      <c r="B167" s="35">
        <v>3</v>
      </c>
      <c r="C167" s="36" t="s">
        <v>43</v>
      </c>
      <c r="D167" s="37" t="s">
        <v>44</v>
      </c>
      <c r="E167" s="228" t="s">
        <v>158</v>
      </c>
      <c r="F167" s="59" t="s">
        <v>224</v>
      </c>
      <c r="G167" s="60" t="s">
        <v>1421</v>
      </c>
      <c r="H167" s="66">
        <v>27</v>
      </c>
      <c r="I167" s="66">
        <v>6</v>
      </c>
      <c r="J167" s="69">
        <f t="shared" si="4"/>
        <v>0.22222222222222221</v>
      </c>
      <c r="K167" s="103">
        <f>+I167+'OCTUBRE 2025'!K167</f>
        <v>26</v>
      </c>
      <c r="L167" s="94">
        <f t="shared" si="5"/>
        <v>0.96296296296296291</v>
      </c>
      <c r="N167"/>
      <c r="O167" s="8"/>
      <c r="P167"/>
      <c r="Q167" s="8"/>
    </row>
    <row r="168" spans="2:17" x14ac:dyDescent="0.25">
      <c r="B168" s="38">
        <v>3</v>
      </c>
      <c r="C168" s="39" t="s">
        <v>153</v>
      </c>
      <c r="D168" s="40" t="s">
        <v>154</v>
      </c>
      <c r="E168" s="229"/>
      <c r="F168" s="1" t="s">
        <v>172</v>
      </c>
      <c r="G168" s="62" t="s">
        <v>172</v>
      </c>
      <c r="H168" s="68">
        <v>27</v>
      </c>
      <c r="I168" s="55">
        <v>0</v>
      </c>
      <c r="J168" s="69">
        <f t="shared" si="4"/>
        <v>0</v>
      </c>
      <c r="K168" s="90">
        <f>+I168+'OCTUBRE 2025'!K168</f>
        <v>27</v>
      </c>
      <c r="L168" s="94">
        <f t="shared" si="5"/>
        <v>1</v>
      </c>
      <c r="N168"/>
      <c r="O168" s="8"/>
      <c r="P168"/>
      <c r="Q168" s="8"/>
    </row>
    <row r="169" spans="2:17" x14ac:dyDescent="0.25">
      <c r="B169" s="38">
        <v>3</v>
      </c>
      <c r="C169" s="39" t="s">
        <v>46</v>
      </c>
      <c r="D169" s="40" t="s">
        <v>47</v>
      </c>
      <c r="E169" s="229"/>
      <c r="F169" s="61" t="s">
        <v>172</v>
      </c>
      <c r="G169" s="63" t="s">
        <v>172</v>
      </c>
      <c r="H169" s="55">
        <v>27</v>
      </c>
      <c r="I169" s="70">
        <v>0</v>
      </c>
      <c r="J169" s="69">
        <f t="shared" si="4"/>
        <v>0</v>
      </c>
      <c r="K169" s="90">
        <f>+I169+'OCTUBRE 2025'!K169</f>
        <v>27</v>
      </c>
      <c r="L169" s="94">
        <f t="shared" si="5"/>
        <v>1</v>
      </c>
      <c r="N169"/>
      <c r="O169" s="8"/>
      <c r="P169"/>
      <c r="Q169" s="8"/>
    </row>
    <row r="170" spans="2:17" x14ac:dyDescent="0.25">
      <c r="B170" s="38">
        <v>3</v>
      </c>
      <c r="C170" s="39" t="s">
        <v>98</v>
      </c>
      <c r="D170" s="40" t="s">
        <v>99</v>
      </c>
      <c r="E170" s="229"/>
      <c r="F170" s="61" t="s">
        <v>1422</v>
      </c>
      <c r="G170" s="63" t="s">
        <v>1423</v>
      </c>
      <c r="H170" s="55">
        <v>27</v>
      </c>
      <c r="I170" s="55">
        <v>5</v>
      </c>
      <c r="J170" s="69">
        <f t="shared" si="4"/>
        <v>0.18518518518518517</v>
      </c>
      <c r="K170" s="90">
        <f>+I170+'OCTUBRE 2025'!K170</f>
        <v>18</v>
      </c>
      <c r="L170" s="94">
        <f t="shared" si="5"/>
        <v>0.66666666666666663</v>
      </c>
      <c r="N170"/>
      <c r="O170" s="8"/>
      <c r="P170"/>
      <c r="Q170" s="8"/>
    </row>
    <row r="171" spans="2:17" s="16" customFormat="1" x14ac:dyDescent="0.25">
      <c r="B171" s="38">
        <v>3</v>
      </c>
      <c r="C171" s="39" t="s">
        <v>49</v>
      </c>
      <c r="D171" s="40" t="s">
        <v>50</v>
      </c>
      <c r="E171" s="229"/>
      <c r="F171" s="61" t="s">
        <v>1424</v>
      </c>
      <c r="G171" s="63" t="s">
        <v>1425</v>
      </c>
      <c r="H171" s="55">
        <v>27</v>
      </c>
      <c r="I171" s="55">
        <v>4</v>
      </c>
      <c r="J171" s="69">
        <f t="shared" si="4"/>
        <v>0.14814814814814814</v>
      </c>
      <c r="K171" s="90">
        <f>+I171+'OCTUBRE 2025'!K171</f>
        <v>23</v>
      </c>
      <c r="L171" s="94">
        <f t="shared" si="5"/>
        <v>0.85185185185185186</v>
      </c>
      <c r="N171" s="41"/>
      <c r="P171" s="41"/>
    </row>
    <row r="172" spans="2:17" x14ac:dyDescent="0.25">
      <c r="B172" s="38">
        <v>3</v>
      </c>
      <c r="C172" s="39" t="s">
        <v>52</v>
      </c>
      <c r="D172" s="40" t="s">
        <v>53</v>
      </c>
      <c r="E172" s="229"/>
      <c r="F172" s="61" t="s">
        <v>1116</v>
      </c>
      <c r="G172" s="63" t="s">
        <v>1117</v>
      </c>
      <c r="H172" s="55">
        <v>27</v>
      </c>
      <c r="I172" s="55">
        <v>5</v>
      </c>
      <c r="J172" s="69">
        <f t="shared" si="4"/>
        <v>0.18518518518518517</v>
      </c>
      <c r="K172" s="90">
        <f>+I172+'OCTUBRE 2025'!K172</f>
        <v>27</v>
      </c>
      <c r="L172" s="94">
        <f t="shared" si="5"/>
        <v>1</v>
      </c>
      <c r="N172"/>
      <c r="O172" s="8"/>
      <c r="P172"/>
      <c r="Q172" s="8"/>
    </row>
    <row r="173" spans="2:17" x14ac:dyDescent="0.25">
      <c r="B173" s="38">
        <v>3</v>
      </c>
      <c r="C173" s="39" t="s">
        <v>55</v>
      </c>
      <c r="D173" s="40" t="s">
        <v>56</v>
      </c>
      <c r="E173" s="229"/>
      <c r="F173" s="61" t="s">
        <v>1118</v>
      </c>
      <c r="G173" s="63" t="s">
        <v>1119</v>
      </c>
      <c r="H173" s="55">
        <v>27</v>
      </c>
      <c r="I173" s="55">
        <v>6</v>
      </c>
      <c r="J173" s="69">
        <f t="shared" si="4"/>
        <v>0.22222222222222221</v>
      </c>
      <c r="K173" s="90">
        <f>+I173+'OCTUBRE 2025'!K173</f>
        <v>21</v>
      </c>
      <c r="L173" s="94">
        <f t="shared" si="5"/>
        <v>0.77777777777777779</v>
      </c>
      <c r="N173"/>
      <c r="O173" s="8"/>
      <c r="P173"/>
      <c r="Q173" s="8"/>
    </row>
    <row r="174" spans="2:17" x14ac:dyDescent="0.25">
      <c r="B174" s="38">
        <v>5</v>
      </c>
      <c r="C174" s="39" t="s">
        <v>57</v>
      </c>
      <c r="D174" s="40" t="s">
        <v>58</v>
      </c>
      <c r="E174" s="229"/>
      <c r="F174" s="61" t="s">
        <v>172</v>
      </c>
      <c r="G174" s="63" t="s">
        <v>172</v>
      </c>
      <c r="H174" s="55">
        <v>27</v>
      </c>
      <c r="I174" s="55">
        <v>0</v>
      </c>
      <c r="J174" s="69">
        <f t="shared" si="4"/>
        <v>0</v>
      </c>
      <c r="K174" s="90">
        <f>+I174+'OCTUBRE 2025'!K174</f>
        <v>27</v>
      </c>
      <c r="L174" s="94">
        <f t="shared" si="5"/>
        <v>1</v>
      </c>
      <c r="N174"/>
      <c r="O174" s="8"/>
      <c r="P174"/>
      <c r="Q174" s="8"/>
    </row>
    <row r="175" spans="2:17" x14ac:dyDescent="0.25">
      <c r="B175" s="38">
        <v>5</v>
      </c>
      <c r="C175" s="39" t="s">
        <v>59</v>
      </c>
      <c r="D175" s="40" t="s">
        <v>60</v>
      </c>
      <c r="E175" s="229"/>
      <c r="F175" s="61" t="s">
        <v>172</v>
      </c>
      <c r="G175" s="63" t="s">
        <v>172</v>
      </c>
      <c r="H175" s="68">
        <v>27</v>
      </c>
      <c r="I175" s="55">
        <v>0</v>
      </c>
      <c r="J175" s="69">
        <f t="shared" si="4"/>
        <v>0</v>
      </c>
      <c r="K175" s="90">
        <f>+I175+'OCTUBRE 2025'!K175</f>
        <v>27</v>
      </c>
      <c r="L175" s="94">
        <f t="shared" si="5"/>
        <v>1</v>
      </c>
      <c r="N175"/>
      <c r="O175" s="8"/>
      <c r="P175"/>
      <c r="Q175" s="8"/>
    </row>
    <row r="176" spans="2:17" x14ac:dyDescent="0.25">
      <c r="B176" s="42">
        <v>8</v>
      </c>
      <c r="C176" s="43" t="s">
        <v>61</v>
      </c>
      <c r="D176" s="44" t="s">
        <v>62</v>
      </c>
      <c r="E176" s="230"/>
      <c r="F176" s="64" t="s">
        <v>1426</v>
      </c>
      <c r="G176" s="65"/>
      <c r="H176" s="56">
        <v>27</v>
      </c>
      <c r="I176" s="56">
        <v>4</v>
      </c>
      <c r="J176" s="72">
        <f t="shared" si="4"/>
        <v>0.14814814814814814</v>
      </c>
      <c r="K176" s="91">
        <f>+I176+'OCTUBRE 2025'!K176</f>
        <v>17</v>
      </c>
      <c r="L176" s="96">
        <f t="shared" si="5"/>
        <v>0.62962962962962965</v>
      </c>
      <c r="N176"/>
      <c r="O176" s="8"/>
      <c r="P176"/>
      <c r="Q176" s="8"/>
    </row>
    <row r="177" spans="2:17" x14ac:dyDescent="0.25">
      <c r="B177" s="35">
        <v>3</v>
      </c>
      <c r="C177" s="36" t="s">
        <v>43</v>
      </c>
      <c r="D177" s="37" t="s">
        <v>44</v>
      </c>
      <c r="E177" s="228" t="s">
        <v>183</v>
      </c>
      <c r="F177" s="59" t="s">
        <v>1427</v>
      </c>
      <c r="G177" s="63" t="s">
        <v>1428</v>
      </c>
      <c r="H177" s="66">
        <v>45</v>
      </c>
      <c r="I177" s="66">
        <v>3</v>
      </c>
      <c r="J177" s="69">
        <f t="shared" si="4"/>
        <v>6.6666666666666666E-2</v>
      </c>
      <c r="K177" s="103">
        <f>+I177+'OCTUBRE 2025'!K177</f>
        <v>45</v>
      </c>
      <c r="L177" s="94">
        <f t="shared" si="5"/>
        <v>1</v>
      </c>
      <c r="N177"/>
      <c r="O177" s="8"/>
      <c r="P177"/>
      <c r="Q177" s="8"/>
    </row>
    <row r="178" spans="2:17" x14ac:dyDescent="0.25">
      <c r="B178" s="38">
        <v>3</v>
      </c>
      <c r="C178" s="39" t="s">
        <v>46</v>
      </c>
      <c r="D178" s="40" t="s">
        <v>47</v>
      </c>
      <c r="E178" s="229"/>
      <c r="F178" s="61" t="s">
        <v>48</v>
      </c>
      <c r="G178" s="63" t="s">
        <v>1428</v>
      </c>
      <c r="H178" s="68">
        <v>45</v>
      </c>
      <c r="I178" s="55">
        <v>5</v>
      </c>
      <c r="J178" s="69">
        <f t="shared" si="4"/>
        <v>0.1111111111111111</v>
      </c>
      <c r="K178" s="90">
        <f>+I178+'OCTUBRE 2025'!K178</f>
        <v>40</v>
      </c>
      <c r="L178" s="94">
        <f t="shared" si="5"/>
        <v>0.88888888888888884</v>
      </c>
      <c r="N178"/>
      <c r="O178" s="8"/>
      <c r="P178"/>
      <c r="Q178" s="8"/>
    </row>
    <row r="179" spans="2:17" x14ac:dyDescent="0.25">
      <c r="B179" s="38">
        <v>3</v>
      </c>
      <c r="C179" s="39" t="s">
        <v>49</v>
      </c>
      <c r="D179" s="40" t="s">
        <v>50</v>
      </c>
      <c r="E179" s="229"/>
      <c r="F179" s="61" t="s">
        <v>1337</v>
      </c>
      <c r="G179" s="63" t="s">
        <v>1428</v>
      </c>
      <c r="H179" s="55">
        <v>40</v>
      </c>
      <c r="I179" s="70">
        <v>5</v>
      </c>
      <c r="J179" s="69">
        <f t="shared" si="4"/>
        <v>0.125</v>
      </c>
      <c r="K179" s="90">
        <f>+I179+'OCTUBRE 2025'!K179</f>
        <v>37</v>
      </c>
      <c r="L179" s="94">
        <f t="shared" si="5"/>
        <v>0.92500000000000004</v>
      </c>
      <c r="N179"/>
      <c r="O179" s="8"/>
      <c r="P179"/>
      <c r="Q179" s="8"/>
    </row>
    <row r="180" spans="2:17" x14ac:dyDescent="0.25">
      <c r="B180" s="38">
        <v>3</v>
      </c>
      <c r="C180" s="39" t="s">
        <v>52</v>
      </c>
      <c r="D180" s="40" t="s">
        <v>53</v>
      </c>
      <c r="E180" s="229"/>
      <c r="F180" s="61" t="s">
        <v>1429</v>
      </c>
      <c r="G180" s="63" t="s">
        <v>1428</v>
      </c>
      <c r="H180" s="55">
        <v>70</v>
      </c>
      <c r="I180" s="55">
        <v>8</v>
      </c>
      <c r="J180" s="69">
        <f t="shared" si="4"/>
        <v>0.11428571428571428</v>
      </c>
      <c r="K180" s="90">
        <f>+I180+'OCTUBRE 2025'!K180</f>
        <v>57</v>
      </c>
      <c r="L180" s="94">
        <f t="shared" si="5"/>
        <v>0.81428571428571428</v>
      </c>
      <c r="N180"/>
      <c r="O180" s="8"/>
      <c r="P180"/>
      <c r="Q180" s="8"/>
    </row>
    <row r="181" spans="2:17" x14ac:dyDescent="0.25">
      <c r="B181" s="42">
        <v>3</v>
      </c>
      <c r="C181" s="43" t="s">
        <v>55</v>
      </c>
      <c r="D181" s="44" t="s">
        <v>56</v>
      </c>
      <c r="E181" s="230"/>
      <c r="F181" s="64" t="s">
        <v>1338</v>
      </c>
      <c r="G181" s="63" t="s">
        <v>1428</v>
      </c>
      <c r="H181" s="56">
        <v>70</v>
      </c>
      <c r="I181" s="56">
        <v>9</v>
      </c>
      <c r="J181" s="72">
        <f t="shared" si="4"/>
        <v>0.12857142857142856</v>
      </c>
      <c r="K181" s="91">
        <f>+I181+'OCTUBRE 2025'!K181</f>
        <v>61</v>
      </c>
      <c r="L181" s="96">
        <f t="shared" si="5"/>
        <v>0.87142857142857144</v>
      </c>
      <c r="N181"/>
      <c r="O181" s="8"/>
      <c r="P181"/>
      <c r="Q181" s="8"/>
    </row>
    <row r="182" spans="2:17" x14ac:dyDescent="0.25">
      <c r="B182" s="162">
        <v>3</v>
      </c>
      <c r="C182" s="169" t="s">
        <v>332</v>
      </c>
      <c r="D182" s="170" t="s">
        <v>333</v>
      </c>
      <c r="E182" s="277" t="s">
        <v>334</v>
      </c>
      <c r="F182" s="59" t="s">
        <v>172</v>
      </c>
      <c r="G182" s="60" t="s">
        <v>172</v>
      </c>
      <c r="H182" s="89">
        <v>30</v>
      </c>
      <c r="I182" s="89"/>
      <c r="J182" s="69">
        <f t="shared" si="4"/>
        <v>0</v>
      </c>
      <c r="K182" s="103">
        <f>+I182+'OCTUBRE 2025'!K182</f>
        <v>30</v>
      </c>
      <c r="L182" s="94">
        <f t="shared" si="5"/>
        <v>1</v>
      </c>
      <c r="N182"/>
      <c r="O182" s="8"/>
      <c r="P182"/>
      <c r="Q182" s="8"/>
    </row>
    <row r="183" spans="2:17" x14ac:dyDescent="0.25">
      <c r="B183" s="163">
        <v>3</v>
      </c>
      <c r="C183" s="171" t="s">
        <v>52</v>
      </c>
      <c r="D183" s="172" t="s">
        <v>53</v>
      </c>
      <c r="E183" s="278"/>
      <c r="F183" s="61" t="s">
        <v>172</v>
      </c>
      <c r="G183" s="76" t="s">
        <v>172</v>
      </c>
      <c r="H183" s="2">
        <v>20</v>
      </c>
      <c r="I183" s="3"/>
      <c r="J183" s="69">
        <f t="shared" si="4"/>
        <v>0</v>
      </c>
      <c r="K183" s="90">
        <f>+I183+'OCTUBRE 2025'!K183</f>
        <v>20</v>
      </c>
      <c r="L183" s="94">
        <f t="shared" si="5"/>
        <v>1</v>
      </c>
      <c r="N183"/>
      <c r="O183" s="8"/>
      <c r="P183"/>
      <c r="Q183" s="8"/>
    </row>
    <row r="184" spans="2:17" x14ac:dyDescent="0.25">
      <c r="B184" s="163">
        <v>3</v>
      </c>
      <c r="C184" s="171" t="s">
        <v>55</v>
      </c>
      <c r="D184" s="172" t="s">
        <v>56</v>
      </c>
      <c r="E184" s="278"/>
      <c r="F184" s="61" t="s">
        <v>172</v>
      </c>
      <c r="G184" s="62" t="s">
        <v>172</v>
      </c>
      <c r="H184" s="3">
        <v>20</v>
      </c>
      <c r="I184" s="4"/>
      <c r="J184" s="69">
        <f t="shared" si="4"/>
        <v>0</v>
      </c>
      <c r="K184" s="90">
        <f>+I184+'OCTUBRE 2025'!K184</f>
        <v>20</v>
      </c>
      <c r="L184" s="94">
        <f t="shared" si="5"/>
        <v>1</v>
      </c>
      <c r="N184"/>
      <c r="O184" s="8"/>
      <c r="P184"/>
      <c r="Q184" s="8"/>
    </row>
    <row r="185" spans="2:17" x14ac:dyDescent="0.25">
      <c r="B185" s="163">
        <v>5</v>
      </c>
      <c r="C185" s="171" t="s">
        <v>57</v>
      </c>
      <c r="D185" s="172" t="s">
        <v>58</v>
      </c>
      <c r="E185" s="278"/>
      <c r="F185" s="61" t="s">
        <v>172</v>
      </c>
      <c r="G185" s="62" t="s">
        <v>172</v>
      </c>
      <c r="H185" s="3">
        <v>15</v>
      </c>
      <c r="I185" s="3"/>
      <c r="J185" s="69">
        <f t="shared" si="4"/>
        <v>0</v>
      </c>
      <c r="K185" s="90">
        <f>+I185+'OCTUBRE 2025'!K185</f>
        <v>15</v>
      </c>
      <c r="L185" s="94">
        <f t="shared" si="5"/>
        <v>1</v>
      </c>
      <c r="N185"/>
      <c r="O185" s="8"/>
      <c r="P185"/>
      <c r="Q185" s="8"/>
    </row>
    <row r="186" spans="2:17" x14ac:dyDescent="0.25">
      <c r="B186" s="163">
        <v>5</v>
      </c>
      <c r="C186" s="171" t="s">
        <v>59</v>
      </c>
      <c r="D186" s="172" t="s">
        <v>60</v>
      </c>
      <c r="E186" s="278"/>
      <c r="F186" s="62" t="s">
        <v>172</v>
      </c>
      <c r="G186" s="62" t="s">
        <v>172</v>
      </c>
      <c r="H186" s="3">
        <v>20</v>
      </c>
      <c r="I186" s="3"/>
      <c r="J186" s="69">
        <f t="shared" si="4"/>
        <v>0</v>
      </c>
      <c r="K186" s="90">
        <f>+I186+'OCTUBRE 2025'!K186</f>
        <v>20</v>
      </c>
      <c r="L186" s="94">
        <f t="shared" si="5"/>
        <v>1</v>
      </c>
      <c r="N186"/>
      <c r="O186" s="8"/>
      <c r="P186"/>
      <c r="Q186" s="8"/>
    </row>
    <row r="187" spans="2:17" x14ac:dyDescent="0.25">
      <c r="B187" s="163">
        <v>8</v>
      </c>
      <c r="C187" s="171" t="s">
        <v>61</v>
      </c>
      <c r="D187" s="172" t="s">
        <v>62</v>
      </c>
      <c r="E187" s="278"/>
      <c r="F187" s="62" t="s">
        <v>172</v>
      </c>
      <c r="G187" s="62" t="s">
        <v>172</v>
      </c>
      <c r="H187" s="3">
        <v>15</v>
      </c>
      <c r="I187" s="3"/>
      <c r="J187" s="69">
        <f t="shared" si="4"/>
        <v>0</v>
      </c>
      <c r="K187" s="90">
        <f>+I187+'OCTUBRE 2025'!K187</f>
        <v>15</v>
      </c>
      <c r="L187" s="94">
        <f t="shared" si="5"/>
        <v>1</v>
      </c>
      <c r="N187"/>
      <c r="O187" s="8"/>
      <c r="P187"/>
      <c r="Q187" s="8"/>
    </row>
    <row r="188" spans="2:17" x14ac:dyDescent="0.25">
      <c r="B188" s="163">
        <v>8</v>
      </c>
      <c r="C188" s="171" t="s">
        <v>344</v>
      </c>
      <c r="D188" s="172" t="s">
        <v>345</v>
      </c>
      <c r="E188" s="278"/>
      <c r="F188" s="61" t="s">
        <v>172</v>
      </c>
      <c r="G188" s="62" t="s">
        <v>172</v>
      </c>
      <c r="H188" s="3">
        <v>20</v>
      </c>
      <c r="I188" s="3"/>
      <c r="J188" s="69">
        <f t="shared" si="4"/>
        <v>0</v>
      </c>
      <c r="K188" s="90">
        <f>+I188+'OCTUBRE 2025'!K188</f>
        <v>20</v>
      </c>
      <c r="L188" s="94">
        <f t="shared" si="5"/>
        <v>1</v>
      </c>
      <c r="N188"/>
      <c r="O188" s="8"/>
      <c r="P188"/>
      <c r="Q188" s="8"/>
    </row>
    <row r="189" spans="2:17" x14ac:dyDescent="0.25">
      <c r="B189" s="163">
        <v>8</v>
      </c>
      <c r="C189" s="171" t="s">
        <v>346</v>
      </c>
      <c r="D189" s="172" t="s">
        <v>347</v>
      </c>
      <c r="E189" s="278"/>
      <c r="F189" s="62" t="s">
        <v>172</v>
      </c>
      <c r="G189" s="62" t="s">
        <v>172</v>
      </c>
      <c r="H189" s="3">
        <v>20</v>
      </c>
      <c r="I189" s="3"/>
      <c r="J189" s="69">
        <f t="shared" si="4"/>
        <v>0</v>
      </c>
      <c r="K189" s="90">
        <f>+I189+'OCTUBRE 2025'!K189</f>
        <v>20</v>
      </c>
      <c r="L189" s="94">
        <f t="shared" si="5"/>
        <v>1</v>
      </c>
      <c r="N189"/>
      <c r="O189" s="8"/>
      <c r="P189"/>
      <c r="Q189" s="8"/>
    </row>
    <row r="190" spans="2:17" x14ac:dyDescent="0.25">
      <c r="B190" s="164">
        <v>8</v>
      </c>
      <c r="C190" s="173" t="s">
        <v>349</v>
      </c>
      <c r="D190" s="174" t="s">
        <v>350</v>
      </c>
      <c r="E190" s="279"/>
      <c r="F190" s="64" t="s">
        <v>172</v>
      </c>
      <c r="G190" s="63" t="s">
        <v>172</v>
      </c>
      <c r="H190" s="97">
        <v>20</v>
      </c>
      <c r="I190" s="97"/>
      <c r="J190" s="72">
        <f t="shared" si="4"/>
        <v>0</v>
      </c>
      <c r="K190" s="91">
        <f>+I190+'OCTUBRE 2025'!K190</f>
        <v>20</v>
      </c>
      <c r="L190" s="96">
        <f t="shared" si="5"/>
        <v>1</v>
      </c>
      <c r="N190"/>
      <c r="O190" s="8"/>
      <c r="P190"/>
      <c r="Q190" s="8"/>
    </row>
    <row r="191" spans="2:17" x14ac:dyDescent="0.25">
      <c r="B191" s="162">
        <v>3</v>
      </c>
      <c r="C191" s="169" t="s">
        <v>43</v>
      </c>
      <c r="D191" s="170" t="s">
        <v>44</v>
      </c>
      <c r="E191" s="280" t="s">
        <v>353</v>
      </c>
      <c r="F191" s="59" t="s">
        <v>172</v>
      </c>
      <c r="G191" s="60" t="s">
        <v>172</v>
      </c>
      <c r="H191" s="89">
        <v>18</v>
      </c>
      <c r="I191" s="89">
        <v>0</v>
      </c>
      <c r="J191" s="69">
        <f t="shared" si="4"/>
        <v>0</v>
      </c>
      <c r="K191" s="103">
        <f>+I191+'OCTUBRE 2025'!K191</f>
        <v>18</v>
      </c>
      <c r="L191" s="94">
        <f t="shared" si="5"/>
        <v>1</v>
      </c>
      <c r="N191"/>
      <c r="O191" s="8"/>
      <c r="P191"/>
      <c r="Q191" s="8"/>
    </row>
    <row r="192" spans="2:17" x14ac:dyDescent="0.25">
      <c r="B192" s="163">
        <v>3</v>
      </c>
      <c r="C192" s="171" t="s">
        <v>46</v>
      </c>
      <c r="D192" s="172" t="s">
        <v>47</v>
      </c>
      <c r="E192" s="280"/>
      <c r="F192" s="61" t="s">
        <v>172</v>
      </c>
      <c r="G192" s="63" t="s">
        <v>172</v>
      </c>
      <c r="H192" s="2">
        <v>18</v>
      </c>
      <c r="I192" s="3">
        <v>0</v>
      </c>
      <c r="J192" s="69">
        <f t="shared" si="4"/>
        <v>0</v>
      </c>
      <c r="K192" s="90">
        <f>+I192+'OCTUBRE 2025'!K192</f>
        <v>18</v>
      </c>
      <c r="L192" s="94">
        <f t="shared" si="5"/>
        <v>1</v>
      </c>
      <c r="N192"/>
      <c r="O192" s="8"/>
      <c r="P192"/>
      <c r="Q192" s="8"/>
    </row>
    <row r="193" spans="2:17" x14ac:dyDescent="0.25">
      <c r="B193" s="163">
        <v>3</v>
      </c>
      <c r="C193" s="171" t="s">
        <v>98</v>
      </c>
      <c r="D193" s="172" t="s">
        <v>99</v>
      </c>
      <c r="E193" s="280"/>
      <c r="F193" s="61" t="s">
        <v>172</v>
      </c>
      <c r="G193" s="62" t="s">
        <v>172</v>
      </c>
      <c r="H193" s="3">
        <v>24</v>
      </c>
      <c r="I193" s="3">
        <v>0</v>
      </c>
      <c r="J193" s="69">
        <f t="shared" si="4"/>
        <v>0</v>
      </c>
      <c r="K193" s="90">
        <f>+I193+'OCTUBRE 2025'!K193</f>
        <v>24</v>
      </c>
      <c r="L193" s="94">
        <f t="shared" si="5"/>
        <v>1</v>
      </c>
      <c r="N193"/>
      <c r="O193" s="8"/>
      <c r="P193"/>
      <c r="Q193" s="8"/>
    </row>
    <row r="194" spans="2:17" x14ac:dyDescent="0.25">
      <c r="B194" s="163">
        <v>3</v>
      </c>
      <c r="C194" s="171" t="s">
        <v>49</v>
      </c>
      <c r="D194" s="172" t="s">
        <v>50</v>
      </c>
      <c r="E194" s="280"/>
      <c r="F194" s="61" t="s">
        <v>172</v>
      </c>
      <c r="G194" s="62" t="s">
        <v>172</v>
      </c>
      <c r="H194" s="3">
        <v>24</v>
      </c>
      <c r="I194" s="3">
        <v>0</v>
      </c>
      <c r="J194" s="69">
        <f t="shared" si="4"/>
        <v>0</v>
      </c>
      <c r="K194" s="90">
        <f>+I194+'OCTUBRE 2025'!K194</f>
        <v>24</v>
      </c>
      <c r="L194" s="94">
        <f t="shared" si="5"/>
        <v>1</v>
      </c>
      <c r="N194"/>
      <c r="O194" s="8"/>
      <c r="P194"/>
      <c r="Q194" s="8"/>
    </row>
    <row r="195" spans="2:17" x14ac:dyDescent="0.25">
      <c r="B195" s="163">
        <v>3</v>
      </c>
      <c r="C195" s="171" t="s">
        <v>52</v>
      </c>
      <c r="D195" s="172" t="s">
        <v>53</v>
      </c>
      <c r="E195" s="280"/>
      <c r="F195" s="61" t="s">
        <v>172</v>
      </c>
      <c r="G195" s="62" t="s">
        <v>172</v>
      </c>
      <c r="H195" s="3">
        <v>24</v>
      </c>
      <c r="I195" s="3">
        <v>0</v>
      </c>
      <c r="J195" s="69">
        <f t="shared" si="4"/>
        <v>0</v>
      </c>
      <c r="K195" s="90">
        <f>+I195+'OCTUBRE 2025'!K195</f>
        <v>24</v>
      </c>
      <c r="L195" s="94">
        <f t="shared" si="5"/>
        <v>1</v>
      </c>
      <c r="N195"/>
      <c r="O195" s="8"/>
      <c r="P195"/>
      <c r="Q195" s="8"/>
    </row>
    <row r="196" spans="2:17" x14ac:dyDescent="0.25">
      <c r="B196" s="163">
        <v>3</v>
      </c>
      <c r="C196" s="171" t="s">
        <v>55</v>
      </c>
      <c r="D196" s="172" t="s">
        <v>56</v>
      </c>
      <c r="E196" s="280"/>
      <c r="F196" s="61" t="s">
        <v>172</v>
      </c>
      <c r="G196" s="62" t="s">
        <v>172</v>
      </c>
      <c r="H196" s="3">
        <v>24</v>
      </c>
      <c r="I196" s="3">
        <v>0</v>
      </c>
      <c r="J196" s="69">
        <f t="shared" si="4"/>
        <v>0</v>
      </c>
      <c r="K196" s="90">
        <f>+I196+'OCTUBRE 2025'!K196</f>
        <v>24</v>
      </c>
      <c r="L196" s="94">
        <f t="shared" si="5"/>
        <v>1</v>
      </c>
      <c r="N196"/>
      <c r="O196" s="8"/>
      <c r="P196"/>
      <c r="Q196" s="8"/>
    </row>
    <row r="197" spans="2:17" x14ac:dyDescent="0.25">
      <c r="B197" s="163">
        <v>5</v>
      </c>
      <c r="C197" s="171" t="s">
        <v>57</v>
      </c>
      <c r="D197" s="172" t="s">
        <v>58</v>
      </c>
      <c r="E197" s="280"/>
      <c r="F197" s="61" t="s">
        <v>172</v>
      </c>
      <c r="G197" s="62" t="s">
        <v>172</v>
      </c>
      <c r="H197" s="3">
        <v>24</v>
      </c>
      <c r="I197" s="3">
        <v>0</v>
      </c>
      <c r="J197" s="69">
        <f t="shared" si="4"/>
        <v>0</v>
      </c>
      <c r="K197" s="90">
        <f>+I197+'OCTUBRE 2025'!K197</f>
        <v>24</v>
      </c>
      <c r="L197" s="94">
        <f t="shared" si="5"/>
        <v>1</v>
      </c>
      <c r="N197"/>
      <c r="O197" s="8"/>
      <c r="P197"/>
      <c r="Q197" s="8"/>
    </row>
    <row r="198" spans="2:17" x14ac:dyDescent="0.25">
      <c r="B198" s="164">
        <v>8</v>
      </c>
      <c r="C198" s="173" t="s">
        <v>61</v>
      </c>
      <c r="D198" s="174" t="s">
        <v>62</v>
      </c>
      <c r="E198" s="280"/>
      <c r="F198" s="64" t="s">
        <v>172</v>
      </c>
      <c r="G198" s="65" t="s">
        <v>172</v>
      </c>
      <c r="H198" s="97">
        <v>24</v>
      </c>
      <c r="I198" s="97">
        <v>0</v>
      </c>
      <c r="J198" s="72">
        <f t="shared" si="4"/>
        <v>0</v>
      </c>
      <c r="K198" s="91">
        <f>+I198+'OCTUBRE 2025'!K198</f>
        <v>24</v>
      </c>
      <c r="L198" s="96">
        <f t="shared" si="5"/>
        <v>1</v>
      </c>
      <c r="N198"/>
      <c r="O198" s="8"/>
      <c r="P198"/>
      <c r="Q198" s="8"/>
    </row>
    <row r="199" spans="2:17" x14ac:dyDescent="0.25">
      <c r="B199" s="162">
        <v>2</v>
      </c>
      <c r="C199" s="169" t="s">
        <v>356</v>
      </c>
      <c r="D199" s="170" t="s">
        <v>357</v>
      </c>
      <c r="E199" s="280" t="s">
        <v>359</v>
      </c>
      <c r="F199" s="59" t="s">
        <v>172</v>
      </c>
      <c r="G199" s="60" t="s">
        <v>172</v>
      </c>
      <c r="H199" s="89">
        <v>60</v>
      </c>
      <c r="I199" s="89">
        <v>0</v>
      </c>
      <c r="J199" s="69">
        <f t="shared" si="4"/>
        <v>0</v>
      </c>
      <c r="K199" s="103">
        <f>+I199+'OCTUBRE 2025'!K199</f>
        <v>60</v>
      </c>
      <c r="L199" s="94">
        <f t="shared" si="5"/>
        <v>1</v>
      </c>
      <c r="N199"/>
      <c r="O199" s="8"/>
      <c r="P199"/>
      <c r="Q199" s="8"/>
    </row>
    <row r="200" spans="2:17" x14ac:dyDescent="0.25">
      <c r="B200" s="163">
        <v>2</v>
      </c>
      <c r="C200" s="171" t="s">
        <v>360</v>
      </c>
      <c r="D200" s="172" t="s">
        <v>361</v>
      </c>
      <c r="E200" s="280"/>
      <c r="F200" s="61" t="s">
        <v>172</v>
      </c>
      <c r="G200" s="62" t="s">
        <v>172</v>
      </c>
      <c r="H200" s="2">
        <v>40</v>
      </c>
      <c r="I200" s="3">
        <v>0</v>
      </c>
      <c r="J200" s="69">
        <f t="shared" si="4"/>
        <v>0</v>
      </c>
      <c r="K200" s="90">
        <f>+I200+'OCTUBRE 2025'!K200</f>
        <v>40</v>
      </c>
      <c r="L200" s="94">
        <f t="shared" si="5"/>
        <v>1</v>
      </c>
      <c r="N200"/>
      <c r="O200" s="8"/>
      <c r="P200"/>
      <c r="Q200" s="8"/>
    </row>
    <row r="201" spans="2:17" x14ac:dyDescent="0.25">
      <c r="B201" s="163">
        <v>2</v>
      </c>
      <c r="C201" s="171" t="s">
        <v>363</v>
      </c>
      <c r="D201" s="172" t="s">
        <v>364</v>
      </c>
      <c r="E201" s="280"/>
      <c r="F201" s="61" t="s">
        <v>172</v>
      </c>
      <c r="G201" s="63" t="s">
        <v>172</v>
      </c>
      <c r="H201" s="3">
        <v>10</v>
      </c>
      <c r="I201" s="4">
        <v>0</v>
      </c>
      <c r="J201" s="69">
        <f t="shared" si="4"/>
        <v>0</v>
      </c>
      <c r="K201" s="90">
        <f>+I201+'OCTUBRE 2025'!K201</f>
        <v>10</v>
      </c>
      <c r="L201" s="94">
        <f t="shared" si="5"/>
        <v>1</v>
      </c>
      <c r="N201"/>
      <c r="O201" s="8"/>
      <c r="P201"/>
      <c r="Q201" s="8"/>
    </row>
    <row r="202" spans="2:17" x14ac:dyDescent="0.25">
      <c r="B202" s="163">
        <v>2</v>
      </c>
      <c r="C202" s="171" t="s">
        <v>366</v>
      </c>
      <c r="D202" s="172" t="s">
        <v>367</v>
      </c>
      <c r="E202" s="280"/>
      <c r="F202" s="61" t="s">
        <v>172</v>
      </c>
      <c r="G202" s="62" t="s">
        <v>172</v>
      </c>
      <c r="H202" s="3">
        <v>10</v>
      </c>
      <c r="I202" s="3">
        <v>0</v>
      </c>
      <c r="J202" s="69">
        <f t="shared" si="4"/>
        <v>0</v>
      </c>
      <c r="K202" s="90">
        <f>+I202+'OCTUBRE 2025'!K202</f>
        <v>10</v>
      </c>
      <c r="L202" s="94">
        <f t="shared" si="5"/>
        <v>1</v>
      </c>
      <c r="N202"/>
      <c r="O202" s="8"/>
      <c r="P202"/>
      <c r="Q202" s="8"/>
    </row>
    <row r="203" spans="2:17" x14ac:dyDescent="0.25">
      <c r="B203" s="163">
        <v>2</v>
      </c>
      <c r="C203" s="171" t="s">
        <v>368</v>
      </c>
      <c r="D203" s="172" t="s">
        <v>369</v>
      </c>
      <c r="E203" s="280"/>
      <c r="F203" s="61" t="s">
        <v>172</v>
      </c>
      <c r="G203" s="146" t="s">
        <v>172</v>
      </c>
      <c r="H203" s="3">
        <v>10</v>
      </c>
      <c r="I203" s="3">
        <v>0</v>
      </c>
      <c r="J203" s="69">
        <f t="shared" si="4"/>
        <v>0</v>
      </c>
      <c r="K203" s="90">
        <f>+I203+'OCTUBRE 2025'!K203</f>
        <v>10</v>
      </c>
      <c r="L203" s="94">
        <f t="shared" si="5"/>
        <v>1</v>
      </c>
      <c r="N203"/>
      <c r="O203" s="8"/>
      <c r="P203"/>
      <c r="Q203" s="8"/>
    </row>
    <row r="204" spans="2:17" x14ac:dyDescent="0.25">
      <c r="B204" s="163">
        <v>2</v>
      </c>
      <c r="C204" s="171" t="s">
        <v>140</v>
      </c>
      <c r="D204" s="172" t="s">
        <v>141</v>
      </c>
      <c r="E204" s="280"/>
      <c r="F204" s="61" t="s">
        <v>172</v>
      </c>
      <c r="G204" s="62" t="s">
        <v>172</v>
      </c>
      <c r="H204" s="3">
        <v>20</v>
      </c>
      <c r="I204" s="3">
        <v>0</v>
      </c>
      <c r="J204" s="69">
        <f t="shared" si="4"/>
        <v>0</v>
      </c>
      <c r="K204" s="90">
        <f>+I204+'OCTUBRE 2025'!K204</f>
        <v>20</v>
      </c>
      <c r="L204" s="94">
        <f t="shared" si="5"/>
        <v>1</v>
      </c>
      <c r="N204"/>
      <c r="O204" s="8"/>
      <c r="P204"/>
      <c r="Q204" s="8"/>
    </row>
    <row r="205" spans="2:17" x14ac:dyDescent="0.25">
      <c r="B205" s="163">
        <v>2</v>
      </c>
      <c r="C205" s="171" t="s">
        <v>371</v>
      </c>
      <c r="D205" s="172" t="s">
        <v>372</v>
      </c>
      <c r="E205" s="280"/>
      <c r="F205" s="61" t="s">
        <v>172</v>
      </c>
      <c r="G205" s="62" t="s">
        <v>172</v>
      </c>
      <c r="H205" s="3">
        <v>10</v>
      </c>
      <c r="I205" s="3">
        <v>0</v>
      </c>
      <c r="J205" s="69">
        <f t="shared" si="4"/>
        <v>0</v>
      </c>
      <c r="K205" s="90">
        <f>+I205+'OCTUBRE 2025'!K205</f>
        <v>10</v>
      </c>
      <c r="L205" s="94">
        <f t="shared" si="5"/>
        <v>1</v>
      </c>
      <c r="N205"/>
      <c r="O205" s="8"/>
      <c r="P205"/>
      <c r="Q205" s="8"/>
    </row>
    <row r="206" spans="2:17" x14ac:dyDescent="0.25">
      <c r="B206" s="164">
        <v>2</v>
      </c>
      <c r="C206" s="173" t="s">
        <v>374</v>
      </c>
      <c r="D206" s="174" t="s">
        <v>375</v>
      </c>
      <c r="E206" s="280"/>
      <c r="F206" s="64" t="s">
        <v>172</v>
      </c>
      <c r="G206" s="65" t="s">
        <v>172</v>
      </c>
      <c r="H206" s="97">
        <v>20</v>
      </c>
      <c r="I206" s="97">
        <v>0</v>
      </c>
      <c r="J206" s="72">
        <f t="shared" si="4"/>
        <v>0</v>
      </c>
      <c r="K206" s="91">
        <f>+I206+'OCTUBRE 2025'!K206</f>
        <v>20</v>
      </c>
      <c r="L206" s="96">
        <f t="shared" si="5"/>
        <v>1</v>
      </c>
      <c r="N206"/>
      <c r="O206" s="8"/>
      <c r="P206"/>
      <c r="Q206" s="8"/>
    </row>
    <row r="207" spans="2:17" x14ac:dyDescent="0.25">
      <c r="B207" s="168">
        <v>1</v>
      </c>
      <c r="C207" s="175" t="s">
        <v>230</v>
      </c>
      <c r="D207" s="176" t="s">
        <v>377</v>
      </c>
      <c r="E207" s="280" t="s">
        <v>745</v>
      </c>
      <c r="F207" s="59" t="s">
        <v>172</v>
      </c>
      <c r="G207" s="60" t="s">
        <v>172</v>
      </c>
      <c r="H207" s="66">
        <v>30</v>
      </c>
      <c r="I207" s="66">
        <v>0</v>
      </c>
      <c r="J207" s="69">
        <f t="shared" ref="J207:J268" si="6">IFERROR(I207/H207,0)</f>
        <v>0</v>
      </c>
      <c r="K207" s="103">
        <f>+I207+'OCTUBRE 2025'!K207</f>
        <v>30</v>
      </c>
      <c r="L207" s="94">
        <f t="shared" ref="L207:L268" si="7">IFERROR(K207/H207,0)</f>
        <v>1</v>
      </c>
      <c r="N207"/>
      <c r="O207" s="8"/>
      <c r="P207"/>
      <c r="Q207" s="8"/>
    </row>
    <row r="208" spans="2:17" x14ac:dyDescent="0.25">
      <c r="B208" s="163">
        <v>1</v>
      </c>
      <c r="C208" s="171" t="s">
        <v>74</v>
      </c>
      <c r="D208" s="172" t="s">
        <v>226</v>
      </c>
      <c r="E208" s="280"/>
      <c r="F208" s="61" t="s">
        <v>172</v>
      </c>
      <c r="G208" s="62" t="s">
        <v>172</v>
      </c>
      <c r="H208" s="68">
        <v>30</v>
      </c>
      <c r="I208" s="55">
        <v>0</v>
      </c>
      <c r="J208" s="69">
        <f t="shared" si="6"/>
        <v>0</v>
      </c>
      <c r="K208" s="90">
        <f>+I208+'OCTUBRE 2025'!K208</f>
        <v>30</v>
      </c>
      <c r="L208" s="94">
        <f t="shared" si="7"/>
        <v>1</v>
      </c>
      <c r="N208"/>
      <c r="O208" s="8"/>
      <c r="P208"/>
      <c r="Q208" s="8"/>
    </row>
    <row r="209" spans="2:17" x14ac:dyDescent="0.25">
      <c r="B209" s="163">
        <v>1</v>
      </c>
      <c r="C209" s="171" t="s">
        <v>77</v>
      </c>
      <c r="D209" s="172" t="s">
        <v>78</v>
      </c>
      <c r="E209" s="280"/>
      <c r="F209" s="61" t="s">
        <v>172</v>
      </c>
      <c r="G209" s="63" t="s">
        <v>172</v>
      </c>
      <c r="H209" s="55">
        <v>30</v>
      </c>
      <c r="I209" s="70">
        <v>0</v>
      </c>
      <c r="J209" s="69">
        <f t="shared" si="6"/>
        <v>0</v>
      </c>
      <c r="K209" s="90">
        <f>+I209+'OCTUBRE 2025'!K209</f>
        <v>30</v>
      </c>
      <c r="L209" s="94">
        <f t="shared" si="7"/>
        <v>1</v>
      </c>
      <c r="N209"/>
      <c r="O209" s="8"/>
      <c r="P209"/>
      <c r="Q209" s="8"/>
    </row>
    <row r="210" spans="2:17" x14ac:dyDescent="0.25">
      <c r="B210" s="163">
        <v>1</v>
      </c>
      <c r="C210" s="171" t="s">
        <v>89</v>
      </c>
      <c r="D210" s="172" t="s">
        <v>90</v>
      </c>
      <c r="E210" s="280"/>
      <c r="F210" s="61" t="s">
        <v>172</v>
      </c>
      <c r="G210" s="62" t="s">
        <v>172</v>
      </c>
      <c r="H210" s="55">
        <v>30</v>
      </c>
      <c r="I210" s="55">
        <v>0</v>
      </c>
      <c r="J210" s="69">
        <f t="shared" si="6"/>
        <v>0</v>
      </c>
      <c r="K210" s="90">
        <f>+I210+'OCTUBRE 2025'!K210</f>
        <v>30</v>
      </c>
      <c r="L210" s="94">
        <f t="shared" si="7"/>
        <v>1</v>
      </c>
      <c r="N210"/>
      <c r="O210" s="8"/>
      <c r="P210"/>
      <c r="Q210" s="8"/>
    </row>
    <row r="211" spans="2:17" x14ac:dyDescent="0.25">
      <c r="B211" s="163">
        <v>1</v>
      </c>
      <c r="C211" s="171" t="s">
        <v>379</v>
      </c>
      <c r="D211" s="172" t="s">
        <v>380</v>
      </c>
      <c r="E211" s="280"/>
      <c r="F211" s="61" t="s">
        <v>172</v>
      </c>
      <c r="G211" s="62" t="s">
        <v>172</v>
      </c>
      <c r="H211" s="55">
        <v>30</v>
      </c>
      <c r="I211" s="55">
        <v>0</v>
      </c>
      <c r="J211" s="69">
        <f t="shared" si="6"/>
        <v>0</v>
      </c>
      <c r="K211" s="90">
        <f>+I211+'OCTUBRE 2025'!K211</f>
        <v>30</v>
      </c>
      <c r="L211" s="94">
        <f t="shared" si="7"/>
        <v>1</v>
      </c>
      <c r="N211"/>
      <c r="O211" s="8"/>
      <c r="P211"/>
      <c r="Q211" s="8"/>
    </row>
    <row r="212" spans="2:17" x14ac:dyDescent="0.25">
      <c r="B212" s="164">
        <v>2</v>
      </c>
      <c r="C212" s="173" t="s">
        <v>360</v>
      </c>
      <c r="D212" s="174" t="s">
        <v>361</v>
      </c>
      <c r="E212" s="280"/>
      <c r="F212" s="64" t="s">
        <v>172</v>
      </c>
      <c r="G212" s="65" t="s">
        <v>172</v>
      </c>
      <c r="H212" s="56">
        <v>30</v>
      </c>
      <c r="I212" s="56">
        <v>0</v>
      </c>
      <c r="J212" s="72">
        <f t="shared" si="6"/>
        <v>0</v>
      </c>
      <c r="K212" s="91">
        <f>+I212+'OCTUBRE 2025'!K212</f>
        <v>30</v>
      </c>
      <c r="L212" s="96">
        <f t="shared" si="7"/>
        <v>1</v>
      </c>
      <c r="N212"/>
      <c r="O212" s="8"/>
      <c r="P212"/>
      <c r="Q212" s="8"/>
    </row>
    <row r="213" spans="2:17" x14ac:dyDescent="0.25">
      <c r="B213" s="88">
        <v>3</v>
      </c>
      <c r="C213" s="111" t="s">
        <v>43</v>
      </c>
      <c r="D213" s="112" t="s">
        <v>44</v>
      </c>
      <c r="E213" s="232" t="s">
        <v>382</v>
      </c>
      <c r="F213" s="59" t="s">
        <v>1391</v>
      </c>
      <c r="G213" s="60" t="s">
        <v>1392</v>
      </c>
      <c r="H213" s="89">
        <v>28</v>
      </c>
      <c r="I213" s="89">
        <v>3</v>
      </c>
      <c r="J213" s="69">
        <f t="shared" si="6"/>
        <v>0.10714285714285714</v>
      </c>
      <c r="K213" s="103">
        <f>+I213+'OCTUBRE 2025'!K213</f>
        <v>20</v>
      </c>
      <c r="L213" s="94">
        <f t="shared" si="7"/>
        <v>0.7142857142857143</v>
      </c>
      <c r="N213"/>
      <c r="O213" s="8"/>
      <c r="P213"/>
      <c r="Q213" s="8"/>
    </row>
    <row r="214" spans="2:17" x14ac:dyDescent="0.25">
      <c r="B214" s="86">
        <v>3</v>
      </c>
      <c r="C214" s="107" t="s">
        <v>46</v>
      </c>
      <c r="D214" s="108" t="s">
        <v>47</v>
      </c>
      <c r="E214" s="232"/>
      <c r="F214" s="61" t="s">
        <v>1393</v>
      </c>
      <c r="G214" s="76" t="s">
        <v>393</v>
      </c>
      <c r="H214" s="2">
        <v>28</v>
      </c>
      <c r="I214" s="3">
        <v>2</v>
      </c>
      <c r="J214" s="69">
        <f t="shared" si="6"/>
        <v>7.1428571428571425E-2</v>
      </c>
      <c r="K214" s="90">
        <f>+I214+'OCTUBRE 2025'!K214</f>
        <v>20</v>
      </c>
      <c r="L214" s="94">
        <f t="shared" si="7"/>
        <v>0.7142857142857143</v>
      </c>
      <c r="N214"/>
      <c r="O214" s="8"/>
      <c r="P214"/>
      <c r="Q214" s="8"/>
    </row>
    <row r="215" spans="2:17" x14ac:dyDescent="0.25">
      <c r="B215" s="86">
        <v>3</v>
      </c>
      <c r="C215" s="107" t="s">
        <v>98</v>
      </c>
      <c r="D215" s="108" t="s">
        <v>99</v>
      </c>
      <c r="E215" s="232"/>
      <c r="F215" s="61" t="s">
        <v>1394</v>
      </c>
      <c r="G215" s="62" t="s">
        <v>1392</v>
      </c>
      <c r="H215" s="3">
        <v>27</v>
      </c>
      <c r="I215" s="4">
        <v>3</v>
      </c>
      <c r="J215" s="69">
        <f t="shared" si="6"/>
        <v>0.1111111111111111</v>
      </c>
      <c r="K215" s="90">
        <f>+I215+'OCTUBRE 2025'!K215</f>
        <v>21</v>
      </c>
      <c r="L215" s="94">
        <f t="shared" si="7"/>
        <v>0.77777777777777779</v>
      </c>
      <c r="N215"/>
      <c r="O215" s="8"/>
      <c r="P215"/>
      <c r="Q215" s="8"/>
    </row>
    <row r="216" spans="2:17" x14ac:dyDescent="0.25">
      <c r="B216" s="86">
        <v>3</v>
      </c>
      <c r="C216" s="107" t="s">
        <v>49</v>
      </c>
      <c r="D216" s="108" t="s">
        <v>50</v>
      </c>
      <c r="E216" s="232"/>
      <c r="F216" s="61" t="s">
        <v>1395</v>
      </c>
      <c r="G216" s="62" t="s">
        <v>1396</v>
      </c>
      <c r="H216" s="3">
        <v>32</v>
      </c>
      <c r="I216" s="3">
        <v>3</v>
      </c>
      <c r="J216" s="69">
        <f t="shared" si="6"/>
        <v>9.375E-2</v>
      </c>
      <c r="K216" s="90">
        <f>+I216+'OCTUBRE 2025'!K216</f>
        <v>27</v>
      </c>
      <c r="L216" s="94">
        <f t="shared" si="7"/>
        <v>0.84375</v>
      </c>
      <c r="N216"/>
      <c r="O216" s="8"/>
      <c r="P216"/>
      <c r="Q216" s="8"/>
    </row>
    <row r="217" spans="2:17" x14ac:dyDescent="0.25">
      <c r="B217" s="86">
        <v>3</v>
      </c>
      <c r="C217" s="107" t="s">
        <v>52</v>
      </c>
      <c r="D217" s="108" t="s">
        <v>53</v>
      </c>
      <c r="E217" s="232"/>
      <c r="F217" s="62" t="s">
        <v>1397</v>
      </c>
      <c r="G217" s="62" t="s">
        <v>1392</v>
      </c>
      <c r="H217" s="3">
        <v>30</v>
      </c>
      <c r="I217" s="3">
        <v>3</v>
      </c>
      <c r="J217" s="69">
        <f t="shared" si="6"/>
        <v>0.1</v>
      </c>
      <c r="K217" s="90">
        <f>+I217+'OCTUBRE 2025'!K217</f>
        <v>30</v>
      </c>
      <c r="L217" s="94">
        <f t="shared" si="7"/>
        <v>1</v>
      </c>
      <c r="N217"/>
      <c r="O217" s="8"/>
      <c r="P217"/>
      <c r="Q217" s="8"/>
    </row>
    <row r="218" spans="2:17" x14ac:dyDescent="0.25">
      <c r="B218" s="86">
        <v>3</v>
      </c>
      <c r="C218" s="107" t="s">
        <v>55</v>
      </c>
      <c r="D218" s="108" t="s">
        <v>56</v>
      </c>
      <c r="E218" s="232"/>
      <c r="F218" s="62" t="s">
        <v>1398</v>
      </c>
      <c r="G218" s="62" t="s">
        <v>958</v>
      </c>
      <c r="H218" s="3">
        <v>30</v>
      </c>
      <c r="I218" s="3">
        <v>3</v>
      </c>
      <c r="J218" s="69">
        <f t="shared" si="6"/>
        <v>0.1</v>
      </c>
      <c r="K218" s="90">
        <f>+I218+'OCTUBRE 2025'!K218</f>
        <v>30</v>
      </c>
      <c r="L218" s="94">
        <f t="shared" si="7"/>
        <v>1</v>
      </c>
      <c r="N218"/>
      <c r="O218" s="8"/>
      <c r="P218"/>
      <c r="Q218" s="8"/>
    </row>
    <row r="219" spans="2:17" x14ac:dyDescent="0.25">
      <c r="B219" s="86">
        <v>5</v>
      </c>
      <c r="C219" s="107" t="s">
        <v>57</v>
      </c>
      <c r="D219" s="108" t="s">
        <v>58</v>
      </c>
      <c r="E219" s="232"/>
      <c r="F219" s="61" t="s">
        <v>1399</v>
      </c>
      <c r="G219" s="62" t="s">
        <v>393</v>
      </c>
      <c r="H219" s="3">
        <v>30</v>
      </c>
      <c r="I219" s="3">
        <v>3</v>
      </c>
      <c r="J219" s="69">
        <f t="shared" si="6"/>
        <v>0.1</v>
      </c>
      <c r="K219" s="90">
        <f>+I219+'OCTUBRE 2025'!K219</f>
        <v>30</v>
      </c>
      <c r="L219" s="94">
        <f t="shared" si="7"/>
        <v>1</v>
      </c>
      <c r="N219"/>
      <c r="O219" s="8"/>
      <c r="P219"/>
      <c r="Q219" s="8"/>
    </row>
    <row r="220" spans="2:17" x14ac:dyDescent="0.25">
      <c r="B220" s="86">
        <v>5</v>
      </c>
      <c r="C220" s="107" t="s">
        <v>59</v>
      </c>
      <c r="D220" s="108" t="s">
        <v>60</v>
      </c>
      <c r="E220" s="232"/>
      <c r="F220" s="62" t="s">
        <v>1400</v>
      </c>
      <c r="G220" s="62" t="s">
        <v>564</v>
      </c>
      <c r="H220" s="3">
        <v>35</v>
      </c>
      <c r="I220" s="3">
        <v>5</v>
      </c>
      <c r="J220" s="69">
        <f t="shared" si="6"/>
        <v>0.14285714285714285</v>
      </c>
      <c r="K220" s="90">
        <f>+I220+'OCTUBRE 2025'!K220</f>
        <v>32</v>
      </c>
      <c r="L220" s="94">
        <f t="shared" si="7"/>
        <v>0.91428571428571426</v>
      </c>
      <c r="N220"/>
      <c r="O220" s="8"/>
      <c r="P220"/>
      <c r="Q220" s="8"/>
    </row>
    <row r="221" spans="2:17" x14ac:dyDescent="0.25">
      <c r="B221" s="104">
        <v>8</v>
      </c>
      <c r="C221" s="113" t="s">
        <v>61</v>
      </c>
      <c r="D221" s="114" t="s">
        <v>62</v>
      </c>
      <c r="E221" s="232"/>
      <c r="F221" s="64" t="s">
        <v>1401</v>
      </c>
      <c r="G221" s="63" t="s">
        <v>1402</v>
      </c>
      <c r="H221" s="97">
        <v>30</v>
      </c>
      <c r="I221" s="97">
        <v>5</v>
      </c>
      <c r="J221" s="72">
        <f t="shared" si="6"/>
        <v>0.16666666666666666</v>
      </c>
      <c r="K221" s="91">
        <f>+I221+'OCTUBRE 2025'!K221</f>
        <v>30</v>
      </c>
      <c r="L221" s="96">
        <f t="shared" si="7"/>
        <v>1</v>
      </c>
      <c r="N221"/>
      <c r="O221" s="8"/>
      <c r="P221"/>
      <c r="Q221" s="8"/>
    </row>
    <row r="222" spans="2:17" x14ac:dyDescent="0.25">
      <c r="B222" s="162">
        <v>3</v>
      </c>
      <c r="C222" s="169" t="s">
        <v>43</v>
      </c>
      <c r="D222" s="170" t="s">
        <v>44</v>
      </c>
      <c r="E222" s="280" t="s">
        <v>400</v>
      </c>
      <c r="F222" s="59" t="s">
        <v>172</v>
      </c>
      <c r="G222" s="60" t="s">
        <v>172</v>
      </c>
      <c r="H222" s="89">
        <v>20</v>
      </c>
      <c r="I222" s="66">
        <v>0</v>
      </c>
      <c r="J222" s="69">
        <f t="shared" si="6"/>
        <v>0</v>
      </c>
      <c r="K222" s="103">
        <f>+I222+'OCTUBRE 2025'!K222</f>
        <v>20</v>
      </c>
      <c r="L222" s="94">
        <f t="shared" si="7"/>
        <v>1</v>
      </c>
      <c r="N222"/>
      <c r="O222" s="8"/>
      <c r="P222"/>
      <c r="Q222" s="8"/>
    </row>
    <row r="223" spans="2:17" x14ac:dyDescent="0.25">
      <c r="B223" s="163">
        <v>3</v>
      </c>
      <c r="C223" s="171" t="s">
        <v>46</v>
      </c>
      <c r="D223" s="172" t="s">
        <v>47</v>
      </c>
      <c r="E223" s="280"/>
      <c r="F223" s="61" t="s">
        <v>172</v>
      </c>
      <c r="G223" s="76" t="s">
        <v>172</v>
      </c>
      <c r="H223" s="2">
        <v>20</v>
      </c>
      <c r="I223" s="55">
        <v>0</v>
      </c>
      <c r="J223" s="69">
        <f t="shared" si="6"/>
        <v>0</v>
      </c>
      <c r="K223" s="90">
        <f>+I223+'OCTUBRE 2025'!K223</f>
        <v>20</v>
      </c>
      <c r="L223" s="94">
        <f t="shared" si="7"/>
        <v>1</v>
      </c>
      <c r="N223"/>
      <c r="O223" s="8"/>
      <c r="P223"/>
      <c r="Q223" s="8"/>
    </row>
    <row r="224" spans="2:17" x14ac:dyDescent="0.25">
      <c r="B224" s="163">
        <v>3</v>
      </c>
      <c r="C224" s="171" t="s">
        <v>98</v>
      </c>
      <c r="D224" s="172" t="s">
        <v>99</v>
      </c>
      <c r="E224" s="280"/>
      <c r="F224" s="61" t="s">
        <v>172</v>
      </c>
      <c r="G224" s="62" t="s">
        <v>172</v>
      </c>
      <c r="H224" s="3">
        <v>20</v>
      </c>
      <c r="I224" s="70">
        <v>0</v>
      </c>
      <c r="J224" s="69">
        <f t="shared" si="6"/>
        <v>0</v>
      </c>
      <c r="K224" s="90">
        <f>+I224+'OCTUBRE 2025'!K224</f>
        <v>20</v>
      </c>
      <c r="L224" s="94">
        <f t="shared" si="7"/>
        <v>1</v>
      </c>
      <c r="N224"/>
      <c r="O224" s="8"/>
      <c r="P224"/>
      <c r="Q224" s="8"/>
    </row>
    <row r="225" spans="2:17" x14ac:dyDescent="0.25">
      <c r="B225" s="163">
        <v>3</v>
      </c>
      <c r="C225" s="171" t="s">
        <v>49</v>
      </c>
      <c r="D225" s="172" t="s">
        <v>50</v>
      </c>
      <c r="E225" s="280"/>
      <c r="F225" s="61" t="s">
        <v>172</v>
      </c>
      <c r="G225" s="62" t="s">
        <v>172</v>
      </c>
      <c r="H225" s="3">
        <v>20</v>
      </c>
      <c r="I225" s="55">
        <v>0</v>
      </c>
      <c r="J225" s="69">
        <f t="shared" si="6"/>
        <v>0</v>
      </c>
      <c r="K225" s="90">
        <f>+I225+'OCTUBRE 2025'!K225</f>
        <v>20</v>
      </c>
      <c r="L225" s="94">
        <f t="shared" si="7"/>
        <v>1</v>
      </c>
      <c r="N225"/>
      <c r="O225" s="8"/>
      <c r="P225"/>
      <c r="Q225" s="8"/>
    </row>
    <row r="226" spans="2:17" x14ac:dyDescent="0.25">
      <c r="B226" s="163">
        <v>3</v>
      </c>
      <c r="C226" s="171" t="s">
        <v>52</v>
      </c>
      <c r="D226" s="172" t="s">
        <v>53</v>
      </c>
      <c r="E226" s="280"/>
      <c r="F226" s="62" t="s">
        <v>172</v>
      </c>
      <c r="G226" s="62" t="s">
        <v>172</v>
      </c>
      <c r="H226" s="3">
        <v>20</v>
      </c>
      <c r="I226" s="55">
        <v>0</v>
      </c>
      <c r="J226" s="69">
        <f t="shared" si="6"/>
        <v>0</v>
      </c>
      <c r="K226" s="90">
        <f>+I226+'OCTUBRE 2025'!K226</f>
        <v>20</v>
      </c>
      <c r="L226" s="94">
        <f t="shared" si="7"/>
        <v>1</v>
      </c>
      <c r="N226"/>
      <c r="O226" s="8"/>
      <c r="P226"/>
      <c r="Q226" s="8"/>
    </row>
    <row r="227" spans="2:17" x14ac:dyDescent="0.25">
      <c r="B227" s="163">
        <v>3</v>
      </c>
      <c r="C227" s="171" t="s">
        <v>55</v>
      </c>
      <c r="D227" s="172" t="s">
        <v>56</v>
      </c>
      <c r="E227" s="280"/>
      <c r="F227" s="62" t="s">
        <v>172</v>
      </c>
      <c r="G227" s="62" t="s">
        <v>172</v>
      </c>
      <c r="H227" s="3">
        <v>20</v>
      </c>
      <c r="I227" s="55">
        <v>0</v>
      </c>
      <c r="J227" s="69">
        <f t="shared" si="6"/>
        <v>0</v>
      </c>
      <c r="K227" s="90">
        <f>+I227+'OCTUBRE 2025'!K227</f>
        <v>20</v>
      </c>
      <c r="L227" s="94">
        <f t="shared" si="7"/>
        <v>1</v>
      </c>
      <c r="N227"/>
      <c r="O227" s="8"/>
      <c r="P227"/>
      <c r="Q227" s="8"/>
    </row>
    <row r="228" spans="2:17" x14ac:dyDescent="0.25">
      <c r="B228" s="163">
        <v>5</v>
      </c>
      <c r="C228" s="171" t="s">
        <v>57</v>
      </c>
      <c r="D228" s="172" t="s">
        <v>58</v>
      </c>
      <c r="E228" s="280"/>
      <c r="F228" s="61" t="s">
        <v>172</v>
      </c>
      <c r="G228" s="62" t="s">
        <v>172</v>
      </c>
      <c r="H228" s="3">
        <v>20</v>
      </c>
      <c r="I228" s="55">
        <v>0</v>
      </c>
      <c r="J228" s="69">
        <f t="shared" si="6"/>
        <v>0</v>
      </c>
      <c r="K228" s="90">
        <f>+I228+'OCTUBRE 2025'!K228</f>
        <v>20</v>
      </c>
      <c r="L228" s="94">
        <f t="shared" si="7"/>
        <v>1</v>
      </c>
      <c r="N228"/>
      <c r="O228" s="8"/>
      <c r="P228"/>
      <c r="Q228" s="8"/>
    </row>
    <row r="229" spans="2:17" x14ac:dyDescent="0.25">
      <c r="B229" s="163">
        <v>5</v>
      </c>
      <c r="C229" s="171" t="s">
        <v>59</v>
      </c>
      <c r="D229" s="172" t="s">
        <v>60</v>
      </c>
      <c r="E229" s="280"/>
      <c r="F229" s="62" t="s">
        <v>172</v>
      </c>
      <c r="G229" s="62" t="s">
        <v>172</v>
      </c>
      <c r="H229" s="3">
        <v>20</v>
      </c>
      <c r="I229" s="55">
        <v>0</v>
      </c>
      <c r="J229" s="69">
        <f t="shared" si="6"/>
        <v>0</v>
      </c>
      <c r="K229" s="90">
        <f>+I229+'OCTUBRE 2025'!K229</f>
        <v>20</v>
      </c>
      <c r="L229" s="94">
        <f t="shared" si="7"/>
        <v>1</v>
      </c>
      <c r="N229"/>
      <c r="O229" s="8"/>
      <c r="P229"/>
      <c r="Q229" s="8"/>
    </row>
    <row r="230" spans="2:17" x14ac:dyDescent="0.25">
      <c r="B230" s="164">
        <v>8</v>
      </c>
      <c r="C230" s="173" t="s">
        <v>61</v>
      </c>
      <c r="D230" s="174" t="s">
        <v>62</v>
      </c>
      <c r="E230" s="280"/>
      <c r="F230" s="64" t="s">
        <v>172</v>
      </c>
      <c r="G230" s="65" t="s">
        <v>172</v>
      </c>
      <c r="H230" s="97">
        <v>20</v>
      </c>
      <c r="I230" s="56">
        <v>0</v>
      </c>
      <c r="J230" s="72">
        <f t="shared" si="6"/>
        <v>0</v>
      </c>
      <c r="K230" s="91">
        <f>+I230+'OCTUBRE 2025'!K230</f>
        <v>20</v>
      </c>
      <c r="L230" s="96">
        <f t="shared" si="7"/>
        <v>1</v>
      </c>
      <c r="N230"/>
      <c r="O230" s="8"/>
      <c r="P230"/>
      <c r="Q230" s="8"/>
    </row>
    <row r="231" spans="2:17" x14ac:dyDescent="0.25">
      <c r="B231" s="85">
        <v>3</v>
      </c>
      <c r="C231" s="105" t="s">
        <v>43</v>
      </c>
      <c r="D231" s="106" t="s">
        <v>44</v>
      </c>
      <c r="E231" s="232" t="s">
        <v>407</v>
      </c>
      <c r="F231" s="62" t="s">
        <v>1403</v>
      </c>
      <c r="G231" s="63" t="s">
        <v>1404</v>
      </c>
      <c r="H231" s="66">
        <v>30</v>
      </c>
      <c r="I231" s="66">
        <v>2</v>
      </c>
      <c r="J231" s="69">
        <f t="shared" si="6"/>
        <v>6.6666666666666666E-2</v>
      </c>
      <c r="K231" s="103">
        <f>+I231+'OCTUBRE 2025'!K231</f>
        <v>29</v>
      </c>
      <c r="L231" s="94">
        <f t="shared" si="7"/>
        <v>0.96666666666666667</v>
      </c>
      <c r="N231"/>
      <c r="O231" s="8"/>
      <c r="P231"/>
      <c r="Q231" s="8"/>
    </row>
    <row r="232" spans="2:17" x14ac:dyDescent="0.25">
      <c r="B232" s="86">
        <v>3</v>
      </c>
      <c r="C232" s="107" t="s">
        <v>46</v>
      </c>
      <c r="D232" s="108" t="s">
        <v>47</v>
      </c>
      <c r="E232" s="232"/>
      <c r="F232" s="61" t="s">
        <v>1405</v>
      </c>
      <c r="G232" s="62" t="s">
        <v>1406</v>
      </c>
      <c r="H232" s="68">
        <v>30</v>
      </c>
      <c r="I232" s="55">
        <v>4</v>
      </c>
      <c r="J232" s="69">
        <f t="shared" si="6"/>
        <v>0.13333333333333333</v>
      </c>
      <c r="K232" s="90">
        <f>+I232+'OCTUBRE 2025'!K232</f>
        <v>26</v>
      </c>
      <c r="L232" s="94">
        <f t="shared" si="7"/>
        <v>0.8666666666666667</v>
      </c>
      <c r="N232"/>
      <c r="O232" s="8"/>
      <c r="P232"/>
      <c r="Q232" s="8"/>
    </row>
    <row r="233" spans="2:17" x14ac:dyDescent="0.25">
      <c r="B233" s="86">
        <v>3</v>
      </c>
      <c r="C233" s="107" t="s">
        <v>98</v>
      </c>
      <c r="D233" s="108" t="s">
        <v>99</v>
      </c>
      <c r="E233" s="232"/>
      <c r="F233" s="61" t="s">
        <v>1407</v>
      </c>
      <c r="G233" s="63" t="s">
        <v>1408</v>
      </c>
      <c r="H233" s="55">
        <v>30</v>
      </c>
      <c r="I233" s="70">
        <v>4</v>
      </c>
      <c r="J233" s="69">
        <f t="shared" si="6"/>
        <v>0.13333333333333333</v>
      </c>
      <c r="K233" s="90">
        <f>+I233+'OCTUBRE 2025'!K233</f>
        <v>27</v>
      </c>
      <c r="L233" s="94">
        <f t="shared" si="7"/>
        <v>0.9</v>
      </c>
      <c r="N233"/>
      <c r="O233" s="8"/>
      <c r="P233"/>
      <c r="Q233" s="8"/>
    </row>
    <row r="234" spans="2:17" x14ac:dyDescent="0.25">
      <c r="B234" s="86">
        <v>3</v>
      </c>
      <c r="C234" s="107" t="s">
        <v>49</v>
      </c>
      <c r="D234" s="108" t="s">
        <v>50</v>
      </c>
      <c r="E234" s="232"/>
      <c r="F234" s="61" t="s">
        <v>1409</v>
      </c>
      <c r="G234" s="62" t="s">
        <v>1410</v>
      </c>
      <c r="H234" s="55">
        <v>30</v>
      </c>
      <c r="I234" s="55">
        <v>2</v>
      </c>
      <c r="J234" s="69">
        <f t="shared" si="6"/>
        <v>6.6666666666666666E-2</v>
      </c>
      <c r="K234" s="90">
        <f>+I234+'OCTUBRE 2025'!K234</f>
        <v>27</v>
      </c>
      <c r="L234" s="94">
        <f t="shared" si="7"/>
        <v>0.9</v>
      </c>
      <c r="N234"/>
      <c r="O234" s="8"/>
      <c r="P234"/>
      <c r="Q234" s="8"/>
    </row>
    <row r="235" spans="2:17" x14ac:dyDescent="0.25">
      <c r="B235" s="86">
        <v>3</v>
      </c>
      <c r="C235" s="107" t="s">
        <v>52</v>
      </c>
      <c r="D235" s="108" t="s">
        <v>53</v>
      </c>
      <c r="E235" s="232"/>
      <c r="F235" s="61" t="s">
        <v>1411</v>
      </c>
      <c r="G235" s="62" t="s">
        <v>1412</v>
      </c>
      <c r="H235" s="55">
        <v>30</v>
      </c>
      <c r="I235" s="55">
        <v>4</v>
      </c>
      <c r="J235" s="69">
        <f t="shared" si="6"/>
        <v>0.13333333333333333</v>
      </c>
      <c r="K235" s="90">
        <f>+I235+'OCTUBRE 2025'!K235</f>
        <v>28</v>
      </c>
      <c r="L235" s="94">
        <f t="shared" si="7"/>
        <v>0.93333333333333335</v>
      </c>
      <c r="N235"/>
      <c r="O235" s="8"/>
      <c r="P235"/>
      <c r="Q235" s="8"/>
    </row>
    <row r="236" spans="2:17" x14ac:dyDescent="0.25">
      <c r="B236" s="86">
        <v>3</v>
      </c>
      <c r="C236" s="107" t="s">
        <v>55</v>
      </c>
      <c r="D236" s="108" t="s">
        <v>56</v>
      </c>
      <c r="E236" s="232"/>
      <c r="F236" s="61" t="s">
        <v>1413</v>
      </c>
      <c r="G236" s="62" t="s">
        <v>1414</v>
      </c>
      <c r="H236" s="55">
        <v>30</v>
      </c>
      <c r="I236" s="55">
        <v>5</v>
      </c>
      <c r="J236" s="69">
        <f t="shared" si="6"/>
        <v>0.16666666666666666</v>
      </c>
      <c r="K236" s="90">
        <f>+I236+'OCTUBRE 2025'!K236</f>
        <v>26</v>
      </c>
      <c r="L236" s="94">
        <f t="shared" si="7"/>
        <v>0.8666666666666667</v>
      </c>
      <c r="N236"/>
      <c r="O236" s="8"/>
      <c r="P236"/>
      <c r="Q236" s="8"/>
    </row>
    <row r="237" spans="2:17" x14ac:dyDescent="0.25">
      <c r="B237" s="86">
        <v>5</v>
      </c>
      <c r="C237" s="107" t="s">
        <v>57</v>
      </c>
      <c r="D237" s="108" t="s">
        <v>58</v>
      </c>
      <c r="E237" s="232"/>
      <c r="F237" s="129" t="s">
        <v>1415</v>
      </c>
      <c r="G237" s="76" t="s">
        <v>1416</v>
      </c>
      <c r="H237" s="55">
        <v>30</v>
      </c>
      <c r="I237" s="55">
        <v>2</v>
      </c>
      <c r="J237" s="69">
        <f t="shared" si="6"/>
        <v>6.6666666666666666E-2</v>
      </c>
      <c r="K237" s="90">
        <f>+I237+'OCTUBRE 2025'!K237</f>
        <v>28</v>
      </c>
      <c r="L237" s="94">
        <f t="shared" si="7"/>
        <v>0.93333333333333335</v>
      </c>
      <c r="N237"/>
      <c r="O237" s="8"/>
      <c r="P237"/>
      <c r="Q237" s="8"/>
    </row>
    <row r="238" spans="2:17" x14ac:dyDescent="0.25">
      <c r="B238" s="86">
        <v>5</v>
      </c>
      <c r="C238" s="107" t="s">
        <v>59</v>
      </c>
      <c r="D238" s="108" t="s">
        <v>60</v>
      </c>
      <c r="E238" s="233"/>
      <c r="F238" s="61" t="s">
        <v>1417</v>
      </c>
      <c r="G238" s="62" t="s">
        <v>1418</v>
      </c>
      <c r="H238" s="128">
        <v>30</v>
      </c>
      <c r="I238" s="55">
        <v>2</v>
      </c>
      <c r="J238" s="69">
        <f t="shared" si="6"/>
        <v>6.6666666666666666E-2</v>
      </c>
      <c r="K238" s="90">
        <f>+I238+'OCTUBRE 2025'!K238</f>
        <v>23</v>
      </c>
      <c r="L238" s="94">
        <f t="shared" si="7"/>
        <v>0.76666666666666672</v>
      </c>
      <c r="N238"/>
      <c r="O238" s="8"/>
      <c r="P238"/>
      <c r="Q238" s="8"/>
    </row>
    <row r="239" spans="2:17" x14ac:dyDescent="0.25">
      <c r="B239" s="87">
        <v>8</v>
      </c>
      <c r="C239" s="109" t="s">
        <v>61</v>
      </c>
      <c r="D239" s="110" t="s">
        <v>62</v>
      </c>
      <c r="E239" s="234"/>
      <c r="F239" s="63" t="s">
        <v>1419</v>
      </c>
      <c r="G239" s="63" t="s">
        <v>1420</v>
      </c>
      <c r="H239" s="56">
        <v>30</v>
      </c>
      <c r="I239" s="56">
        <v>5</v>
      </c>
      <c r="J239" s="72">
        <f t="shared" si="6"/>
        <v>0.16666666666666666</v>
      </c>
      <c r="K239" s="91">
        <f>+I239+'OCTUBRE 2025'!K239</f>
        <v>26</v>
      </c>
      <c r="L239" s="96">
        <f t="shared" si="7"/>
        <v>0.8666666666666667</v>
      </c>
      <c r="N239"/>
      <c r="O239" s="8"/>
      <c r="P239"/>
      <c r="Q239" s="8"/>
    </row>
    <row r="240" spans="2:17" x14ac:dyDescent="0.25">
      <c r="B240" s="85">
        <v>3</v>
      </c>
      <c r="C240" s="105" t="s">
        <v>46</v>
      </c>
      <c r="D240" s="106" t="s">
        <v>47</v>
      </c>
      <c r="E240" s="226" t="s">
        <v>426</v>
      </c>
      <c r="F240" s="59" t="s">
        <v>48</v>
      </c>
      <c r="G240" s="60" t="s">
        <v>979</v>
      </c>
      <c r="H240" s="66">
        <v>45</v>
      </c>
      <c r="I240" s="66">
        <v>6</v>
      </c>
      <c r="J240" s="69">
        <f t="shared" si="6"/>
        <v>0.13333333333333333</v>
      </c>
      <c r="K240" s="103">
        <f>+I240+'OCTUBRE 2025'!K240</f>
        <v>42</v>
      </c>
      <c r="L240" s="94">
        <f t="shared" si="7"/>
        <v>0.93333333333333335</v>
      </c>
      <c r="N240"/>
      <c r="O240" s="8"/>
      <c r="P240"/>
      <c r="Q240" s="8"/>
    </row>
    <row r="241" spans="1:17" x14ac:dyDescent="0.25">
      <c r="B241" s="86">
        <v>3</v>
      </c>
      <c r="C241" s="107" t="s">
        <v>98</v>
      </c>
      <c r="D241" s="108" t="s">
        <v>99</v>
      </c>
      <c r="E241" s="226"/>
      <c r="F241" s="61" t="s">
        <v>48</v>
      </c>
      <c r="G241" s="62" t="s">
        <v>429</v>
      </c>
      <c r="H241" s="68">
        <v>45</v>
      </c>
      <c r="I241" s="55">
        <v>5</v>
      </c>
      <c r="J241" s="69">
        <f t="shared" si="6"/>
        <v>0.1111111111111111</v>
      </c>
      <c r="K241" s="90">
        <f>+I241+'OCTUBRE 2025'!K241</f>
        <v>40</v>
      </c>
      <c r="L241" s="94">
        <f t="shared" si="7"/>
        <v>0.88888888888888884</v>
      </c>
      <c r="N241"/>
      <c r="O241" s="8"/>
      <c r="P241"/>
      <c r="Q241" s="8"/>
    </row>
    <row r="242" spans="1:17" x14ac:dyDescent="0.25">
      <c r="B242" s="86">
        <v>3</v>
      </c>
      <c r="C242" s="107" t="s">
        <v>49</v>
      </c>
      <c r="D242" s="108" t="s">
        <v>50</v>
      </c>
      <c r="E242" s="226"/>
      <c r="F242" s="61" t="s">
        <v>51</v>
      </c>
      <c r="G242" s="63" t="s">
        <v>431</v>
      </c>
      <c r="H242" s="55">
        <v>45</v>
      </c>
      <c r="I242" s="70">
        <v>5</v>
      </c>
      <c r="J242" s="69">
        <f t="shared" si="6"/>
        <v>0.1111111111111111</v>
      </c>
      <c r="K242" s="90">
        <f>+I242+'OCTUBRE 2025'!K242</f>
        <v>40</v>
      </c>
      <c r="L242" s="94">
        <f t="shared" si="7"/>
        <v>0.88888888888888884</v>
      </c>
    </row>
    <row r="243" spans="1:17" s="16" customFormat="1" x14ac:dyDescent="0.25">
      <c r="B243" s="86">
        <v>3</v>
      </c>
      <c r="C243" s="107" t="s">
        <v>52</v>
      </c>
      <c r="D243" s="108" t="s">
        <v>53</v>
      </c>
      <c r="E243" s="226"/>
      <c r="F243" s="61" t="s">
        <v>54</v>
      </c>
      <c r="G243" s="62" t="s">
        <v>296</v>
      </c>
      <c r="H243" s="55">
        <v>45</v>
      </c>
      <c r="I243" s="55">
        <v>5</v>
      </c>
      <c r="J243" s="69">
        <f t="shared" si="6"/>
        <v>0.1111111111111111</v>
      </c>
      <c r="K243" s="90">
        <f>+I243+'OCTUBRE 2025'!K243</f>
        <v>39</v>
      </c>
      <c r="L243" s="94">
        <f t="shared" si="7"/>
        <v>0.8666666666666667</v>
      </c>
      <c r="O243"/>
      <c r="Q243"/>
    </row>
    <row r="244" spans="1:17" x14ac:dyDescent="0.25">
      <c r="B244" s="86">
        <v>5</v>
      </c>
      <c r="C244" s="107" t="s">
        <v>59</v>
      </c>
      <c r="D244" s="108" t="s">
        <v>60</v>
      </c>
      <c r="E244" s="226"/>
      <c r="F244" s="61" t="s">
        <v>54</v>
      </c>
      <c r="G244" s="62" t="s">
        <v>434</v>
      </c>
      <c r="H244" s="55">
        <v>45</v>
      </c>
      <c r="I244" s="55">
        <v>4</v>
      </c>
      <c r="J244" s="69">
        <f t="shared" si="6"/>
        <v>8.8888888888888892E-2</v>
      </c>
      <c r="K244" s="90">
        <f>+I244+'OCTUBRE 2025'!K244</f>
        <v>39</v>
      </c>
      <c r="L244" s="94">
        <f t="shared" si="7"/>
        <v>0.8666666666666667</v>
      </c>
    </row>
    <row r="245" spans="1:17" ht="14.45" customHeight="1" x14ac:dyDescent="0.25">
      <c r="B245" s="86">
        <v>8</v>
      </c>
      <c r="C245" s="107" t="s">
        <v>61</v>
      </c>
      <c r="D245" s="108" t="s">
        <v>62</v>
      </c>
      <c r="E245" s="226"/>
      <c r="F245" s="64" t="s">
        <v>63</v>
      </c>
      <c r="G245" s="65" t="s">
        <v>436</v>
      </c>
      <c r="H245" s="56">
        <v>45</v>
      </c>
      <c r="I245" s="56">
        <v>5</v>
      </c>
      <c r="J245" s="72">
        <f t="shared" si="6"/>
        <v>0.1111111111111111</v>
      </c>
      <c r="K245" s="91">
        <f>+I245+'OCTUBRE 2025'!K245</f>
        <v>40</v>
      </c>
      <c r="L245" s="96">
        <f t="shared" si="7"/>
        <v>0.88888888888888884</v>
      </c>
    </row>
    <row r="246" spans="1:17" ht="14.45" customHeight="1" x14ac:dyDescent="0.25">
      <c r="A246" s="5"/>
      <c r="B246" s="85">
        <v>3</v>
      </c>
      <c r="C246" s="105" t="s">
        <v>52</v>
      </c>
      <c r="D246" s="106" t="s">
        <v>53</v>
      </c>
      <c r="E246" s="227" t="s">
        <v>438</v>
      </c>
      <c r="F246" s="59" t="s">
        <v>1357</v>
      </c>
      <c r="G246" s="60" t="s">
        <v>447</v>
      </c>
      <c r="H246" s="66">
        <v>45</v>
      </c>
      <c r="I246" s="66">
        <v>5</v>
      </c>
      <c r="J246" s="69">
        <f t="shared" si="6"/>
        <v>0.1111111111111111</v>
      </c>
      <c r="K246" s="103">
        <f>+I246+'OCTUBRE 2025'!K246</f>
        <v>40</v>
      </c>
      <c r="L246" s="94">
        <f t="shared" si="7"/>
        <v>0.88888888888888884</v>
      </c>
    </row>
    <row r="247" spans="1:17" x14ac:dyDescent="0.25">
      <c r="A247" s="5"/>
      <c r="B247" s="86">
        <v>3</v>
      </c>
      <c r="C247" s="107" t="s">
        <v>55</v>
      </c>
      <c r="D247" s="108" t="s">
        <v>56</v>
      </c>
      <c r="E247" s="226"/>
      <c r="F247" s="61" t="s">
        <v>1358</v>
      </c>
      <c r="G247" s="62" t="s">
        <v>172</v>
      </c>
      <c r="H247" s="68">
        <v>45</v>
      </c>
      <c r="I247" s="55">
        <v>5</v>
      </c>
      <c r="J247" s="69">
        <f t="shared" si="6"/>
        <v>0.1111111111111111</v>
      </c>
      <c r="K247" s="90">
        <f>+I247+'OCTUBRE 2025'!K247</f>
        <v>40</v>
      </c>
      <c r="L247" s="94">
        <f t="shared" si="7"/>
        <v>0.88888888888888884</v>
      </c>
    </row>
    <row r="248" spans="1:17" x14ac:dyDescent="0.25">
      <c r="A248" s="5"/>
      <c r="B248" s="86">
        <v>4</v>
      </c>
      <c r="C248" s="107" t="s">
        <v>441</v>
      </c>
      <c r="D248" s="108" t="s">
        <v>442</v>
      </c>
      <c r="E248" s="226"/>
      <c r="F248" s="61" t="s">
        <v>1359</v>
      </c>
      <c r="G248" s="63" t="s">
        <v>172</v>
      </c>
      <c r="H248" s="55">
        <v>45</v>
      </c>
      <c r="I248" s="70">
        <v>5</v>
      </c>
      <c r="J248" s="69">
        <f t="shared" si="6"/>
        <v>0.1111111111111111</v>
      </c>
      <c r="K248" s="90">
        <f>+I248+'OCTUBRE 2025'!K248</f>
        <v>40</v>
      </c>
      <c r="L248" s="94">
        <f t="shared" si="7"/>
        <v>0.88888888888888884</v>
      </c>
    </row>
    <row r="249" spans="1:17" ht="14.45" customHeight="1" x14ac:dyDescent="0.25">
      <c r="A249" s="5"/>
      <c r="B249" s="86">
        <v>5</v>
      </c>
      <c r="C249" s="107" t="s">
        <v>57</v>
      </c>
      <c r="D249" s="108" t="s">
        <v>58</v>
      </c>
      <c r="E249" s="226"/>
      <c r="F249" s="61" t="s">
        <v>1360</v>
      </c>
      <c r="G249" s="62" t="s">
        <v>447</v>
      </c>
      <c r="H249" s="55">
        <v>45</v>
      </c>
      <c r="I249" s="55">
        <v>5</v>
      </c>
      <c r="J249" s="69">
        <f t="shared" si="6"/>
        <v>0.1111111111111111</v>
      </c>
      <c r="K249" s="90">
        <f>+I249+'OCTUBRE 2025'!K249</f>
        <v>40</v>
      </c>
      <c r="L249" s="94">
        <f t="shared" si="7"/>
        <v>0.88888888888888884</v>
      </c>
    </row>
    <row r="250" spans="1:17" ht="14.45" customHeight="1" x14ac:dyDescent="0.25">
      <c r="A250" s="5"/>
      <c r="B250" s="86">
        <v>5</v>
      </c>
      <c r="C250" s="107" t="s">
        <v>59</v>
      </c>
      <c r="D250" s="108" t="s">
        <v>60</v>
      </c>
      <c r="E250" s="226"/>
      <c r="F250" s="61" t="s">
        <v>1361</v>
      </c>
      <c r="G250" s="62" t="s">
        <v>447</v>
      </c>
      <c r="H250" s="55">
        <v>45</v>
      </c>
      <c r="I250" s="55">
        <v>5</v>
      </c>
      <c r="J250" s="69">
        <f t="shared" si="6"/>
        <v>0.1111111111111111</v>
      </c>
      <c r="K250" s="90">
        <f>+I250+'OCTUBRE 2025'!K250</f>
        <v>40</v>
      </c>
      <c r="L250" s="94">
        <f t="shared" si="7"/>
        <v>0.88888888888888884</v>
      </c>
    </row>
    <row r="251" spans="1:17" ht="14.45" customHeight="1" x14ac:dyDescent="0.25">
      <c r="A251" s="5"/>
      <c r="B251" s="87">
        <v>8</v>
      </c>
      <c r="C251" s="109" t="s">
        <v>61</v>
      </c>
      <c r="D251" s="110" t="s">
        <v>62</v>
      </c>
      <c r="E251" s="226"/>
      <c r="F251" s="64" t="s">
        <v>1362</v>
      </c>
      <c r="G251" s="65" t="s">
        <v>172</v>
      </c>
      <c r="H251" s="56">
        <v>45</v>
      </c>
      <c r="I251" s="56">
        <v>5</v>
      </c>
      <c r="J251" s="72">
        <f t="shared" si="6"/>
        <v>0.1111111111111111</v>
      </c>
      <c r="K251" s="91">
        <f>+I251+'OCTUBRE 2025'!K251</f>
        <v>40</v>
      </c>
      <c r="L251" s="96">
        <f t="shared" si="7"/>
        <v>0.88888888888888884</v>
      </c>
    </row>
    <row r="252" spans="1:17" x14ac:dyDescent="0.25">
      <c r="A252" s="5"/>
      <c r="B252" s="85">
        <v>3</v>
      </c>
      <c r="C252" s="105" t="s">
        <v>43</v>
      </c>
      <c r="D252" s="106" t="s">
        <v>44</v>
      </c>
      <c r="E252" s="232" t="s">
        <v>450</v>
      </c>
      <c r="F252" s="60" t="s">
        <v>1430</v>
      </c>
      <c r="G252" s="60" t="s">
        <v>1431</v>
      </c>
      <c r="H252" s="66">
        <v>34</v>
      </c>
      <c r="I252" s="66">
        <v>4</v>
      </c>
      <c r="J252" s="69">
        <f t="shared" si="6"/>
        <v>0.11764705882352941</v>
      </c>
      <c r="K252" s="103">
        <f>+I252+'OCTUBRE 2025'!K252</f>
        <v>30</v>
      </c>
      <c r="L252" s="94">
        <f t="shared" si="7"/>
        <v>0.88235294117647056</v>
      </c>
    </row>
    <row r="253" spans="1:17" x14ac:dyDescent="0.25">
      <c r="A253" s="5"/>
      <c r="B253" s="86">
        <v>3</v>
      </c>
      <c r="C253" s="107" t="s">
        <v>46</v>
      </c>
      <c r="D253" s="108" t="s">
        <v>47</v>
      </c>
      <c r="E253" s="232"/>
      <c r="F253" s="74" t="s">
        <v>1432</v>
      </c>
      <c r="G253" s="62" t="s">
        <v>1433</v>
      </c>
      <c r="H253" s="68">
        <v>34</v>
      </c>
      <c r="I253" s="55">
        <v>4</v>
      </c>
      <c r="J253" s="69">
        <f t="shared" si="6"/>
        <v>0.11764705882352941</v>
      </c>
      <c r="K253" s="90">
        <f>+I253+'OCTUBRE 2025'!K253</f>
        <v>30</v>
      </c>
      <c r="L253" s="94">
        <f t="shared" si="7"/>
        <v>0.88235294117647056</v>
      </c>
    </row>
    <row r="254" spans="1:17" ht="14.45" customHeight="1" x14ac:dyDescent="0.25">
      <c r="B254" s="86">
        <v>3</v>
      </c>
      <c r="C254" s="107" t="s">
        <v>49</v>
      </c>
      <c r="D254" s="108" t="s">
        <v>50</v>
      </c>
      <c r="E254" s="232"/>
      <c r="F254" s="62" t="s">
        <v>1434</v>
      </c>
      <c r="G254" s="63" t="s">
        <v>1435</v>
      </c>
      <c r="H254" s="55">
        <v>34</v>
      </c>
      <c r="I254" s="70">
        <v>4</v>
      </c>
      <c r="J254" s="69">
        <f t="shared" si="6"/>
        <v>0.11764705882352941</v>
      </c>
      <c r="K254" s="90">
        <f>+I254+'OCTUBRE 2025'!K254</f>
        <v>30</v>
      </c>
      <c r="L254" s="94">
        <f t="shared" si="7"/>
        <v>0.88235294117647056</v>
      </c>
    </row>
    <row r="255" spans="1:17" ht="14.45" customHeight="1" x14ac:dyDescent="0.25">
      <c r="B255" s="86">
        <v>3</v>
      </c>
      <c r="C255" s="107" t="s">
        <v>52</v>
      </c>
      <c r="D255" s="108" t="s">
        <v>53</v>
      </c>
      <c r="E255" s="232"/>
      <c r="F255" s="62" t="s">
        <v>1436</v>
      </c>
      <c r="G255" s="62" t="s">
        <v>1437</v>
      </c>
      <c r="H255" s="55">
        <v>34</v>
      </c>
      <c r="I255" s="55">
        <v>4</v>
      </c>
      <c r="J255" s="69">
        <f t="shared" si="6"/>
        <v>0.11764705882352941</v>
      </c>
      <c r="K255" s="90">
        <f>+I255+'OCTUBRE 2025'!K255</f>
        <v>30</v>
      </c>
      <c r="L255" s="94">
        <f t="shared" si="7"/>
        <v>0.88235294117647056</v>
      </c>
    </row>
    <row r="256" spans="1:17" x14ac:dyDescent="0.25">
      <c r="B256" s="86">
        <v>3</v>
      </c>
      <c r="C256" s="107" t="s">
        <v>55</v>
      </c>
      <c r="D256" s="108" t="s">
        <v>56</v>
      </c>
      <c r="E256" s="232"/>
      <c r="F256" s="62" t="s">
        <v>1438</v>
      </c>
      <c r="G256" s="62" t="s">
        <v>1439</v>
      </c>
      <c r="H256" s="55">
        <v>34</v>
      </c>
      <c r="I256" s="55">
        <v>4</v>
      </c>
      <c r="J256" s="69">
        <f t="shared" si="6"/>
        <v>0.11764705882352941</v>
      </c>
      <c r="K256" s="90">
        <f>+I256+'OCTUBRE 2025'!K256</f>
        <v>30</v>
      </c>
      <c r="L256" s="94">
        <f t="shared" si="7"/>
        <v>0.88235294117647056</v>
      </c>
    </row>
    <row r="257" spans="1:18" x14ac:dyDescent="0.25">
      <c r="B257" s="86">
        <v>5</v>
      </c>
      <c r="C257" s="107" t="s">
        <v>57</v>
      </c>
      <c r="D257" s="108" t="s">
        <v>58</v>
      </c>
      <c r="E257" s="232"/>
      <c r="F257" s="74" t="s">
        <v>1440</v>
      </c>
      <c r="G257" s="62" t="s">
        <v>1441</v>
      </c>
      <c r="H257" s="55">
        <v>34</v>
      </c>
      <c r="I257" s="55">
        <v>4</v>
      </c>
      <c r="J257" s="69">
        <f t="shared" si="6"/>
        <v>0.11764705882352941</v>
      </c>
      <c r="K257" s="90">
        <f>+I257+'OCTUBRE 2025'!K257</f>
        <v>30</v>
      </c>
      <c r="L257" s="94">
        <f t="shared" si="7"/>
        <v>0.88235294117647056</v>
      </c>
    </row>
    <row r="258" spans="1:18" s="6" customFormat="1" ht="14.45" customHeight="1" x14ac:dyDescent="0.25">
      <c r="A258" s="8"/>
      <c r="B258" s="86">
        <v>5</v>
      </c>
      <c r="C258" s="107" t="s">
        <v>59</v>
      </c>
      <c r="D258" s="108" t="s">
        <v>60</v>
      </c>
      <c r="E258" s="232"/>
      <c r="F258" s="62" t="s">
        <v>1294</v>
      </c>
      <c r="G258" s="62" t="s">
        <v>1295</v>
      </c>
      <c r="H258" s="55">
        <v>33</v>
      </c>
      <c r="I258" s="55">
        <v>3</v>
      </c>
      <c r="J258" s="69">
        <f t="shared" si="6"/>
        <v>9.0909090909090912E-2</v>
      </c>
      <c r="K258" s="90">
        <f>+I258+'OCTUBRE 2025'!K258</f>
        <v>30</v>
      </c>
      <c r="L258" s="94">
        <f t="shared" si="7"/>
        <v>0.90909090909090906</v>
      </c>
      <c r="M258" s="8"/>
      <c r="N258" s="8"/>
      <c r="O258"/>
      <c r="P258" s="8"/>
      <c r="Q258"/>
      <c r="R258" s="8"/>
    </row>
    <row r="259" spans="1:18" s="6" customFormat="1" ht="14.45" customHeight="1" x14ac:dyDescent="0.25">
      <c r="A259" s="8"/>
      <c r="B259" s="86">
        <v>8</v>
      </c>
      <c r="C259" s="107" t="s">
        <v>61</v>
      </c>
      <c r="D259" s="108" t="s">
        <v>62</v>
      </c>
      <c r="E259" s="232"/>
      <c r="F259" s="65" t="s">
        <v>1296</v>
      </c>
      <c r="G259" s="65" t="s">
        <v>464</v>
      </c>
      <c r="H259" s="56">
        <v>33</v>
      </c>
      <c r="I259" s="56">
        <v>3</v>
      </c>
      <c r="J259" s="72">
        <f t="shared" si="6"/>
        <v>9.0909090909090912E-2</v>
      </c>
      <c r="K259" s="91">
        <f>+I259+'OCTUBRE 2025'!K259</f>
        <v>30</v>
      </c>
      <c r="L259" s="96">
        <f t="shared" si="7"/>
        <v>0.90909090909090906</v>
      </c>
      <c r="M259" s="8"/>
      <c r="N259" s="8"/>
      <c r="O259"/>
      <c r="P259" s="8"/>
      <c r="Q259"/>
      <c r="R259" s="8"/>
    </row>
    <row r="260" spans="1:18" x14ac:dyDescent="0.25">
      <c r="B260" s="162">
        <v>3</v>
      </c>
      <c r="C260" s="169" t="s">
        <v>43</v>
      </c>
      <c r="D260" s="170" t="s">
        <v>44</v>
      </c>
      <c r="E260" s="277" t="s">
        <v>466</v>
      </c>
      <c r="F260" s="60" t="s">
        <v>172</v>
      </c>
      <c r="G260" s="60" t="s">
        <v>172</v>
      </c>
      <c r="H260" s="66">
        <v>20</v>
      </c>
      <c r="I260" s="66">
        <v>0</v>
      </c>
      <c r="J260" s="69">
        <f t="shared" si="6"/>
        <v>0</v>
      </c>
      <c r="K260" s="103">
        <f>+I260+'OCTUBRE 2025'!K260</f>
        <v>20</v>
      </c>
      <c r="L260" s="94">
        <f t="shared" si="7"/>
        <v>1</v>
      </c>
    </row>
    <row r="261" spans="1:18" x14ac:dyDescent="0.25">
      <c r="B261" s="163">
        <v>3</v>
      </c>
      <c r="C261" s="171" t="s">
        <v>46</v>
      </c>
      <c r="D261" s="172" t="s">
        <v>47</v>
      </c>
      <c r="E261" s="278"/>
      <c r="F261" s="61" t="s">
        <v>172</v>
      </c>
      <c r="G261" s="62" t="s">
        <v>172</v>
      </c>
      <c r="H261" s="68">
        <v>20</v>
      </c>
      <c r="I261" s="55">
        <v>0</v>
      </c>
      <c r="J261" s="69">
        <f t="shared" si="6"/>
        <v>0</v>
      </c>
      <c r="K261" s="90">
        <f>+I261+'OCTUBRE 2025'!K261</f>
        <v>20</v>
      </c>
      <c r="L261" s="94">
        <f t="shared" si="7"/>
        <v>1</v>
      </c>
    </row>
    <row r="262" spans="1:18" x14ac:dyDescent="0.25">
      <c r="B262" s="163">
        <v>3</v>
      </c>
      <c r="C262" s="171" t="s">
        <v>98</v>
      </c>
      <c r="D262" s="172" t="s">
        <v>99</v>
      </c>
      <c r="E262" s="278"/>
      <c r="F262" s="61" t="s">
        <v>172</v>
      </c>
      <c r="G262" s="63" t="s">
        <v>172</v>
      </c>
      <c r="H262" s="55">
        <v>20</v>
      </c>
      <c r="I262" s="70">
        <v>0</v>
      </c>
      <c r="J262" s="69">
        <f t="shared" si="6"/>
        <v>0</v>
      </c>
      <c r="K262" s="90">
        <f>+I262+'OCTUBRE 2025'!K262</f>
        <v>20</v>
      </c>
      <c r="L262" s="94">
        <f t="shared" si="7"/>
        <v>1</v>
      </c>
    </row>
    <row r="263" spans="1:18" x14ac:dyDescent="0.25">
      <c r="B263" s="163">
        <v>3</v>
      </c>
      <c r="C263" s="171" t="s">
        <v>49</v>
      </c>
      <c r="D263" s="172" t="s">
        <v>50</v>
      </c>
      <c r="E263" s="278"/>
      <c r="F263" s="61" t="s">
        <v>172</v>
      </c>
      <c r="G263" s="62" t="s">
        <v>172</v>
      </c>
      <c r="H263" s="55">
        <v>20</v>
      </c>
      <c r="I263" s="55">
        <v>0</v>
      </c>
      <c r="J263" s="69">
        <f t="shared" si="6"/>
        <v>0</v>
      </c>
      <c r="K263" s="90">
        <f>+I263+'OCTUBRE 2025'!K263</f>
        <v>20</v>
      </c>
      <c r="L263" s="94">
        <f t="shared" si="7"/>
        <v>1</v>
      </c>
    </row>
    <row r="264" spans="1:18" x14ac:dyDescent="0.25">
      <c r="B264" s="163">
        <v>3</v>
      </c>
      <c r="C264" s="171" t="s">
        <v>52</v>
      </c>
      <c r="D264" s="172" t="s">
        <v>53</v>
      </c>
      <c r="E264" s="278"/>
      <c r="F264" s="61" t="s">
        <v>172</v>
      </c>
      <c r="G264" s="62" t="s">
        <v>172</v>
      </c>
      <c r="H264" s="55">
        <v>20</v>
      </c>
      <c r="I264" s="55">
        <v>0</v>
      </c>
      <c r="J264" s="69">
        <f t="shared" si="6"/>
        <v>0</v>
      </c>
      <c r="K264" s="90">
        <f>+I264+'OCTUBRE 2025'!K264</f>
        <v>20</v>
      </c>
      <c r="L264" s="94">
        <f t="shared" si="7"/>
        <v>1</v>
      </c>
    </row>
    <row r="265" spans="1:18" x14ac:dyDescent="0.25">
      <c r="B265" s="163">
        <v>3</v>
      </c>
      <c r="C265" s="171" t="s">
        <v>55</v>
      </c>
      <c r="D265" s="172" t="s">
        <v>56</v>
      </c>
      <c r="E265" s="278"/>
      <c r="F265" s="61" t="s">
        <v>172</v>
      </c>
      <c r="G265" s="62" t="s">
        <v>172</v>
      </c>
      <c r="H265" s="55">
        <v>20</v>
      </c>
      <c r="I265" s="55">
        <v>0</v>
      </c>
      <c r="J265" s="69">
        <f t="shared" si="6"/>
        <v>0</v>
      </c>
      <c r="K265" s="90">
        <f>+I265+'OCTUBRE 2025'!K265</f>
        <v>20</v>
      </c>
      <c r="L265" s="94">
        <f t="shared" si="7"/>
        <v>1</v>
      </c>
    </row>
    <row r="266" spans="1:18" x14ac:dyDescent="0.25">
      <c r="B266" s="163">
        <v>5</v>
      </c>
      <c r="C266" s="171" t="s">
        <v>57</v>
      </c>
      <c r="D266" s="172" t="s">
        <v>58</v>
      </c>
      <c r="E266" s="278"/>
      <c r="F266" s="129" t="s">
        <v>172</v>
      </c>
      <c r="G266" s="76" t="s">
        <v>172</v>
      </c>
      <c r="H266" s="55">
        <v>20</v>
      </c>
      <c r="I266" s="55">
        <v>0</v>
      </c>
      <c r="J266" s="69">
        <f t="shared" si="6"/>
        <v>0</v>
      </c>
      <c r="K266" s="90">
        <f>+I266+'OCTUBRE 2025'!K266</f>
        <v>20</v>
      </c>
      <c r="L266" s="94">
        <f t="shared" si="7"/>
        <v>1</v>
      </c>
    </row>
    <row r="267" spans="1:18" x14ac:dyDescent="0.25">
      <c r="B267" s="163">
        <v>5</v>
      </c>
      <c r="C267" s="171" t="s">
        <v>59</v>
      </c>
      <c r="D267" s="172" t="s">
        <v>60</v>
      </c>
      <c r="E267" s="278"/>
      <c r="F267" s="61" t="s">
        <v>172</v>
      </c>
      <c r="G267" s="62" t="s">
        <v>172</v>
      </c>
      <c r="H267" s="128">
        <v>20</v>
      </c>
      <c r="I267" s="55">
        <v>0</v>
      </c>
      <c r="J267" s="69">
        <f t="shared" si="6"/>
        <v>0</v>
      </c>
      <c r="K267" s="90">
        <f>+I267+'OCTUBRE 2025'!K267</f>
        <v>20</v>
      </c>
      <c r="L267" s="94">
        <f t="shared" si="7"/>
        <v>1</v>
      </c>
    </row>
    <row r="268" spans="1:18" x14ac:dyDescent="0.25">
      <c r="B268" s="164">
        <v>8</v>
      </c>
      <c r="C268" s="173" t="s">
        <v>61</v>
      </c>
      <c r="D268" s="174" t="s">
        <v>62</v>
      </c>
      <c r="E268" s="279"/>
      <c r="F268" s="135" t="s">
        <v>172</v>
      </c>
      <c r="G268" s="135" t="s">
        <v>172</v>
      </c>
      <c r="H268" s="56">
        <v>20</v>
      </c>
      <c r="I268" s="56">
        <v>0</v>
      </c>
      <c r="J268" s="72">
        <f t="shared" si="6"/>
        <v>0</v>
      </c>
      <c r="K268" s="91">
        <f>+I268+'OCTUBRE 2025'!K268</f>
        <v>20</v>
      </c>
      <c r="L268" s="96">
        <f t="shared" si="7"/>
        <v>1</v>
      </c>
    </row>
    <row r="269" spans="1:18" x14ac:dyDescent="0.25">
      <c r="D269" s="18"/>
      <c r="E269" s="5"/>
      <c r="F269" s="14"/>
      <c r="G269" s="5"/>
      <c r="H269" s="240" t="str">
        <f>+CONCATENATE("TOTAL A ",D7)</f>
        <v>TOTAL A NOVIEMBRE</v>
      </c>
      <c r="I269" s="241"/>
      <c r="J269" s="242"/>
      <c r="K269" s="240" t="s">
        <v>33</v>
      </c>
      <c r="L269" s="242"/>
    </row>
    <row r="270" spans="1:18" x14ac:dyDescent="0.25">
      <c r="D270" s="48"/>
      <c r="E270" s="54"/>
      <c r="F270" s="16"/>
      <c r="G270" s="54"/>
      <c r="H270" s="49">
        <f>+SUM(H13:H268)</f>
        <v>6480</v>
      </c>
      <c r="I270" s="50">
        <f>SUM(I13:I268)</f>
        <v>420</v>
      </c>
      <c r="J270" s="51">
        <f>IFERROR(I270/H270,0)</f>
        <v>6.4814814814814811E-2</v>
      </c>
      <c r="K270" s="50">
        <f>+SUM(K13:K268)</f>
        <v>6060</v>
      </c>
      <c r="L270" s="51">
        <f>IFERROR(K270/H270,0)</f>
        <v>0.93518518518518523</v>
      </c>
    </row>
    <row r="271" spans="1:18" x14ac:dyDescent="0.25">
      <c r="D271" s="48"/>
      <c r="E271" s="54"/>
      <c r="F271" s="16"/>
      <c r="G271" s="54"/>
      <c r="H271" s="118"/>
      <c r="I271" s="119"/>
      <c r="J271" s="120"/>
      <c r="K271" s="119"/>
      <c r="L271" s="120"/>
    </row>
    <row r="272" spans="1:18" ht="14.45" customHeight="1" x14ac:dyDescent="0.25">
      <c r="B272" s="271" t="s">
        <v>34</v>
      </c>
      <c r="C272" s="272"/>
      <c r="D272" s="276" t="s">
        <v>1254</v>
      </c>
      <c r="E272" s="276"/>
      <c r="F272" s="276"/>
      <c r="G272" s="276"/>
      <c r="H272" s="276"/>
      <c r="I272" s="276"/>
      <c r="J272" s="276"/>
      <c r="K272" s="276"/>
      <c r="L272" s="276"/>
    </row>
    <row r="273" spans="1:18" ht="14.45" customHeight="1" x14ac:dyDescent="0.25">
      <c r="B273" s="273"/>
      <c r="C273" s="274"/>
      <c r="D273" s="276" t="s">
        <v>1255</v>
      </c>
      <c r="E273" s="276"/>
      <c r="F273" s="276"/>
      <c r="G273" s="276"/>
      <c r="H273" s="276"/>
      <c r="I273" s="276"/>
      <c r="J273" s="276"/>
      <c r="K273" s="276"/>
      <c r="L273" s="276"/>
    </row>
    <row r="274" spans="1:18" ht="14.45" customHeight="1" x14ac:dyDescent="0.25">
      <c r="B274" s="273"/>
      <c r="C274" s="274"/>
      <c r="D274" s="276" t="s">
        <v>1256</v>
      </c>
      <c r="E274" s="276"/>
      <c r="F274" s="276"/>
      <c r="G274" s="276"/>
      <c r="H274" s="276"/>
      <c r="I274" s="276"/>
      <c r="J274" s="276"/>
      <c r="K274" s="276"/>
      <c r="L274" s="276"/>
    </row>
    <row r="275" spans="1:18" ht="120" customHeight="1" x14ac:dyDescent="0.25">
      <c r="B275" s="273"/>
      <c r="C275" s="274"/>
      <c r="D275" s="275" t="s">
        <v>1283</v>
      </c>
      <c r="E275" s="275"/>
      <c r="F275" s="275"/>
      <c r="G275" s="275"/>
      <c r="H275" s="275"/>
      <c r="I275" s="275"/>
      <c r="J275" s="275"/>
      <c r="K275" s="275"/>
      <c r="L275" s="275"/>
    </row>
    <row r="276" spans="1:18" ht="48" customHeight="1" x14ac:dyDescent="0.25">
      <c r="B276" s="240"/>
      <c r="C276" s="242"/>
      <c r="D276" s="275" t="s">
        <v>1257</v>
      </c>
      <c r="E276" s="275"/>
      <c r="F276" s="275"/>
      <c r="G276" s="275"/>
      <c r="H276" s="275"/>
      <c r="I276" s="275"/>
      <c r="J276" s="275"/>
      <c r="K276" s="275"/>
      <c r="L276" s="275"/>
    </row>
    <row r="277" spans="1:18" ht="14.45" customHeight="1" x14ac:dyDescent="0.25">
      <c r="B277" s="248" t="s">
        <v>36</v>
      </c>
      <c r="C277" s="249"/>
      <c r="D277" s="249"/>
      <c r="E277" s="249"/>
      <c r="F277" s="249"/>
      <c r="G277" s="249"/>
      <c r="H277" s="249"/>
      <c r="I277" s="249"/>
      <c r="J277" s="249"/>
      <c r="K277" s="249"/>
      <c r="L277" s="250"/>
    </row>
    <row r="278" spans="1:18" x14ac:dyDescent="0.25">
      <c r="B278" s="251"/>
      <c r="C278" s="252"/>
      <c r="D278" s="252"/>
      <c r="E278" s="252"/>
      <c r="F278" s="252"/>
      <c r="G278" s="252"/>
      <c r="H278" s="252"/>
      <c r="I278" s="252"/>
      <c r="J278" s="252"/>
      <c r="K278" s="252"/>
      <c r="L278" s="253"/>
    </row>
    <row r="279" spans="1:18" x14ac:dyDescent="0.25">
      <c r="B279" s="254" t="s">
        <v>37</v>
      </c>
      <c r="C279" s="255"/>
      <c r="D279" s="255"/>
      <c r="E279" s="255"/>
      <c r="F279" s="255"/>
      <c r="G279" s="255"/>
      <c r="H279" s="255"/>
      <c r="I279" s="255"/>
      <c r="J279" s="255"/>
      <c r="K279" s="255"/>
      <c r="L279" s="256"/>
    </row>
    <row r="280" spans="1:18" ht="24.75" x14ac:dyDescent="0.3">
      <c r="B280" s="52" t="s">
        <v>38</v>
      </c>
      <c r="C280" s="121"/>
      <c r="D280" s="257" t="s">
        <v>35</v>
      </c>
      <c r="E280" s="258"/>
      <c r="F280" s="258"/>
      <c r="G280" s="258"/>
      <c r="H280" s="258"/>
      <c r="I280" s="258"/>
      <c r="J280" s="258"/>
      <c r="K280" s="258"/>
      <c r="L280" s="259"/>
    </row>
    <row r="281" spans="1:18" ht="24.75" x14ac:dyDescent="0.3">
      <c r="B281" s="52" t="s">
        <v>39</v>
      </c>
      <c r="C281" s="121"/>
      <c r="D281" s="260"/>
      <c r="E281" s="261"/>
      <c r="F281" s="261"/>
      <c r="G281" s="261"/>
      <c r="H281" s="261"/>
      <c r="I281" s="261"/>
      <c r="J281" s="261"/>
      <c r="K281" s="261"/>
      <c r="L281" s="262"/>
    </row>
    <row r="282" spans="1:18" ht="14.45" customHeight="1" x14ac:dyDescent="0.25">
      <c r="B282" s="263" t="s">
        <v>36</v>
      </c>
      <c r="C282" s="264"/>
      <c r="D282" s="264"/>
      <c r="E282" s="264"/>
      <c r="F282" s="264"/>
      <c r="G282" s="264"/>
      <c r="H282" s="264"/>
      <c r="I282" s="264"/>
      <c r="J282" s="264"/>
      <c r="K282" s="264"/>
      <c r="L282" s="265"/>
    </row>
    <row r="283" spans="1:18" s="6" customFormat="1" ht="14.45" hidden="1" customHeight="1" x14ac:dyDescent="0.25">
      <c r="A283" t="s">
        <v>0</v>
      </c>
      <c r="B283" s="266"/>
      <c r="C283" s="267"/>
      <c r="D283" s="267"/>
      <c r="E283" s="267"/>
      <c r="F283" s="267"/>
      <c r="G283" s="267"/>
      <c r="H283" s="267"/>
      <c r="I283" s="267"/>
      <c r="J283" s="267"/>
      <c r="K283" s="267"/>
      <c r="L283" s="268"/>
      <c r="M283" s="8"/>
      <c r="N283" s="8"/>
      <c r="O283"/>
      <c r="P283" s="8"/>
      <c r="Q283"/>
      <c r="R283" s="8"/>
    </row>
    <row r="284" spans="1:18" s="6" customFormat="1" ht="14.45" hidden="1" customHeight="1" x14ac:dyDescent="0.25">
      <c r="A284" t="s">
        <v>2</v>
      </c>
      <c r="B284" s="254" t="s">
        <v>40</v>
      </c>
      <c r="C284" s="255"/>
      <c r="D284" s="255"/>
      <c r="E284" s="255"/>
      <c r="F284" s="255"/>
      <c r="G284" s="255"/>
      <c r="H284" s="255"/>
      <c r="I284" s="255"/>
      <c r="J284" s="255"/>
      <c r="K284" s="255"/>
      <c r="L284" s="256"/>
      <c r="M284" s="8"/>
      <c r="N284" s="8"/>
      <c r="O284"/>
      <c r="P284" s="8"/>
      <c r="Q284"/>
      <c r="R284" s="8"/>
    </row>
    <row r="285" spans="1:18" s="6" customFormat="1" ht="14.45" hidden="1" customHeight="1" x14ac:dyDescent="0.3">
      <c r="A285" t="s">
        <v>6</v>
      </c>
      <c r="B285" s="52" t="s">
        <v>38</v>
      </c>
      <c r="C285" s="121"/>
      <c r="D285" s="257" t="s">
        <v>35</v>
      </c>
      <c r="E285" s="258"/>
      <c r="F285" s="258"/>
      <c r="G285" s="258"/>
      <c r="H285" s="258"/>
      <c r="I285" s="258"/>
      <c r="J285" s="258"/>
      <c r="K285" s="258"/>
      <c r="L285" s="259"/>
      <c r="M285" s="8"/>
      <c r="N285" s="8"/>
      <c r="O285"/>
      <c r="P285" s="8"/>
      <c r="Q285"/>
      <c r="R285" s="8"/>
    </row>
    <row r="286" spans="1:18" s="6" customFormat="1" ht="14.45" hidden="1" customHeight="1" x14ac:dyDescent="0.3">
      <c r="A286" t="s">
        <v>8</v>
      </c>
      <c r="B286" s="52" t="s">
        <v>39</v>
      </c>
      <c r="C286" s="121"/>
      <c r="D286" s="260"/>
      <c r="E286" s="261"/>
      <c r="F286" s="261"/>
      <c r="G286" s="261"/>
      <c r="H286" s="261"/>
      <c r="I286" s="261"/>
      <c r="J286" s="261"/>
      <c r="K286" s="261"/>
      <c r="L286" s="262"/>
      <c r="M286" s="8"/>
      <c r="N286" s="8"/>
      <c r="O286"/>
      <c r="P286" s="8"/>
      <c r="Q286"/>
      <c r="R286" s="8"/>
    </row>
    <row r="287" spans="1:18" s="6" customFormat="1" ht="14.45" hidden="1" customHeight="1" x14ac:dyDescent="0.25">
      <c r="A287" t="s">
        <v>9</v>
      </c>
      <c r="B287" s="53"/>
      <c r="C287" s="53"/>
      <c r="D287" s="18"/>
      <c r="E287" s="5"/>
      <c r="G287" s="5"/>
      <c r="H287" s="53"/>
      <c r="I287" s="122"/>
      <c r="M287" s="8"/>
      <c r="N287" s="8"/>
      <c r="O287"/>
      <c r="P287" s="8"/>
      <c r="Q287"/>
      <c r="R287" s="8"/>
    </row>
    <row r="288" spans="1:18" s="6" customFormat="1" ht="14.45" hidden="1" customHeight="1" x14ac:dyDescent="0.25">
      <c r="A288" t="s">
        <v>10</v>
      </c>
      <c r="B288" s="53"/>
      <c r="C288" s="53"/>
      <c r="D288" s="18"/>
      <c r="E288" s="5"/>
      <c r="G288" s="5"/>
      <c r="H288" s="53"/>
      <c r="I288" s="122"/>
      <c r="M288" s="8"/>
      <c r="N288" s="8"/>
      <c r="O288"/>
      <c r="P288" s="8"/>
      <c r="Q288"/>
      <c r="R288" s="8"/>
    </row>
    <row r="289" spans="1:18" s="6" customFormat="1" ht="14.45" hidden="1" customHeight="1" x14ac:dyDescent="0.25">
      <c r="A289" t="s">
        <v>11</v>
      </c>
      <c r="B289" s="269"/>
      <c r="C289" s="269"/>
      <c r="D289" s="269"/>
      <c r="E289" s="5"/>
      <c r="G289" s="5"/>
      <c r="H289" s="269"/>
      <c r="I289" s="269"/>
      <c r="J289" s="269"/>
      <c r="K289" s="269"/>
      <c r="M289" s="8"/>
      <c r="N289" s="8"/>
      <c r="O289"/>
      <c r="P289" s="8"/>
      <c r="Q289"/>
      <c r="R289" s="8"/>
    </row>
    <row r="290" spans="1:18" s="6" customFormat="1" ht="14.45" hidden="1" customHeight="1" x14ac:dyDescent="0.25">
      <c r="A290" t="s">
        <v>13</v>
      </c>
      <c r="B290" s="5" t="s">
        <v>41</v>
      </c>
      <c r="C290" s="270"/>
      <c r="D290" s="270"/>
      <c r="E290" s="5"/>
      <c r="G290" s="5"/>
      <c r="H290" s="5" t="s">
        <v>42</v>
      </c>
      <c r="I290" s="270" t="s">
        <v>222</v>
      </c>
      <c r="J290" s="270"/>
      <c r="K290" s="270"/>
      <c r="M290" s="8"/>
      <c r="N290" s="8"/>
      <c r="O290"/>
      <c r="P290" s="8"/>
      <c r="Q290"/>
      <c r="R290" s="8"/>
    </row>
    <row r="291" spans="1:18" s="6" customFormat="1" hidden="1" x14ac:dyDescent="0.25">
      <c r="A291" t="s">
        <v>14</v>
      </c>
      <c r="B291" s="54"/>
      <c r="C291" s="5"/>
      <c r="F291" s="7"/>
      <c r="M291" s="8"/>
      <c r="N291" s="8"/>
      <c r="O291"/>
      <c r="P291" s="8"/>
      <c r="Q291"/>
      <c r="R291" s="8"/>
    </row>
    <row r="292" spans="1:18" s="6" customFormat="1" hidden="1" x14ac:dyDescent="0.25">
      <c r="A292" t="s">
        <v>16</v>
      </c>
      <c r="B292" s="54"/>
      <c r="C292" s="5"/>
      <c r="F292" s="7"/>
      <c r="M292" s="8"/>
      <c r="N292" s="8"/>
      <c r="O292"/>
      <c r="P292" s="8"/>
      <c r="Q292"/>
      <c r="R292" s="8"/>
    </row>
    <row r="293" spans="1:18" s="6" customFormat="1" hidden="1" x14ac:dyDescent="0.25">
      <c r="A293" t="s">
        <v>17</v>
      </c>
      <c r="B293" s="54"/>
      <c r="C293" s="5"/>
      <c r="F293" s="7"/>
      <c r="M293" s="8"/>
      <c r="N293" s="8"/>
      <c r="O293"/>
      <c r="P293" s="8"/>
      <c r="Q293"/>
      <c r="R293" s="8"/>
    </row>
    <row r="294" spans="1:18" s="6" customFormat="1" hidden="1" x14ac:dyDescent="0.25">
      <c r="A294" t="s">
        <v>21</v>
      </c>
      <c r="B294" s="54"/>
      <c r="C294" s="5"/>
      <c r="F294" s="7"/>
      <c r="M294" s="8"/>
      <c r="N294" s="8"/>
      <c r="O294"/>
      <c r="P294" s="8"/>
      <c r="Q294"/>
      <c r="R294" s="8"/>
    </row>
    <row r="295" spans="1:18" s="6" customFormat="1" hidden="1" x14ac:dyDescent="0.25">
      <c r="A295" t="s">
        <v>31</v>
      </c>
      <c r="B295" s="54"/>
      <c r="C295" s="5"/>
      <c r="F295" s="7"/>
      <c r="M295" s="8"/>
      <c r="N295" s="8"/>
      <c r="O295"/>
      <c r="P295" s="8"/>
      <c r="Q295"/>
      <c r="R295" s="8"/>
    </row>
    <row r="296" spans="1:18" x14ac:dyDescent="0.25">
      <c r="B296" s="254" t="s">
        <v>40</v>
      </c>
      <c r="C296" s="255"/>
      <c r="D296" s="255"/>
      <c r="E296" s="255"/>
      <c r="F296" s="255"/>
      <c r="G296" s="255"/>
      <c r="H296" s="255"/>
      <c r="I296" s="255"/>
      <c r="J296" s="255"/>
      <c r="K296" s="255"/>
      <c r="L296" s="256"/>
    </row>
    <row r="297" spans="1:18" ht="24.75" x14ac:dyDescent="0.3">
      <c r="B297" s="52" t="s">
        <v>38</v>
      </c>
      <c r="C297" s="121"/>
      <c r="D297" s="257" t="s">
        <v>35</v>
      </c>
      <c r="E297" s="258"/>
      <c r="F297" s="258"/>
      <c r="G297" s="258"/>
      <c r="H297" s="258"/>
      <c r="I297" s="258"/>
      <c r="J297" s="258"/>
      <c r="K297" s="258"/>
      <c r="L297" s="259"/>
    </row>
    <row r="298" spans="1:18" ht="24.75" x14ac:dyDescent="0.3">
      <c r="B298" s="52" t="s">
        <v>39</v>
      </c>
      <c r="C298" s="121"/>
      <c r="D298" s="260"/>
      <c r="E298" s="261"/>
      <c r="F298" s="261"/>
      <c r="G298" s="261"/>
      <c r="H298" s="261"/>
      <c r="I298" s="261"/>
      <c r="J298" s="261"/>
      <c r="K298" s="261"/>
      <c r="L298" s="262"/>
    </row>
    <row r="299" spans="1:18" x14ac:dyDescent="0.25">
      <c r="B299" s="53"/>
      <c r="C299" s="53"/>
      <c r="D299" s="18"/>
      <c r="E299" s="5"/>
      <c r="F299" s="6"/>
      <c r="G299" s="5"/>
      <c r="H299" s="53"/>
      <c r="I299" s="122"/>
    </row>
    <row r="300" spans="1:18" x14ac:dyDescent="0.25">
      <c r="B300" s="53"/>
      <c r="C300" s="53"/>
      <c r="D300" s="18"/>
      <c r="E300" s="5"/>
      <c r="F300" s="6"/>
      <c r="G300" s="5"/>
      <c r="H300" s="53"/>
      <c r="I300" s="122"/>
    </row>
    <row r="301" spans="1:18" x14ac:dyDescent="0.25">
      <c r="B301" s="269"/>
      <c r="C301" s="269"/>
      <c r="D301" s="269"/>
      <c r="E301" s="5"/>
      <c r="F301" s="6"/>
      <c r="G301" s="5"/>
      <c r="H301" s="269"/>
      <c r="I301" s="269"/>
      <c r="J301" s="269"/>
      <c r="K301" s="269"/>
    </row>
    <row r="302" spans="1:18" x14ac:dyDescent="0.25">
      <c r="B302" s="5" t="s">
        <v>41</v>
      </c>
      <c r="C302" s="270"/>
      <c r="D302" s="270"/>
      <c r="E302" s="5"/>
      <c r="F302" s="6"/>
      <c r="G302" s="5"/>
      <c r="H302" s="5" t="s">
        <v>42</v>
      </c>
      <c r="I302" s="270" t="s">
        <v>222</v>
      </c>
      <c r="J302" s="270"/>
      <c r="K302" s="270"/>
    </row>
  </sheetData>
  <sheetProtection formatCells="0" formatColumns="0" formatRows="0" insertColumns="0" insertRows="0" insertHyperlinks="0" deleteColumns="0" deleteRows="0" sort="0" autoFilter="0" pivotTables="0"/>
  <autoFilter ref="B12:L270"/>
  <mergeCells count="63">
    <mergeCell ref="B7:C7"/>
    <mergeCell ref="B2:L2"/>
    <mergeCell ref="B3:D3"/>
    <mergeCell ref="F3:I3"/>
    <mergeCell ref="J3:L3"/>
    <mergeCell ref="B5:C5"/>
    <mergeCell ref="E74:E82"/>
    <mergeCell ref="B9:C9"/>
    <mergeCell ref="B11:H11"/>
    <mergeCell ref="I11:J11"/>
    <mergeCell ref="K11:L11"/>
    <mergeCell ref="E13:E20"/>
    <mergeCell ref="E21:E29"/>
    <mergeCell ref="E30:E38"/>
    <mergeCell ref="E39:E46"/>
    <mergeCell ref="E47:E55"/>
    <mergeCell ref="E56:E64"/>
    <mergeCell ref="E65:E73"/>
    <mergeCell ref="E191:E198"/>
    <mergeCell ref="E83:E91"/>
    <mergeCell ref="E92:E102"/>
    <mergeCell ref="E103:E113"/>
    <mergeCell ref="E114:E122"/>
    <mergeCell ref="E123:E133"/>
    <mergeCell ref="E134:E145"/>
    <mergeCell ref="E146:E156"/>
    <mergeCell ref="E157:E166"/>
    <mergeCell ref="E167:E176"/>
    <mergeCell ref="E177:E181"/>
    <mergeCell ref="E182:E190"/>
    <mergeCell ref="E199:E206"/>
    <mergeCell ref="E207:E212"/>
    <mergeCell ref="E213:E221"/>
    <mergeCell ref="E222:E230"/>
    <mergeCell ref="E231:E239"/>
    <mergeCell ref="E240:E245"/>
    <mergeCell ref="E246:E251"/>
    <mergeCell ref="E252:E259"/>
    <mergeCell ref="E260:E268"/>
    <mergeCell ref="H269:J269"/>
    <mergeCell ref="K269:L269"/>
    <mergeCell ref="D285:L286"/>
    <mergeCell ref="B272:C276"/>
    <mergeCell ref="D272:L272"/>
    <mergeCell ref="D273:L273"/>
    <mergeCell ref="D274:L274"/>
    <mergeCell ref="D275:L275"/>
    <mergeCell ref="D276:L276"/>
    <mergeCell ref="B277:L278"/>
    <mergeCell ref="B279:L279"/>
    <mergeCell ref="D280:L281"/>
    <mergeCell ref="B282:L283"/>
    <mergeCell ref="B284:L284"/>
    <mergeCell ref="B301:D301"/>
    <mergeCell ref="H301:K301"/>
    <mergeCell ref="C302:D302"/>
    <mergeCell ref="I302:K302"/>
    <mergeCell ref="B289:D289"/>
    <mergeCell ref="H289:K289"/>
    <mergeCell ref="C290:D290"/>
    <mergeCell ref="I290:K290"/>
    <mergeCell ref="B296:L296"/>
    <mergeCell ref="D297:L298"/>
  </mergeCells>
  <conditionalFormatting sqref="L13:L268">
    <cfRule type="cellIs" dxfId="7" priority="1" operator="equal">
      <formula>1</formula>
    </cfRule>
    <cfRule type="cellIs" dxfId="6" priority="2" operator="greaterThan">
      <formula>1</formula>
    </cfRule>
  </conditionalFormatting>
  <dataValidations count="3">
    <dataValidation type="whole" allowBlank="1" showInputMessage="1" showErrorMessage="1" errorTitle="¡Error!" error="Introduzca un número válido." promptTitle="¡Atención!" prompt="Introduzca un número entre 0 y 30" sqref="I13:I268">
      <formula1>0</formula1>
      <formula2>30</formula2>
    </dataValidation>
    <dataValidation type="whole" allowBlank="1" showInputMessage="1" showErrorMessage="1" errorTitle="¡Error!" error="Introduzca un número válido." promptTitle="¡Atención!" prompt="Introduzca un número entre 0 y 366" sqref="H13:H268 H271">
      <formula1>0</formula1>
      <formula2>366</formula2>
    </dataValidation>
    <dataValidation type="list" allowBlank="1" showInputMessage="1" showErrorMessage="1" sqref="D7">
      <formula1>$A$284:$A$295</formula1>
    </dataValidation>
  </dataValidations>
  <pageMargins left="0.7" right="0.7" top="0.75" bottom="0.75" header="0.3" footer="0.3"/>
  <pageSetup scale="12"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02"/>
  <sheetViews>
    <sheetView showGridLines="0" view="pageBreakPreview" topLeftCell="A3" zoomScaleNormal="100" zoomScaleSheetLayoutView="100" workbookViewId="0">
      <selection activeCell="H14" sqref="H14"/>
    </sheetView>
  </sheetViews>
  <sheetFormatPr baseColWidth="10" defaultColWidth="8.5703125" defaultRowHeight="15" x14ac:dyDescent="0.25"/>
  <cols>
    <col min="1" max="1" width="7.42578125" style="8" customWidth="1"/>
    <col min="2" max="2" width="15.5703125" style="5" customWidth="1"/>
    <col min="3" max="3" width="8.5703125" style="5" customWidth="1"/>
    <col min="4" max="4" width="43.42578125" style="6" customWidth="1"/>
    <col min="5" max="5" width="16.85546875" style="6" bestFit="1" customWidth="1"/>
    <col min="6" max="6" width="31" style="7" customWidth="1"/>
    <col min="7" max="7" width="30.140625" style="6" customWidth="1"/>
    <col min="8" max="8" width="13.5703125" style="6" customWidth="1"/>
    <col min="9" max="9" width="13.42578125" style="6" customWidth="1"/>
    <col min="10" max="10" width="10.42578125" style="6" customWidth="1"/>
    <col min="11" max="12" width="12.42578125" style="6" customWidth="1"/>
    <col min="13" max="13" width="6.5703125" style="8" customWidth="1"/>
    <col min="14" max="14" width="16.42578125" style="8" customWidth="1"/>
    <col min="16" max="16" width="16.42578125" style="8" customWidth="1"/>
    <col min="17" max="17" width="0" hidden="1" customWidth="1"/>
    <col min="18" max="18" width="16.42578125" style="8" customWidth="1"/>
    <col min="19" max="16384" width="8.5703125" style="8"/>
  </cols>
  <sheetData>
    <row r="1" spans="2:17" x14ac:dyDescent="0.25">
      <c r="Q1" t="s">
        <v>0</v>
      </c>
    </row>
    <row r="2" spans="2:17" ht="49.5" customHeight="1" x14ac:dyDescent="0.25">
      <c r="B2" s="221" t="s">
        <v>1</v>
      </c>
      <c r="C2" s="221"/>
      <c r="D2" s="221"/>
      <c r="E2" s="221"/>
      <c r="F2" s="221"/>
      <c r="G2" s="221"/>
      <c r="H2" s="221"/>
      <c r="I2" s="221"/>
      <c r="J2" s="221"/>
      <c r="K2" s="221"/>
      <c r="L2" s="221"/>
      <c r="Q2" t="s">
        <v>2</v>
      </c>
    </row>
    <row r="3" spans="2:17" ht="18.75" customHeight="1" x14ac:dyDescent="0.25">
      <c r="B3" s="222" t="s">
        <v>3</v>
      </c>
      <c r="C3" s="223"/>
      <c r="D3" s="223"/>
      <c r="E3" s="58"/>
      <c r="F3" s="223" t="s">
        <v>4</v>
      </c>
      <c r="G3" s="223"/>
      <c r="H3" s="223"/>
      <c r="I3" s="223"/>
      <c r="J3" s="223" t="s">
        <v>5</v>
      </c>
      <c r="K3" s="223"/>
      <c r="L3" s="224"/>
    </row>
    <row r="4" spans="2:17" x14ac:dyDescent="0.25">
      <c r="B4" s="9"/>
      <c r="C4" s="57"/>
      <c r="L4" s="10"/>
      <c r="Q4" t="s">
        <v>6</v>
      </c>
    </row>
    <row r="5" spans="2:17" s="16" customFormat="1" ht="27.6" customHeight="1" x14ac:dyDescent="0.25">
      <c r="B5" s="225" t="s">
        <v>7</v>
      </c>
      <c r="C5" s="225"/>
      <c r="D5" s="11">
        <v>90141005</v>
      </c>
      <c r="E5"/>
      <c r="F5" s="12"/>
      <c r="G5" s="13"/>
      <c r="H5" s="14"/>
      <c r="I5" s="14"/>
      <c r="J5" s="14"/>
      <c r="K5" s="14"/>
      <c r="L5" s="15"/>
      <c r="O5"/>
      <c r="Q5" t="s">
        <v>8</v>
      </c>
    </row>
    <row r="6" spans="2:17" s="16" customFormat="1" x14ac:dyDescent="0.25">
      <c r="B6" s="17"/>
      <c r="C6" s="5"/>
      <c r="D6" s="14"/>
      <c r="E6"/>
      <c r="F6" s="18"/>
      <c r="G6" s="14"/>
      <c r="H6" s="14"/>
      <c r="I6" s="14"/>
      <c r="J6" s="14"/>
      <c r="K6" s="14"/>
      <c r="L6" s="15"/>
      <c r="O6"/>
      <c r="Q6" t="s">
        <v>11</v>
      </c>
    </row>
    <row r="7" spans="2:17" s="16" customFormat="1" x14ac:dyDescent="0.25">
      <c r="B7" s="225" t="s">
        <v>12</v>
      </c>
      <c r="C7" s="225"/>
      <c r="D7" s="19" t="s">
        <v>31</v>
      </c>
      <c r="E7"/>
      <c r="F7" s="20"/>
      <c r="G7" s="21"/>
      <c r="H7" s="14"/>
      <c r="I7" s="14"/>
      <c r="J7" s="14"/>
      <c r="K7" s="14"/>
      <c r="L7" s="15"/>
      <c r="O7"/>
      <c r="Q7" t="s">
        <v>13</v>
      </c>
    </row>
    <row r="8" spans="2:17" s="16" customFormat="1" x14ac:dyDescent="0.25">
      <c r="B8" s="22"/>
      <c r="C8" s="23"/>
      <c r="D8" s="24"/>
      <c r="E8"/>
      <c r="F8" s="20"/>
      <c r="G8" s="21"/>
      <c r="H8" s="14"/>
      <c r="I8" s="14"/>
      <c r="J8" s="14"/>
      <c r="K8" s="14"/>
      <c r="L8" s="15"/>
      <c r="O8"/>
      <c r="Q8" t="s">
        <v>14</v>
      </c>
    </row>
    <row r="9" spans="2:17" s="16" customFormat="1" x14ac:dyDescent="0.25">
      <c r="B9" s="225" t="s">
        <v>15</v>
      </c>
      <c r="C9" s="225"/>
      <c r="D9" s="25">
        <v>46022</v>
      </c>
      <c r="E9"/>
      <c r="F9" s="26"/>
      <c r="G9" s="27"/>
      <c r="H9" s="14"/>
      <c r="I9" s="14"/>
      <c r="J9" s="14"/>
      <c r="K9" s="14"/>
      <c r="L9" s="15"/>
      <c r="O9"/>
      <c r="Q9" t="s">
        <v>16</v>
      </c>
    </row>
    <row r="10" spans="2:17" x14ac:dyDescent="0.25">
      <c r="B10" s="28"/>
      <c r="C10" s="29"/>
      <c r="L10" s="30"/>
      <c r="Q10" t="s">
        <v>17</v>
      </c>
    </row>
    <row r="11" spans="2:17" s="31" customFormat="1" ht="26.85" customHeight="1" x14ac:dyDescent="0.25">
      <c r="B11" s="225" t="s">
        <v>18</v>
      </c>
      <c r="C11" s="225"/>
      <c r="D11" s="225"/>
      <c r="E11" s="225"/>
      <c r="F11" s="225"/>
      <c r="G11" s="225"/>
      <c r="H11" s="225"/>
      <c r="I11" s="225" t="s">
        <v>19</v>
      </c>
      <c r="J11" s="225"/>
      <c r="K11" s="225" t="s">
        <v>20</v>
      </c>
      <c r="L11" s="225"/>
      <c r="O11" s="32"/>
      <c r="Q11" s="32" t="s">
        <v>21</v>
      </c>
    </row>
    <row r="12" spans="2:17" s="31" customFormat="1" ht="57.6" customHeight="1" x14ac:dyDescent="0.25">
      <c r="B12" s="33" t="s">
        <v>22</v>
      </c>
      <c r="C12" s="33" t="s">
        <v>23</v>
      </c>
      <c r="D12" s="33" t="s">
        <v>24</v>
      </c>
      <c r="E12" s="33" t="s">
        <v>72</v>
      </c>
      <c r="F12" s="34" t="s">
        <v>25</v>
      </c>
      <c r="G12" s="33" t="s">
        <v>26</v>
      </c>
      <c r="H12" s="33" t="s">
        <v>27</v>
      </c>
      <c r="I12" s="33" t="s">
        <v>28</v>
      </c>
      <c r="J12" s="33" t="s">
        <v>29</v>
      </c>
      <c r="K12" s="33" t="s">
        <v>30</v>
      </c>
      <c r="L12" s="33" t="s">
        <v>29</v>
      </c>
      <c r="O12" s="32"/>
      <c r="Q12" s="32" t="s">
        <v>31</v>
      </c>
    </row>
    <row r="13" spans="2:17" x14ac:dyDescent="0.25">
      <c r="B13" s="35">
        <v>3</v>
      </c>
      <c r="C13" s="36" t="s">
        <v>43</v>
      </c>
      <c r="D13" s="37" t="s">
        <v>44</v>
      </c>
      <c r="E13" s="218" t="s">
        <v>73</v>
      </c>
      <c r="F13" s="59" t="s">
        <v>172</v>
      </c>
      <c r="G13" s="60" t="s">
        <v>172</v>
      </c>
      <c r="H13" s="89">
        <v>33</v>
      </c>
      <c r="I13" s="89">
        <v>0</v>
      </c>
      <c r="J13" s="67">
        <f>IFERROR(I13/H13,0)</f>
        <v>0</v>
      </c>
      <c r="K13" s="89">
        <f>+I13+'NOVIEMBRE 2025 '!K13</f>
        <v>33</v>
      </c>
      <c r="L13" s="92">
        <f>IFERROR(K13/H13,0)</f>
        <v>1</v>
      </c>
    </row>
    <row r="14" spans="2:17" x14ac:dyDescent="0.25">
      <c r="B14" s="38">
        <v>3</v>
      </c>
      <c r="C14" s="39" t="s">
        <v>46</v>
      </c>
      <c r="D14" s="40" t="s">
        <v>47</v>
      </c>
      <c r="E14" s="219"/>
      <c r="F14" s="61" t="s">
        <v>66</v>
      </c>
      <c r="G14" s="63">
        <v>45962</v>
      </c>
      <c r="H14" s="2">
        <v>39</v>
      </c>
      <c r="I14" s="3">
        <v>10</v>
      </c>
      <c r="J14" s="69">
        <f>IFERROR(I14/H14,0)</f>
        <v>0.25641025641025639</v>
      </c>
      <c r="K14" s="3">
        <f>+I14+'NOVIEMBRE 2025 '!K14</f>
        <v>39</v>
      </c>
      <c r="L14" s="94">
        <f>IFERROR(K14/H14,0)</f>
        <v>1</v>
      </c>
    </row>
    <row r="15" spans="2:17" x14ac:dyDescent="0.25">
      <c r="B15" s="38">
        <v>3</v>
      </c>
      <c r="C15" s="39" t="s">
        <v>49</v>
      </c>
      <c r="D15" s="40" t="s">
        <v>50</v>
      </c>
      <c r="E15" s="219"/>
      <c r="F15" s="61" t="s">
        <v>68</v>
      </c>
      <c r="G15" s="62" t="s">
        <v>65</v>
      </c>
      <c r="H15" s="3">
        <v>33</v>
      </c>
      <c r="I15" s="4">
        <v>3</v>
      </c>
      <c r="J15" s="69">
        <f t="shared" ref="J15:J78" si="0">IFERROR(I15/H15,0)</f>
        <v>9.0909090909090912E-2</v>
      </c>
      <c r="K15" s="4">
        <f>+I15+'NOVIEMBRE 2025 '!K15</f>
        <v>33</v>
      </c>
      <c r="L15" s="94">
        <f t="shared" ref="L15:L78" si="1">IFERROR(K15/H15,0)</f>
        <v>1</v>
      </c>
    </row>
    <row r="16" spans="2:17" x14ac:dyDescent="0.25">
      <c r="B16" s="38">
        <v>3</v>
      </c>
      <c r="C16" s="39" t="s">
        <v>52</v>
      </c>
      <c r="D16" s="40" t="s">
        <v>53</v>
      </c>
      <c r="E16" s="219"/>
      <c r="F16" s="61" t="s">
        <v>54</v>
      </c>
      <c r="G16" s="178" t="s">
        <v>1444</v>
      </c>
      <c r="H16" s="3">
        <v>33</v>
      </c>
      <c r="I16" s="3">
        <v>2</v>
      </c>
      <c r="J16" s="69">
        <f t="shared" si="0"/>
        <v>6.0606060606060608E-2</v>
      </c>
      <c r="K16" s="3">
        <f>+I16+'NOVIEMBRE 2025 '!K16</f>
        <v>33</v>
      </c>
      <c r="L16" s="94">
        <f t="shared" si="1"/>
        <v>1</v>
      </c>
    </row>
    <row r="17" spans="2:17" s="16" customFormat="1" x14ac:dyDescent="0.25">
      <c r="B17" s="38">
        <v>3</v>
      </c>
      <c r="C17" s="39" t="s">
        <v>55</v>
      </c>
      <c r="D17" s="40" t="s">
        <v>56</v>
      </c>
      <c r="E17" s="219"/>
      <c r="F17" s="61" t="s">
        <v>69</v>
      </c>
      <c r="G17" s="62" t="s">
        <v>65</v>
      </c>
      <c r="H17" s="3">
        <v>33</v>
      </c>
      <c r="I17" s="3">
        <v>1</v>
      </c>
      <c r="J17" s="69">
        <f t="shared" si="0"/>
        <v>3.0303030303030304E-2</v>
      </c>
      <c r="K17" s="3">
        <f>+I17+'NOVIEMBRE 2025 '!K17</f>
        <v>33</v>
      </c>
      <c r="L17" s="94">
        <f t="shared" si="1"/>
        <v>1</v>
      </c>
      <c r="O17" s="41"/>
      <c r="Q17" s="41"/>
    </row>
    <row r="18" spans="2:17" x14ac:dyDescent="0.25">
      <c r="B18" s="38">
        <v>5</v>
      </c>
      <c r="C18" s="39" t="s">
        <v>57</v>
      </c>
      <c r="D18" s="40" t="s">
        <v>58</v>
      </c>
      <c r="E18" s="219"/>
      <c r="F18" s="61" t="s">
        <v>54</v>
      </c>
      <c r="G18" s="62" t="s">
        <v>203</v>
      </c>
      <c r="H18" s="3">
        <v>33</v>
      </c>
      <c r="I18" s="3">
        <v>3</v>
      </c>
      <c r="J18" s="69">
        <f t="shared" si="0"/>
        <v>9.0909090909090912E-2</v>
      </c>
      <c r="K18" s="3">
        <f>+I18+'NOVIEMBRE 2025 '!K18</f>
        <v>33</v>
      </c>
      <c r="L18" s="94">
        <f t="shared" si="1"/>
        <v>1</v>
      </c>
    </row>
    <row r="19" spans="2:17" x14ac:dyDescent="0.25">
      <c r="B19" s="38">
        <v>5</v>
      </c>
      <c r="C19" s="39" t="s">
        <v>59</v>
      </c>
      <c r="D19" s="40" t="s">
        <v>60</v>
      </c>
      <c r="E19" s="219"/>
      <c r="F19" s="61" t="s">
        <v>70</v>
      </c>
      <c r="G19" s="62" t="s">
        <v>1445</v>
      </c>
      <c r="H19" s="3">
        <v>33</v>
      </c>
      <c r="I19" s="3">
        <v>6</v>
      </c>
      <c r="J19" s="69">
        <f t="shared" si="0"/>
        <v>0.18181818181818182</v>
      </c>
      <c r="K19" s="3">
        <f>+I19+'NOVIEMBRE 2025 '!K19</f>
        <v>33</v>
      </c>
      <c r="L19" s="94">
        <f t="shared" si="1"/>
        <v>1</v>
      </c>
    </row>
    <row r="20" spans="2:17" x14ac:dyDescent="0.25">
      <c r="B20" s="42">
        <v>8</v>
      </c>
      <c r="C20" s="43" t="s">
        <v>61</v>
      </c>
      <c r="D20" s="44" t="s">
        <v>62</v>
      </c>
      <c r="E20" s="220"/>
      <c r="F20" s="64" t="s">
        <v>63</v>
      </c>
      <c r="G20" s="65" t="s">
        <v>1446</v>
      </c>
      <c r="H20" s="97">
        <v>33</v>
      </c>
      <c r="I20" s="97">
        <v>5</v>
      </c>
      <c r="J20" s="72">
        <f t="shared" si="0"/>
        <v>0.15151515151515152</v>
      </c>
      <c r="K20" s="97">
        <f>+I20+'NOVIEMBRE 2025 '!K20</f>
        <v>33</v>
      </c>
      <c r="L20" s="96">
        <f t="shared" si="1"/>
        <v>1</v>
      </c>
    </row>
    <row r="21" spans="2:17" x14ac:dyDescent="0.25">
      <c r="B21" s="35">
        <v>3</v>
      </c>
      <c r="C21" s="36" t="s">
        <v>43</v>
      </c>
      <c r="D21" s="37" t="s">
        <v>44</v>
      </c>
      <c r="E21" s="218" t="s">
        <v>100</v>
      </c>
      <c r="F21" s="59" t="s">
        <v>1371</v>
      </c>
      <c r="G21" s="60" t="s">
        <v>1447</v>
      </c>
      <c r="H21" s="89">
        <v>30</v>
      </c>
      <c r="I21" s="89">
        <v>3</v>
      </c>
      <c r="J21" s="69">
        <f t="shared" si="0"/>
        <v>0.1</v>
      </c>
      <c r="K21" s="89">
        <f>+I21+'NOVIEMBRE 2025 '!K21</f>
        <v>30</v>
      </c>
      <c r="L21" s="94">
        <f t="shared" si="1"/>
        <v>1</v>
      </c>
      <c r="N21"/>
      <c r="O21" s="8"/>
      <c r="P21"/>
      <c r="Q21" s="8"/>
    </row>
    <row r="22" spans="2:17" x14ac:dyDescent="0.25">
      <c r="B22" s="38">
        <v>3</v>
      </c>
      <c r="C22" s="39" t="s">
        <v>46</v>
      </c>
      <c r="D22" s="40" t="s">
        <v>47</v>
      </c>
      <c r="E22" s="219"/>
      <c r="F22" s="61" t="s">
        <v>1448</v>
      </c>
      <c r="G22" s="62" t="s">
        <v>1449</v>
      </c>
      <c r="H22" s="2">
        <v>30</v>
      </c>
      <c r="I22" s="3">
        <v>4</v>
      </c>
      <c r="J22" s="69">
        <f t="shared" si="0"/>
        <v>0.13333333333333333</v>
      </c>
      <c r="K22" s="3">
        <f>+I22+'NOVIEMBRE 2025 '!K22</f>
        <v>30</v>
      </c>
      <c r="L22" s="94">
        <f t="shared" si="1"/>
        <v>1</v>
      </c>
      <c r="N22"/>
      <c r="O22" s="8"/>
      <c r="P22"/>
      <c r="Q22" s="8"/>
    </row>
    <row r="23" spans="2:17" x14ac:dyDescent="0.25">
      <c r="B23" s="38">
        <v>3</v>
      </c>
      <c r="C23" s="39" t="s">
        <v>98</v>
      </c>
      <c r="D23" s="40" t="s">
        <v>99</v>
      </c>
      <c r="E23" s="219"/>
      <c r="F23" s="61" t="s">
        <v>1314</v>
      </c>
      <c r="G23" s="63" t="s">
        <v>1450</v>
      </c>
      <c r="H23" s="3">
        <v>30</v>
      </c>
      <c r="I23" s="4">
        <v>3</v>
      </c>
      <c r="J23" s="69">
        <f t="shared" si="0"/>
        <v>0.1</v>
      </c>
      <c r="K23" s="4">
        <f>+I23+'NOVIEMBRE 2025 '!K23</f>
        <v>30</v>
      </c>
      <c r="L23" s="94">
        <f t="shared" si="1"/>
        <v>1</v>
      </c>
      <c r="N23"/>
      <c r="O23" s="8"/>
      <c r="P23"/>
      <c r="Q23" s="8"/>
    </row>
    <row r="24" spans="2:17" x14ac:dyDescent="0.25">
      <c r="B24" s="38">
        <v>3</v>
      </c>
      <c r="C24" s="39" t="s">
        <v>49</v>
      </c>
      <c r="D24" s="40" t="s">
        <v>50</v>
      </c>
      <c r="E24" s="219"/>
      <c r="F24" s="61" t="s">
        <v>1451</v>
      </c>
      <c r="G24" s="62" t="s">
        <v>1452</v>
      </c>
      <c r="H24" s="3">
        <v>30</v>
      </c>
      <c r="I24" s="3">
        <v>4</v>
      </c>
      <c r="J24" s="69">
        <f t="shared" si="0"/>
        <v>0.13333333333333333</v>
      </c>
      <c r="K24" s="3">
        <f>+I24+'NOVIEMBRE 2025 '!K24</f>
        <v>30</v>
      </c>
      <c r="L24" s="94">
        <f t="shared" si="1"/>
        <v>1</v>
      </c>
      <c r="N24"/>
      <c r="O24" s="8"/>
      <c r="P24"/>
      <c r="Q24" s="8"/>
    </row>
    <row r="25" spans="2:17" x14ac:dyDescent="0.25">
      <c r="B25" s="38">
        <v>3</v>
      </c>
      <c r="C25" s="39" t="s">
        <v>52</v>
      </c>
      <c r="D25" s="40" t="s">
        <v>53</v>
      </c>
      <c r="E25" s="219"/>
      <c r="F25" s="61" t="s">
        <v>1453</v>
      </c>
      <c r="G25" s="62" t="s">
        <v>1454</v>
      </c>
      <c r="H25" s="3">
        <v>30</v>
      </c>
      <c r="I25" s="3">
        <v>4</v>
      </c>
      <c r="J25" s="69">
        <f t="shared" si="0"/>
        <v>0.13333333333333333</v>
      </c>
      <c r="K25" s="3">
        <f>+I25+'NOVIEMBRE 2025 '!K25</f>
        <v>30</v>
      </c>
      <c r="L25" s="94">
        <f t="shared" si="1"/>
        <v>1</v>
      </c>
      <c r="N25"/>
      <c r="O25" s="8"/>
      <c r="P25"/>
      <c r="Q25" s="8"/>
    </row>
    <row r="26" spans="2:17" s="16" customFormat="1" x14ac:dyDescent="0.25">
      <c r="B26" s="38">
        <v>3</v>
      </c>
      <c r="C26" s="39" t="s">
        <v>55</v>
      </c>
      <c r="D26" s="40" t="s">
        <v>56</v>
      </c>
      <c r="E26" s="219"/>
      <c r="F26" s="61" t="s">
        <v>1320</v>
      </c>
      <c r="G26" s="62" t="s">
        <v>1455</v>
      </c>
      <c r="H26" s="3">
        <v>30</v>
      </c>
      <c r="I26" s="3">
        <v>1</v>
      </c>
      <c r="J26" s="69">
        <f t="shared" si="0"/>
        <v>3.3333333333333333E-2</v>
      </c>
      <c r="K26" s="3">
        <f>+I26+'NOVIEMBRE 2025 '!K26</f>
        <v>30</v>
      </c>
      <c r="L26" s="94">
        <f t="shared" si="1"/>
        <v>1</v>
      </c>
      <c r="N26" s="41"/>
      <c r="P26" s="41"/>
    </row>
    <row r="27" spans="2:17" x14ac:dyDescent="0.25">
      <c r="B27" s="38">
        <v>5</v>
      </c>
      <c r="C27" s="39" t="s">
        <v>57</v>
      </c>
      <c r="D27" s="40" t="s">
        <v>58</v>
      </c>
      <c r="E27" s="219"/>
      <c r="F27" s="61" t="s">
        <v>1456</v>
      </c>
      <c r="G27" s="62" t="s">
        <v>1457</v>
      </c>
      <c r="H27" s="3">
        <v>30</v>
      </c>
      <c r="I27" s="3">
        <v>4</v>
      </c>
      <c r="J27" s="69">
        <f t="shared" si="0"/>
        <v>0.13333333333333333</v>
      </c>
      <c r="K27" s="3">
        <f>+I27+'NOVIEMBRE 2025 '!K27</f>
        <v>30</v>
      </c>
      <c r="L27" s="94">
        <f t="shared" si="1"/>
        <v>1</v>
      </c>
      <c r="N27"/>
      <c r="O27" s="8"/>
      <c r="P27"/>
      <c r="Q27" s="8"/>
    </row>
    <row r="28" spans="2:17" x14ac:dyDescent="0.25">
      <c r="B28" s="38">
        <v>5</v>
      </c>
      <c r="C28" s="39" t="s">
        <v>59</v>
      </c>
      <c r="D28" s="40" t="s">
        <v>60</v>
      </c>
      <c r="E28" s="219"/>
      <c r="F28" s="61" t="s">
        <v>1383</v>
      </c>
      <c r="G28" s="62" t="s">
        <v>1384</v>
      </c>
      <c r="H28" s="3">
        <v>30</v>
      </c>
      <c r="I28" s="3">
        <v>4</v>
      </c>
      <c r="J28" s="69">
        <f t="shared" si="0"/>
        <v>0.13333333333333333</v>
      </c>
      <c r="K28" s="3">
        <f>+I28+'NOVIEMBRE 2025 '!K28</f>
        <v>30</v>
      </c>
      <c r="L28" s="94">
        <f t="shared" si="1"/>
        <v>1</v>
      </c>
      <c r="N28"/>
      <c r="O28" s="8"/>
      <c r="P28"/>
      <c r="Q28" s="8"/>
    </row>
    <row r="29" spans="2:17" x14ac:dyDescent="0.25">
      <c r="B29" s="42">
        <v>8</v>
      </c>
      <c r="C29" s="43" t="s">
        <v>61</v>
      </c>
      <c r="D29" s="44" t="s">
        <v>62</v>
      </c>
      <c r="E29" s="220"/>
      <c r="F29" s="64" t="s">
        <v>681</v>
      </c>
      <c r="G29" s="65" t="s">
        <v>1325</v>
      </c>
      <c r="H29" s="97">
        <v>30</v>
      </c>
      <c r="I29" s="97">
        <v>3</v>
      </c>
      <c r="J29" s="72">
        <f t="shared" si="0"/>
        <v>0.1</v>
      </c>
      <c r="K29" s="97">
        <f>+I29+'NOVIEMBRE 2025 '!K29</f>
        <v>30</v>
      </c>
      <c r="L29" s="96">
        <f t="shared" si="1"/>
        <v>1</v>
      </c>
      <c r="N29"/>
      <c r="O29" s="8"/>
      <c r="P29"/>
      <c r="Q29" s="8"/>
    </row>
    <row r="30" spans="2:17" x14ac:dyDescent="0.25">
      <c r="B30" s="35">
        <v>1</v>
      </c>
      <c r="C30" s="36" t="s">
        <v>74</v>
      </c>
      <c r="D30" s="37" t="s">
        <v>75</v>
      </c>
      <c r="E30" s="218" t="s">
        <v>97</v>
      </c>
      <c r="F30" s="59" t="s">
        <v>1458</v>
      </c>
      <c r="G30" s="60" t="s">
        <v>76</v>
      </c>
      <c r="H30" s="89">
        <v>55</v>
      </c>
      <c r="I30" s="89">
        <v>6</v>
      </c>
      <c r="J30" s="69">
        <f t="shared" si="0"/>
        <v>0.10909090909090909</v>
      </c>
      <c r="K30" s="89">
        <f>+I30+'NOVIEMBRE 2025 '!K30</f>
        <v>55</v>
      </c>
      <c r="L30" s="94">
        <f t="shared" si="1"/>
        <v>1</v>
      </c>
      <c r="N30"/>
      <c r="O30" s="8"/>
      <c r="P30"/>
      <c r="Q30" s="8"/>
    </row>
    <row r="31" spans="2:17" x14ac:dyDescent="0.25">
      <c r="B31" s="38">
        <v>1</v>
      </c>
      <c r="C31" s="39" t="s">
        <v>77</v>
      </c>
      <c r="D31" s="40" t="s">
        <v>78</v>
      </c>
      <c r="E31" s="219"/>
      <c r="F31" s="61" t="s">
        <v>1386</v>
      </c>
      <c r="G31" s="76" t="s">
        <v>1459</v>
      </c>
      <c r="H31" s="2">
        <v>20</v>
      </c>
      <c r="I31" s="3">
        <v>2</v>
      </c>
      <c r="J31" s="69">
        <f t="shared" si="0"/>
        <v>0.1</v>
      </c>
      <c r="K31" s="3">
        <f>+I31+'NOVIEMBRE 2025 '!K31</f>
        <v>20</v>
      </c>
      <c r="L31" s="94">
        <f t="shared" si="1"/>
        <v>1</v>
      </c>
      <c r="N31"/>
      <c r="O31" s="8"/>
      <c r="P31"/>
      <c r="Q31" s="8"/>
    </row>
    <row r="32" spans="2:17" x14ac:dyDescent="0.25">
      <c r="B32" s="38">
        <v>1</v>
      </c>
      <c r="C32" s="39" t="s">
        <v>79</v>
      </c>
      <c r="D32" s="40" t="s">
        <v>80</v>
      </c>
      <c r="E32" s="219"/>
      <c r="F32" s="61" t="s">
        <v>1460</v>
      </c>
      <c r="G32" s="62" t="s">
        <v>81</v>
      </c>
      <c r="H32" s="3">
        <v>30</v>
      </c>
      <c r="I32" s="4">
        <v>3</v>
      </c>
      <c r="J32" s="69">
        <f t="shared" si="0"/>
        <v>0.1</v>
      </c>
      <c r="K32" s="4">
        <f>+I32+'NOVIEMBRE 2025 '!K32</f>
        <v>30</v>
      </c>
      <c r="L32" s="94">
        <f t="shared" si="1"/>
        <v>1</v>
      </c>
      <c r="N32"/>
      <c r="O32" s="8"/>
      <c r="P32"/>
      <c r="Q32" s="8"/>
    </row>
    <row r="33" spans="2:17" x14ac:dyDescent="0.25">
      <c r="B33" s="38">
        <v>1</v>
      </c>
      <c r="C33" s="39" t="s">
        <v>82</v>
      </c>
      <c r="D33" s="40" t="s">
        <v>83</v>
      </c>
      <c r="E33" s="219"/>
      <c r="F33" s="61" t="s">
        <v>897</v>
      </c>
      <c r="G33" s="62" t="s">
        <v>81</v>
      </c>
      <c r="H33" s="3">
        <v>25</v>
      </c>
      <c r="I33" s="3">
        <v>3</v>
      </c>
      <c r="J33" s="69">
        <f t="shared" si="0"/>
        <v>0.12</v>
      </c>
      <c r="K33" s="3">
        <f>+I33+'NOVIEMBRE 2025 '!K33</f>
        <v>25</v>
      </c>
      <c r="L33" s="94">
        <f t="shared" si="1"/>
        <v>1</v>
      </c>
      <c r="N33"/>
      <c r="O33" s="8"/>
      <c r="P33"/>
      <c r="Q33" s="8"/>
    </row>
    <row r="34" spans="2:17" x14ac:dyDescent="0.25">
      <c r="B34" s="38">
        <v>1</v>
      </c>
      <c r="C34" s="39" t="s">
        <v>84</v>
      </c>
      <c r="D34" s="40" t="s">
        <v>85</v>
      </c>
      <c r="E34" s="219"/>
      <c r="F34" s="61" t="s">
        <v>1201</v>
      </c>
      <c r="G34" s="76" t="s">
        <v>1459</v>
      </c>
      <c r="H34" s="3">
        <v>30</v>
      </c>
      <c r="I34" s="3">
        <v>3</v>
      </c>
      <c r="J34" s="69">
        <f t="shared" si="0"/>
        <v>0.1</v>
      </c>
      <c r="K34" s="3">
        <f>+I34+'NOVIEMBRE 2025 '!K34</f>
        <v>30</v>
      </c>
      <c r="L34" s="94">
        <f t="shared" si="1"/>
        <v>1</v>
      </c>
      <c r="N34"/>
      <c r="O34" s="8"/>
      <c r="P34"/>
      <c r="Q34" s="8"/>
    </row>
    <row r="35" spans="2:17" s="16" customFormat="1" x14ac:dyDescent="0.25">
      <c r="B35" s="38">
        <v>1</v>
      </c>
      <c r="C35" s="39" t="s">
        <v>86</v>
      </c>
      <c r="D35" s="40" t="s">
        <v>87</v>
      </c>
      <c r="E35" s="219"/>
      <c r="F35" s="61" t="s">
        <v>1202</v>
      </c>
      <c r="G35" s="62" t="s">
        <v>88</v>
      </c>
      <c r="H35" s="3">
        <v>20</v>
      </c>
      <c r="I35" s="3">
        <v>2</v>
      </c>
      <c r="J35" s="69">
        <f t="shared" si="0"/>
        <v>0.1</v>
      </c>
      <c r="K35" s="3">
        <f>+I35+'NOVIEMBRE 2025 '!K35</f>
        <v>20</v>
      </c>
      <c r="L35" s="94">
        <f t="shared" si="1"/>
        <v>1</v>
      </c>
      <c r="N35" s="41"/>
      <c r="P35" s="41"/>
    </row>
    <row r="36" spans="2:17" x14ac:dyDescent="0.25">
      <c r="B36" s="38">
        <v>1</v>
      </c>
      <c r="C36" s="39" t="s">
        <v>89</v>
      </c>
      <c r="D36" s="40" t="s">
        <v>90</v>
      </c>
      <c r="E36" s="219"/>
      <c r="F36" s="61" t="s">
        <v>1461</v>
      </c>
      <c r="G36" s="62" t="s">
        <v>91</v>
      </c>
      <c r="H36" s="3">
        <v>20</v>
      </c>
      <c r="I36" s="3">
        <v>2</v>
      </c>
      <c r="J36" s="69">
        <f t="shared" si="0"/>
        <v>0.1</v>
      </c>
      <c r="K36" s="3">
        <f>+I36+'NOVIEMBRE 2025 '!K36</f>
        <v>20</v>
      </c>
      <c r="L36" s="94">
        <f t="shared" si="1"/>
        <v>1</v>
      </c>
      <c r="N36"/>
      <c r="O36" s="8"/>
      <c r="P36"/>
      <c r="Q36" s="8"/>
    </row>
    <row r="37" spans="2:17" x14ac:dyDescent="0.25">
      <c r="B37" s="38">
        <v>1</v>
      </c>
      <c r="C37" s="39" t="s">
        <v>92</v>
      </c>
      <c r="D37" s="40" t="s">
        <v>93</v>
      </c>
      <c r="E37" s="219"/>
      <c r="F37" s="61" t="s">
        <v>1462</v>
      </c>
      <c r="G37" s="62" t="s">
        <v>94</v>
      </c>
      <c r="H37" s="3">
        <v>50</v>
      </c>
      <c r="I37" s="3">
        <v>7</v>
      </c>
      <c r="J37" s="69">
        <f t="shared" si="0"/>
        <v>0.14000000000000001</v>
      </c>
      <c r="K37" s="3">
        <f>+I37+'NOVIEMBRE 2025 '!K37</f>
        <v>50</v>
      </c>
      <c r="L37" s="94">
        <f t="shared" si="1"/>
        <v>1</v>
      </c>
      <c r="N37"/>
      <c r="O37" s="8"/>
      <c r="P37"/>
      <c r="Q37" s="8"/>
    </row>
    <row r="38" spans="2:17" x14ac:dyDescent="0.25">
      <c r="B38" s="42">
        <v>1</v>
      </c>
      <c r="C38" s="43" t="s">
        <v>95</v>
      </c>
      <c r="D38" s="44" t="s">
        <v>96</v>
      </c>
      <c r="E38" s="220"/>
      <c r="F38" s="64" t="s">
        <v>1050</v>
      </c>
      <c r="G38" s="65" t="s">
        <v>94</v>
      </c>
      <c r="H38" s="97">
        <v>20</v>
      </c>
      <c r="I38" s="97">
        <v>2</v>
      </c>
      <c r="J38" s="72">
        <f t="shared" si="0"/>
        <v>0.1</v>
      </c>
      <c r="K38" s="97">
        <f>+I38+'NOVIEMBRE 2025 '!K38</f>
        <v>20</v>
      </c>
      <c r="L38" s="96">
        <f t="shared" si="1"/>
        <v>1</v>
      </c>
      <c r="N38"/>
      <c r="O38" s="8"/>
      <c r="P38"/>
      <c r="Q38" s="8"/>
    </row>
    <row r="39" spans="2:17" x14ac:dyDescent="0.25">
      <c r="B39" s="35">
        <v>3</v>
      </c>
      <c r="C39" s="36" t="s">
        <v>43</v>
      </c>
      <c r="D39" s="37" t="s">
        <v>44</v>
      </c>
      <c r="E39" s="228" t="s">
        <v>103</v>
      </c>
      <c r="F39" s="59" t="s">
        <v>1222</v>
      </c>
      <c r="G39" s="60" t="s">
        <v>101</v>
      </c>
      <c r="H39" s="89">
        <v>35</v>
      </c>
      <c r="I39" s="89">
        <v>4</v>
      </c>
      <c r="J39" s="69">
        <f t="shared" si="0"/>
        <v>0.11428571428571428</v>
      </c>
      <c r="K39" s="89">
        <f>+I39+'NOVIEMBRE 2025 '!K39</f>
        <v>35</v>
      </c>
      <c r="L39" s="94">
        <f t="shared" si="1"/>
        <v>1</v>
      </c>
      <c r="N39"/>
      <c r="O39" s="8"/>
      <c r="P39"/>
      <c r="Q39" s="8"/>
    </row>
    <row r="40" spans="2:17" x14ac:dyDescent="0.25">
      <c r="B40" s="38">
        <v>3</v>
      </c>
      <c r="C40" s="39" t="s">
        <v>46</v>
      </c>
      <c r="D40" s="40" t="s">
        <v>47</v>
      </c>
      <c r="E40" s="229"/>
      <c r="F40" s="61" t="s">
        <v>689</v>
      </c>
      <c r="G40" s="76" t="s">
        <v>101</v>
      </c>
      <c r="H40" s="2">
        <v>33</v>
      </c>
      <c r="I40" s="3">
        <v>4</v>
      </c>
      <c r="J40" s="69">
        <f t="shared" si="0"/>
        <v>0.12121212121212122</v>
      </c>
      <c r="K40" s="3">
        <f>+I40+'NOVIEMBRE 2025 '!K40</f>
        <v>33</v>
      </c>
      <c r="L40" s="94">
        <f t="shared" si="1"/>
        <v>1</v>
      </c>
      <c r="N40"/>
      <c r="O40" s="8"/>
      <c r="P40"/>
      <c r="Q40" s="8"/>
    </row>
    <row r="41" spans="2:17" x14ac:dyDescent="0.25">
      <c r="B41" s="38">
        <v>3</v>
      </c>
      <c r="C41" s="39" t="s">
        <v>49</v>
      </c>
      <c r="D41" s="40" t="s">
        <v>50</v>
      </c>
      <c r="E41" s="229"/>
      <c r="F41" s="61" t="s">
        <v>240</v>
      </c>
      <c r="G41" s="62" t="s">
        <v>101</v>
      </c>
      <c r="H41" s="3">
        <v>33</v>
      </c>
      <c r="I41" s="4">
        <v>4</v>
      </c>
      <c r="J41" s="69">
        <f t="shared" si="0"/>
        <v>0.12121212121212122</v>
      </c>
      <c r="K41" s="4">
        <f>+I41+'NOVIEMBRE 2025 '!K41</f>
        <v>33</v>
      </c>
      <c r="L41" s="94">
        <f t="shared" si="1"/>
        <v>1</v>
      </c>
      <c r="N41"/>
      <c r="O41" s="8"/>
      <c r="P41"/>
      <c r="Q41" s="8"/>
    </row>
    <row r="42" spans="2:17" x14ac:dyDescent="0.25">
      <c r="B42" s="38">
        <v>3</v>
      </c>
      <c r="C42" s="39" t="s">
        <v>52</v>
      </c>
      <c r="D42" s="40" t="s">
        <v>53</v>
      </c>
      <c r="E42" s="229"/>
      <c r="F42" s="61" t="s">
        <v>170</v>
      </c>
      <c r="G42" s="62" t="s">
        <v>101</v>
      </c>
      <c r="H42" s="3">
        <v>33</v>
      </c>
      <c r="I42" s="3">
        <v>4</v>
      </c>
      <c r="J42" s="69">
        <f t="shared" si="0"/>
        <v>0.12121212121212122</v>
      </c>
      <c r="K42" s="3">
        <f>+I42+'NOVIEMBRE 2025 '!K42</f>
        <v>33</v>
      </c>
      <c r="L42" s="94">
        <f t="shared" si="1"/>
        <v>1</v>
      </c>
      <c r="N42"/>
      <c r="O42" s="8"/>
      <c r="P42"/>
      <c r="Q42" s="8"/>
    </row>
    <row r="43" spans="2:17" s="16" customFormat="1" x14ac:dyDescent="0.25">
      <c r="B43" s="38">
        <v>3</v>
      </c>
      <c r="C43" s="39" t="s">
        <v>55</v>
      </c>
      <c r="D43" s="40" t="s">
        <v>56</v>
      </c>
      <c r="E43" s="229"/>
      <c r="F43" s="61" t="s">
        <v>1223</v>
      </c>
      <c r="G43" s="76" t="s">
        <v>101</v>
      </c>
      <c r="H43" s="3">
        <v>35</v>
      </c>
      <c r="I43" s="3">
        <v>4</v>
      </c>
      <c r="J43" s="69">
        <f t="shared" si="0"/>
        <v>0.11428571428571428</v>
      </c>
      <c r="K43" s="3">
        <f>+I43+'NOVIEMBRE 2025 '!K43</f>
        <v>35</v>
      </c>
      <c r="L43" s="94">
        <f t="shared" si="1"/>
        <v>1</v>
      </c>
      <c r="N43" s="41"/>
      <c r="P43" s="41"/>
    </row>
    <row r="44" spans="2:17" x14ac:dyDescent="0.25">
      <c r="B44" s="38">
        <v>5</v>
      </c>
      <c r="C44" s="39" t="s">
        <v>57</v>
      </c>
      <c r="D44" s="40" t="s">
        <v>58</v>
      </c>
      <c r="E44" s="229"/>
      <c r="F44" s="61" t="s">
        <v>241</v>
      </c>
      <c r="G44" s="62" t="s">
        <v>101</v>
      </c>
      <c r="H44" s="3">
        <v>33</v>
      </c>
      <c r="I44" s="3">
        <v>3</v>
      </c>
      <c r="J44" s="69">
        <f t="shared" si="0"/>
        <v>9.0909090909090912E-2</v>
      </c>
      <c r="K44" s="3">
        <f>+I44+'NOVIEMBRE 2025 '!K44</f>
        <v>33</v>
      </c>
      <c r="L44" s="94">
        <f t="shared" si="1"/>
        <v>1</v>
      </c>
      <c r="N44"/>
      <c r="O44" s="8"/>
      <c r="P44"/>
      <c r="Q44" s="8"/>
    </row>
    <row r="45" spans="2:17" x14ac:dyDescent="0.25">
      <c r="B45" s="38">
        <v>5</v>
      </c>
      <c r="C45" s="39" t="s">
        <v>59</v>
      </c>
      <c r="D45" s="40" t="s">
        <v>60</v>
      </c>
      <c r="E45" s="229"/>
      <c r="F45" s="61" t="s">
        <v>102</v>
      </c>
      <c r="G45" s="62" t="s">
        <v>101</v>
      </c>
      <c r="H45" s="3">
        <v>35</v>
      </c>
      <c r="I45" s="3">
        <v>4</v>
      </c>
      <c r="J45" s="69">
        <f t="shared" si="0"/>
        <v>0.11428571428571428</v>
      </c>
      <c r="K45" s="3">
        <f>+I45+'NOVIEMBRE 2025 '!K45</f>
        <v>35</v>
      </c>
      <c r="L45" s="94">
        <f t="shared" si="1"/>
        <v>1</v>
      </c>
      <c r="N45"/>
      <c r="O45" s="8"/>
      <c r="P45"/>
      <c r="Q45" s="8"/>
    </row>
    <row r="46" spans="2:17" x14ac:dyDescent="0.25">
      <c r="B46" s="42">
        <v>8</v>
      </c>
      <c r="C46" s="43" t="s">
        <v>61</v>
      </c>
      <c r="D46" s="44" t="s">
        <v>62</v>
      </c>
      <c r="E46" s="230"/>
      <c r="F46" s="64" t="s">
        <v>212</v>
      </c>
      <c r="G46" s="62" t="s">
        <v>101</v>
      </c>
      <c r="H46" s="97">
        <v>33</v>
      </c>
      <c r="I46" s="97">
        <v>3</v>
      </c>
      <c r="J46" s="72">
        <f t="shared" si="0"/>
        <v>9.0909090909090912E-2</v>
      </c>
      <c r="K46" s="97">
        <f>+I46+'NOVIEMBRE 2025 '!K46</f>
        <v>33</v>
      </c>
      <c r="L46" s="96">
        <f t="shared" si="1"/>
        <v>1</v>
      </c>
      <c r="N46"/>
      <c r="O46" s="8"/>
      <c r="P46"/>
      <c r="Q46" s="8"/>
    </row>
    <row r="47" spans="2:17" x14ac:dyDescent="0.25">
      <c r="B47" s="153">
        <v>3</v>
      </c>
      <c r="C47" s="154" t="s">
        <v>43</v>
      </c>
      <c r="D47" s="155" t="s">
        <v>44</v>
      </c>
      <c r="E47" s="281" t="s">
        <v>108</v>
      </c>
      <c r="F47" s="60" t="s">
        <v>172</v>
      </c>
      <c r="G47" s="60" t="s">
        <v>172</v>
      </c>
      <c r="H47" s="89">
        <v>20</v>
      </c>
      <c r="I47" s="89">
        <v>0</v>
      </c>
      <c r="J47" s="69">
        <f t="shared" si="0"/>
        <v>0</v>
      </c>
      <c r="K47" s="89">
        <f>+I47+'NOVIEMBRE 2025 '!K47</f>
        <v>20</v>
      </c>
      <c r="L47" s="94">
        <f t="shared" si="1"/>
        <v>1</v>
      </c>
      <c r="N47"/>
      <c r="O47" s="8"/>
      <c r="P47"/>
      <c r="Q47" s="8"/>
    </row>
    <row r="48" spans="2:17" x14ac:dyDescent="0.25">
      <c r="B48" s="156">
        <v>3</v>
      </c>
      <c r="C48" s="157" t="s">
        <v>46</v>
      </c>
      <c r="D48" s="158" t="s">
        <v>47</v>
      </c>
      <c r="E48" s="282"/>
      <c r="F48" s="62" t="s">
        <v>172</v>
      </c>
      <c r="G48" s="62" t="s">
        <v>172</v>
      </c>
      <c r="H48" s="2">
        <v>20</v>
      </c>
      <c r="I48" s="3">
        <v>0</v>
      </c>
      <c r="J48" s="69">
        <f t="shared" si="0"/>
        <v>0</v>
      </c>
      <c r="K48" s="3">
        <f>+I48+'NOVIEMBRE 2025 '!K48</f>
        <v>20</v>
      </c>
      <c r="L48" s="94">
        <f t="shared" si="1"/>
        <v>1</v>
      </c>
      <c r="N48"/>
      <c r="O48" s="8"/>
      <c r="P48"/>
      <c r="Q48" s="8"/>
    </row>
    <row r="49" spans="2:17" x14ac:dyDescent="0.25">
      <c r="B49" s="156">
        <v>3</v>
      </c>
      <c r="C49" s="157" t="s">
        <v>98</v>
      </c>
      <c r="D49" s="158" t="s">
        <v>99</v>
      </c>
      <c r="E49" s="282"/>
      <c r="F49" s="63" t="s">
        <v>172</v>
      </c>
      <c r="G49" s="63" t="s">
        <v>172</v>
      </c>
      <c r="H49" s="3">
        <v>20</v>
      </c>
      <c r="I49" s="4">
        <v>0</v>
      </c>
      <c r="J49" s="69">
        <f t="shared" si="0"/>
        <v>0</v>
      </c>
      <c r="K49" s="4">
        <f>+I49+'NOVIEMBRE 2025 '!K49</f>
        <v>20</v>
      </c>
      <c r="L49" s="94">
        <f t="shared" si="1"/>
        <v>1</v>
      </c>
      <c r="N49"/>
      <c r="O49" s="8"/>
      <c r="P49"/>
      <c r="Q49" s="8"/>
    </row>
    <row r="50" spans="2:17" x14ac:dyDescent="0.25">
      <c r="B50" s="156">
        <v>3</v>
      </c>
      <c r="C50" s="157" t="s">
        <v>49</v>
      </c>
      <c r="D50" s="158" t="s">
        <v>50</v>
      </c>
      <c r="E50" s="282"/>
      <c r="F50" s="63" t="s">
        <v>172</v>
      </c>
      <c r="G50" s="63" t="s">
        <v>172</v>
      </c>
      <c r="H50" s="3">
        <v>20</v>
      </c>
      <c r="I50" s="3">
        <v>0</v>
      </c>
      <c r="J50" s="69">
        <f t="shared" si="0"/>
        <v>0</v>
      </c>
      <c r="K50" s="3">
        <f>+I50+'NOVIEMBRE 2025 '!K50</f>
        <v>20</v>
      </c>
      <c r="L50" s="94">
        <f t="shared" si="1"/>
        <v>1</v>
      </c>
      <c r="N50"/>
      <c r="O50" s="8"/>
      <c r="P50"/>
      <c r="Q50" s="8"/>
    </row>
    <row r="51" spans="2:17" x14ac:dyDescent="0.25">
      <c r="B51" s="156">
        <v>3</v>
      </c>
      <c r="C51" s="157" t="s">
        <v>52</v>
      </c>
      <c r="D51" s="158" t="s">
        <v>53</v>
      </c>
      <c r="E51" s="282"/>
      <c r="F51" s="62" t="s">
        <v>172</v>
      </c>
      <c r="G51" s="62" t="s">
        <v>172</v>
      </c>
      <c r="H51" s="3">
        <v>20</v>
      </c>
      <c r="I51" s="3">
        <v>0</v>
      </c>
      <c r="J51" s="69">
        <f t="shared" si="0"/>
        <v>0</v>
      </c>
      <c r="K51" s="3">
        <f>+I51+'NOVIEMBRE 2025 '!K51</f>
        <v>20</v>
      </c>
      <c r="L51" s="94">
        <f t="shared" si="1"/>
        <v>1</v>
      </c>
      <c r="N51"/>
      <c r="O51" s="8"/>
      <c r="P51"/>
      <c r="Q51" s="8"/>
    </row>
    <row r="52" spans="2:17" s="16" customFormat="1" x14ac:dyDescent="0.25">
      <c r="B52" s="156">
        <v>3</v>
      </c>
      <c r="C52" s="157" t="s">
        <v>55</v>
      </c>
      <c r="D52" s="158" t="s">
        <v>56</v>
      </c>
      <c r="E52" s="282"/>
      <c r="F52" s="62" t="s">
        <v>172</v>
      </c>
      <c r="G52" s="62" t="s">
        <v>172</v>
      </c>
      <c r="H52" s="3">
        <v>20</v>
      </c>
      <c r="I52" s="3">
        <v>0</v>
      </c>
      <c r="J52" s="69">
        <f t="shared" si="0"/>
        <v>0</v>
      </c>
      <c r="K52" s="3">
        <f>+I52+'NOVIEMBRE 2025 '!K52</f>
        <v>20</v>
      </c>
      <c r="L52" s="94">
        <f t="shared" si="1"/>
        <v>1</v>
      </c>
      <c r="N52" s="41"/>
      <c r="P52" s="41"/>
    </row>
    <row r="53" spans="2:17" x14ac:dyDescent="0.25">
      <c r="B53" s="156">
        <v>5</v>
      </c>
      <c r="C53" s="157" t="s">
        <v>57</v>
      </c>
      <c r="D53" s="158" t="s">
        <v>58</v>
      </c>
      <c r="E53" s="282"/>
      <c r="F53" s="62" t="s">
        <v>172</v>
      </c>
      <c r="G53" s="62" t="s">
        <v>172</v>
      </c>
      <c r="H53" s="3">
        <v>20</v>
      </c>
      <c r="I53" s="3">
        <v>0</v>
      </c>
      <c r="J53" s="69">
        <f t="shared" si="0"/>
        <v>0</v>
      </c>
      <c r="K53" s="3">
        <f>+I53+'NOVIEMBRE 2025 '!K53</f>
        <v>20</v>
      </c>
      <c r="L53" s="94">
        <f t="shared" si="1"/>
        <v>1</v>
      </c>
      <c r="N53"/>
      <c r="O53" s="8"/>
      <c r="P53"/>
      <c r="Q53" s="8"/>
    </row>
    <row r="54" spans="2:17" x14ac:dyDescent="0.25">
      <c r="B54" s="156">
        <v>5</v>
      </c>
      <c r="C54" s="157" t="s">
        <v>59</v>
      </c>
      <c r="D54" s="158" t="s">
        <v>60</v>
      </c>
      <c r="E54" s="282"/>
      <c r="F54" s="62" t="s">
        <v>172</v>
      </c>
      <c r="G54" s="62" t="s">
        <v>172</v>
      </c>
      <c r="H54" s="3">
        <v>20</v>
      </c>
      <c r="I54" s="3">
        <v>0</v>
      </c>
      <c r="J54" s="69">
        <f t="shared" si="0"/>
        <v>0</v>
      </c>
      <c r="K54" s="3">
        <f>+I54+'NOVIEMBRE 2025 '!K54</f>
        <v>20</v>
      </c>
      <c r="L54" s="94">
        <f t="shared" si="1"/>
        <v>1</v>
      </c>
      <c r="N54"/>
      <c r="O54" s="8"/>
      <c r="P54"/>
      <c r="Q54" s="8"/>
    </row>
    <row r="55" spans="2:17" x14ac:dyDescent="0.25">
      <c r="B55" s="159">
        <v>8</v>
      </c>
      <c r="C55" s="160" t="s">
        <v>61</v>
      </c>
      <c r="D55" s="161" t="s">
        <v>62</v>
      </c>
      <c r="E55" s="283"/>
      <c r="F55" s="65" t="s">
        <v>172</v>
      </c>
      <c r="G55" s="65" t="s">
        <v>172</v>
      </c>
      <c r="H55" s="97">
        <v>20</v>
      </c>
      <c r="I55" s="97">
        <v>0</v>
      </c>
      <c r="J55" s="72">
        <f t="shared" si="0"/>
        <v>0</v>
      </c>
      <c r="K55" s="97">
        <f>+I55+'NOVIEMBRE 2025 '!K55</f>
        <v>20</v>
      </c>
      <c r="L55" s="96">
        <f t="shared" si="1"/>
        <v>1</v>
      </c>
      <c r="N55"/>
      <c r="O55" s="8"/>
      <c r="P55"/>
      <c r="Q55" s="8"/>
    </row>
    <row r="56" spans="2:17" x14ac:dyDescent="0.25">
      <c r="B56" s="153">
        <v>3</v>
      </c>
      <c r="C56" s="154" t="s">
        <v>43</v>
      </c>
      <c r="D56" s="155" t="s">
        <v>44</v>
      </c>
      <c r="E56" s="281" t="s">
        <v>171</v>
      </c>
      <c r="F56" s="60" t="s">
        <v>172</v>
      </c>
      <c r="G56" s="60" t="s">
        <v>172</v>
      </c>
      <c r="H56" s="123">
        <v>18</v>
      </c>
      <c r="I56" s="66">
        <v>0</v>
      </c>
      <c r="J56" s="69">
        <f t="shared" si="0"/>
        <v>0</v>
      </c>
      <c r="K56" s="66">
        <f>+I56+'NOVIEMBRE 2025 '!K56</f>
        <v>18</v>
      </c>
      <c r="L56" s="94">
        <f t="shared" si="1"/>
        <v>1</v>
      </c>
      <c r="N56"/>
      <c r="O56" s="8"/>
      <c r="P56"/>
      <c r="Q56" s="8"/>
    </row>
    <row r="57" spans="2:17" x14ac:dyDescent="0.25">
      <c r="B57" s="156">
        <v>3</v>
      </c>
      <c r="C57" s="157" t="s">
        <v>46</v>
      </c>
      <c r="D57" s="158" t="s">
        <v>47</v>
      </c>
      <c r="E57" s="282"/>
      <c r="F57" s="62" t="s">
        <v>172</v>
      </c>
      <c r="G57" s="62" t="s">
        <v>172</v>
      </c>
      <c r="H57" s="124">
        <v>36</v>
      </c>
      <c r="I57" s="55">
        <v>0</v>
      </c>
      <c r="J57" s="69">
        <f t="shared" si="0"/>
        <v>0</v>
      </c>
      <c r="K57" s="55">
        <f>+I57+'NOVIEMBRE 2025 '!K57</f>
        <v>36</v>
      </c>
      <c r="L57" s="94">
        <f t="shared" si="1"/>
        <v>1</v>
      </c>
      <c r="N57"/>
      <c r="O57" s="8"/>
      <c r="P57"/>
      <c r="Q57" s="8"/>
    </row>
    <row r="58" spans="2:17" x14ac:dyDescent="0.25">
      <c r="B58" s="156">
        <v>3</v>
      </c>
      <c r="C58" s="157" t="s">
        <v>98</v>
      </c>
      <c r="D58" s="158" t="s">
        <v>99</v>
      </c>
      <c r="E58" s="282"/>
      <c r="F58" s="63" t="s">
        <v>172</v>
      </c>
      <c r="G58" s="63" t="s">
        <v>172</v>
      </c>
      <c r="H58" s="125">
        <v>12</v>
      </c>
      <c r="I58" s="70">
        <v>0</v>
      </c>
      <c r="J58" s="69">
        <f t="shared" si="0"/>
        <v>0</v>
      </c>
      <c r="K58" s="70">
        <f>+I58+'NOVIEMBRE 2025 '!K58</f>
        <v>12</v>
      </c>
      <c r="L58" s="94">
        <f t="shared" si="1"/>
        <v>1</v>
      </c>
      <c r="N58"/>
      <c r="O58" s="8"/>
      <c r="P58"/>
      <c r="Q58" s="8"/>
    </row>
    <row r="59" spans="2:17" x14ac:dyDescent="0.25">
      <c r="B59" s="156">
        <v>3</v>
      </c>
      <c r="C59" s="157" t="s">
        <v>49</v>
      </c>
      <c r="D59" s="158" t="s">
        <v>50</v>
      </c>
      <c r="E59" s="282"/>
      <c r="F59" s="63" t="s">
        <v>172</v>
      </c>
      <c r="G59" s="63" t="s">
        <v>172</v>
      </c>
      <c r="H59" s="125">
        <v>36</v>
      </c>
      <c r="I59" s="55">
        <v>0</v>
      </c>
      <c r="J59" s="69">
        <f t="shared" si="0"/>
        <v>0</v>
      </c>
      <c r="K59" s="55">
        <f>+I59+'NOVIEMBRE 2025 '!K59</f>
        <v>36</v>
      </c>
      <c r="L59" s="94">
        <f t="shared" si="1"/>
        <v>1</v>
      </c>
      <c r="N59"/>
      <c r="O59" s="8"/>
      <c r="P59"/>
      <c r="Q59" s="8"/>
    </row>
    <row r="60" spans="2:17" x14ac:dyDescent="0.25">
      <c r="B60" s="156">
        <v>3</v>
      </c>
      <c r="C60" s="157" t="s">
        <v>52</v>
      </c>
      <c r="D60" s="158" t="s">
        <v>53</v>
      </c>
      <c r="E60" s="282"/>
      <c r="F60" s="62" t="s">
        <v>172</v>
      </c>
      <c r="G60" s="62" t="s">
        <v>172</v>
      </c>
      <c r="H60" s="125">
        <v>18</v>
      </c>
      <c r="I60" s="55">
        <v>0</v>
      </c>
      <c r="J60" s="69">
        <f t="shared" si="0"/>
        <v>0</v>
      </c>
      <c r="K60" s="55">
        <f>+I60+'NOVIEMBRE 2025 '!K60</f>
        <v>18</v>
      </c>
      <c r="L60" s="94">
        <f t="shared" si="1"/>
        <v>1</v>
      </c>
      <c r="N60"/>
      <c r="O60" s="8"/>
      <c r="P60"/>
      <c r="Q60" s="8"/>
    </row>
    <row r="61" spans="2:17" s="16" customFormat="1" x14ac:dyDescent="0.25">
      <c r="B61" s="156">
        <v>3</v>
      </c>
      <c r="C61" s="157" t="s">
        <v>55</v>
      </c>
      <c r="D61" s="158" t="s">
        <v>56</v>
      </c>
      <c r="E61" s="282"/>
      <c r="F61" s="62" t="s">
        <v>172</v>
      </c>
      <c r="G61" s="62" t="s">
        <v>172</v>
      </c>
      <c r="H61" s="125">
        <v>18</v>
      </c>
      <c r="I61" s="55">
        <v>0</v>
      </c>
      <c r="J61" s="69">
        <f t="shared" si="0"/>
        <v>0</v>
      </c>
      <c r="K61" s="55">
        <f>+I61+'NOVIEMBRE 2025 '!K61</f>
        <v>18</v>
      </c>
      <c r="L61" s="94">
        <f t="shared" si="1"/>
        <v>1</v>
      </c>
      <c r="N61" s="41"/>
      <c r="P61" s="41"/>
    </row>
    <row r="62" spans="2:17" x14ac:dyDescent="0.25">
      <c r="B62" s="156">
        <v>5</v>
      </c>
      <c r="C62" s="157" t="s">
        <v>57</v>
      </c>
      <c r="D62" s="158" t="s">
        <v>58</v>
      </c>
      <c r="E62" s="282"/>
      <c r="F62" s="62" t="s">
        <v>172</v>
      </c>
      <c r="G62" s="62" t="s">
        <v>172</v>
      </c>
      <c r="H62" s="125">
        <v>12</v>
      </c>
      <c r="I62" s="55">
        <v>0</v>
      </c>
      <c r="J62" s="69">
        <f t="shared" si="0"/>
        <v>0</v>
      </c>
      <c r="K62" s="55">
        <f>+I62+'NOVIEMBRE 2025 '!K62</f>
        <v>12</v>
      </c>
      <c r="L62" s="94">
        <f t="shared" si="1"/>
        <v>1</v>
      </c>
      <c r="N62"/>
      <c r="O62" s="8"/>
      <c r="P62"/>
      <c r="Q62" s="8"/>
    </row>
    <row r="63" spans="2:17" x14ac:dyDescent="0.25">
      <c r="B63" s="156">
        <v>5</v>
      </c>
      <c r="C63" s="157" t="s">
        <v>59</v>
      </c>
      <c r="D63" s="158" t="s">
        <v>60</v>
      </c>
      <c r="E63" s="282"/>
      <c r="F63" s="62" t="s">
        <v>172</v>
      </c>
      <c r="G63" s="62" t="s">
        <v>172</v>
      </c>
      <c r="H63" s="125">
        <v>18</v>
      </c>
      <c r="I63" s="55">
        <v>0</v>
      </c>
      <c r="J63" s="69">
        <f t="shared" si="0"/>
        <v>0</v>
      </c>
      <c r="K63" s="55">
        <f>+I63+'NOVIEMBRE 2025 '!K63</f>
        <v>18</v>
      </c>
      <c r="L63" s="94">
        <f t="shared" si="1"/>
        <v>1</v>
      </c>
      <c r="N63"/>
      <c r="O63" s="8"/>
      <c r="P63"/>
      <c r="Q63" s="8"/>
    </row>
    <row r="64" spans="2:17" x14ac:dyDescent="0.25">
      <c r="B64" s="159">
        <v>8</v>
      </c>
      <c r="C64" s="160" t="s">
        <v>61</v>
      </c>
      <c r="D64" s="161" t="s">
        <v>62</v>
      </c>
      <c r="E64" s="283"/>
      <c r="F64" s="65" t="s">
        <v>172</v>
      </c>
      <c r="G64" s="65" t="s">
        <v>172</v>
      </c>
      <c r="H64" s="126">
        <v>12</v>
      </c>
      <c r="I64" s="56">
        <v>0</v>
      </c>
      <c r="J64" s="72">
        <f t="shared" si="0"/>
        <v>0</v>
      </c>
      <c r="K64" s="56">
        <f>+I64+'NOVIEMBRE 2025 '!K64</f>
        <v>12</v>
      </c>
      <c r="L64" s="96">
        <f t="shared" si="1"/>
        <v>1</v>
      </c>
      <c r="N64"/>
      <c r="O64" s="8"/>
      <c r="P64"/>
      <c r="Q64" s="8"/>
    </row>
    <row r="65" spans="2:17" x14ac:dyDescent="0.25">
      <c r="B65" s="35">
        <v>3</v>
      </c>
      <c r="C65" s="36" t="s">
        <v>43</v>
      </c>
      <c r="D65" s="37" t="s">
        <v>44</v>
      </c>
      <c r="E65" s="218" t="s">
        <v>115</v>
      </c>
      <c r="F65" s="59" t="s">
        <v>1463</v>
      </c>
      <c r="G65" s="60" t="s">
        <v>1013</v>
      </c>
      <c r="H65" s="66">
        <v>30</v>
      </c>
      <c r="I65" s="66">
        <v>1</v>
      </c>
      <c r="J65" s="69">
        <f t="shared" si="0"/>
        <v>3.3333333333333333E-2</v>
      </c>
      <c r="K65" s="66">
        <f>+I65+'NOVIEMBRE 2025 '!K65</f>
        <v>30</v>
      </c>
      <c r="L65" s="94">
        <f t="shared" si="1"/>
        <v>1</v>
      </c>
      <c r="N65"/>
      <c r="O65" s="8"/>
      <c r="P65"/>
      <c r="Q65" s="8"/>
    </row>
    <row r="66" spans="2:17" x14ac:dyDescent="0.25">
      <c r="B66" s="38">
        <v>3</v>
      </c>
      <c r="C66" s="39" t="s">
        <v>46</v>
      </c>
      <c r="D66" s="40" t="s">
        <v>47</v>
      </c>
      <c r="E66" s="219"/>
      <c r="F66" s="61" t="s">
        <v>1464</v>
      </c>
      <c r="G66" s="61" t="s">
        <v>700</v>
      </c>
      <c r="H66" s="68">
        <v>30</v>
      </c>
      <c r="I66" s="55">
        <v>3</v>
      </c>
      <c r="J66" s="69">
        <f t="shared" si="0"/>
        <v>0.1</v>
      </c>
      <c r="K66" s="55">
        <f>+I66+'NOVIEMBRE 2025 '!K66</f>
        <v>30</v>
      </c>
      <c r="L66" s="94">
        <f t="shared" si="1"/>
        <v>1</v>
      </c>
      <c r="N66"/>
      <c r="O66" s="8"/>
      <c r="P66"/>
      <c r="Q66" s="8"/>
    </row>
    <row r="67" spans="2:17" x14ac:dyDescent="0.25">
      <c r="B67" s="38">
        <v>3</v>
      </c>
      <c r="C67" s="39" t="s">
        <v>98</v>
      </c>
      <c r="D67" s="40" t="s">
        <v>99</v>
      </c>
      <c r="E67" s="219"/>
      <c r="F67" s="61" t="s">
        <v>1465</v>
      </c>
      <c r="G67" s="63" t="s">
        <v>700</v>
      </c>
      <c r="H67" s="55">
        <v>30</v>
      </c>
      <c r="I67" s="70">
        <v>3</v>
      </c>
      <c r="J67" s="69">
        <f t="shared" si="0"/>
        <v>0.1</v>
      </c>
      <c r="K67" s="70">
        <f>+I67+'NOVIEMBRE 2025 '!K67</f>
        <v>30</v>
      </c>
      <c r="L67" s="94">
        <f t="shared" si="1"/>
        <v>1</v>
      </c>
      <c r="N67"/>
      <c r="O67" s="8"/>
      <c r="P67"/>
      <c r="Q67" s="8"/>
    </row>
    <row r="68" spans="2:17" x14ac:dyDescent="0.25">
      <c r="B68" s="38">
        <v>3</v>
      </c>
      <c r="C68" s="39" t="s">
        <v>49</v>
      </c>
      <c r="D68" s="40" t="s">
        <v>50</v>
      </c>
      <c r="E68" s="219"/>
      <c r="F68" s="61" t="s">
        <v>1466</v>
      </c>
      <c r="G68" s="63" t="s">
        <v>114</v>
      </c>
      <c r="H68" s="55">
        <v>30</v>
      </c>
      <c r="I68" s="55">
        <v>3</v>
      </c>
      <c r="J68" s="69">
        <f t="shared" si="0"/>
        <v>0.1</v>
      </c>
      <c r="K68" s="55">
        <f>+I68+'NOVIEMBRE 2025 '!K68</f>
        <v>30</v>
      </c>
      <c r="L68" s="94">
        <f t="shared" si="1"/>
        <v>1</v>
      </c>
      <c r="N68"/>
      <c r="O68" s="8"/>
      <c r="P68"/>
      <c r="Q68" s="8"/>
    </row>
    <row r="69" spans="2:17" x14ac:dyDescent="0.25">
      <c r="B69" s="38">
        <v>3</v>
      </c>
      <c r="C69" s="39" t="s">
        <v>52</v>
      </c>
      <c r="D69" s="40" t="s">
        <v>53</v>
      </c>
      <c r="E69" s="219"/>
      <c r="F69" s="61" t="s">
        <v>1467</v>
      </c>
      <c r="G69" s="62" t="s">
        <v>871</v>
      </c>
      <c r="H69" s="55">
        <v>30</v>
      </c>
      <c r="I69" s="55">
        <v>4</v>
      </c>
      <c r="J69" s="69">
        <f t="shared" si="0"/>
        <v>0.13333333333333333</v>
      </c>
      <c r="K69" s="55">
        <f>+I69+'NOVIEMBRE 2025 '!K69</f>
        <v>30</v>
      </c>
      <c r="L69" s="94">
        <f t="shared" si="1"/>
        <v>1</v>
      </c>
      <c r="N69"/>
      <c r="O69" s="8"/>
      <c r="P69"/>
      <c r="Q69" s="8"/>
    </row>
    <row r="70" spans="2:17" s="16" customFormat="1" x14ac:dyDescent="0.25">
      <c r="B70" s="38">
        <v>3</v>
      </c>
      <c r="C70" s="39" t="s">
        <v>55</v>
      </c>
      <c r="D70" s="40" t="s">
        <v>56</v>
      </c>
      <c r="E70" s="219"/>
      <c r="F70" s="61" t="s">
        <v>1369</v>
      </c>
      <c r="G70" s="62" t="s">
        <v>114</v>
      </c>
      <c r="H70" s="55">
        <v>30</v>
      </c>
      <c r="I70" s="55">
        <v>4</v>
      </c>
      <c r="J70" s="69">
        <f t="shared" si="0"/>
        <v>0.13333333333333333</v>
      </c>
      <c r="K70" s="55">
        <f>+I70+'NOVIEMBRE 2025 '!K70</f>
        <v>30</v>
      </c>
      <c r="L70" s="94">
        <f t="shared" si="1"/>
        <v>1</v>
      </c>
      <c r="N70" s="41"/>
      <c r="P70" s="41"/>
    </row>
    <row r="71" spans="2:17" x14ac:dyDescent="0.25">
      <c r="B71" s="38">
        <v>5</v>
      </c>
      <c r="C71" s="39" t="s">
        <v>57</v>
      </c>
      <c r="D71" s="40" t="s">
        <v>58</v>
      </c>
      <c r="E71" s="219"/>
      <c r="F71" s="61" t="s">
        <v>262</v>
      </c>
      <c r="G71" s="62" t="s">
        <v>208</v>
      </c>
      <c r="H71" s="55">
        <v>30</v>
      </c>
      <c r="I71" s="55">
        <v>4</v>
      </c>
      <c r="J71" s="69">
        <f t="shared" si="0"/>
        <v>0.13333333333333333</v>
      </c>
      <c r="K71" s="55">
        <f>+I71+'NOVIEMBRE 2025 '!K71</f>
        <v>30</v>
      </c>
      <c r="L71" s="94">
        <f t="shared" si="1"/>
        <v>1</v>
      </c>
      <c r="N71"/>
      <c r="O71" s="8"/>
      <c r="P71"/>
      <c r="Q71" s="8"/>
    </row>
    <row r="72" spans="2:17" x14ac:dyDescent="0.25">
      <c r="B72" s="38">
        <v>5</v>
      </c>
      <c r="C72" s="39" t="s">
        <v>59</v>
      </c>
      <c r="D72" s="40" t="s">
        <v>60</v>
      </c>
      <c r="E72" s="219"/>
      <c r="F72" s="61" t="s">
        <v>1468</v>
      </c>
      <c r="G72" s="62" t="s">
        <v>114</v>
      </c>
      <c r="H72" s="55">
        <v>30</v>
      </c>
      <c r="I72" s="55">
        <v>4</v>
      </c>
      <c r="J72" s="69">
        <f t="shared" si="0"/>
        <v>0.13333333333333333</v>
      </c>
      <c r="K72" s="55">
        <f>+I72+'NOVIEMBRE 2025 '!K72</f>
        <v>30</v>
      </c>
      <c r="L72" s="94">
        <f t="shared" si="1"/>
        <v>1</v>
      </c>
      <c r="N72"/>
      <c r="O72" s="8"/>
      <c r="P72"/>
      <c r="Q72" s="8"/>
    </row>
    <row r="73" spans="2:17" x14ac:dyDescent="0.25">
      <c r="B73" s="42">
        <v>8</v>
      </c>
      <c r="C73" s="43" t="s">
        <v>61</v>
      </c>
      <c r="D73" s="44" t="s">
        <v>62</v>
      </c>
      <c r="E73" s="220"/>
      <c r="F73" s="64" t="s">
        <v>706</v>
      </c>
      <c r="G73" s="65" t="s">
        <v>114</v>
      </c>
      <c r="H73" s="56">
        <v>30</v>
      </c>
      <c r="I73" s="56">
        <v>4</v>
      </c>
      <c r="J73" s="72">
        <f t="shared" si="0"/>
        <v>0.13333333333333333</v>
      </c>
      <c r="K73" s="56">
        <f>+I73+'NOVIEMBRE 2025 '!K73</f>
        <v>30</v>
      </c>
      <c r="L73" s="96">
        <f t="shared" si="1"/>
        <v>1</v>
      </c>
      <c r="N73"/>
      <c r="O73" s="8"/>
      <c r="P73"/>
      <c r="Q73" s="8"/>
    </row>
    <row r="74" spans="2:17" x14ac:dyDescent="0.25">
      <c r="B74" s="153">
        <v>3</v>
      </c>
      <c r="C74" s="154" t="s">
        <v>43</v>
      </c>
      <c r="D74" s="155" t="s">
        <v>44</v>
      </c>
      <c r="E74" s="281" t="s">
        <v>116</v>
      </c>
      <c r="F74" s="59" t="s">
        <v>172</v>
      </c>
      <c r="G74" s="60" t="s">
        <v>172</v>
      </c>
      <c r="H74" s="66">
        <v>20</v>
      </c>
      <c r="I74" s="66">
        <v>0</v>
      </c>
      <c r="J74" s="69">
        <f t="shared" si="0"/>
        <v>0</v>
      </c>
      <c r="K74" s="66">
        <f>+I74+'NOVIEMBRE 2025 '!K74</f>
        <v>20</v>
      </c>
      <c r="L74" s="94">
        <f t="shared" si="1"/>
        <v>1</v>
      </c>
      <c r="N74"/>
      <c r="O74" s="8"/>
      <c r="P74"/>
      <c r="Q74" s="8"/>
    </row>
    <row r="75" spans="2:17" x14ac:dyDescent="0.25">
      <c r="B75" s="156">
        <v>3</v>
      </c>
      <c r="C75" s="157" t="s">
        <v>46</v>
      </c>
      <c r="D75" s="158" t="s">
        <v>47</v>
      </c>
      <c r="E75" s="282"/>
      <c r="F75" s="61" t="s">
        <v>172</v>
      </c>
      <c r="G75" s="61" t="s">
        <v>172</v>
      </c>
      <c r="H75" s="68">
        <v>14</v>
      </c>
      <c r="I75" s="55">
        <v>0</v>
      </c>
      <c r="J75" s="69">
        <f t="shared" si="0"/>
        <v>0</v>
      </c>
      <c r="K75" s="55">
        <f>+I75+'NOVIEMBRE 2025 '!K75</f>
        <v>14</v>
      </c>
      <c r="L75" s="94">
        <f t="shared" si="1"/>
        <v>1</v>
      </c>
      <c r="N75"/>
      <c r="O75" s="8"/>
      <c r="P75"/>
      <c r="Q75" s="8"/>
    </row>
    <row r="76" spans="2:17" x14ac:dyDescent="0.25">
      <c r="B76" s="156">
        <v>3</v>
      </c>
      <c r="C76" s="157" t="s">
        <v>98</v>
      </c>
      <c r="D76" s="158" t="s">
        <v>99</v>
      </c>
      <c r="E76" s="282"/>
      <c r="F76" s="61" t="s">
        <v>172</v>
      </c>
      <c r="G76" s="63" t="s">
        <v>172</v>
      </c>
      <c r="H76" s="55">
        <v>28</v>
      </c>
      <c r="I76" s="70">
        <v>0</v>
      </c>
      <c r="J76" s="69">
        <f t="shared" si="0"/>
        <v>0</v>
      </c>
      <c r="K76" s="70">
        <f>+I76+'NOVIEMBRE 2025 '!K76</f>
        <v>28</v>
      </c>
      <c r="L76" s="94">
        <f t="shared" si="1"/>
        <v>1</v>
      </c>
      <c r="N76"/>
      <c r="O76" s="8"/>
      <c r="P76"/>
      <c r="Q76" s="8"/>
    </row>
    <row r="77" spans="2:17" x14ac:dyDescent="0.25">
      <c r="B77" s="156">
        <v>3</v>
      </c>
      <c r="C77" s="157" t="s">
        <v>49</v>
      </c>
      <c r="D77" s="158" t="s">
        <v>50</v>
      </c>
      <c r="E77" s="282"/>
      <c r="F77" s="61" t="s">
        <v>172</v>
      </c>
      <c r="G77" s="63" t="s">
        <v>172</v>
      </c>
      <c r="H77" s="55">
        <v>16</v>
      </c>
      <c r="I77" s="55">
        <v>0</v>
      </c>
      <c r="J77" s="69">
        <f t="shared" si="0"/>
        <v>0</v>
      </c>
      <c r="K77" s="55">
        <f>+I77+'NOVIEMBRE 2025 '!K77</f>
        <v>16</v>
      </c>
      <c r="L77" s="94">
        <f t="shared" si="1"/>
        <v>1</v>
      </c>
      <c r="N77"/>
      <c r="O77" s="8"/>
      <c r="P77"/>
      <c r="Q77" s="8"/>
    </row>
    <row r="78" spans="2:17" x14ac:dyDescent="0.25">
      <c r="B78" s="156">
        <v>3</v>
      </c>
      <c r="C78" s="157" t="s">
        <v>52</v>
      </c>
      <c r="D78" s="158" t="s">
        <v>53</v>
      </c>
      <c r="E78" s="282"/>
      <c r="F78" s="61" t="s">
        <v>172</v>
      </c>
      <c r="G78" s="62" t="s">
        <v>172</v>
      </c>
      <c r="H78" s="55">
        <v>16</v>
      </c>
      <c r="I78" s="55">
        <v>0</v>
      </c>
      <c r="J78" s="69">
        <f t="shared" si="0"/>
        <v>0</v>
      </c>
      <c r="K78" s="55">
        <f>+I78+'NOVIEMBRE 2025 '!K78</f>
        <v>16</v>
      </c>
      <c r="L78" s="94">
        <f t="shared" si="1"/>
        <v>1</v>
      </c>
      <c r="N78"/>
      <c r="O78" s="8"/>
      <c r="P78"/>
      <c r="Q78" s="8"/>
    </row>
    <row r="79" spans="2:17" s="16" customFormat="1" x14ac:dyDescent="0.25">
      <c r="B79" s="156">
        <v>3</v>
      </c>
      <c r="C79" s="157" t="s">
        <v>55</v>
      </c>
      <c r="D79" s="158" t="s">
        <v>56</v>
      </c>
      <c r="E79" s="282"/>
      <c r="F79" s="61" t="s">
        <v>172</v>
      </c>
      <c r="G79" s="62" t="s">
        <v>172</v>
      </c>
      <c r="H79" s="55">
        <v>12</v>
      </c>
      <c r="I79" s="55">
        <v>0</v>
      </c>
      <c r="J79" s="69">
        <f t="shared" ref="J79:J142" si="2">IFERROR(I79/H79,0)</f>
        <v>0</v>
      </c>
      <c r="K79" s="55">
        <f>+I79+'NOVIEMBRE 2025 '!K79</f>
        <v>12</v>
      </c>
      <c r="L79" s="94">
        <f t="shared" ref="L79:L142" si="3">IFERROR(K79/H79,0)</f>
        <v>1</v>
      </c>
      <c r="N79" s="41"/>
      <c r="P79" s="41"/>
    </row>
    <row r="80" spans="2:17" x14ac:dyDescent="0.25">
      <c r="B80" s="156">
        <v>5</v>
      </c>
      <c r="C80" s="157" t="s">
        <v>57</v>
      </c>
      <c r="D80" s="158" t="s">
        <v>58</v>
      </c>
      <c r="E80" s="282"/>
      <c r="F80" s="73" t="s">
        <v>172</v>
      </c>
      <c r="G80" s="62" t="s">
        <v>172</v>
      </c>
      <c r="H80" s="55">
        <v>24</v>
      </c>
      <c r="I80" s="55">
        <v>0</v>
      </c>
      <c r="J80" s="69">
        <f t="shared" si="2"/>
        <v>0</v>
      </c>
      <c r="K80" s="55">
        <f>+I80+'NOVIEMBRE 2025 '!K80</f>
        <v>24</v>
      </c>
      <c r="L80" s="94">
        <f t="shared" si="3"/>
        <v>1</v>
      </c>
      <c r="N80"/>
      <c r="O80" s="8"/>
      <c r="P80"/>
      <c r="Q80" s="8"/>
    </row>
    <row r="81" spans="2:17" x14ac:dyDescent="0.25">
      <c r="B81" s="156">
        <v>5</v>
      </c>
      <c r="C81" s="157" t="s">
        <v>59</v>
      </c>
      <c r="D81" s="158" t="s">
        <v>60</v>
      </c>
      <c r="E81" s="282"/>
      <c r="F81" s="61" t="s">
        <v>172</v>
      </c>
      <c r="G81" s="62" t="s">
        <v>172</v>
      </c>
      <c r="H81" s="55">
        <v>26</v>
      </c>
      <c r="I81" s="55">
        <v>0</v>
      </c>
      <c r="J81" s="69">
        <f t="shared" si="2"/>
        <v>0</v>
      </c>
      <c r="K81" s="55">
        <f>+I81+'NOVIEMBRE 2025 '!K81</f>
        <v>26</v>
      </c>
      <c r="L81" s="94">
        <f t="shared" si="3"/>
        <v>1</v>
      </c>
      <c r="N81"/>
      <c r="O81" s="8"/>
      <c r="P81"/>
      <c r="Q81" s="8"/>
    </row>
    <row r="82" spans="2:17" x14ac:dyDescent="0.25">
      <c r="B82" s="159">
        <v>8</v>
      </c>
      <c r="C82" s="160" t="s">
        <v>61</v>
      </c>
      <c r="D82" s="161" t="s">
        <v>62</v>
      </c>
      <c r="E82" s="283"/>
      <c r="F82" s="64" t="s">
        <v>172</v>
      </c>
      <c r="G82" s="65" t="s">
        <v>172</v>
      </c>
      <c r="H82" s="56">
        <v>24</v>
      </c>
      <c r="I82" s="56">
        <v>0</v>
      </c>
      <c r="J82" s="72">
        <f t="shared" si="2"/>
        <v>0</v>
      </c>
      <c r="K82" s="56">
        <f>+I82+'NOVIEMBRE 2025 '!K82</f>
        <v>24</v>
      </c>
      <c r="L82" s="96">
        <f t="shared" si="3"/>
        <v>1</v>
      </c>
      <c r="N82"/>
      <c r="O82" s="8"/>
      <c r="P82"/>
      <c r="Q82" s="8"/>
    </row>
    <row r="83" spans="2:17" x14ac:dyDescent="0.25">
      <c r="B83" s="35">
        <v>3</v>
      </c>
      <c r="C83" s="36" t="s">
        <v>43</v>
      </c>
      <c r="D83" s="37" t="s">
        <v>44</v>
      </c>
      <c r="E83" s="218" t="s">
        <v>117</v>
      </c>
      <c r="F83" s="60" t="s">
        <v>213</v>
      </c>
      <c r="G83" s="60" t="s">
        <v>169</v>
      </c>
      <c r="H83" s="66">
        <v>30</v>
      </c>
      <c r="I83" s="66">
        <v>2</v>
      </c>
      <c r="J83" s="69">
        <f t="shared" si="2"/>
        <v>6.6666666666666666E-2</v>
      </c>
      <c r="K83" s="66">
        <f>+I83+'NOVIEMBRE 2025 '!K83</f>
        <v>30</v>
      </c>
      <c r="L83" s="94">
        <f t="shared" si="3"/>
        <v>1</v>
      </c>
      <c r="N83"/>
      <c r="O83" s="8"/>
      <c r="P83"/>
      <c r="Q83" s="8"/>
    </row>
    <row r="84" spans="2:17" x14ac:dyDescent="0.25">
      <c r="B84" s="38">
        <v>3</v>
      </c>
      <c r="C84" s="39" t="s">
        <v>46</v>
      </c>
      <c r="D84" s="40" t="s">
        <v>47</v>
      </c>
      <c r="E84" s="219"/>
      <c r="F84" s="74" t="s">
        <v>860</v>
      </c>
      <c r="G84" s="74" t="s">
        <v>861</v>
      </c>
      <c r="H84" s="68">
        <v>30</v>
      </c>
      <c r="I84" s="55">
        <v>2</v>
      </c>
      <c r="J84" s="69">
        <f t="shared" si="2"/>
        <v>6.6666666666666666E-2</v>
      </c>
      <c r="K84" s="55">
        <f>+I84+'NOVIEMBRE 2025 '!K84</f>
        <v>30</v>
      </c>
      <c r="L84" s="94">
        <f t="shared" si="3"/>
        <v>1</v>
      </c>
      <c r="N84"/>
      <c r="O84" s="8"/>
      <c r="P84"/>
      <c r="Q84" s="8"/>
    </row>
    <row r="85" spans="2:17" x14ac:dyDescent="0.25">
      <c r="B85" s="38">
        <v>3</v>
      </c>
      <c r="C85" s="39" t="s">
        <v>98</v>
      </c>
      <c r="D85" s="40" t="s">
        <v>99</v>
      </c>
      <c r="E85" s="219"/>
      <c r="F85" s="62" t="s">
        <v>862</v>
      </c>
      <c r="G85" s="62" t="s">
        <v>169</v>
      </c>
      <c r="H85" s="55">
        <v>30</v>
      </c>
      <c r="I85" s="70">
        <v>2</v>
      </c>
      <c r="J85" s="69">
        <f t="shared" si="2"/>
        <v>6.6666666666666666E-2</v>
      </c>
      <c r="K85" s="70">
        <f>+I85+'NOVIEMBRE 2025 '!K85</f>
        <v>30</v>
      </c>
      <c r="L85" s="94">
        <f t="shared" si="3"/>
        <v>1</v>
      </c>
      <c r="N85"/>
      <c r="O85" s="8"/>
      <c r="P85"/>
      <c r="Q85" s="8"/>
    </row>
    <row r="86" spans="2:17" x14ac:dyDescent="0.25">
      <c r="B86" s="38">
        <v>3</v>
      </c>
      <c r="C86" s="39" t="s">
        <v>49</v>
      </c>
      <c r="D86" s="40" t="s">
        <v>50</v>
      </c>
      <c r="E86" s="219"/>
      <c r="F86" s="62" t="s">
        <v>213</v>
      </c>
      <c r="G86" s="62" t="s">
        <v>169</v>
      </c>
      <c r="H86" s="55">
        <v>30</v>
      </c>
      <c r="I86" s="55">
        <v>6</v>
      </c>
      <c r="J86" s="69">
        <f t="shared" si="2"/>
        <v>0.2</v>
      </c>
      <c r="K86" s="177">
        <f>+I86+'NOVIEMBRE 2025 '!K86</f>
        <v>30</v>
      </c>
      <c r="L86" s="94">
        <f t="shared" si="3"/>
        <v>1</v>
      </c>
      <c r="N86"/>
      <c r="O86" s="8"/>
      <c r="P86"/>
      <c r="Q86" s="8"/>
    </row>
    <row r="87" spans="2:17" x14ac:dyDescent="0.25">
      <c r="B87" s="38">
        <v>3</v>
      </c>
      <c r="C87" s="39" t="s">
        <v>52</v>
      </c>
      <c r="D87" s="40" t="s">
        <v>53</v>
      </c>
      <c r="E87" s="219"/>
      <c r="F87" s="62" t="s">
        <v>214</v>
      </c>
      <c r="G87" s="62" t="s">
        <v>191</v>
      </c>
      <c r="H87" s="55">
        <v>30</v>
      </c>
      <c r="I87" s="55">
        <v>6</v>
      </c>
      <c r="J87" s="69">
        <f t="shared" si="2"/>
        <v>0.2</v>
      </c>
      <c r="K87" s="55">
        <f>+I87+'NOVIEMBRE 2025 '!K87</f>
        <v>30</v>
      </c>
      <c r="L87" s="94">
        <f t="shared" si="3"/>
        <v>1</v>
      </c>
      <c r="N87"/>
      <c r="O87" s="8"/>
      <c r="P87"/>
      <c r="Q87" s="8"/>
    </row>
    <row r="88" spans="2:17" s="16" customFormat="1" x14ac:dyDescent="0.25">
      <c r="B88" s="38">
        <v>3</v>
      </c>
      <c r="C88" s="39" t="s">
        <v>55</v>
      </c>
      <c r="D88" s="40" t="s">
        <v>56</v>
      </c>
      <c r="E88" s="219"/>
      <c r="F88" s="62" t="s">
        <v>215</v>
      </c>
      <c r="G88" s="62" t="s">
        <v>169</v>
      </c>
      <c r="H88" s="55">
        <v>30</v>
      </c>
      <c r="I88" s="55">
        <v>6</v>
      </c>
      <c r="J88" s="69">
        <f t="shared" si="2"/>
        <v>0.2</v>
      </c>
      <c r="K88" s="55">
        <f>+I88+'NOVIEMBRE 2025 '!K88</f>
        <v>30</v>
      </c>
      <c r="L88" s="94">
        <f t="shared" si="3"/>
        <v>1</v>
      </c>
      <c r="N88" s="41"/>
      <c r="P88" s="41"/>
    </row>
    <row r="89" spans="2:17" x14ac:dyDescent="0.25">
      <c r="B89" s="38">
        <v>5</v>
      </c>
      <c r="C89" s="39" t="s">
        <v>57</v>
      </c>
      <c r="D89" s="40" t="s">
        <v>58</v>
      </c>
      <c r="E89" s="219"/>
      <c r="F89" s="62" t="s">
        <v>216</v>
      </c>
      <c r="G89" s="62" t="s">
        <v>169</v>
      </c>
      <c r="H89" s="55">
        <v>30</v>
      </c>
      <c r="I89" s="55">
        <v>2</v>
      </c>
      <c r="J89" s="69">
        <f t="shared" si="2"/>
        <v>6.6666666666666666E-2</v>
      </c>
      <c r="K89" s="55">
        <f>+I89+'NOVIEMBRE 2025 '!K89</f>
        <v>30</v>
      </c>
      <c r="L89" s="94">
        <f t="shared" si="3"/>
        <v>1</v>
      </c>
      <c r="N89"/>
      <c r="O89" s="8"/>
      <c r="P89"/>
      <c r="Q89" s="8"/>
    </row>
    <row r="90" spans="2:17" x14ac:dyDescent="0.25">
      <c r="B90" s="38">
        <v>5</v>
      </c>
      <c r="C90" s="39" t="s">
        <v>59</v>
      </c>
      <c r="D90" s="40" t="s">
        <v>60</v>
      </c>
      <c r="E90" s="219"/>
      <c r="F90" s="62" t="s">
        <v>194</v>
      </c>
      <c r="G90" s="62" t="s">
        <v>195</v>
      </c>
      <c r="H90" s="55">
        <v>30</v>
      </c>
      <c r="I90" s="55">
        <v>2</v>
      </c>
      <c r="J90" s="69">
        <f t="shared" si="2"/>
        <v>6.6666666666666666E-2</v>
      </c>
      <c r="K90" s="55">
        <f>+I90+'NOVIEMBRE 2025 '!K90</f>
        <v>30</v>
      </c>
      <c r="L90" s="94">
        <f t="shared" si="3"/>
        <v>1</v>
      </c>
      <c r="N90"/>
      <c r="O90" s="8"/>
      <c r="P90"/>
      <c r="Q90" s="8"/>
    </row>
    <row r="91" spans="2:17" x14ac:dyDescent="0.25">
      <c r="B91" s="42">
        <v>8</v>
      </c>
      <c r="C91" s="43" t="s">
        <v>61</v>
      </c>
      <c r="D91" s="44" t="s">
        <v>62</v>
      </c>
      <c r="E91" s="220"/>
      <c r="F91" s="65" t="s">
        <v>196</v>
      </c>
      <c r="G91" s="65" t="s">
        <v>206</v>
      </c>
      <c r="H91" s="56">
        <v>30</v>
      </c>
      <c r="I91" s="56">
        <v>2</v>
      </c>
      <c r="J91" s="72">
        <f t="shared" si="2"/>
        <v>6.6666666666666666E-2</v>
      </c>
      <c r="K91" s="56">
        <f>+I91+'NOVIEMBRE 2025 '!K91</f>
        <v>30</v>
      </c>
      <c r="L91" s="96">
        <f t="shared" si="3"/>
        <v>1</v>
      </c>
      <c r="N91"/>
      <c r="O91" s="8"/>
      <c r="P91"/>
      <c r="Q91" s="8"/>
    </row>
    <row r="92" spans="2:17" x14ac:dyDescent="0.25">
      <c r="B92" s="153">
        <v>3</v>
      </c>
      <c r="C92" s="154" t="s">
        <v>43</v>
      </c>
      <c r="D92" s="155" t="s">
        <v>44</v>
      </c>
      <c r="E92" s="281" t="s">
        <v>179</v>
      </c>
      <c r="F92" s="59" t="s">
        <v>172</v>
      </c>
      <c r="G92" s="59" t="s">
        <v>172</v>
      </c>
      <c r="H92" s="66">
        <v>18</v>
      </c>
      <c r="I92" s="66">
        <v>0</v>
      </c>
      <c r="J92" s="69">
        <f t="shared" si="2"/>
        <v>0</v>
      </c>
      <c r="K92" s="66">
        <f>+I92+'NOVIEMBRE 2025 '!K92</f>
        <v>18</v>
      </c>
      <c r="L92" s="94">
        <f t="shared" si="3"/>
        <v>1</v>
      </c>
      <c r="N92"/>
      <c r="O92" s="8"/>
      <c r="P92"/>
      <c r="Q92" s="8"/>
    </row>
    <row r="93" spans="2:17" x14ac:dyDescent="0.25">
      <c r="B93" s="156">
        <v>3</v>
      </c>
      <c r="C93" s="157" t="s">
        <v>46</v>
      </c>
      <c r="D93" s="158" t="s">
        <v>47</v>
      </c>
      <c r="E93" s="282"/>
      <c r="F93" s="61" t="s">
        <v>172</v>
      </c>
      <c r="G93" s="61" t="s">
        <v>172</v>
      </c>
      <c r="H93" s="68">
        <v>16</v>
      </c>
      <c r="I93" s="55">
        <v>0</v>
      </c>
      <c r="J93" s="69">
        <f t="shared" si="2"/>
        <v>0</v>
      </c>
      <c r="K93" s="55">
        <f>+I93+'NOVIEMBRE 2025 '!K93</f>
        <v>16</v>
      </c>
      <c r="L93" s="94">
        <f t="shared" si="3"/>
        <v>1</v>
      </c>
      <c r="N93"/>
      <c r="O93" s="8"/>
      <c r="P93"/>
      <c r="Q93" s="8"/>
    </row>
    <row r="94" spans="2:17" x14ac:dyDescent="0.25">
      <c r="B94" s="156">
        <v>3</v>
      </c>
      <c r="C94" s="157" t="s">
        <v>98</v>
      </c>
      <c r="D94" s="158" t="s">
        <v>99</v>
      </c>
      <c r="E94" s="282"/>
      <c r="F94" s="61" t="s">
        <v>172</v>
      </c>
      <c r="G94" s="61" t="s">
        <v>172</v>
      </c>
      <c r="H94" s="55">
        <v>16</v>
      </c>
      <c r="I94" s="70">
        <v>0</v>
      </c>
      <c r="J94" s="69">
        <f t="shared" si="2"/>
        <v>0</v>
      </c>
      <c r="K94" s="70">
        <f>+I94+'NOVIEMBRE 2025 '!K94</f>
        <v>16</v>
      </c>
      <c r="L94" s="94">
        <f t="shared" si="3"/>
        <v>1</v>
      </c>
      <c r="N94"/>
      <c r="O94" s="8"/>
      <c r="P94"/>
      <c r="Q94" s="8"/>
    </row>
    <row r="95" spans="2:17" x14ac:dyDescent="0.25">
      <c r="B95" s="156">
        <v>3</v>
      </c>
      <c r="C95" s="157" t="s">
        <v>49</v>
      </c>
      <c r="D95" s="158" t="s">
        <v>50</v>
      </c>
      <c r="E95" s="282"/>
      <c r="F95" s="61" t="s">
        <v>172</v>
      </c>
      <c r="G95" s="61" t="s">
        <v>172</v>
      </c>
      <c r="H95" s="55">
        <v>16</v>
      </c>
      <c r="I95" s="55">
        <v>0</v>
      </c>
      <c r="J95" s="69">
        <f t="shared" si="2"/>
        <v>0</v>
      </c>
      <c r="K95" s="55">
        <f>+I95+'NOVIEMBRE 2025 '!K95</f>
        <v>16</v>
      </c>
      <c r="L95" s="94">
        <f t="shared" si="3"/>
        <v>1</v>
      </c>
      <c r="N95"/>
      <c r="O95" s="8"/>
      <c r="P95"/>
      <c r="Q95" s="8"/>
    </row>
    <row r="96" spans="2:17" x14ac:dyDescent="0.25">
      <c r="B96" s="156">
        <v>3</v>
      </c>
      <c r="C96" s="157" t="s">
        <v>52</v>
      </c>
      <c r="D96" s="158" t="s">
        <v>53</v>
      </c>
      <c r="E96" s="282"/>
      <c r="F96" s="61" t="s">
        <v>172</v>
      </c>
      <c r="G96" s="61" t="s">
        <v>172</v>
      </c>
      <c r="H96" s="55">
        <v>16</v>
      </c>
      <c r="I96" s="55">
        <v>0</v>
      </c>
      <c r="J96" s="69">
        <f t="shared" si="2"/>
        <v>0</v>
      </c>
      <c r="K96" s="55">
        <f>+I96+'NOVIEMBRE 2025 '!K96</f>
        <v>16</v>
      </c>
      <c r="L96" s="94">
        <f t="shared" si="3"/>
        <v>1</v>
      </c>
      <c r="N96"/>
      <c r="O96" s="8"/>
      <c r="P96"/>
      <c r="Q96" s="8"/>
    </row>
    <row r="97" spans="2:17" x14ac:dyDescent="0.25">
      <c r="B97" s="156">
        <v>3</v>
      </c>
      <c r="C97" s="157" t="s">
        <v>55</v>
      </c>
      <c r="D97" s="158" t="s">
        <v>56</v>
      </c>
      <c r="E97" s="282"/>
      <c r="F97" s="129" t="s">
        <v>172</v>
      </c>
      <c r="G97" s="129" t="s">
        <v>172</v>
      </c>
      <c r="H97" s="55">
        <v>16</v>
      </c>
      <c r="I97" s="55">
        <v>0</v>
      </c>
      <c r="J97" s="69">
        <f t="shared" si="2"/>
        <v>0</v>
      </c>
      <c r="K97" s="55">
        <f>+I97+'NOVIEMBRE 2025 '!K97</f>
        <v>16</v>
      </c>
      <c r="L97" s="94">
        <f t="shared" si="3"/>
        <v>1</v>
      </c>
      <c r="N97"/>
      <c r="O97" s="8"/>
      <c r="P97"/>
      <c r="Q97" s="8"/>
    </row>
    <row r="98" spans="2:17" x14ac:dyDescent="0.25">
      <c r="B98" s="156">
        <v>5</v>
      </c>
      <c r="C98" s="157" t="s">
        <v>57</v>
      </c>
      <c r="D98" s="158" t="s">
        <v>58</v>
      </c>
      <c r="E98" s="282"/>
      <c r="F98" s="61" t="s">
        <v>172</v>
      </c>
      <c r="G98" s="61" t="s">
        <v>172</v>
      </c>
      <c r="H98" s="128">
        <v>16</v>
      </c>
      <c r="I98" s="55">
        <v>0</v>
      </c>
      <c r="J98" s="69">
        <f t="shared" si="2"/>
        <v>0</v>
      </c>
      <c r="K98" s="55">
        <f>+I98+'NOVIEMBRE 2025 '!K98</f>
        <v>16</v>
      </c>
      <c r="L98" s="94">
        <f t="shared" si="3"/>
        <v>1</v>
      </c>
      <c r="N98"/>
      <c r="O98" s="8"/>
      <c r="P98"/>
      <c r="Q98" s="8"/>
    </row>
    <row r="99" spans="2:17" s="16" customFormat="1" x14ac:dyDescent="0.25">
      <c r="B99" s="156">
        <v>5</v>
      </c>
      <c r="C99" s="157" t="s">
        <v>118</v>
      </c>
      <c r="D99" s="158" t="s">
        <v>119</v>
      </c>
      <c r="E99" s="282"/>
      <c r="F99" s="130" t="s">
        <v>172</v>
      </c>
      <c r="G99" s="130" t="s">
        <v>172</v>
      </c>
      <c r="H99" s="55">
        <v>16</v>
      </c>
      <c r="I99" s="55">
        <v>0</v>
      </c>
      <c r="J99" s="69">
        <f t="shared" si="2"/>
        <v>0</v>
      </c>
      <c r="K99" s="55">
        <f>+I99+'NOVIEMBRE 2025 '!K99</f>
        <v>16</v>
      </c>
      <c r="L99" s="94">
        <f t="shared" si="3"/>
        <v>1</v>
      </c>
      <c r="N99" s="41"/>
      <c r="P99" s="41"/>
    </row>
    <row r="100" spans="2:17" x14ac:dyDescent="0.25">
      <c r="B100" s="156">
        <v>5</v>
      </c>
      <c r="C100" s="157" t="s">
        <v>120</v>
      </c>
      <c r="D100" s="158" t="s">
        <v>121</v>
      </c>
      <c r="E100" s="282"/>
      <c r="F100" s="61" t="s">
        <v>172</v>
      </c>
      <c r="G100" s="61" t="s">
        <v>172</v>
      </c>
      <c r="H100" s="68">
        <v>18</v>
      </c>
      <c r="I100" s="55">
        <v>0</v>
      </c>
      <c r="J100" s="69">
        <f t="shared" si="2"/>
        <v>0</v>
      </c>
      <c r="K100" s="55">
        <f>+I100+'NOVIEMBRE 2025 '!K100</f>
        <v>18</v>
      </c>
      <c r="L100" s="94">
        <f t="shared" si="3"/>
        <v>1</v>
      </c>
      <c r="N100"/>
      <c r="O100" s="8"/>
      <c r="P100"/>
      <c r="Q100" s="8"/>
    </row>
    <row r="101" spans="2:17" x14ac:dyDescent="0.25">
      <c r="B101" s="156">
        <v>5</v>
      </c>
      <c r="C101" s="157" t="s">
        <v>122</v>
      </c>
      <c r="D101" s="158" t="s">
        <v>123</v>
      </c>
      <c r="E101" s="282"/>
      <c r="F101" s="61" t="s">
        <v>172</v>
      </c>
      <c r="G101" s="61" t="s">
        <v>172</v>
      </c>
      <c r="H101" s="55">
        <v>16</v>
      </c>
      <c r="I101" s="55">
        <v>0</v>
      </c>
      <c r="J101" s="69">
        <f t="shared" si="2"/>
        <v>0</v>
      </c>
      <c r="K101" s="55">
        <f>+I101+'NOVIEMBRE 2025 '!K101</f>
        <v>16</v>
      </c>
      <c r="L101" s="94">
        <f t="shared" si="3"/>
        <v>1</v>
      </c>
      <c r="N101"/>
      <c r="O101" s="8"/>
      <c r="P101"/>
      <c r="Q101" s="8"/>
    </row>
    <row r="102" spans="2:17" x14ac:dyDescent="0.25">
      <c r="B102" s="159">
        <v>5</v>
      </c>
      <c r="C102" s="160" t="s">
        <v>59</v>
      </c>
      <c r="D102" s="161" t="s">
        <v>60</v>
      </c>
      <c r="E102" s="283"/>
      <c r="F102" s="61" t="s">
        <v>172</v>
      </c>
      <c r="G102" s="61" t="s">
        <v>172</v>
      </c>
      <c r="H102" s="56">
        <v>16</v>
      </c>
      <c r="I102" s="56">
        <v>0</v>
      </c>
      <c r="J102" s="72">
        <f t="shared" si="2"/>
        <v>0</v>
      </c>
      <c r="K102" s="56">
        <f>+I102+'NOVIEMBRE 2025 '!K102</f>
        <v>16</v>
      </c>
      <c r="L102" s="96">
        <f t="shared" si="3"/>
        <v>1</v>
      </c>
      <c r="N102"/>
      <c r="O102" s="8"/>
      <c r="P102"/>
      <c r="Q102" s="8"/>
    </row>
    <row r="103" spans="2:17" x14ac:dyDescent="0.25">
      <c r="B103" s="153">
        <v>3</v>
      </c>
      <c r="C103" s="154" t="s">
        <v>43</v>
      </c>
      <c r="D103" s="155" t="s">
        <v>44</v>
      </c>
      <c r="E103" s="281" t="s">
        <v>124</v>
      </c>
      <c r="F103" s="75" t="s">
        <v>172</v>
      </c>
      <c r="G103" s="75" t="s">
        <v>172</v>
      </c>
      <c r="H103" s="66">
        <v>13</v>
      </c>
      <c r="I103" s="66">
        <v>0</v>
      </c>
      <c r="J103" s="69">
        <f t="shared" si="2"/>
        <v>0</v>
      </c>
      <c r="K103" s="66">
        <f>+I103+'NOVIEMBRE 2025 '!K103</f>
        <v>13</v>
      </c>
      <c r="L103" s="94">
        <f t="shared" si="3"/>
        <v>1</v>
      </c>
      <c r="N103"/>
      <c r="O103" s="8"/>
      <c r="P103"/>
      <c r="Q103" s="8"/>
    </row>
    <row r="104" spans="2:17" x14ac:dyDescent="0.25">
      <c r="B104" s="156">
        <v>3</v>
      </c>
      <c r="C104" s="157" t="s">
        <v>46</v>
      </c>
      <c r="D104" s="158" t="s">
        <v>47</v>
      </c>
      <c r="E104" s="282"/>
      <c r="F104" s="76" t="s">
        <v>172</v>
      </c>
      <c r="G104" s="76" t="s">
        <v>172</v>
      </c>
      <c r="H104" s="68">
        <v>14</v>
      </c>
      <c r="I104" s="55">
        <v>0</v>
      </c>
      <c r="J104" s="69">
        <f t="shared" si="2"/>
        <v>0</v>
      </c>
      <c r="K104" s="55">
        <f>+I104+'NOVIEMBRE 2025 '!K104</f>
        <v>14</v>
      </c>
      <c r="L104" s="94">
        <f t="shared" si="3"/>
        <v>1</v>
      </c>
      <c r="N104"/>
      <c r="O104" s="8"/>
      <c r="P104"/>
      <c r="Q104" s="8"/>
    </row>
    <row r="105" spans="2:17" x14ac:dyDescent="0.25">
      <c r="B105" s="156">
        <v>3</v>
      </c>
      <c r="C105" s="157" t="s">
        <v>98</v>
      </c>
      <c r="D105" s="158" t="s">
        <v>99</v>
      </c>
      <c r="E105" s="282"/>
      <c r="F105" s="62" t="s">
        <v>172</v>
      </c>
      <c r="G105" s="62" t="s">
        <v>172</v>
      </c>
      <c r="H105" s="55">
        <v>14</v>
      </c>
      <c r="I105" s="70">
        <v>0</v>
      </c>
      <c r="J105" s="69">
        <f t="shared" si="2"/>
        <v>0</v>
      </c>
      <c r="K105" s="70">
        <f>+I105+'NOVIEMBRE 2025 '!K105</f>
        <v>14</v>
      </c>
      <c r="L105" s="94">
        <f t="shared" si="3"/>
        <v>1</v>
      </c>
      <c r="N105"/>
      <c r="O105" s="8"/>
      <c r="P105"/>
      <c r="Q105" s="8"/>
    </row>
    <row r="106" spans="2:17" x14ac:dyDescent="0.25">
      <c r="B106" s="156">
        <v>3</v>
      </c>
      <c r="C106" s="157" t="s">
        <v>49</v>
      </c>
      <c r="D106" s="158" t="s">
        <v>50</v>
      </c>
      <c r="E106" s="282"/>
      <c r="F106" s="62" t="s">
        <v>172</v>
      </c>
      <c r="G106" s="62" t="s">
        <v>172</v>
      </c>
      <c r="H106" s="55">
        <v>16</v>
      </c>
      <c r="I106" s="55">
        <v>0</v>
      </c>
      <c r="J106" s="69">
        <f t="shared" si="2"/>
        <v>0</v>
      </c>
      <c r="K106" s="55">
        <f>+I106+'NOVIEMBRE 2025 '!K106</f>
        <v>16</v>
      </c>
      <c r="L106" s="94">
        <f t="shared" si="3"/>
        <v>1</v>
      </c>
      <c r="N106"/>
      <c r="O106" s="8"/>
      <c r="P106"/>
      <c r="Q106" s="8"/>
    </row>
    <row r="107" spans="2:17" x14ac:dyDescent="0.25">
      <c r="B107" s="156">
        <v>3</v>
      </c>
      <c r="C107" s="157" t="s">
        <v>52</v>
      </c>
      <c r="D107" s="158" t="s">
        <v>53</v>
      </c>
      <c r="E107" s="282"/>
      <c r="F107" s="62" t="s">
        <v>172</v>
      </c>
      <c r="G107" s="62" t="s">
        <v>172</v>
      </c>
      <c r="H107" s="55">
        <v>16</v>
      </c>
      <c r="I107" s="55">
        <v>0</v>
      </c>
      <c r="J107" s="69">
        <f t="shared" si="2"/>
        <v>0</v>
      </c>
      <c r="K107" s="55">
        <f>+I107+'NOVIEMBRE 2025 '!K107</f>
        <v>16</v>
      </c>
      <c r="L107" s="94">
        <f t="shared" si="3"/>
        <v>1</v>
      </c>
      <c r="N107"/>
      <c r="O107" s="8"/>
      <c r="P107"/>
      <c r="Q107" s="8"/>
    </row>
    <row r="108" spans="2:17" x14ac:dyDescent="0.25">
      <c r="B108" s="156">
        <v>3</v>
      </c>
      <c r="C108" s="157" t="s">
        <v>55</v>
      </c>
      <c r="D108" s="158" t="s">
        <v>56</v>
      </c>
      <c r="E108" s="282"/>
      <c r="F108" s="62" t="s">
        <v>172</v>
      </c>
      <c r="G108" s="62" t="s">
        <v>172</v>
      </c>
      <c r="H108" s="55">
        <v>15</v>
      </c>
      <c r="I108" s="55">
        <v>0</v>
      </c>
      <c r="J108" s="69">
        <f t="shared" si="2"/>
        <v>0</v>
      </c>
      <c r="K108" s="55">
        <f>+I108+'NOVIEMBRE 2025 '!K108</f>
        <v>15</v>
      </c>
      <c r="L108" s="94">
        <f t="shared" si="3"/>
        <v>1</v>
      </c>
      <c r="N108"/>
      <c r="O108" s="8"/>
      <c r="P108"/>
      <c r="Q108" s="8"/>
    </row>
    <row r="109" spans="2:17" x14ac:dyDescent="0.25">
      <c r="B109" s="156">
        <v>5</v>
      </c>
      <c r="C109" s="157" t="s">
        <v>57</v>
      </c>
      <c r="D109" s="158" t="s">
        <v>58</v>
      </c>
      <c r="E109" s="282"/>
      <c r="F109" s="62" t="s">
        <v>172</v>
      </c>
      <c r="G109" s="62" t="s">
        <v>172</v>
      </c>
      <c r="H109" s="55">
        <v>16</v>
      </c>
      <c r="I109" s="55">
        <v>0</v>
      </c>
      <c r="J109" s="69">
        <f t="shared" si="2"/>
        <v>0</v>
      </c>
      <c r="K109" s="55">
        <f>+I109+'NOVIEMBRE 2025 '!K109</f>
        <v>16</v>
      </c>
      <c r="L109" s="94">
        <f t="shared" si="3"/>
        <v>1</v>
      </c>
      <c r="N109"/>
      <c r="O109" s="8"/>
      <c r="P109"/>
      <c r="Q109" s="8"/>
    </row>
    <row r="110" spans="2:17" s="16" customFormat="1" x14ac:dyDescent="0.25">
      <c r="B110" s="156">
        <v>5</v>
      </c>
      <c r="C110" s="157" t="s">
        <v>118</v>
      </c>
      <c r="D110" s="158" t="s">
        <v>119</v>
      </c>
      <c r="E110" s="282"/>
      <c r="F110" s="62" t="s">
        <v>172</v>
      </c>
      <c r="G110" s="62" t="s">
        <v>172</v>
      </c>
      <c r="H110" s="55">
        <v>16</v>
      </c>
      <c r="I110" s="55">
        <v>0</v>
      </c>
      <c r="J110" s="69">
        <f t="shared" si="2"/>
        <v>0</v>
      </c>
      <c r="K110" s="55">
        <f>+I110+'NOVIEMBRE 2025 '!K110</f>
        <v>16</v>
      </c>
      <c r="L110" s="94">
        <f t="shared" si="3"/>
        <v>1</v>
      </c>
      <c r="N110" s="41"/>
      <c r="P110" s="41"/>
    </row>
    <row r="111" spans="2:17" x14ac:dyDescent="0.25">
      <c r="B111" s="156">
        <v>5</v>
      </c>
      <c r="C111" s="157" t="s">
        <v>120</v>
      </c>
      <c r="D111" s="158" t="s">
        <v>121</v>
      </c>
      <c r="E111" s="282"/>
      <c r="F111" s="62" t="s">
        <v>172</v>
      </c>
      <c r="G111" s="62" t="s">
        <v>172</v>
      </c>
      <c r="H111" s="68">
        <v>16</v>
      </c>
      <c r="I111" s="68">
        <v>0</v>
      </c>
      <c r="J111" s="69">
        <f t="shared" si="2"/>
        <v>0</v>
      </c>
      <c r="K111" s="68">
        <f>+I111+'NOVIEMBRE 2025 '!K111</f>
        <v>16</v>
      </c>
      <c r="L111" s="94">
        <f t="shared" si="3"/>
        <v>1</v>
      </c>
      <c r="N111"/>
      <c r="O111" s="8"/>
      <c r="P111"/>
      <c r="Q111" s="8"/>
    </row>
    <row r="112" spans="2:17" x14ac:dyDescent="0.25">
      <c r="B112" s="156">
        <v>5</v>
      </c>
      <c r="C112" s="157" t="s">
        <v>122</v>
      </c>
      <c r="D112" s="158" t="s">
        <v>123</v>
      </c>
      <c r="E112" s="282"/>
      <c r="F112" s="62" t="s">
        <v>172</v>
      </c>
      <c r="G112" s="62" t="s">
        <v>172</v>
      </c>
      <c r="H112" s="68">
        <v>20</v>
      </c>
      <c r="I112" s="68">
        <v>0</v>
      </c>
      <c r="J112" s="69">
        <f t="shared" si="2"/>
        <v>0</v>
      </c>
      <c r="K112" s="68">
        <f>+I112+'NOVIEMBRE 2025 '!K112</f>
        <v>20</v>
      </c>
      <c r="L112" s="94">
        <f t="shared" si="3"/>
        <v>1</v>
      </c>
      <c r="N112"/>
      <c r="O112" s="8"/>
      <c r="P112"/>
      <c r="Q112" s="8"/>
    </row>
    <row r="113" spans="2:17" x14ac:dyDescent="0.25">
      <c r="B113" s="159">
        <v>5</v>
      </c>
      <c r="C113" s="160" t="s">
        <v>59</v>
      </c>
      <c r="D113" s="161" t="s">
        <v>60</v>
      </c>
      <c r="E113" s="283"/>
      <c r="F113" s="65" t="s">
        <v>172</v>
      </c>
      <c r="G113" s="65" t="s">
        <v>172</v>
      </c>
      <c r="H113" s="56">
        <v>24</v>
      </c>
      <c r="I113" s="56">
        <v>0</v>
      </c>
      <c r="J113" s="72">
        <f t="shared" si="2"/>
        <v>0</v>
      </c>
      <c r="K113" s="56">
        <f>+I113+'NOVIEMBRE 2025 '!K113</f>
        <v>24</v>
      </c>
      <c r="L113" s="96">
        <f t="shared" si="3"/>
        <v>1</v>
      </c>
      <c r="N113"/>
      <c r="O113" s="8"/>
      <c r="P113"/>
      <c r="Q113" s="8"/>
    </row>
    <row r="114" spans="2:17" x14ac:dyDescent="0.25">
      <c r="B114" s="165">
        <v>3</v>
      </c>
      <c r="C114" s="166" t="s">
        <v>43</v>
      </c>
      <c r="D114" s="167" t="s">
        <v>44</v>
      </c>
      <c r="E114" s="284" t="s">
        <v>128</v>
      </c>
      <c r="F114" s="60" t="s">
        <v>172</v>
      </c>
      <c r="G114" s="60" t="s">
        <v>172</v>
      </c>
      <c r="H114" s="66">
        <v>20</v>
      </c>
      <c r="I114" s="66">
        <v>0</v>
      </c>
      <c r="J114" s="69">
        <f t="shared" si="2"/>
        <v>0</v>
      </c>
      <c r="K114" s="66">
        <f>+I114+'NOVIEMBRE 2025 '!K114</f>
        <v>20</v>
      </c>
      <c r="L114" s="94">
        <f t="shared" si="3"/>
        <v>1</v>
      </c>
      <c r="N114"/>
      <c r="O114" s="8"/>
      <c r="P114"/>
      <c r="Q114" s="8"/>
    </row>
    <row r="115" spans="2:17" x14ac:dyDescent="0.25">
      <c r="B115" s="156">
        <v>3</v>
      </c>
      <c r="C115" s="157" t="s">
        <v>46</v>
      </c>
      <c r="D115" s="158" t="s">
        <v>47</v>
      </c>
      <c r="E115" s="282"/>
      <c r="F115" s="74" t="s">
        <v>172</v>
      </c>
      <c r="G115" s="74" t="s">
        <v>172</v>
      </c>
      <c r="H115" s="68">
        <v>14</v>
      </c>
      <c r="I115" s="55">
        <v>0</v>
      </c>
      <c r="J115" s="69">
        <f t="shared" si="2"/>
        <v>0</v>
      </c>
      <c r="K115" s="55">
        <f>+I115+'NOVIEMBRE 2025 '!K115</f>
        <v>14</v>
      </c>
      <c r="L115" s="94">
        <f t="shared" si="3"/>
        <v>1</v>
      </c>
      <c r="N115"/>
      <c r="O115" s="8"/>
      <c r="P115"/>
      <c r="Q115" s="8"/>
    </row>
    <row r="116" spans="2:17" x14ac:dyDescent="0.25">
      <c r="B116" s="156">
        <v>3</v>
      </c>
      <c r="C116" s="157" t="s">
        <v>98</v>
      </c>
      <c r="D116" s="158" t="s">
        <v>99</v>
      </c>
      <c r="E116" s="282"/>
      <c r="F116" s="62" t="s">
        <v>172</v>
      </c>
      <c r="G116" s="62" t="s">
        <v>172</v>
      </c>
      <c r="H116" s="55">
        <v>28</v>
      </c>
      <c r="I116" s="70">
        <v>0</v>
      </c>
      <c r="J116" s="69">
        <f t="shared" si="2"/>
        <v>0</v>
      </c>
      <c r="K116" s="70">
        <f>+I116+'NOVIEMBRE 2025 '!K116</f>
        <v>28</v>
      </c>
      <c r="L116" s="94">
        <f t="shared" si="3"/>
        <v>1</v>
      </c>
      <c r="N116"/>
      <c r="O116" s="8"/>
      <c r="P116"/>
      <c r="Q116" s="8"/>
    </row>
    <row r="117" spans="2:17" x14ac:dyDescent="0.25">
      <c r="B117" s="156">
        <v>3</v>
      </c>
      <c r="C117" s="157" t="s">
        <v>49</v>
      </c>
      <c r="D117" s="158" t="s">
        <v>50</v>
      </c>
      <c r="E117" s="282"/>
      <c r="F117" s="62" t="s">
        <v>172</v>
      </c>
      <c r="G117" s="62" t="s">
        <v>172</v>
      </c>
      <c r="H117" s="55">
        <v>16</v>
      </c>
      <c r="I117" s="55">
        <v>0</v>
      </c>
      <c r="J117" s="69">
        <f t="shared" si="2"/>
        <v>0</v>
      </c>
      <c r="K117" s="55">
        <f>+I117+'NOVIEMBRE 2025 '!K117</f>
        <v>16</v>
      </c>
      <c r="L117" s="94">
        <f t="shared" si="3"/>
        <v>1</v>
      </c>
      <c r="N117"/>
      <c r="O117" s="8"/>
      <c r="P117"/>
      <c r="Q117" s="8"/>
    </row>
    <row r="118" spans="2:17" x14ac:dyDescent="0.25">
      <c r="B118" s="156">
        <v>3</v>
      </c>
      <c r="C118" s="157" t="s">
        <v>52</v>
      </c>
      <c r="D118" s="158" t="s">
        <v>53</v>
      </c>
      <c r="E118" s="282"/>
      <c r="F118" s="62" t="s">
        <v>172</v>
      </c>
      <c r="G118" s="62" t="s">
        <v>172</v>
      </c>
      <c r="H118" s="55">
        <v>16</v>
      </c>
      <c r="I118" s="55">
        <v>0</v>
      </c>
      <c r="J118" s="69">
        <f t="shared" si="2"/>
        <v>0</v>
      </c>
      <c r="K118" s="55">
        <f>+I118+'NOVIEMBRE 2025 '!K118</f>
        <v>16</v>
      </c>
      <c r="L118" s="94">
        <f t="shared" si="3"/>
        <v>1</v>
      </c>
      <c r="N118"/>
      <c r="O118" s="8"/>
      <c r="P118"/>
      <c r="Q118" s="8"/>
    </row>
    <row r="119" spans="2:17" s="16" customFormat="1" x14ac:dyDescent="0.25">
      <c r="B119" s="156">
        <v>3</v>
      </c>
      <c r="C119" s="157" t="s">
        <v>55</v>
      </c>
      <c r="D119" s="158" t="s">
        <v>56</v>
      </c>
      <c r="E119" s="282"/>
      <c r="F119" s="62" t="s">
        <v>172</v>
      </c>
      <c r="G119" s="62" t="s">
        <v>172</v>
      </c>
      <c r="H119" s="55">
        <v>12</v>
      </c>
      <c r="I119" s="55">
        <v>0</v>
      </c>
      <c r="J119" s="69">
        <f t="shared" si="2"/>
        <v>0</v>
      </c>
      <c r="K119" s="55">
        <f>+I119+'NOVIEMBRE 2025 '!K119</f>
        <v>12</v>
      </c>
      <c r="L119" s="94">
        <f t="shared" si="3"/>
        <v>1</v>
      </c>
      <c r="N119" s="41"/>
      <c r="P119" s="41"/>
    </row>
    <row r="120" spans="2:17" x14ac:dyDescent="0.25">
      <c r="B120" s="156">
        <v>5</v>
      </c>
      <c r="C120" s="157" t="s">
        <v>57</v>
      </c>
      <c r="D120" s="158" t="s">
        <v>58</v>
      </c>
      <c r="E120" s="282"/>
      <c r="F120" s="62" t="s">
        <v>172</v>
      </c>
      <c r="G120" s="62" t="s">
        <v>172</v>
      </c>
      <c r="H120" s="55">
        <v>24</v>
      </c>
      <c r="I120" s="55">
        <v>0</v>
      </c>
      <c r="J120" s="69">
        <f t="shared" si="2"/>
        <v>0</v>
      </c>
      <c r="K120" s="55">
        <f>+I120+'NOVIEMBRE 2025 '!K120</f>
        <v>24</v>
      </c>
      <c r="L120" s="94">
        <f t="shared" si="3"/>
        <v>1</v>
      </c>
      <c r="N120"/>
      <c r="O120" s="8"/>
      <c r="P120"/>
      <c r="Q120" s="8"/>
    </row>
    <row r="121" spans="2:17" x14ac:dyDescent="0.25">
      <c r="B121" s="156">
        <v>5</v>
      </c>
      <c r="C121" s="157" t="s">
        <v>59</v>
      </c>
      <c r="D121" s="158" t="s">
        <v>60</v>
      </c>
      <c r="E121" s="282"/>
      <c r="F121" s="62" t="s">
        <v>172</v>
      </c>
      <c r="G121" s="62" t="s">
        <v>172</v>
      </c>
      <c r="H121" s="55">
        <v>26</v>
      </c>
      <c r="I121" s="55">
        <v>0</v>
      </c>
      <c r="J121" s="69">
        <f t="shared" si="2"/>
        <v>0</v>
      </c>
      <c r="K121" s="55">
        <f>+I121+'NOVIEMBRE 2025 '!K121</f>
        <v>26</v>
      </c>
      <c r="L121" s="94">
        <f t="shared" si="3"/>
        <v>1</v>
      </c>
      <c r="N121"/>
      <c r="O121" s="8"/>
      <c r="P121"/>
      <c r="Q121" s="8"/>
    </row>
    <row r="122" spans="2:17" x14ac:dyDescent="0.25">
      <c r="B122" s="159">
        <v>8</v>
      </c>
      <c r="C122" s="160" t="s">
        <v>61</v>
      </c>
      <c r="D122" s="161" t="s">
        <v>62</v>
      </c>
      <c r="E122" s="283"/>
      <c r="F122" s="65" t="s">
        <v>172</v>
      </c>
      <c r="G122" s="65" t="s">
        <v>172</v>
      </c>
      <c r="H122" s="56">
        <v>24</v>
      </c>
      <c r="I122" s="56">
        <v>0</v>
      </c>
      <c r="J122" s="72">
        <f t="shared" si="2"/>
        <v>0</v>
      </c>
      <c r="K122" s="56">
        <f>+I122+'NOVIEMBRE 2025 '!K122</f>
        <v>24</v>
      </c>
      <c r="L122" s="96">
        <f t="shared" si="3"/>
        <v>1</v>
      </c>
      <c r="N122"/>
      <c r="O122" s="8"/>
      <c r="P122"/>
      <c r="Q122" s="8"/>
    </row>
    <row r="123" spans="2:17" x14ac:dyDescent="0.25">
      <c r="B123" s="153">
        <v>1</v>
      </c>
      <c r="C123" s="154" t="s">
        <v>74</v>
      </c>
      <c r="D123" s="155" t="s">
        <v>75</v>
      </c>
      <c r="E123" s="281" t="s">
        <v>143</v>
      </c>
      <c r="F123" s="60" t="s">
        <v>172</v>
      </c>
      <c r="G123" s="60" t="s">
        <v>172</v>
      </c>
      <c r="H123" s="66">
        <v>14</v>
      </c>
      <c r="I123" s="66">
        <v>0</v>
      </c>
      <c r="J123" s="69">
        <f t="shared" si="2"/>
        <v>0</v>
      </c>
      <c r="K123" s="66">
        <f>+I123+'NOVIEMBRE 2025 '!K123</f>
        <v>14</v>
      </c>
      <c r="L123" s="94">
        <f t="shared" si="3"/>
        <v>1</v>
      </c>
      <c r="N123"/>
      <c r="O123" s="8"/>
      <c r="P123"/>
      <c r="Q123" s="8"/>
    </row>
    <row r="124" spans="2:17" x14ac:dyDescent="0.25">
      <c r="B124" s="156">
        <v>1</v>
      </c>
      <c r="C124" s="157" t="s">
        <v>77</v>
      </c>
      <c r="D124" s="158" t="s">
        <v>78</v>
      </c>
      <c r="E124" s="282"/>
      <c r="F124" s="62" t="s">
        <v>172</v>
      </c>
      <c r="G124" s="62" t="s">
        <v>172</v>
      </c>
      <c r="H124" s="68">
        <v>14</v>
      </c>
      <c r="I124" s="55">
        <v>0</v>
      </c>
      <c r="J124" s="69">
        <f t="shared" si="2"/>
        <v>0</v>
      </c>
      <c r="K124" s="55">
        <f>+I124+'NOVIEMBRE 2025 '!K124</f>
        <v>14</v>
      </c>
      <c r="L124" s="94">
        <f t="shared" si="3"/>
        <v>1</v>
      </c>
      <c r="N124"/>
      <c r="O124" s="8"/>
      <c r="P124"/>
      <c r="Q124" s="8"/>
    </row>
    <row r="125" spans="2:17" x14ac:dyDescent="0.25">
      <c r="B125" s="156">
        <v>1</v>
      </c>
      <c r="C125" s="157" t="s">
        <v>79</v>
      </c>
      <c r="D125" s="158" t="s">
        <v>80</v>
      </c>
      <c r="E125" s="282"/>
      <c r="F125" s="62" t="s">
        <v>172</v>
      </c>
      <c r="G125" s="62" t="s">
        <v>172</v>
      </c>
      <c r="H125" s="55">
        <v>16</v>
      </c>
      <c r="I125" s="70">
        <v>0</v>
      </c>
      <c r="J125" s="69">
        <f t="shared" si="2"/>
        <v>0</v>
      </c>
      <c r="K125" s="70">
        <f>+I125+'NOVIEMBRE 2025 '!K125</f>
        <v>16</v>
      </c>
      <c r="L125" s="94">
        <f t="shared" si="3"/>
        <v>1</v>
      </c>
      <c r="N125"/>
      <c r="O125" s="8"/>
      <c r="P125"/>
      <c r="Q125" s="8"/>
    </row>
    <row r="126" spans="2:17" x14ac:dyDescent="0.25">
      <c r="B126" s="156">
        <v>1</v>
      </c>
      <c r="C126" s="157" t="s">
        <v>82</v>
      </c>
      <c r="D126" s="158" t="s">
        <v>83</v>
      </c>
      <c r="E126" s="282"/>
      <c r="F126" s="62" t="s">
        <v>172</v>
      </c>
      <c r="G126" s="62" t="s">
        <v>172</v>
      </c>
      <c r="H126" s="55">
        <v>18</v>
      </c>
      <c r="I126" s="55">
        <v>0</v>
      </c>
      <c r="J126" s="69">
        <f t="shared" si="2"/>
        <v>0</v>
      </c>
      <c r="K126" s="55">
        <f>+I126+'NOVIEMBRE 2025 '!K126</f>
        <v>18</v>
      </c>
      <c r="L126" s="94">
        <f t="shared" si="3"/>
        <v>1</v>
      </c>
      <c r="N126"/>
      <c r="O126" s="8"/>
      <c r="P126"/>
      <c r="Q126" s="8"/>
    </row>
    <row r="127" spans="2:17" x14ac:dyDescent="0.25">
      <c r="B127" s="156">
        <v>1</v>
      </c>
      <c r="C127" s="157" t="s">
        <v>84</v>
      </c>
      <c r="D127" s="158" t="s">
        <v>85</v>
      </c>
      <c r="E127" s="282"/>
      <c r="F127" s="62" t="s">
        <v>172</v>
      </c>
      <c r="G127" s="62" t="s">
        <v>172</v>
      </c>
      <c r="H127" s="55">
        <v>24</v>
      </c>
      <c r="I127" s="55">
        <v>0</v>
      </c>
      <c r="J127" s="69">
        <f t="shared" si="2"/>
        <v>0</v>
      </c>
      <c r="K127" s="55">
        <f>+I127+'NOVIEMBRE 2025 '!K127</f>
        <v>24</v>
      </c>
      <c r="L127" s="94">
        <f t="shared" si="3"/>
        <v>1</v>
      </c>
      <c r="N127"/>
      <c r="O127" s="8"/>
      <c r="P127"/>
      <c r="Q127" s="8"/>
    </row>
    <row r="128" spans="2:17" x14ac:dyDescent="0.25">
      <c r="B128" s="156">
        <v>1</v>
      </c>
      <c r="C128" s="157" t="s">
        <v>86</v>
      </c>
      <c r="D128" s="158" t="s">
        <v>87</v>
      </c>
      <c r="E128" s="282"/>
      <c r="F128" s="62" t="s">
        <v>172</v>
      </c>
      <c r="G128" s="62" t="s">
        <v>172</v>
      </c>
      <c r="H128" s="55">
        <v>16</v>
      </c>
      <c r="I128" s="55">
        <v>0</v>
      </c>
      <c r="J128" s="69">
        <f t="shared" si="2"/>
        <v>0</v>
      </c>
      <c r="K128" s="55">
        <f>+I128+'NOVIEMBRE 2025 '!K128</f>
        <v>16</v>
      </c>
      <c r="L128" s="94">
        <f t="shared" si="3"/>
        <v>1</v>
      </c>
      <c r="N128"/>
      <c r="O128" s="8"/>
      <c r="P128"/>
      <c r="Q128" s="8"/>
    </row>
    <row r="129" spans="2:17" x14ac:dyDescent="0.25">
      <c r="B129" s="156">
        <v>1</v>
      </c>
      <c r="C129" s="157" t="s">
        <v>89</v>
      </c>
      <c r="D129" s="158" t="s">
        <v>90</v>
      </c>
      <c r="E129" s="282"/>
      <c r="F129" s="62" t="s">
        <v>172</v>
      </c>
      <c r="G129" s="62" t="s">
        <v>172</v>
      </c>
      <c r="H129" s="55">
        <v>18</v>
      </c>
      <c r="I129" s="55">
        <v>0</v>
      </c>
      <c r="J129" s="69">
        <f t="shared" si="2"/>
        <v>0</v>
      </c>
      <c r="K129" s="55">
        <f>+I129+'NOVIEMBRE 2025 '!K129</f>
        <v>18</v>
      </c>
      <c r="L129" s="94">
        <f t="shared" si="3"/>
        <v>1</v>
      </c>
      <c r="N129"/>
      <c r="O129" s="8"/>
      <c r="P129"/>
      <c r="Q129" s="8"/>
    </row>
    <row r="130" spans="2:17" s="16" customFormat="1" x14ac:dyDescent="0.25">
      <c r="B130" s="156">
        <v>1</v>
      </c>
      <c r="C130" s="157" t="s">
        <v>92</v>
      </c>
      <c r="D130" s="158" t="s">
        <v>93</v>
      </c>
      <c r="E130" s="282"/>
      <c r="F130" s="62" t="s">
        <v>172</v>
      </c>
      <c r="G130" s="62" t="s">
        <v>172</v>
      </c>
      <c r="H130" s="55">
        <v>16</v>
      </c>
      <c r="I130" s="55">
        <v>0</v>
      </c>
      <c r="J130" s="69">
        <f t="shared" si="2"/>
        <v>0</v>
      </c>
      <c r="K130" s="55">
        <f>+I130+'NOVIEMBRE 2025 '!K130</f>
        <v>16</v>
      </c>
      <c r="L130" s="94">
        <f t="shared" si="3"/>
        <v>1</v>
      </c>
      <c r="N130" s="41"/>
      <c r="P130" s="41"/>
    </row>
    <row r="131" spans="2:17" x14ac:dyDescent="0.25">
      <c r="B131" s="156">
        <v>1</v>
      </c>
      <c r="C131" s="157" t="s">
        <v>95</v>
      </c>
      <c r="D131" s="158" t="s">
        <v>96</v>
      </c>
      <c r="E131" s="282"/>
      <c r="F131" s="62" t="s">
        <v>172</v>
      </c>
      <c r="G131" s="62" t="s">
        <v>172</v>
      </c>
      <c r="H131" s="68">
        <v>10</v>
      </c>
      <c r="I131" s="55">
        <v>0</v>
      </c>
      <c r="J131" s="69">
        <f t="shared" si="2"/>
        <v>0</v>
      </c>
      <c r="K131" s="55">
        <f>+I131+'NOVIEMBRE 2025 '!K131</f>
        <v>10</v>
      </c>
      <c r="L131" s="94">
        <f t="shared" si="3"/>
        <v>1</v>
      </c>
      <c r="N131"/>
      <c r="O131" s="8"/>
      <c r="P131"/>
      <c r="Q131" s="8"/>
    </row>
    <row r="132" spans="2:17" x14ac:dyDescent="0.25">
      <c r="B132" s="156">
        <v>2</v>
      </c>
      <c r="C132" s="157" t="s">
        <v>140</v>
      </c>
      <c r="D132" s="158" t="s">
        <v>141</v>
      </c>
      <c r="E132" s="282"/>
      <c r="F132" s="62" t="s">
        <v>172</v>
      </c>
      <c r="G132" s="62" t="s">
        <v>172</v>
      </c>
      <c r="H132" s="55">
        <v>14</v>
      </c>
      <c r="I132" s="55">
        <v>0</v>
      </c>
      <c r="J132" s="69">
        <f t="shared" si="2"/>
        <v>0</v>
      </c>
      <c r="K132" s="55">
        <f>+I132+'NOVIEMBRE 2025 '!K132</f>
        <v>14</v>
      </c>
      <c r="L132" s="94">
        <f t="shared" si="3"/>
        <v>1</v>
      </c>
      <c r="N132"/>
      <c r="O132" s="8"/>
      <c r="P132"/>
      <c r="Q132" s="8"/>
    </row>
    <row r="133" spans="2:17" x14ac:dyDescent="0.25">
      <c r="B133" s="159">
        <v>2</v>
      </c>
      <c r="C133" s="160" t="s">
        <v>57</v>
      </c>
      <c r="D133" s="161" t="s">
        <v>58</v>
      </c>
      <c r="E133" s="283"/>
      <c r="F133" s="65" t="s">
        <v>172</v>
      </c>
      <c r="G133" s="65" t="s">
        <v>172</v>
      </c>
      <c r="H133" s="56">
        <v>20</v>
      </c>
      <c r="I133" s="56">
        <v>0</v>
      </c>
      <c r="J133" s="72">
        <f t="shared" si="2"/>
        <v>0</v>
      </c>
      <c r="K133" s="56">
        <f>+I133+'NOVIEMBRE 2025 '!K133</f>
        <v>20</v>
      </c>
      <c r="L133" s="96">
        <f t="shared" si="3"/>
        <v>1</v>
      </c>
      <c r="N133"/>
      <c r="O133" s="8"/>
      <c r="P133"/>
      <c r="Q133" s="8"/>
    </row>
    <row r="134" spans="2:17" x14ac:dyDescent="0.25">
      <c r="B134" s="153">
        <v>1</v>
      </c>
      <c r="C134" s="154" t="s">
        <v>144</v>
      </c>
      <c r="D134" s="155" t="s">
        <v>145</v>
      </c>
      <c r="E134" s="281" t="s">
        <v>205</v>
      </c>
      <c r="F134" s="60" t="s">
        <v>172</v>
      </c>
      <c r="G134" s="60" t="s">
        <v>172</v>
      </c>
      <c r="H134" s="66">
        <v>20</v>
      </c>
      <c r="I134" s="66">
        <v>0</v>
      </c>
      <c r="J134" s="69">
        <f t="shared" si="2"/>
        <v>0</v>
      </c>
      <c r="K134" s="66">
        <f>+I134+'NOVIEMBRE 2025 '!K134</f>
        <v>20</v>
      </c>
      <c r="L134" s="94">
        <f t="shared" si="3"/>
        <v>1</v>
      </c>
      <c r="N134"/>
      <c r="O134" s="8"/>
      <c r="P134"/>
      <c r="Q134" s="8"/>
    </row>
    <row r="135" spans="2:17" x14ac:dyDescent="0.25">
      <c r="B135" s="156">
        <v>1</v>
      </c>
      <c r="C135" s="157" t="s">
        <v>74</v>
      </c>
      <c r="D135" s="158" t="s">
        <v>75</v>
      </c>
      <c r="E135" s="282"/>
      <c r="F135" s="62" t="s">
        <v>172</v>
      </c>
      <c r="G135" s="62" t="s">
        <v>172</v>
      </c>
      <c r="H135" s="68">
        <v>20</v>
      </c>
      <c r="I135" s="55">
        <v>0</v>
      </c>
      <c r="J135" s="69">
        <f t="shared" si="2"/>
        <v>0</v>
      </c>
      <c r="K135" s="55">
        <f>+I135+'NOVIEMBRE 2025 '!K135</f>
        <v>20</v>
      </c>
      <c r="L135" s="94">
        <f t="shared" si="3"/>
        <v>1</v>
      </c>
      <c r="N135"/>
      <c r="O135" s="8"/>
      <c r="P135"/>
      <c r="Q135" s="8"/>
    </row>
    <row r="136" spans="2:17" x14ac:dyDescent="0.25">
      <c r="B136" s="156">
        <v>1</v>
      </c>
      <c r="C136" s="157" t="s">
        <v>77</v>
      </c>
      <c r="D136" s="158" t="s">
        <v>78</v>
      </c>
      <c r="E136" s="282"/>
      <c r="F136" s="63" t="s">
        <v>172</v>
      </c>
      <c r="G136" s="63" t="s">
        <v>172</v>
      </c>
      <c r="H136" s="55">
        <v>20</v>
      </c>
      <c r="I136" s="70">
        <v>0</v>
      </c>
      <c r="J136" s="69">
        <f t="shared" si="2"/>
        <v>0</v>
      </c>
      <c r="K136" s="70">
        <f>+I136+'NOVIEMBRE 2025 '!K136</f>
        <v>20</v>
      </c>
      <c r="L136" s="94">
        <f t="shared" si="3"/>
        <v>1</v>
      </c>
      <c r="N136"/>
      <c r="O136" s="8"/>
      <c r="P136"/>
      <c r="Q136" s="8"/>
    </row>
    <row r="137" spans="2:17" x14ac:dyDescent="0.25">
      <c r="B137" s="156">
        <v>1</v>
      </c>
      <c r="C137" s="157" t="s">
        <v>79</v>
      </c>
      <c r="D137" s="158" t="s">
        <v>80</v>
      </c>
      <c r="E137" s="282"/>
      <c r="F137" s="62" t="s">
        <v>172</v>
      </c>
      <c r="G137" s="62" t="s">
        <v>172</v>
      </c>
      <c r="H137" s="55">
        <v>20</v>
      </c>
      <c r="I137" s="55">
        <v>0</v>
      </c>
      <c r="J137" s="69">
        <f t="shared" si="2"/>
        <v>0</v>
      </c>
      <c r="K137" s="55">
        <f>+I137+'NOVIEMBRE 2025 '!K137</f>
        <v>20</v>
      </c>
      <c r="L137" s="94">
        <f t="shared" si="3"/>
        <v>1</v>
      </c>
      <c r="N137"/>
      <c r="O137" s="8"/>
      <c r="P137"/>
      <c r="Q137" s="8"/>
    </row>
    <row r="138" spans="2:17" x14ac:dyDescent="0.25">
      <c r="B138" s="156">
        <v>1</v>
      </c>
      <c r="C138" s="157" t="s">
        <v>82</v>
      </c>
      <c r="D138" s="158" t="s">
        <v>83</v>
      </c>
      <c r="E138" s="282"/>
      <c r="F138" s="62" t="s">
        <v>172</v>
      </c>
      <c r="G138" s="62" t="s">
        <v>172</v>
      </c>
      <c r="H138" s="55">
        <v>2</v>
      </c>
      <c r="I138" s="55">
        <v>0</v>
      </c>
      <c r="J138" s="69">
        <f t="shared" si="2"/>
        <v>0</v>
      </c>
      <c r="K138" s="55">
        <f>+I138+'NOVIEMBRE 2025 '!K138</f>
        <v>2</v>
      </c>
      <c r="L138" s="94">
        <f t="shared" si="3"/>
        <v>1</v>
      </c>
      <c r="N138"/>
      <c r="O138" s="8"/>
      <c r="P138"/>
      <c r="Q138" s="8"/>
    </row>
    <row r="139" spans="2:17" x14ac:dyDescent="0.25">
      <c r="B139" s="156">
        <v>1</v>
      </c>
      <c r="C139" s="157" t="s">
        <v>84</v>
      </c>
      <c r="D139" s="158" t="s">
        <v>85</v>
      </c>
      <c r="E139" s="282"/>
      <c r="F139" s="62" t="s">
        <v>172</v>
      </c>
      <c r="G139" s="62" t="s">
        <v>172</v>
      </c>
      <c r="H139" s="55">
        <v>40</v>
      </c>
      <c r="I139" s="55">
        <v>0</v>
      </c>
      <c r="J139" s="69">
        <f t="shared" si="2"/>
        <v>0</v>
      </c>
      <c r="K139" s="55">
        <f>+I139+'NOVIEMBRE 2025 '!K139</f>
        <v>40</v>
      </c>
      <c r="L139" s="94">
        <f t="shared" si="3"/>
        <v>1</v>
      </c>
      <c r="N139"/>
      <c r="O139" s="8"/>
      <c r="P139"/>
      <c r="Q139" s="8"/>
    </row>
    <row r="140" spans="2:17" x14ac:dyDescent="0.25">
      <c r="B140" s="156">
        <v>1</v>
      </c>
      <c r="C140" s="157" t="s">
        <v>86</v>
      </c>
      <c r="D140" s="158" t="s">
        <v>87</v>
      </c>
      <c r="E140" s="282"/>
      <c r="F140" s="62" t="s">
        <v>172</v>
      </c>
      <c r="G140" s="62" t="s">
        <v>172</v>
      </c>
      <c r="H140" s="55">
        <v>2</v>
      </c>
      <c r="I140" s="55">
        <v>0</v>
      </c>
      <c r="J140" s="69">
        <f t="shared" si="2"/>
        <v>0</v>
      </c>
      <c r="K140" s="55">
        <f>+I140+'NOVIEMBRE 2025 '!K140</f>
        <v>2</v>
      </c>
      <c r="L140" s="94">
        <f t="shared" si="3"/>
        <v>1</v>
      </c>
      <c r="N140"/>
      <c r="O140" s="8"/>
      <c r="P140"/>
      <c r="Q140" s="8"/>
    </row>
    <row r="141" spans="2:17" x14ac:dyDescent="0.25">
      <c r="B141" s="156">
        <v>1</v>
      </c>
      <c r="C141" s="157" t="s">
        <v>89</v>
      </c>
      <c r="D141" s="158" t="s">
        <v>90</v>
      </c>
      <c r="E141" s="282"/>
      <c r="F141" s="62" t="s">
        <v>172</v>
      </c>
      <c r="G141" s="62" t="s">
        <v>172</v>
      </c>
      <c r="H141" s="55">
        <v>8</v>
      </c>
      <c r="I141" s="55">
        <v>0</v>
      </c>
      <c r="J141" s="69">
        <f t="shared" si="2"/>
        <v>0</v>
      </c>
      <c r="K141" s="55">
        <f>+I141+'NOVIEMBRE 2025 '!K141</f>
        <v>8</v>
      </c>
      <c r="L141" s="94">
        <f t="shared" si="3"/>
        <v>1</v>
      </c>
      <c r="N141"/>
      <c r="O141" s="8"/>
      <c r="P141"/>
      <c r="Q141" s="8"/>
    </row>
    <row r="142" spans="2:17" s="16" customFormat="1" x14ac:dyDescent="0.25">
      <c r="B142" s="156">
        <v>1</v>
      </c>
      <c r="C142" s="157" t="s">
        <v>92</v>
      </c>
      <c r="D142" s="158" t="s">
        <v>93</v>
      </c>
      <c r="E142" s="282"/>
      <c r="F142" s="62" t="s">
        <v>172</v>
      </c>
      <c r="G142" s="62" t="s">
        <v>172</v>
      </c>
      <c r="H142" s="68">
        <v>15</v>
      </c>
      <c r="I142" s="55">
        <v>0</v>
      </c>
      <c r="J142" s="69">
        <f t="shared" si="2"/>
        <v>0</v>
      </c>
      <c r="K142" s="55">
        <f>+I142+'NOVIEMBRE 2025 '!K142</f>
        <v>15</v>
      </c>
      <c r="L142" s="94">
        <f t="shared" si="3"/>
        <v>1</v>
      </c>
      <c r="N142" s="41"/>
      <c r="P142" s="41"/>
    </row>
    <row r="143" spans="2:17" x14ac:dyDescent="0.25">
      <c r="B143" s="156">
        <v>1</v>
      </c>
      <c r="C143" s="157" t="s">
        <v>146</v>
      </c>
      <c r="D143" s="158" t="s">
        <v>147</v>
      </c>
      <c r="E143" s="282"/>
      <c r="F143" s="62" t="s">
        <v>172</v>
      </c>
      <c r="G143" s="62" t="s">
        <v>172</v>
      </c>
      <c r="H143" s="55">
        <v>5</v>
      </c>
      <c r="I143" s="55">
        <v>0</v>
      </c>
      <c r="J143" s="69">
        <f t="shared" ref="J143:J206" si="4">IFERROR(I143/H143,0)</f>
        <v>0</v>
      </c>
      <c r="K143" s="55">
        <f>+I143+'NOVIEMBRE 2025 '!K143</f>
        <v>5</v>
      </c>
      <c r="L143" s="94">
        <f t="shared" ref="L143:L206" si="5">IFERROR(K143/H143,0)</f>
        <v>1</v>
      </c>
      <c r="N143"/>
      <c r="O143" s="8"/>
      <c r="P143"/>
      <c r="Q143" s="8"/>
    </row>
    <row r="144" spans="2:17" x14ac:dyDescent="0.25">
      <c r="B144" s="156">
        <v>1</v>
      </c>
      <c r="C144" s="157" t="s">
        <v>95</v>
      </c>
      <c r="D144" s="158" t="s">
        <v>96</v>
      </c>
      <c r="E144" s="282"/>
      <c r="F144" s="63" t="s">
        <v>172</v>
      </c>
      <c r="G144" s="63" t="s">
        <v>172</v>
      </c>
      <c r="H144" s="55">
        <v>13</v>
      </c>
      <c r="I144" s="70">
        <v>0</v>
      </c>
      <c r="J144" s="69">
        <f t="shared" si="4"/>
        <v>0</v>
      </c>
      <c r="K144" s="70">
        <f>+I144+'NOVIEMBRE 2025 '!K144</f>
        <v>13</v>
      </c>
      <c r="L144" s="94">
        <f t="shared" si="5"/>
        <v>1</v>
      </c>
      <c r="N144"/>
      <c r="O144" s="8"/>
      <c r="P144"/>
      <c r="Q144" s="8"/>
    </row>
    <row r="145" spans="2:17" x14ac:dyDescent="0.25">
      <c r="B145" s="159">
        <v>8</v>
      </c>
      <c r="C145" s="160" t="s">
        <v>148</v>
      </c>
      <c r="D145" s="161" t="s">
        <v>141</v>
      </c>
      <c r="E145" s="283"/>
      <c r="F145" s="65" t="s">
        <v>172</v>
      </c>
      <c r="G145" s="65" t="s">
        <v>172</v>
      </c>
      <c r="H145" s="56">
        <v>15</v>
      </c>
      <c r="I145" s="56">
        <v>0</v>
      </c>
      <c r="J145" s="72">
        <f t="shared" si="4"/>
        <v>0</v>
      </c>
      <c r="K145" s="56">
        <f>+I145+'NOVIEMBRE 2025 '!K145</f>
        <v>15</v>
      </c>
      <c r="L145" s="96">
        <f t="shared" si="5"/>
        <v>1</v>
      </c>
      <c r="N145"/>
      <c r="O145" s="8"/>
      <c r="P145"/>
      <c r="Q145" s="8"/>
    </row>
    <row r="146" spans="2:17" x14ac:dyDescent="0.25">
      <c r="B146" s="153">
        <v>3</v>
      </c>
      <c r="C146" s="154" t="s">
        <v>43</v>
      </c>
      <c r="D146" s="155" t="s">
        <v>44</v>
      </c>
      <c r="E146" s="285" t="s">
        <v>239</v>
      </c>
      <c r="F146" s="60" t="s">
        <v>172</v>
      </c>
      <c r="G146" s="60" t="s">
        <v>172</v>
      </c>
      <c r="H146" s="66">
        <v>16</v>
      </c>
      <c r="I146" s="66">
        <v>0</v>
      </c>
      <c r="J146" s="69">
        <f t="shared" si="4"/>
        <v>0</v>
      </c>
      <c r="K146" s="66">
        <f>+I146+'NOVIEMBRE 2025 '!K146</f>
        <v>16</v>
      </c>
      <c r="L146" s="94">
        <f t="shared" si="5"/>
        <v>1</v>
      </c>
      <c r="N146"/>
      <c r="O146" s="8"/>
      <c r="P146"/>
      <c r="Q146" s="8"/>
    </row>
    <row r="147" spans="2:17" x14ac:dyDescent="0.25">
      <c r="B147" s="156">
        <v>3</v>
      </c>
      <c r="C147" s="157" t="s">
        <v>149</v>
      </c>
      <c r="D147" s="158" t="s">
        <v>150</v>
      </c>
      <c r="E147" s="286"/>
      <c r="F147" s="63" t="s">
        <v>172</v>
      </c>
      <c r="G147" s="63" t="s">
        <v>172</v>
      </c>
      <c r="H147" s="68">
        <v>17</v>
      </c>
      <c r="I147" s="55">
        <v>0</v>
      </c>
      <c r="J147" s="69">
        <f t="shared" si="4"/>
        <v>0</v>
      </c>
      <c r="K147" s="55">
        <f>+I147+'NOVIEMBRE 2025 '!K147</f>
        <v>17</v>
      </c>
      <c r="L147" s="94">
        <f t="shared" si="5"/>
        <v>1</v>
      </c>
      <c r="N147"/>
      <c r="O147" s="8"/>
      <c r="P147"/>
      <c r="Q147" s="8"/>
    </row>
    <row r="148" spans="2:17" x14ac:dyDescent="0.25">
      <c r="B148" s="156">
        <v>3</v>
      </c>
      <c r="C148" s="157" t="s">
        <v>46</v>
      </c>
      <c r="D148" s="158" t="s">
        <v>47</v>
      </c>
      <c r="E148" s="286"/>
      <c r="F148" s="62" t="s">
        <v>172</v>
      </c>
      <c r="G148" s="62" t="s">
        <v>172</v>
      </c>
      <c r="H148" s="55">
        <v>16</v>
      </c>
      <c r="I148" s="70">
        <v>0</v>
      </c>
      <c r="J148" s="69">
        <f t="shared" si="4"/>
        <v>0</v>
      </c>
      <c r="K148" s="70">
        <f>+I148+'NOVIEMBRE 2025 '!K148</f>
        <v>16</v>
      </c>
      <c r="L148" s="94">
        <f t="shared" si="5"/>
        <v>1</v>
      </c>
      <c r="N148"/>
      <c r="O148" s="8"/>
      <c r="P148"/>
      <c r="Q148" s="8"/>
    </row>
    <row r="149" spans="2:17" x14ac:dyDescent="0.25">
      <c r="B149" s="156">
        <v>3</v>
      </c>
      <c r="C149" s="157" t="s">
        <v>98</v>
      </c>
      <c r="D149" s="158" t="s">
        <v>99</v>
      </c>
      <c r="E149" s="286"/>
      <c r="F149" s="62" t="s">
        <v>172</v>
      </c>
      <c r="G149" s="62" t="s">
        <v>172</v>
      </c>
      <c r="H149" s="55">
        <v>17</v>
      </c>
      <c r="I149" s="55">
        <v>0</v>
      </c>
      <c r="J149" s="69">
        <f t="shared" si="4"/>
        <v>0</v>
      </c>
      <c r="K149" s="55">
        <f>+I149+'NOVIEMBRE 2025 '!K149</f>
        <v>17</v>
      </c>
      <c r="L149" s="94">
        <f t="shared" si="5"/>
        <v>1</v>
      </c>
      <c r="N149"/>
      <c r="O149" s="8"/>
      <c r="P149"/>
      <c r="Q149" s="8"/>
    </row>
    <row r="150" spans="2:17" x14ac:dyDescent="0.25">
      <c r="B150" s="156">
        <v>3</v>
      </c>
      <c r="C150" s="157" t="s">
        <v>49</v>
      </c>
      <c r="D150" s="158" t="s">
        <v>50</v>
      </c>
      <c r="E150" s="286"/>
      <c r="F150" s="62" t="s">
        <v>172</v>
      </c>
      <c r="G150" s="62" t="s">
        <v>172</v>
      </c>
      <c r="H150" s="55">
        <v>16</v>
      </c>
      <c r="I150" s="55">
        <v>0</v>
      </c>
      <c r="J150" s="69">
        <f t="shared" si="4"/>
        <v>0</v>
      </c>
      <c r="K150" s="55">
        <f>+I150+'NOVIEMBRE 2025 '!K150</f>
        <v>16</v>
      </c>
      <c r="L150" s="94">
        <f t="shared" si="5"/>
        <v>1</v>
      </c>
      <c r="N150"/>
      <c r="O150" s="8"/>
      <c r="P150"/>
      <c r="Q150" s="8"/>
    </row>
    <row r="151" spans="2:17" x14ac:dyDescent="0.25">
      <c r="B151" s="156">
        <v>3</v>
      </c>
      <c r="C151" s="157" t="s">
        <v>52</v>
      </c>
      <c r="D151" s="158" t="s">
        <v>53</v>
      </c>
      <c r="E151" s="286"/>
      <c r="F151" s="62" t="s">
        <v>172</v>
      </c>
      <c r="G151" s="62" t="s">
        <v>172</v>
      </c>
      <c r="H151" s="55">
        <v>17</v>
      </c>
      <c r="I151" s="55">
        <v>0</v>
      </c>
      <c r="J151" s="69">
        <f t="shared" si="4"/>
        <v>0</v>
      </c>
      <c r="K151" s="55">
        <f>+I151+'NOVIEMBRE 2025 '!K151</f>
        <v>17</v>
      </c>
      <c r="L151" s="94">
        <f t="shared" si="5"/>
        <v>1</v>
      </c>
      <c r="N151"/>
      <c r="O151" s="8"/>
      <c r="P151"/>
      <c r="Q151" s="8"/>
    </row>
    <row r="152" spans="2:17" x14ac:dyDescent="0.25">
      <c r="B152" s="156">
        <v>3</v>
      </c>
      <c r="C152" s="157" t="s">
        <v>55</v>
      </c>
      <c r="D152" s="158" t="s">
        <v>56</v>
      </c>
      <c r="E152" s="286"/>
      <c r="F152" s="62" t="s">
        <v>172</v>
      </c>
      <c r="G152" s="62" t="s">
        <v>172</v>
      </c>
      <c r="H152" s="55">
        <v>16</v>
      </c>
      <c r="I152" s="55">
        <v>0</v>
      </c>
      <c r="J152" s="69">
        <f t="shared" si="4"/>
        <v>0</v>
      </c>
      <c r="K152" s="55">
        <f>+I152+'NOVIEMBRE 2025 '!K152</f>
        <v>16</v>
      </c>
      <c r="L152" s="94">
        <f t="shared" si="5"/>
        <v>1</v>
      </c>
      <c r="N152"/>
      <c r="O152" s="8"/>
      <c r="P152"/>
      <c r="Q152" s="8"/>
    </row>
    <row r="153" spans="2:17" s="16" customFormat="1" x14ac:dyDescent="0.25">
      <c r="B153" s="156">
        <v>5</v>
      </c>
      <c r="C153" s="157" t="s">
        <v>151</v>
      </c>
      <c r="D153" s="158" t="s">
        <v>152</v>
      </c>
      <c r="E153" s="286"/>
      <c r="F153" s="62" t="s">
        <v>172</v>
      </c>
      <c r="G153" s="62" t="s">
        <v>172</v>
      </c>
      <c r="H153" s="55">
        <v>16</v>
      </c>
      <c r="I153" s="55">
        <v>0</v>
      </c>
      <c r="J153" s="69">
        <f t="shared" si="4"/>
        <v>0</v>
      </c>
      <c r="K153" s="55">
        <f>+I153+'NOVIEMBRE 2025 '!K153</f>
        <v>16</v>
      </c>
      <c r="L153" s="94">
        <f t="shared" si="5"/>
        <v>1</v>
      </c>
      <c r="N153" s="41"/>
      <c r="P153" s="41"/>
    </row>
    <row r="154" spans="2:17" x14ac:dyDescent="0.25">
      <c r="B154" s="156">
        <v>5</v>
      </c>
      <c r="C154" s="157" t="s">
        <v>57</v>
      </c>
      <c r="D154" s="158" t="s">
        <v>58</v>
      </c>
      <c r="E154" s="286"/>
      <c r="F154" s="62" t="s">
        <v>172</v>
      </c>
      <c r="G154" s="62" t="s">
        <v>172</v>
      </c>
      <c r="H154" s="68">
        <v>16</v>
      </c>
      <c r="I154" s="55">
        <v>0</v>
      </c>
      <c r="J154" s="69">
        <f t="shared" si="4"/>
        <v>0</v>
      </c>
      <c r="K154" s="55">
        <f>+I154+'NOVIEMBRE 2025 '!K154</f>
        <v>16</v>
      </c>
      <c r="L154" s="94">
        <f t="shared" si="5"/>
        <v>1</v>
      </c>
      <c r="N154"/>
      <c r="O154" s="8"/>
      <c r="P154"/>
      <c r="Q154" s="8"/>
    </row>
    <row r="155" spans="2:17" x14ac:dyDescent="0.25">
      <c r="B155" s="156">
        <v>5</v>
      </c>
      <c r="C155" s="157" t="s">
        <v>59</v>
      </c>
      <c r="D155" s="158" t="s">
        <v>60</v>
      </c>
      <c r="E155" s="286"/>
      <c r="F155" s="63" t="s">
        <v>172</v>
      </c>
      <c r="G155" s="63" t="s">
        <v>172</v>
      </c>
      <c r="H155" s="55">
        <v>16</v>
      </c>
      <c r="I155" s="55">
        <v>0</v>
      </c>
      <c r="J155" s="69">
        <f t="shared" si="4"/>
        <v>0</v>
      </c>
      <c r="K155" s="55">
        <f>+I155+'NOVIEMBRE 2025 '!K155</f>
        <v>16</v>
      </c>
      <c r="L155" s="94">
        <f t="shared" si="5"/>
        <v>1</v>
      </c>
      <c r="N155"/>
      <c r="O155" s="8"/>
      <c r="P155"/>
      <c r="Q155" s="8"/>
    </row>
    <row r="156" spans="2:17" x14ac:dyDescent="0.25">
      <c r="B156" s="159">
        <v>8</v>
      </c>
      <c r="C156" s="160" t="s">
        <v>61</v>
      </c>
      <c r="D156" s="161" t="s">
        <v>62</v>
      </c>
      <c r="E156" s="287"/>
      <c r="F156" s="65" t="s">
        <v>172</v>
      </c>
      <c r="G156" s="65" t="s">
        <v>172</v>
      </c>
      <c r="H156" s="56">
        <v>17</v>
      </c>
      <c r="I156" s="56">
        <v>0</v>
      </c>
      <c r="J156" s="72">
        <f t="shared" si="4"/>
        <v>0</v>
      </c>
      <c r="K156" s="56">
        <f>+I156+'NOVIEMBRE 2025 '!K156</f>
        <v>17</v>
      </c>
      <c r="L156" s="96">
        <f t="shared" si="5"/>
        <v>1</v>
      </c>
      <c r="N156"/>
      <c r="O156" s="8"/>
      <c r="P156"/>
      <c r="Q156" s="8"/>
    </row>
    <row r="157" spans="2:17" x14ac:dyDescent="0.25">
      <c r="B157" s="35">
        <v>3</v>
      </c>
      <c r="C157" s="36" t="s">
        <v>43</v>
      </c>
      <c r="D157" s="37" t="s">
        <v>44</v>
      </c>
      <c r="E157" s="218" t="s">
        <v>157</v>
      </c>
      <c r="F157" s="59" t="s">
        <v>45</v>
      </c>
      <c r="G157" s="60" t="s">
        <v>1470</v>
      </c>
      <c r="H157" s="66">
        <v>27</v>
      </c>
      <c r="I157" s="66">
        <v>3</v>
      </c>
      <c r="J157" s="69">
        <f t="shared" si="4"/>
        <v>0.1111111111111111</v>
      </c>
      <c r="K157" s="66">
        <f>+I157+'NOVIEMBRE 2025 '!K157</f>
        <v>27</v>
      </c>
      <c r="L157" s="94">
        <f t="shared" si="5"/>
        <v>1</v>
      </c>
      <c r="N157"/>
      <c r="O157" s="8"/>
      <c r="P157"/>
      <c r="Q157" s="8"/>
    </row>
    <row r="158" spans="2:17" x14ac:dyDescent="0.25">
      <c r="B158" s="38">
        <v>3</v>
      </c>
      <c r="C158" s="39" t="s">
        <v>153</v>
      </c>
      <c r="D158" s="40" t="s">
        <v>154</v>
      </c>
      <c r="E158" s="219"/>
      <c r="F158" s="61" t="s">
        <v>159</v>
      </c>
      <c r="G158" s="63" t="s">
        <v>288</v>
      </c>
      <c r="H158" s="55">
        <v>27</v>
      </c>
      <c r="I158" s="55">
        <v>3</v>
      </c>
      <c r="J158" s="69">
        <f t="shared" si="4"/>
        <v>0.1111111111111111</v>
      </c>
      <c r="K158" s="55">
        <f>+I158+'NOVIEMBRE 2025 '!K158</f>
        <v>27</v>
      </c>
      <c r="L158" s="94">
        <f t="shared" si="5"/>
        <v>1</v>
      </c>
      <c r="N158"/>
      <c r="O158" s="8"/>
      <c r="P158"/>
      <c r="Q158" s="8"/>
    </row>
    <row r="159" spans="2:17" x14ac:dyDescent="0.25">
      <c r="B159" s="38">
        <v>3</v>
      </c>
      <c r="C159" s="39" t="s">
        <v>46</v>
      </c>
      <c r="D159" s="40" t="s">
        <v>47</v>
      </c>
      <c r="E159" s="219"/>
      <c r="F159" s="61" t="s">
        <v>48</v>
      </c>
      <c r="G159" s="62" t="s">
        <v>289</v>
      </c>
      <c r="H159" s="55">
        <v>27</v>
      </c>
      <c r="I159" s="55">
        <v>3</v>
      </c>
      <c r="J159" s="69">
        <f t="shared" si="4"/>
        <v>0.1111111111111111</v>
      </c>
      <c r="K159" s="55">
        <f>+I159+'NOVIEMBRE 2025 '!K159</f>
        <v>27</v>
      </c>
      <c r="L159" s="94">
        <f t="shared" si="5"/>
        <v>1</v>
      </c>
      <c r="N159"/>
      <c r="O159" s="8"/>
      <c r="P159"/>
      <c r="Q159" s="8"/>
    </row>
    <row r="160" spans="2:17" x14ac:dyDescent="0.25">
      <c r="B160" s="38">
        <v>3</v>
      </c>
      <c r="C160" s="39" t="s">
        <v>98</v>
      </c>
      <c r="D160" s="40" t="s">
        <v>99</v>
      </c>
      <c r="E160" s="219"/>
      <c r="F160" s="61" t="s">
        <v>48</v>
      </c>
      <c r="G160" s="62" t="s">
        <v>1470</v>
      </c>
      <c r="H160" s="55">
        <v>27</v>
      </c>
      <c r="I160" s="55">
        <v>3</v>
      </c>
      <c r="J160" s="69">
        <f t="shared" si="4"/>
        <v>0.1111111111111111</v>
      </c>
      <c r="K160" s="55">
        <f>+I160+'NOVIEMBRE 2025 '!K160</f>
        <v>27</v>
      </c>
      <c r="L160" s="94">
        <f t="shared" si="5"/>
        <v>1</v>
      </c>
      <c r="N160"/>
      <c r="O160" s="8"/>
      <c r="P160"/>
      <c r="Q160" s="8"/>
    </row>
    <row r="161" spans="2:17" s="16" customFormat="1" x14ac:dyDescent="0.25">
      <c r="B161" s="38">
        <v>3</v>
      </c>
      <c r="C161" s="39" t="s">
        <v>49</v>
      </c>
      <c r="D161" s="40" t="s">
        <v>50</v>
      </c>
      <c r="E161" s="219"/>
      <c r="F161" s="61" t="s">
        <v>51</v>
      </c>
      <c r="G161" s="62" t="s">
        <v>155</v>
      </c>
      <c r="H161" s="55">
        <v>27</v>
      </c>
      <c r="I161" s="55">
        <v>3</v>
      </c>
      <c r="J161" s="69">
        <f t="shared" si="4"/>
        <v>0.1111111111111111</v>
      </c>
      <c r="K161" s="55">
        <f>+I161+'NOVIEMBRE 2025 '!K161</f>
        <v>27</v>
      </c>
      <c r="L161" s="94">
        <f t="shared" si="5"/>
        <v>1</v>
      </c>
      <c r="N161" s="41"/>
      <c r="P161" s="41"/>
    </row>
    <row r="162" spans="2:17" x14ac:dyDescent="0.25">
      <c r="B162" s="38">
        <v>3</v>
      </c>
      <c r="C162" s="39" t="s">
        <v>52</v>
      </c>
      <c r="D162" s="40" t="s">
        <v>53</v>
      </c>
      <c r="E162" s="219"/>
      <c r="F162" s="61" t="s">
        <v>54</v>
      </c>
      <c r="G162" s="62" t="s">
        <v>167</v>
      </c>
      <c r="H162" s="55">
        <v>27</v>
      </c>
      <c r="I162" s="55">
        <v>3</v>
      </c>
      <c r="J162" s="69">
        <f t="shared" si="4"/>
        <v>0.1111111111111111</v>
      </c>
      <c r="K162" s="55">
        <f>+I162+'NOVIEMBRE 2025 '!K162</f>
        <v>27</v>
      </c>
      <c r="L162" s="94">
        <f t="shared" si="5"/>
        <v>1</v>
      </c>
      <c r="N162"/>
      <c r="O162" s="8"/>
      <c r="P162"/>
      <c r="Q162" s="8"/>
    </row>
    <row r="163" spans="2:17" x14ac:dyDescent="0.25">
      <c r="B163" s="38">
        <v>3</v>
      </c>
      <c r="C163" s="39" t="s">
        <v>55</v>
      </c>
      <c r="D163" s="40" t="s">
        <v>56</v>
      </c>
      <c r="E163" s="219"/>
      <c r="F163" s="61" t="s">
        <v>54</v>
      </c>
      <c r="G163" s="62" t="s">
        <v>168</v>
      </c>
      <c r="H163" s="55">
        <v>27</v>
      </c>
      <c r="I163" s="55">
        <v>3</v>
      </c>
      <c r="J163" s="69">
        <f t="shared" si="4"/>
        <v>0.1111111111111111</v>
      </c>
      <c r="K163" s="55">
        <f>+I163+'NOVIEMBRE 2025 '!K163</f>
        <v>27</v>
      </c>
      <c r="L163" s="94">
        <f t="shared" si="5"/>
        <v>1</v>
      </c>
      <c r="N163"/>
      <c r="O163" s="8"/>
      <c r="P163"/>
      <c r="Q163" s="8"/>
    </row>
    <row r="164" spans="2:17" x14ac:dyDescent="0.25">
      <c r="B164" s="38">
        <v>5</v>
      </c>
      <c r="C164" s="39" t="s">
        <v>57</v>
      </c>
      <c r="D164" s="40" t="s">
        <v>58</v>
      </c>
      <c r="E164" s="219"/>
      <c r="F164" s="61" t="s">
        <v>54</v>
      </c>
      <c r="G164" s="62" t="s">
        <v>155</v>
      </c>
      <c r="H164" s="68">
        <v>27</v>
      </c>
      <c r="I164" s="55">
        <v>3</v>
      </c>
      <c r="J164" s="69">
        <f t="shared" si="4"/>
        <v>0.1111111111111111</v>
      </c>
      <c r="K164" s="55">
        <f>+I164+'NOVIEMBRE 2025 '!K164</f>
        <v>27</v>
      </c>
      <c r="L164" s="94">
        <f t="shared" si="5"/>
        <v>1</v>
      </c>
      <c r="N164"/>
      <c r="O164" s="8"/>
      <c r="P164"/>
      <c r="Q164" s="8"/>
    </row>
    <row r="165" spans="2:17" x14ac:dyDescent="0.25">
      <c r="B165" s="38">
        <v>5</v>
      </c>
      <c r="C165" s="39" t="s">
        <v>59</v>
      </c>
      <c r="D165" s="40" t="s">
        <v>60</v>
      </c>
      <c r="E165" s="219"/>
      <c r="F165" s="61" t="s">
        <v>54</v>
      </c>
      <c r="G165" s="62" t="s">
        <v>1470</v>
      </c>
      <c r="H165" s="55">
        <v>27</v>
      </c>
      <c r="I165" s="55">
        <v>3</v>
      </c>
      <c r="J165" s="69">
        <f t="shared" si="4"/>
        <v>0.1111111111111111</v>
      </c>
      <c r="K165" s="55">
        <f>+I165+'NOVIEMBRE 2025 '!K165</f>
        <v>27</v>
      </c>
      <c r="L165" s="94">
        <f t="shared" si="5"/>
        <v>1</v>
      </c>
      <c r="N165"/>
      <c r="O165" s="8"/>
      <c r="P165"/>
      <c r="Q165" s="8"/>
    </row>
    <row r="166" spans="2:17" x14ac:dyDescent="0.25">
      <c r="B166" s="42">
        <v>8</v>
      </c>
      <c r="C166" s="43" t="s">
        <v>61</v>
      </c>
      <c r="D166" s="44" t="s">
        <v>62</v>
      </c>
      <c r="E166" s="220"/>
      <c r="F166" s="64" t="s">
        <v>63</v>
      </c>
      <c r="G166" s="135" t="s">
        <v>156</v>
      </c>
      <c r="H166" s="56">
        <v>27</v>
      </c>
      <c r="I166" s="56">
        <v>3</v>
      </c>
      <c r="J166" s="72">
        <f t="shared" si="4"/>
        <v>0.1111111111111111</v>
      </c>
      <c r="K166" s="56">
        <f>+I166+'NOVIEMBRE 2025 '!K166</f>
        <v>27</v>
      </c>
      <c r="L166" s="96">
        <f t="shared" si="5"/>
        <v>1</v>
      </c>
      <c r="N166"/>
      <c r="O166" s="8"/>
      <c r="P166"/>
      <c r="Q166" s="8"/>
    </row>
    <row r="167" spans="2:17" x14ac:dyDescent="0.25">
      <c r="B167" s="35">
        <v>3</v>
      </c>
      <c r="C167" s="36" t="s">
        <v>43</v>
      </c>
      <c r="D167" s="37" t="s">
        <v>44</v>
      </c>
      <c r="E167" s="228" t="s">
        <v>158</v>
      </c>
      <c r="F167" s="59" t="s">
        <v>1422</v>
      </c>
      <c r="G167" s="60" t="s">
        <v>1423</v>
      </c>
      <c r="H167" s="66">
        <v>27</v>
      </c>
      <c r="I167" s="66">
        <v>1</v>
      </c>
      <c r="J167" s="69">
        <f t="shared" si="4"/>
        <v>3.7037037037037035E-2</v>
      </c>
      <c r="K167" s="66">
        <f>+I167+'NOVIEMBRE 2025 '!K167</f>
        <v>27</v>
      </c>
      <c r="L167" s="94">
        <f t="shared" si="5"/>
        <v>1</v>
      </c>
      <c r="N167"/>
      <c r="O167" s="8"/>
      <c r="P167"/>
      <c r="Q167" s="8"/>
    </row>
    <row r="168" spans="2:17" x14ac:dyDescent="0.25">
      <c r="B168" s="38">
        <v>3</v>
      </c>
      <c r="C168" s="39" t="s">
        <v>153</v>
      </c>
      <c r="D168" s="40" t="s">
        <v>154</v>
      </c>
      <c r="E168" s="229"/>
      <c r="F168" s="1"/>
      <c r="G168" s="62"/>
      <c r="H168" s="68">
        <v>27</v>
      </c>
      <c r="I168" s="55"/>
      <c r="J168" s="69">
        <f t="shared" si="4"/>
        <v>0</v>
      </c>
      <c r="K168" s="55">
        <f>+I168+'NOVIEMBRE 2025 '!K168</f>
        <v>27</v>
      </c>
      <c r="L168" s="94">
        <f t="shared" si="5"/>
        <v>1</v>
      </c>
      <c r="N168"/>
      <c r="O168" s="8"/>
      <c r="P168"/>
      <c r="Q168" s="8"/>
    </row>
    <row r="169" spans="2:17" x14ac:dyDescent="0.25">
      <c r="B169" s="38">
        <v>3</v>
      </c>
      <c r="C169" s="39" t="s">
        <v>46</v>
      </c>
      <c r="D169" s="40" t="s">
        <v>47</v>
      </c>
      <c r="E169" s="229"/>
      <c r="F169" s="61"/>
      <c r="G169" s="63"/>
      <c r="H169" s="55">
        <v>27</v>
      </c>
      <c r="I169" s="70"/>
      <c r="J169" s="69">
        <f t="shared" si="4"/>
        <v>0</v>
      </c>
      <c r="K169" s="70">
        <f>+I169+'NOVIEMBRE 2025 '!K169</f>
        <v>27</v>
      </c>
      <c r="L169" s="94">
        <f t="shared" si="5"/>
        <v>1</v>
      </c>
      <c r="N169"/>
      <c r="O169" s="8"/>
      <c r="P169"/>
      <c r="Q169" s="8"/>
    </row>
    <row r="170" spans="2:17" x14ac:dyDescent="0.25">
      <c r="B170" s="38">
        <v>3</v>
      </c>
      <c r="C170" s="39" t="s">
        <v>98</v>
      </c>
      <c r="D170" s="40" t="s">
        <v>99</v>
      </c>
      <c r="E170" s="229"/>
      <c r="F170" s="61" t="s">
        <v>1471</v>
      </c>
      <c r="G170" s="63" t="s">
        <v>1472</v>
      </c>
      <c r="H170" s="55">
        <v>27</v>
      </c>
      <c r="I170" s="55">
        <v>9</v>
      </c>
      <c r="J170" s="69">
        <f t="shared" si="4"/>
        <v>0.33333333333333331</v>
      </c>
      <c r="K170" s="55">
        <f>+I170+'NOVIEMBRE 2025 '!K170</f>
        <v>27</v>
      </c>
      <c r="L170" s="94">
        <f t="shared" si="5"/>
        <v>1</v>
      </c>
      <c r="N170"/>
      <c r="O170" s="8"/>
      <c r="P170"/>
      <c r="Q170" s="8"/>
    </row>
    <row r="171" spans="2:17" s="16" customFormat="1" x14ac:dyDescent="0.25">
      <c r="B171" s="38">
        <v>3</v>
      </c>
      <c r="C171" s="39" t="s">
        <v>49</v>
      </c>
      <c r="D171" s="40" t="s">
        <v>50</v>
      </c>
      <c r="E171" s="229"/>
      <c r="F171" s="61" t="s">
        <v>1116</v>
      </c>
      <c r="G171" s="63" t="s">
        <v>1473</v>
      </c>
      <c r="H171" s="55">
        <v>27</v>
      </c>
      <c r="I171" s="55">
        <v>4</v>
      </c>
      <c r="J171" s="69">
        <f t="shared" si="4"/>
        <v>0.14814814814814814</v>
      </c>
      <c r="K171" s="55">
        <f>+I171+'NOVIEMBRE 2025 '!K171</f>
        <v>27</v>
      </c>
      <c r="L171" s="94">
        <f t="shared" si="5"/>
        <v>1</v>
      </c>
      <c r="N171" s="41"/>
      <c r="P171" s="41"/>
    </row>
    <row r="172" spans="2:17" x14ac:dyDescent="0.25">
      <c r="B172" s="38">
        <v>3</v>
      </c>
      <c r="C172" s="39" t="s">
        <v>52</v>
      </c>
      <c r="D172" s="40" t="s">
        <v>53</v>
      </c>
      <c r="E172" s="229"/>
      <c r="F172" s="61"/>
      <c r="G172" s="63"/>
      <c r="H172" s="55">
        <v>27</v>
      </c>
      <c r="I172" s="55"/>
      <c r="J172" s="69">
        <f t="shared" si="4"/>
        <v>0</v>
      </c>
      <c r="K172" s="55">
        <f>+I172+'NOVIEMBRE 2025 '!K172</f>
        <v>27</v>
      </c>
      <c r="L172" s="94">
        <f t="shared" si="5"/>
        <v>1</v>
      </c>
      <c r="N172"/>
      <c r="O172" s="8"/>
      <c r="P172"/>
      <c r="Q172" s="8"/>
    </row>
    <row r="173" spans="2:17" x14ac:dyDescent="0.25">
      <c r="B173" s="38">
        <v>3</v>
      </c>
      <c r="C173" s="39" t="s">
        <v>55</v>
      </c>
      <c r="D173" s="40" t="s">
        <v>56</v>
      </c>
      <c r="E173" s="229"/>
      <c r="F173" s="61" t="s">
        <v>1474</v>
      </c>
      <c r="G173" s="63" t="s">
        <v>820</v>
      </c>
      <c r="H173" s="55">
        <v>27</v>
      </c>
      <c r="I173" s="55">
        <v>6</v>
      </c>
      <c r="J173" s="69">
        <f t="shared" si="4"/>
        <v>0.22222222222222221</v>
      </c>
      <c r="K173" s="55">
        <f>+I173+'NOVIEMBRE 2025 '!K173</f>
        <v>27</v>
      </c>
      <c r="L173" s="94">
        <f t="shared" si="5"/>
        <v>1</v>
      </c>
      <c r="N173"/>
      <c r="O173" s="8"/>
      <c r="P173"/>
      <c r="Q173" s="8"/>
    </row>
    <row r="174" spans="2:17" x14ac:dyDescent="0.25">
      <c r="B174" s="38">
        <v>5</v>
      </c>
      <c r="C174" s="39" t="s">
        <v>57</v>
      </c>
      <c r="D174" s="40" t="s">
        <v>58</v>
      </c>
      <c r="E174" s="229"/>
      <c r="F174" s="61"/>
      <c r="G174" s="63"/>
      <c r="H174" s="55">
        <v>27</v>
      </c>
      <c r="I174" s="55"/>
      <c r="J174" s="69">
        <f t="shared" si="4"/>
        <v>0</v>
      </c>
      <c r="K174" s="55">
        <f>+I174+'NOVIEMBRE 2025 '!K174</f>
        <v>27</v>
      </c>
      <c r="L174" s="94">
        <f t="shared" si="5"/>
        <v>1</v>
      </c>
      <c r="N174"/>
      <c r="O174" s="8"/>
      <c r="P174"/>
      <c r="Q174" s="8"/>
    </row>
    <row r="175" spans="2:17" x14ac:dyDescent="0.25">
      <c r="B175" s="38">
        <v>5</v>
      </c>
      <c r="C175" s="39" t="s">
        <v>59</v>
      </c>
      <c r="D175" s="40" t="s">
        <v>60</v>
      </c>
      <c r="E175" s="229"/>
      <c r="F175" s="61"/>
      <c r="G175" s="63"/>
      <c r="H175" s="68">
        <v>27</v>
      </c>
      <c r="I175" s="55"/>
      <c r="J175" s="69">
        <f t="shared" si="4"/>
        <v>0</v>
      </c>
      <c r="K175" s="55">
        <f>+I175+'NOVIEMBRE 2025 '!K175</f>
        <v>27</v>
      </c>
      <c r="L175" s="94">
        <f t="shared" si="5"/>
        <v>1</v>
      </c>
      <c r="N175"/>
      <c r="O175" s="8"/>
      <c r="P175"/>
      <c r="Q175" s="8"/>
    </row>
    <row r="176" spans="2:17" x14ac:dyDescent="0.25">
      <c r="B176" s="42">
        <v>8</v>
      </c>
      <c r="C176" s="43" t="s">
        <v>61</v>
      </c>
      <c r="D176" s="44" t="s">
        <v>62</v>
      </c>
      <c r="E176" s="230"/>
      <c r="F176" s="64" t="s">
        <v>1475</v>
      </c>
      <c r="G176" s="65" t="s">
        <v>1476</v>
      </c>
      <c r="H176" s="56">
        <v>27</v>
      </c>
      <c r="I176" s="56">
        <v>10</v>
      </c>
      <c r="J176" s="72">
        <f t="shared" si="4"/>
        <v>0.37037037037037035</v>
      </c>
      <c r="K176" s="56">
        <f>+I176+'NOVIEMBRE 2025 '!K176</f>
        <v>27</v>
      </c>
      <c r="L176" s="96">
        <f t="shared" si="5"/>
        <v>1</v>
      </c>
      <c r="N176"/>
      <c r="O176" s="8"/>
      <c r="P176"/>
      <c r="Q176" s="8"/>
    </row>
    <row r="177" spans="2:17" x14ac:dyDescent="0.25">
      <c r="B177" s="35">
        <v>3</v>
      </c>
      <c r="C177" s="36" t="s">
        <v>43</v>
      </c>
      <c r="D177" s="37" t="s">
        <v>44</v>
      </c>
      <c r="E177" s="228" t="s">
        <v>183</v>
      </c>
      <c r="F177" s="59" t="s">
        <v>1335</v>
      </c>
      <c r="G177" s="63" t="s">
        <v>1442</v>
      </c>
      <c r="H177" s="66">
        <v>45</v>
      </c>
      <c r="I177" s="66">
        <v>0</v>
      </c>
      <c r="J177" s="69">
        <f t="shared" si="4"/>
        <v>0</v>
      </c>
      <c r="K177" s="66">
        <f>+I177+'NOVIEMBRE 2025 '!K177</f>
        <v>45</v>
      </c>
      <c r="L177" s="94">
        <f t="shared" si="5"/>
        <v>1</v>
      </c>
      <c r="N177"/>
      <c r="O177" s="8"/>
      <c r="P177"/>
      <c r="Q177" s="8"/>
    </row>
    <row r="178" spans="2:17" x14ac:dyDescent="0.25">
      <c r="B178" s="38">
        <v>3</v>
      </c>
      <c r="C178" s="39" t="s">
        <v>46</v>
      </c>
      <c r="D178" s="40" t="s">
        <v>47</v>
      </c>
      <c r="E178" s="229"/>
      <c r="F178" s="61" t="s">
        <v>48</v>
      </c>
      <c r="G178" s="63" t="s">
        <v>1442</v>
      </c>
      <c r="H178" s="68">
        <v>45</v>
      </c>
      <c r="I178" s="55">
        <v>5</v>
      </c>
      <c r="J178" s="69">
        <f t="shared" si="4"/>
        <v>0.1111111111111111</v>
      </c>
      <c r="K178" s="55">
        <f>+I178+'NOVIEMBRE 2025 '!K178</f>
        <v>45</v>
      </c>
      <c r="L178" s="94">
        <f t="shared" si="5"/>
        <v>1</v>
      </c>
      <c r="N178"/>
      <c r="O178" s="8"/>
      <c r="P178"/>
      <c r="Q178" s="8"/>
    </row>
    <row r="179" spans="2:17" x14ac:dyDescent="0.25">
      <c r="B179" s="38">
        <v>3</v>
      </c>
      <c r="C179" s="39" t="s">
        <v>49</v>
      </c>
      <c r="D179" s="40" t="s">
        <v>50</v>
      </c>
      <c r="E179" s="229"/>
      <c r="F179" s="61" t="s">
        <v>1337</v>
      </c>
      <c r="G179" s="63" t="s">
        <v>1442</v>
      </c>
      <c r="H179" s="55">
        <v>40</v>
      </c>
      <c r="I179" s="70">
        <v>3</v>
      </c>
      <c r="J179" s="69">
        <f t="shared" si="4"/>
        <v>7.4999999999999997E-2</v>
      </c>
      <c r="K179" s="70">
        <f>+I179+'NOVIEMBRE 2025 '!K179</f>
        <v>40</v>
      </c>
      <c r="L179" s="94">
        <f t="shared" si="5"/>
        <v>1</v>
      </c>
      <c r="N179"/>
      <c r="O179" s="8"/>
      <c r="P179"/>
      <c r="Q179" s="8"/>
    </row>
    <row r="180" spans="2:17" x14ac:dyDescent="0.25">
      <c r="B180" s="38">
        <v>3</v>
      </c>
      <c r="C180" s="39" t="s">
        <v>52</v>
      </c>
      <c r="D180" s="40" t="s">
        <v>53</v>
      </c>
      <c r="E180" s="229"/>
      <c r="F180" s="61" t="s">
        <v>1443</v>
      </c>
      <c r="G180" s="63" t="s">
        <v>1442</v>
      </c>
      <c r="H180" s="55">
        <v>70</v>
      </c>
      <c r="I180" s="55">
        <v>13</v>
      </c>
      <c r="J180" s="69">
        <f t="shared" si="4"/>
        <v>0.18571428571428572</v>
      </c>
      <c r="K180" s="55">
        <f>+I180+'NOVIEMBRE 2025 '!K180</f>
        <v>70</v>
      </c>
      <c r="L180" s="94">
        <f t="shared" si="5"/>
        <v>1</v>
      </c>
      <c r="N180"/>
      <c r="O180" s="8"/>
      <c r="P180"/>
      <c r="Q180" s="8"/>
    </row>
    <row r="181" spans="2:17" x14ac:dyDescent="0.25">
      <c r="B181" s="42">
        <v>3</v>
      </c>
      <c r="C181" s="43" t="s">
        <v>55</v>
      </c>
      <c r="D181" s="44" t="s">
        <v>56</v>
      </c>
      <c r="E181" s="230"/>
      <c r="F181" s="64" t="s">
        <v>1338</v>
      </c>
      <c r="G181" s="63" t="s">
        <v>1442</v>
      </c>
      <c r="H181" s="56">
        <v>70</v>
      </c>
      <c r="I181" s="56">
        <v>9</v>
      </c>
      <c r="J181" s="72">
        <f t="shared" si="4"/>
        <v>0.12857142857142856</v>
      </c>
      <c r="K181" s="56">
        <f>+I181+'NOVIEMBRE 2025 '!K181</f>
        <v>70</v>
      </c>
      <c r="L181" s="96">
        <f t="shared" si="5"/>
        <v>1</v>
      </c>
      <c r="N181"/>
      <c r="O181" s="8"/>
      <c r="P181"/>
      <c r="Q181" s="8"/>
    </row>
    <row r="182" spans="2:17" x14ac:dyDescent="0.25">
      <c r="B182" s="162">
        <v>3</v>
      </c>
      <c r="C182" s="169" t="s">
        <v>332</v>
      </c>
      <c r="D182" s="170" t="s">
        <v>333</v>
      </c>
      <c r="E182" s="277" t="s">
        <v>334</v>
      </c>
      <c r="F182" s="59" t="s">
        <v>172</v>
      </c>
      <c r="G182" s="60" t="s">
        <v>172</v>
      </c>
      <c r="H182" s="89">
        <v>30</v>
      </c>
      <c r="I182" s="89">
        <v>0</v>
      </c>
      <c r="J182" s="69">
        <f t="shared" si="4"/>
        <v>0</v>
      </c>
      <c r="K182" s="89">
        <f>+I182+'NOVIEMBRE 2025 '!K182</f>
        <v>30</v>
      </c>
      <c r="L182" s="94">
        <f t="shared" si="5"/>
        <v>1</v>
      </c>
      <c r="N182"/>
      <c r="O182" s="8"/>
      <c r="P182"/>
      <c r="Q182" s="8"/>
    </row>
    <row r="183" spans="2:17" x14ac:dyDescent="0.25">
      <c r="B183" s="163">
        <v>3</v>
      </c>
      <c r="C183" s="171" t="s">
        <v>52</v>
      </c>
      <c r="D183" s="172" t="s">
        <v>53</v>
      </c>
      <c r="E183" s="278"/>
      <c r="F183" s="61" t="s">
        <v>172</v>
      </c>
      <c r="G183" s="76" t="s">
        <v>172</v>
      </c>
      <c r="H183" s="2">
        <v>20</v>
      </c>
      <c r="I183" s="3">
        <v>0</v>
      </c>
      <c r="J183" s="69">
        <f t="shared" si="4"/>
        <v>0</v>
      </c>
      <c r="K183" s="3">
        <f>+I183+'NOVIEMBRE 2025 '!K183</f>
        <v>20</v>
      </c>
      <c r="L183" s="94">
        <f t="shared" si="5"/>
        <v>1</v>
      </c>
      <c r="N183"/>
      <c r="O183" s="8"/>
      <c r="P183"/>
      <c r="Q183" s="8"/>
    </row>
    <row r="184" spans="2:17" x14ac:dyDescent="0.25">
      <c r="B184" s="163">
        <v>3</v>
      </c>
      <c r="C184" s="171" t="s">
        <v>55</v>
      </c>
      <c r="D184" s="172" t="s">
        <v>56</v>
      </c>
      <c r="E184" s="278"/>
      <c r="F184" s="61" t="s">
        <v>172</v>
      </c>
      <c r="G184" s="62" t="s">
        <v>172</v>
      </c>
      <c r="H184" s="3">
        <v>20</v>
      </c>
      <c r="I184" s="4">
        <v>0</v>
      </c>
      <c r="J184" s="69">
        <f t="shared" si="4"/>
        <v>0</v>
      </c>
      <c r="K184" s="4">
        <f>+I184+'NOVIEMBRE 2025 '!K184</f>
        <v>20</v>
      </c>
      <c r="L184" s="94">
        <f t="shared" si="5"/>
        <v>1</v>
      </c>
      <c r="N184"/>
      <c r="O184" s="8"/>
      <c r="P184"/>
      <c r="Q184" s="8"/>
    </row>
    <row r="185" spans="2:17" x14ac:dyDescent="0.25">
      <c r="B185" s="163">
        <v>5</v>
      </c>
      <c r="C185" s="171" t="s">
        <v>57</v>
      </c>
      <c r="D185" s="172" t="s">
        <v>58</v>
      </c>
      <c r="E185" s="278"/>
      <c r="F185" s="61" t="s">
        <v>172</v>
      </c>
      <c r="G185" s="62" t="s">
        <v>172</v>
      </c>
      <c r="H185" s="3">
        <v>15</v>
      </c>
      <c r="I185" s="3">
        <v>0</v>
      </c>
      <c r="J185" s="69">
        <f t="shared" si="4"/>
        <v>0</v>
      </c>
      <c r="K185" s="3">
        <f>+I185+'NOVIEMBRE 2025 '!K185</f>
        <v>15</v>
      </c>
      <c r="L185" s="94">
        <f t="shared" si="5"/>
        <v>1</v>
      </c>
      <c r="N185"/>
      <c r="O185" s="8"/>
      <c r="P185"/>
      <c r="Q185" s="8"/>
    </row>
    <row r="186" spans="2:17" x14ac:dyDescent="0.25">
      <c r="B186" s="163">
        <v>5</v>
      </c>
      <c r="C186" s="171" t="s">
        <v>59</v>
      </c>
      <c r="D186" s="172" t="s">
        <v>60</v>
      </c>
      <c r="E186" s="278"/>
      <c r="F186" s="62" t="s">
        <v>172</v>
      </c>
      <c r="G186" s="62" t="s">
        <v>172</v>
      </c>
      <c r="H186" s="3">
        <v>20</v>
      </c>
      <c r="I186" s="3">
        <v>0</v>
      </c>
      <c r="J186" s="69">
        <f t="shared" si="4"/>
        <v>0</v>
      </c>
      <c r="K186" s="3">
        <f>+I186+'NOVIEMBRE 2025 '!K186</f>
        <v>20</v>
      </c>
      <c r="L186" s="94">
        <f t="shared" si="5"/>
        <v>1</v>
      </c>
      <c r="N186"/>
      <c r="O186" s="8"/>
      <c r="P186"/>
      <c r="Q186" s="8"/>
    </row>
    <row r="187" spans="2:17" x14ac:dyDescent="0.25">
      <c r="B187" s="163">
        <v>8</v>
      </c>
      <c r="C187" s="171" t="s">
        <v>61</v>
      </c>
      <c r="D187" s="172" t="s">
        <v>62</v>
      </c>
      <c r="E187" s="278"/>
      <c r="F187" s="62" t="s">
        <v>172</v>
      </c>
      <c r="G187" s="62" t="s">
        <v>172</v>
      </c>
      <c r="H187" s="3">
        <v>15</v>
      </c>
      <c r="I187" s="3">
        <v>0</v>
      </c>
      <c r="J187" s="69">
        <f t="shared" si="4"/>
        <v>0</v>
      </c>
      <c r="K187" s="3">
        <f>+I187+'NOVIEMBRE 2025 '!K187</f>
        <v>15</v>
      </c>
      <c r="L187" s="94">
        <f t="shared" si="5"/>
        <v>1</v>
      </c>
      <c r="N187"/>
      <c r="O187" s="8"/>
      <c r="P187"/>
      <c r="Q187" s="8"/>
    </row>
    <row r="188" spans="2:17" x14ac:dyDescent="0.25">
      <c r="B188" s="163">
        <v>8</v>
      </c>
      <c r="C188" s="171" t="s">
        <v>344</v>
      </c>
      <c r="D188" s="172" t="s">
        <v>345</v>
      </c>
      <c r="E188" s="278"/>
      <c r="F188" s="61" t="s">
        <v>172</v>
      </c>
      <c r="G188" s="62" t="s">
        <v>172</v>
      </c>
      <c r="H188" s="3">
        <v>20</v>
      </c>
      <c r="I188" s="3">
        <v>0</v>
      </c>
      <c r="J188" s="69">
        <f t="shared" si="4"/>
        <v>0</v>
      </c>
      <c r="K188" s="3">
        <f>+I188+'NOVIEMBRE 2025 '!K188</f>
        <v>20</v>
      </c>
      <c r="L188" s="94">
        <f t="shared" si="5"/>
        <v>1</v>
      </c>
      <c r="N188"/>
      <c r="O188" s="8"/>
      <c r="P188"/>
      <c r="Q188" s="8"/>
    </row>
    <row r="189" spans="2:17" x14ac:dyDescent="0.25">
      <c r="B189" s="163">
        <v>8</v>
      </c>
      <c r="C189" s="171" t="s">
        <v>346</v>
      </c>
      <c r="D189" s="172" t="s">
        <v>347</v>
      </c>
      <c r="E189" s="278"/>
      <c r="F189" s="62" t="s">
        <v>172</v>
      </c>
      <c r="G189" s="62" t="s">
        <v>172</v>
      </c>
      <c r="H189" s="3">
        <v>20</v>
      </c>
      <c r="I189" s="3">
        <v>0</v>
      </c>
      <c r="J189" s="69">
        <f t="shared" si="4"/>
        <v>0</v>
      </c>
      <c r="K189" s="3">
        <f>+I189+'NOVIEMBRE 2025 '!K189</f>
        <v>20</v>
      </c>
      <c r="L189" s="94">
        <f t="shared" si="5"/>
        <v>1</v>
      </c>
      <c r="N189"/>
      <c r="O189" s="8"/>
      <c r="P189"/>
      <c r="Q189" s="8"/>
    </row>
    <row r="190" spans="2:17" x14ac:dyDescent="0.25">
      <c r="B190" s="164">
        <v>8</v>
      </c>
      <c r="C190" s="173" t="s">
        <v>349</v>
      </c>
      <c r="D190" s="174" t="s">
        <v>350</v>
      </c>
      <c r="E190" s="279"/>
      <c r="F190" s="64" t="s">
        <v>172</v>
      </c>
      <c r="G190" s="63" t="s">
        <v>172</v>
      </c>
      <c r="H190" s="97">
        <v>20</v>
      </c>
      <c r="I190" s="97">
        <v>0</v>
      </c>
      <c r="J190" s="72">
        <f t="shared" si="4"/>
        <v>0</v>
      </c>
      <c r="K190" s="97">
        <f>+I190+'NOVIEMBRE 2025 '!K190</f>
        <v>20</v>
      </c>
      <c r="L190" s="96">
        <f t="shared" si="5"/>
        <v>1</v>
      </c>
      <c r="N190"/>
      <c r="O190" s="8"/>
      <c r="P190"/>
      <c r="Q190" s="8"/>
    </row>
    <row r="191" spans="2:17" x14ac:dyDescent="0.25">
      <c r="B191" s="162">
        <v>3</v>
      </c>
      <c r="C191" s="169" t="s">
        <v>43</v>
      </c>
      <c r="D191" s="170" t="s">
        <v>44</v>
      </c>
      <c r="E191" s="280" t="s">
        <v>353</v>
      </c>
      <c r="F191" s="59" t="s">
        <v>172</v>
      </c>
      <c r="G191" s="60" t="s">
        <v>172</v>
      </c>
      <c r="H191" s="89">
        <v>18</v>
      </c>
      <c r="I191" s="89">
        <v>0</v>
      </c>
      <c r="J191" s="69">
        <f t="shared" si="4"/>
        <v>0</v>
      </c>
      <c r="K191" s="89">
        <f>+I191+'NOVIEMBRE 2025 '!K191</f>
        <v>18</v>
      </c>
      <c r="L191" s="94">
        <f t="shared" si="5"/>
        <v>1</v>
      </c>
      <c r="N191"/>
      <c r="O191" s="8"/>
      <c r="P191"/>
      <c r="Q191" s="8"/>
    </row>
    <row r="192" spans="2:17" x14ac:dyDescent="0.25">
      <c r="B192" s="163">
        <v>3</v>
      </c>
      <c r="C192" s="171" t="s">
        <v>46</v>
      </c>
      <c r="D192" s="172" t="s">
        <v>47</v>
      </c>
      <c r="E192" s="280"/>
      <c r="F192" s="61" t="s">
        <v>172</v>
      </c>
      <c r="G192" s="63" t="s">
        <v>172</v>
      </c>
      <c r="H192" s="2">
        <v>18</v>
      </c>
      <c r="I192" s="3">
        <v>0</v>
      </c>
      <c r="J192" s="69">
        <f t="shared" si="4"/>
        <v>0</v>
      </c>
      <c r="K192" s="3">
        <f>+I192+'NOVIEMBRE 2025 '!K192</f>
        <v>18</v>
      </c>
      <c r="L192" s="94">
        <f t="shared" si="5"/>
        <v>1</v>
      </c>
      <c r="N192"/>
      <c r="O192" s="8"/>
      <c r="P192"/>
      <c r="Q192" s="8"/>
    </row>
    <row r="193" spans="2:17" x14ac:dyDescent="0.25">
      <c r="B193" s="163">
        <v>3</v>
      </c>
      <c r="C193" s="171" t="s">
        <v>98</v>
      </c>
      <c r="D193" s="172" t="s">
        <v>99</v>
      </c>
      <c r="E193" s="280"/>
      <c r="F193" s="61" t="s">
        <v>172</v>
      </c>
      <c r="G193" s="62" t="s">
        <v>172</v>
      </c>
      <c r="H193" s="3">
        <v>24</v>
      </c>
      <c r="I193" s="3">
        <v>0</v>
      </c>
      <c r="J193" s="69">
        <f t="shared" si="4"/>
        <v>0</v>
      </c>
      <c r="K193" s="3">
        <f>+I193+'NOVIEMBRE 2025 '!K193</f>
        <v>24</v>
      </c>
      <c r="L193" s="94">
        <f t="shared" si="5"/>
        <v>1</v>
      </c>
      <c r="N193"/>
      <c r="O193" s="8"/>
      <c r="P193"/>
      <c r="Q193" s="8"/>
    </row>
    <row r="194" spans="2:17" x14ac:dyDescent="0.25">
      <c r="B194" s="163">
        <v>3</v>
      </c>
      <c r="C194" s="171" t="s">
        <v>49</v>
      </c>
      <c r="D194" s="172" t="s">
        <v>50</v>
      </c>
      <c r="E194" s="280"/>
      <c r="F194" s="61" t="s">
        <v>172</v>
      </c>
      <c r="G194" s="62" t="s">
        <v>172</v>
      </c>
      <c r="H194" s="3">
        <v>24</v>
      </c>
      <c r="I194" s="3">
        <v>0</v>
      </c>
      <c r="J194" s="69">
        <f t="shared" si="4"/>
        <v>0</v>
      </c>
      <c r="K194" s="3">
        <f>+I194+'NOVIEMBRE 2025 '!K194</f>
        <v>24</v>
      </c>
      <c r="L194" s="94">
        <f t="shared" si="5"/>
        <v>1</v>
      </c>
      <c r="N194"/>
      <c r="O194" s="8"/>
      <c r="P194"/>
      <c r="Q194" s="8"/>
    </row>
    <row r="195" spans="2:17" x14ac:dyDescent="0.25">
      <c r="B195" s="163">
        <v>3</v>
      </c>
      <c r="C195" s="171" t="s">
        <v>52</v>
      </c>
      <c r="D195" s="172" t="s">
        <v>53</v>
      </c>
      <c r="E195" s="280"/>
      <c r="F195" s="61" t="s">
        <v>172</v>
      </c>
      <c r="G195" s="62" t="s">
        <v>172</v>
      </c>
      <c r="H195" s="3">
        <v>24</v>
      </c>
      <c r="I195" s="3">
        <v>0</v>
      </c>
      <c r="J195" s="69">
        <f t="shared" si="4"/>
        <v>0</v>
      </c>
      <c r="K195" s="3">
        <f>+I195+'NOVIEMBRE 2025 '!K195</f>
        <v>24</v>
      </c>
      <c r="L195" s="94">
        <f t="shared" si="5"/>
        <v>1</v>
      </c>
      <c r="N195"/>
      <c r="O195" s="8"/>
      <c r="P195"/>
      <c r="Q195" s="8"/>
    </row>
    <row r="196" spans="2:17" x14ac:dyDescent="0.25">
      <c r="B196" s="163">
        <v>3</v>
      </c>
      <c r="C196" s="171" t="s">
        <v>55</v>
      </c>
      <c r="D196" s="172" t="s">
        <v>56</v>
      </c>
      <c r="E196" s="280"/>
      <c r="F196" s="61" t="s">
        <v>172</v>
      </c>
      <c r="G196" s="62" t="s">
        <v>172</v>
      </c>
      <c r="H196" s="3">
        <v>24</v>
      </c>
      <c r="I196" s="3">
        <v>0</v>
      </c>
      <c r="J196" s="69">
        <f t="shared" si="4"/>
        <v>0</v>
      </c>
      <c r="K196" s="3">
        <f>+I196+'NOVIEMBRE 2025 '!K196</f>
        <v>24</v>
      </c>
      <c r="L196" s="94">
        <f t="shared" si="5"/>
        <v>1</v>
      </c>
      <c r="N196"/>
      <c r="O196" s="8"/>
      <c r="P196"/>
      <c r="Q196" s="8"/>
    </row>
    <row r="197" spans="2:17" x14ac:dyDescent="0.25">
      <c r="B197" s="163">
        <v>5</v>
      </c>
      <c r="C197" s="171" t="s">
        <v>57</v>
      </c>
      <c r="D197" s="172" t="s">
        <v>58</v>
      </c>
      <c r="E197" s="280"/>
      <c r="F197" s="61" t="s">
        <v>172</v>
      </c>
      <c r="G197" s="62" t="s">
        <v>172</v>
      </c>
      <c r="H197" s="3">
        <v>24</v>
      </c>
      <c r="I197" s="3">
        <v>0</v>
      </c>
      <c r="J197" s="69">
        <f t="shared" si="4"/>
        <v>0</v>
      </c>
      <c r="K197" s="3">
        <f>+I197+'NOVIEMBRE 2025 '!K197</f>
        <v>24</v>
      </c>
      <c r="L197" s="94">
        <f t="shared" si="5"/>
        <v>1</v>
      </c>
      <c r="N197"/>
      <c r="O197" s="8"/>
      <c r="P197"/>
      <c r="Q197" s="8"/>
    </row>
    <row r="198" spans="2:17" x14ac:dyDescent="0.25">
      <c r="B198" s="164">
        <v>8</v>
      </c>
      <c r="C198" s="173" t="s">
        <v>61</v>
      </c>
      <c r="D198" s="174" t="s">
        <v>62</v>
      </c>
      <c r="E198" s="280"/>
      <c r="F198" s="64" t="s">
        <v>172</v>
      </c>
      <c r="G198" s="65" t="s">
        <v>172</v>
      </c>
      <c r="H198" s="97">
        <v>24</v>
      </c>
      <c r="I198" s="97">
        <v>0</v>
      </c>
      <c r="J198" s="72">
        <f t="shared" si="4"/>
        <v>0</v>
      </c>
      <c r="K198" s="97">
        <f>+I198+'NOVIEMBRE 2025 '!K198</f>
        <v>24</v>
      </c>
      <c r="L198" s="96">
        <f t="shared" si="5"/>
        <v>1</v>
      </c>
      <c r="N198"/>
      <c r="O198" s="8"/>
      <c r="P198"/>
      <c r="Q198" s="8"/>
    </row>
    <row r="199" spans="2:17" x14ac:dyDescent="0.25">
      <c r="B199" s="162">
        <v>2</v>
      </c>
      <c r="C199" s="169" t="s">
        <v>356</v>
      </c>
      <c r="D199" s="170" t="s">
        <v>357</v>
      </c>
      <c r="E199" s="280" t="s">
        <v>359</v>
      </c>
      <c r="F199" s="59" t="s">
        <v>172</v>
      </c>
      <c r="G199" s="60" t="s">
        <v>172</v>
      </c>
      <c r="H199" s="89">
        <v>60</v>
      </c>
      <c r="I199" s="89">
        <v>0</v>
      </c>
      <c r="J199" s="69">
        <f t="shared" si="4"/>
        <v>0</v>
      </c>
      <c r="K199" s="89">
        <f>+I199+'NOVIEMBRE 2025 '!K199</f>
        <v>60</v>
      </c>
      <c r="L199" s="94">
        <f t="shared" si="5"/>
        <v>1</v>
      </c>
      <c r="N199"/>
      <c r="O199" s="8"/>
      <c r="P199"/>
      <c r="Q199" s="8"/>
    </row>
    <row r="200" spans="2:17" x14ac:dyDescent="0.25">
      <c r="B200" s="163">
        <v>2</v>
      </c>
      <c r="C200" s="171" t="s">
        <v>360</v>
      </c>
      <c r="D200" s="172" t="s">
        <v>361</v>
      </c>
      <c r="E200" s="280"/>
      <c r="F200" s="61" t="s">
        <v>172</v>
      </c>
      <c r="G200" s="62" t="s">
        <v>172</v>
      </c>
      <c r="H200" s="2">
        <v>40</v>
      </c>
      <c r="I200" s="3">
        <v>0</v>
      </c>
      <c r="J200" s="69">
        <f t="shared" si="4"/>
        <v>0</v>
      </c>
      <c r="K200" s="3">
        <f>+I200+'NOVIEMBRE 2025 '!K200</f>
        <v>40</v>
      </c>
      <c r="L200" s="94">
        <f t="shared" si="5"/>
        <v>1</v>
      </c>
      <c r="N200"/>
      <c r="O200" s="8"/>
      <c r="P200"/>
      <c r="Q200" s="8"/>
    </row>
    <row r="201" spans="2:17" x14ac:dyDescent="0.25">
      <c r="B201" s="163">
        <v>2</v>
      </c>
      <c r="C201" s="171" t="s">
        <v>363</v>
      </c>
      <c r="D201" s="172" t="s">
        <v>364</v>
      </c>
      <c r="E201" s="280"/>
      <c r="F201" s="61" t="s">
        <v>172</v>
      </c>
      <c r="G201" s="63" t="s">
        <v>172</v>
      </c>
      <c r="H201" s="3">
        <v>10</v>
      </c>
      <c r="I201" s="4">
        <v>0</v>
      </c>
      <c r="J201" s="69">
        <f t="shared" si="4"/>
        <v>0</v>
      </c>
      <c r="K201" s="4">
        <f>+I201+'NOVIEMBRE 2025 '!K201</f>
        <v>10</v>
      </c>
      <c r="L201" s="94">
        <f t="shared" si="5"/>
        <v>1</v>
      </c>
      <c r="N201"/>
      <c r="O201" s="8"/>
      <c r="P201"/>
      <c r="Q201" s="8"/>
    </row>
    <row r="202" spans="2:17" x14ac:dyDescent="0.25">
      <c r="B202" s="163">
        <v>2</v>
      </c>
      <c r="C202" s="171" t="s">
        <v>366</v>
      </c>
      <c r="D202" s="172" t="s">
        <v>367</v>
      </c>
      <c r="E202" s="280"/>
      <c r="F202" s="61" t="s">
        <v>172</v>
      </c>
      <c r="G202" s="62" t="s">
        <v>172</v>
      </c>
      <c r="H202" s="3">
        <v>10</v>
      </c>
      <c r="I202" s="3">
        <v>0</v>
      </c>
      <c r="J202" s="69">
        <f t="shared" si="4"/>
        <v>0</v>
      </c>
      <c r="K202" s="3">
        <f>+I202+'NOVIEMBRE 2025 '!K202</f>
        <v>10</v>
      </c>
      <c r="L202" s="94">
        <f t="shared" si="5"/>
        <v>1</v>
      </c>
      <c r="N202"/>
      <c r="O202" s="8"/>
      <c r="P202"/>
      <c r="Q202" s="8"/>
    </row>
    <row r="203" spans="2:17" x14ac:dyDescent="0.25">
      <c r="B203" s="163">
        <v>2</v>
      </c>
      <c r="C203" s="171" t="s">
        <v>368</v>
      </c>
      <c r="D203" s="172" t="s">
        <v>369</v>
      </c>
      <c r="E203" s="280"/>
      <c r="F203" s="61" t="s">
        <v>172</v>
      </c>
      <c r="G203" s="146" t="s">
        <v>172</v>
      </c>
      <c r="H203" s="3">
        <v>10</v>
      </c>
      <c r="I203" s="3">
        <v>0</v>
      </c>
      <c r="J203" s="69">
        <f t="shared" si="4"/>
        <v>0</v>
      </c>
      <c r="K203" s="3">
        <f>+I203+'NOVIEMBRE 2025 '!K203</f>
        <v>10</v>
      </c>
      <c r="L203" s="94">
        <f t="shared" si="5"/>
        <v>1</v>
      </c>
      <c r="N203"/>
      <c r="O203" s="8"/>
      <c r="P203"/>
      <c r="Q203" s="8"/>
    </row>
    <row r="204" spans="2:17" x14ac:dyDescent="0.25">
      <c r="B204" s="163">
        <v>2</v>
      </c>
      <c r="C204" s="171" t="s">
        <v>140</v>
      </c>
      <c r="D204" s="172" t="s">
        <v>141</v>
      </c>
      <c r="E204" s="280"/>
      <c r="F204" s="61" t="s">
        <v>172</v>
      </c>
      <c r="G204" s="62" t="s">
        <v>172</v>
      </c>
      <c r="H204" s="3">
        <v>20</v>
      </c>
      <c r="I204" s="3">
        <v>0</v>
      </c>
      <c r="J204" s="69">
        <f t="shared" si="4"/>
        <v>0</v>
      </c>
      <c r="K204" s="3">
        <f>+I204+'NOVIEMBRE 2025 '!K204</f>
        <v>20</v>
      </c>
      <c r="L204" s="94">
        <f t="shared" si="5"/>
        <v>1</v>
      </c>
      <c r="N204"/>
      <c r="O204" s="8"/>
      <c r="P204"/>
      <c r="Q204" s="8"/>
    </row>
    <row r="205" spans="2:17" x14ac:dyDescent="0.25">
      <c r="B205" s="163">
        <v>2</v>
      </c>
      <c r="C205" s="171" t="s">
        <v>371</v>
      </c>
      <c r="D205" s="172" t="s">
        <v>372</v>
      </c>
      <c r="E205" s="280"/>
      <c r="F205" s="61" t="s">
        <v>172</v>
      </c>
      <c r="G205" s="62" t="s">
        <v>172</v>
      </c>
      <c r="H205" s="3">
        <v>10</v>
      </c>
      <c r="I205" s="3">
        <v>0</v>
      </c>
      <c r="J205" s="69">
        <f t="shared" si="4"/>
        <v>0</v>
      </c>
      <c r="K205" s="3">
        <f>+I205+'NOVIEMBRE 2025 '!K205</f>
        <v>10</v>
      </c>
      <c r="L205" s="94">
        <f t="shared" si="5"/>
        <v>1</v>
      </c>
      <c r="N205"/>
      <c r="O205" s="8"/>
      <c r="P205"/>
      <c r="Q205" s="8"/>
    </row>
    <row r="206" spans="2:17" x14ac:dyDescent="0.25">
      <c r="B206" s="164">
        <v>2</v>
      </c>
      <c r="C206" s="173" t="s">
        <v>374</v>
      </c>
      <c r="D206" s="174" t="s">
        <v>375</v>
      </c>
      <c r="E206" s="280"/>
      <c r="F206" s="64" t="s">
        <v>172</v>
      </c>
      <c r="G206" s="65" t="s">
        <v>172</v>
      </c>
      <c r="H206" s="97">
        <v>20</v>
      </c>
      <c r="I206" s="97">
        <v>0</v>
      </c>
      <c r="J206" s="72">
        <f t="shared" si="4"/>
        <v>0</v>
      </c>
      <c r="K206" s="97">
        <f>+I206+'NOVIEMBRE 2025 '!K206</f>
        <v>20</v>
      </c>
      <c r="L206" s="96">
        <f t="shared" si="5"/>
        <v>1</v>
      </c>
      <c r="N206"/>
      <c r="O206" s="8"/>
      <c r="P206"/>
      <c r="Q206" s="8"/>
    </row>
    <row r="207" spans="2:17" x14ac:dyDescent="0.25">
      <c r="B207" s="168">
        <v>1</v>
      </c>
      <c r="C207" s="175" t="s">
        <v>230</v>
      </c>
      <c r="D207" s="176" t="s">
        <v>377</v>
      </c>
      <c r="E207" s="280" t="s">
        <v>745</v>
      </c>
      <c r="F207" s="59" t="s">
        <v>172</v>
      </c>
      <c r="G207" s="60" t="s">
        <v>172</v>
      </c>
      <c r="H207" s="66">
        <v>30</v>
      </c>
      <c r="I207" s="66">
        <v>0</v>
      </c>
      <c r="J207" s="69">
        <f t="shared" ref="J207:J268" si="6">IFERROR(I207/H207,0)</f>
        <v>0</v>
      </c>
      <c r="K207" s="66">
        <f>+I207+'NOVIEMBRE 2025 '!K207</f>
        <v>30</v>
      </c>
      <c r="L207" s="94">
        <f t="shared" ref="L207:L268" si="7">IFERROR(K207/H207,0)</f>
        <v>1</v>
      </c>
      <c r="N207"/>
      <c r="O207" s="8"/>
      <c r="P207"/>
      <c r="Q207" s="8"/>
    </row>
    <row r="208" spans="2:17" x14ac:dyDescent="0.25">
      <c r="B208" s="163">
        <v>1</v>
      </c>
      <c r="C208" s="171" t="s">
        <v>74</v>
      </c>
      <c r="D208" s="172" t="s">
        <v>226</v>
      </c>
      <c r="E208" s="280"/>
      <c r="F208" s="61" t="s">
        <v>172</v>
      </c>
      <c r="G208" s="62" t="s">
        <v>172</v>
      </c>
      <c r="H208" s="68">
        <v>30</v>
      </c>
      <c r="I208" s="55">
        <v>0</v>
      </c>
      <c r="J208" s="69">
        <f t="shared" si="6"/>
        <v>0</v>
      </c>
      <c r="K208" s="55">
        <f>+I208+'NOVIEMBRE 2025 '!K208</f>
        <v>30</v>
      </c>
      <c r="L208" s="94">
        <f t="shared" si="7"/>
        <v>1</v>
      </c>
      <c r="N208"/>
      <c r="O208" s="8"/>
      <c r="P208"/>
      <c r="Q208" s="8"/>
    </row>
    <row r="209" spans="2:17" x14ac:dyDescent="0.25">
      <c r="B209" s="163">
        <v>1</v>
      </c>
      <c r="C209" s="171" t="s">
        <v>77</v>
      </c>
      <c r="D209" s="172" t="s">
        <v>78</v>
      </c>
      <c r="E209" s="280"/>
      <c r="F209" s="61" t="s">
        <v>172</v>
      </c>
      <c r="G209" s="63" t="s">
        <v>172</v>
      </c>
      <c r="H209" s="55">
        <v>30</v>
      </c>
      <c r="I209" s="70">
        <v>0</v>
      </c>
      <c r="J209" s="69">
        <f t="shared" si="6"/>
        <v>0</v>
      </c>
      <c r="K209" s="70">
        <f>+I209+'NOVIEMBRE 2025 '!K209</f>
        <v>30</v>
      </c>
      <c r="L209" s="94">
        <f t="shared" si="7"/>
        <v>1</v>
      </c>
      <c r="N209"/>
      <c r="O209" s="8"/>
      <c r="P209"/>
      <c r="Q209" s="8"/>
    </row>
    <row r="210" spans="2:17" x14ac:dyDescent="0.25">
      <c r="B210" s="163">
        <v>1</v>
      </c>
      <c r="C210" s="171" t="s">
        <v>89</v>
      </c>
      <c r="D210" s="172" t="s">
        <v>90</v>
      </c>
      <c r="E210" s="280"/>
      <c r="F210" s="61" t="s">
        <v>172</v>
      </c>
      <c r="G210" s="62" t="s">
        <v>172</v>
      </c>
      <c r="H210" s="55">
        <v>30</v>
      </c>
      <c r="I210" s="55">
        <v>0</v>
      </c>
      <c r="J210" s="69">
        <f t="shared" si="6"/>
        <v>0</v>
      </c>
      <c r="K210" s="55">
        <f>+I210+'NOVIEMBRE 2025 '!K210</f>
        <v>30</v>
      </c>
      <c r="L210" s="94">
        <f t="shared" si="7"/>
        <v>1</v>
      </c>
      <c r="N210"/>
      <c r="O210" s="8"/>
      <c r="P210"/>
      <c r="Q210" s="8"/>
    </row>
    <row r="211" spans="2:17" x14ac:dyDescent="0.25">
      <c r="B211" s="163">
        <v>1</v>
      </c>
      <c r="C211" s="171" t="s">
        <v>379</v>
      </c>
      <c r="D211" s="172" t="s">
        <v>380</v>
      </c>
      <c r="E211" s="280"/>
      <c r="F211" s="61" t="s">
        <v>172</v>
      </c>
      <c r="G211" s="62" t="s">
        <v>172</v>
      </c>
      <c r="H211" s="55">
        <v>30</v>
      </c>
      <c r="I211" s="55">
        <v>0</v>
      </c>
      <c r="J211" s="69">
        <f t="shared" si="6"/>
        <v>0</v>
      </c>
      <c r="K211" s="55">
        <f>+I211+'NOVIEMBRE 2025 '!K211</f>
        <v>30</v>
      </c>
      <c r="L211" s="94">
        <f t="shared" si="7"/>
        <v>1</v>
      </c>
      <c r="N211"/>
      <c r="O211" s="8"/>
      <c r="P211"/>
      <c r="Q211" s="8"/>
    </row>
    <row r="212" spans="2:17" x14ac:dyDescent="0.25">
      <c r="B212" s="164">
        <v>2</v>
      </c>
      <c r="C212" s="173" t="s">
        <v>360</v>
      </c>
      <c r="D212" s="174" t="s">
        <v>361</v>
      </c>
      <c r="E212" s="280"/>
      <c r="F212" s="64" t="s">
        <v>172</v>
      </c>
      <c r="G212" s="65" t="s">
        <v>172</v>
      </c>
      <c r="H212" s="56">
        <v>30</v>
      </c>
      <c r="I212" s="56">
        <v>0</v>
      </c>
      <c r="J212" s="72">
        <f t="shared" si="6"/>
        <v>0</v>
      </c>
      <c r="K212" s="56">
        <f>+I212+'NOVIEMBRE 2025 '!K212</f>
        <v>30</v>
      </c>
      <c r="L212" s="96">
        <f t="shared" si="7"/>
        <v>1</v>
      </c>
      <c r="N212"/>
      <c r="O212" s="8"/>
      <c r="P212"/>
      <c r="Q212" s="8"/>
    </row>
    <row r="213" spans="2:17" x14ac:dyDescent="0.25">
      <c r="B213" s="88">
        <v>3</v>
      </c>
      <c r="C213" s="111" t="s">
        <v>43</v>
      </c>
      <c r="D213" s="112" t="s">
        <v>44</v>
      </c>
      <c r="E213" s="232" t="s">
        <v>382</v>
      </c>
      <c r="F213" s="59" t="s">
        <v>1477</v>
      </c>
      <c r="G213" s="60" t="s">
        <v>1478</v>
      </c>
      <c r="H213" s="89">
        <v>28</v>
      </c>
      <c r="I213" s="89">
        <v>8</v>
      </c>
      <c r="J213" s="69">
        <f t="shared" si="6"/>
        <v>0.2857142857142857</v>
      </c>
      <c r="K213" s="89">
        <f>+I213+'NOVIEMBRE 2025 '!K213</f>
        <v>28</v>
      </c>
      <c r="L213" s="94">
        <f t="shared" si="7"/>
        <v>1</v>
      </c>
      <c r="N213"/>
      <c r="O213" s="8"/>
      <c r="P213"/>
      <c r="Q213" s="8"/>
    </row>
    <row r="214" spans="2:17" x14ac:dyDescent="0.25">
      <c r="B214" s="86">
        <v>3</v>
      </c>
      <c r="C214" s="107" t="s">
        <v>46</v>
      </c>
      <c r="D214" s="108" t="s">
        <v>47</v>
      </c>
      <c r="E214" s="232"/>
      <c r="F214" s="61" t="s">
        <v>1479</v>
      </c>
      <c r="G214" s="76" t="s">
        <v>393</v>
      </c>
      <c r="H214" s="2">
        <v>28</v>
      </c>
      <c r="I214" s="3">
        <v>8</v>
      </c>
      <c r="J214" s="69">
        <f t="shared" si="6"/>
        <v>0.2857142857142857</v>
      </c>
      <c r="K214" s="3">
        <f>+I214+'NOVIEMBRE 2025 '!K214</f>
        <v>28</v>
      </c>
      <c r="L214" s="94">
        <f t="shared" si="7"/>
        <v>1</v>
      </c>
      <c r="N214"/>
      <c r="O214" s="8"/>
      <c r="P214"/>
      <c r="Q214" s="8"/>
    </row>
    <row r="215" spans="2:17" x14ac:dyDescent="0.25">
      <c r="B215" s="86">
        <v>3</v>
      </c>
      <c r="C215" s="107" t="s">
        <v>98</v>
      </c>
      <c r="D215" s="108" t="s">
        <v>99</v>
      </c>
      <c r="E215" s="232"/>
      <c r="F215" s="61" t="s">
        <v>1480</v>
      </c>
      <c r="G215" s="62" t="s">
        <v>1481</v>
      </c>
      <c r="H215" s="3">
        <v>27</v>
      </c>
      <c r="I215" s="4">
        <v>6</v>
      </c>
      <c r="J215" s="69">
        <f t="shared" si="6"/>
        <v>0.22222222222222221</v>
      </c>
      <c r="K215" s="4">
        <f>+I215+'NOVIEMBRE 2025 '!K215</f>
        <v>27</v>
      </c>
      <c r="L215" s="94">
        <f t="shared" si="7"/>
        <v>1</v>
      </c>
      <c r="N215"/>
      <c r="O215" s="8"/>
      <c r="P215"/>
      <c r="Q215" s="8"/>
    </row>
    <row r="216" spans="2:17" x14ac:dyDescent="0.25">
      <c r="B216" s="86">
        <v>3</v>
      </c>
      <c r="C216" s="107" t="s">
        <v>49</v>
      </c>
      <c r="D216" s="108" t="s">
        <v>50</v>
      </c>
      <c r="E216" s="232"/>
      <c r="F216" s="61" t="s">
        <v>1482</v>
      </c>
      <c r="G216" s="62" t="s">
        <v>385</v>
      </c>
      <c r="H216" s="3">
        <v>32</v>
      </c>
      <c r="I216" s="3">
        <v>5</v>
      </c>
      <c r="J216" s="69">
        <f t="shared" si="6"/>
        <v>0.15625</v>
      </c>
      <c r="K216" s="3">
        <f>+I216+'NOVIEMBRE 2025 '!K216</f>
        <v>32</v>
      </c>
      <c r="L216" s="94">
        <f t="shared" si="7"/>
        <v>1</v>
      </c>
      <c r="N216"/>
      <c r="O216" s="8"/>
      <c r="P216"/>
      <c r="Q216" s="8"/>
    </row>
    <row r="217" spans="2:17" x14ac:dyDescent="0.25">
      <c r="B217" s="86">
        <v>3</v>
      </c>
      <c r="C217" s="107" t="s">
        <v>52</v>
      </c>
      <c r="D217" s="108" t="s">
        <v>53</v>
      </c>
      <c r="E217" s="232"/>
      <c r="F217" s="62" t="s">
        <v>172</v>
      </c>
      <c r="G217" s="62" t="s">
        <v>172</v>
      </c>
      <c r="H217" s="3">
        <v>30</v>
      </c>
      <c r="I217" s="3">
        <v>0</v>
      </c>
      <c r="J217" s="69">
        <f t="shared" si="6"/>
        <v>0</v>
      </c>
      <c r="K217" s="3">
        <f>+I217+'NOVIEMBRE 2025 '!K217</f>
        <v>30</v>
      </c>
      <c r="L217" s="94">
        <f t="shared" si="7"/>
        <v>1</v>
      </c>
      <c r="N217"/>
      <c r="O217" s="8"/>
      <c r="P217"/>
      <c r="Q217" s="8"/>
    </row>
    <row r="218" spans="2:17" x14ac:dyDescent="0.25">
      <c r="B218" s="86">
        <v>3</v>
      </c>
      <c r="C218" s="107" t="s">
        <v>55</v>
      </c>
      <c r="D218" s="108" t="s">
        <v>56</v>
      </c>
      <c r="E218" s="232"/>
      <c r="F218" s="62" t="s">
        <v>172</v>
      </c>
      <c r="G218" s="62" t="s">
        <v>172</v>
      </c>
      <c r="H218" s="3">
        <v>30</v>
      </c>
      <c r="I218" s="3">
        <v>0</v>
      </c>
      <c r="J218" s="69">
        <f t="shared" si="6"/>
        <v>0</v>
      </c>
      <c r="K218" s="3">
        <f>+I218+'NOVIEMBRE 2025 '!K218</f>
        <v>30</v>
      </c>
      <c r="L218" s="94">
        <f t="shared" si="7"/>
        <v>1</v>
      </c>
      <c r="N218"/>
      <c r="O218" s="8"/>
      <c r="P218"/>
      <c r="Q218" s="8"/>
    </row>
    <row r="219" spans="2:17" x14ac:dyDescent="0.25">
      <c r="B219" s="86">
        <v>5</v>
      </c>
      <c r="C219" s="107" t="s">
        <v>57</v>
      </c>
      <c r="D219" s="108" t="s">
        <v>58</v>
      </c>
      <c r="E219" s="232"/>
      <c r="F219" s="61" t="s">
        <v>172</v>
      </c>
      <c r="G219" s="62" t="s">
        <v>172</v>
      </c>
      <c r="H219" s="3">
        <v>30</v>
      </c>
      <c r="I219" s="3">
        <v>0</v>
      </c>
      <c r="J219" s="69">
        <f t="shared" si="6"/>
        <v>0</v>
      </c>
      <c r="K219" s="3">
        <f>+I219+'NOVIEMBRE 2025 '!K219</f>
        <v>30</v>
      </c>
      <c r="L219" s="94">
        <f t="shared" si="7"/>
        <v>1</v>
      </c>
      <c r="N219"/>
      <c r="O219" s="8"/>
      <c r="P219"/>
      <c r="Q219" s="8"/>
    </row>
    <row r="220" spans="2:17" x14ac:dyDescent="0.25">
      <c r="B220" s="86">
        <v>5</v>
      </c>
      <c r="C220" s="107" t="s">
        <v>59</v>
      </c>
      <c r="D220" s="108" t="s">
        <v>60</v>
      </c>
      <c r="E220" s="232"/>
      <c r="F220" s="62" t="s">
        <v>1483</v>
      </c>
      <c r="G220" s="62" t="s">
        <v>564</v>
      </c>
      <c r="H220" s="3">
        <v>35</v>
      </c>
      <c r="I220" s="3">
        <v>3</v>
      </c>
      <c r="J220" s="69">
        <f t="shared" si="6"/>
        <v>8.5714285714285715E-2</v>
      </c>
      <c r="K220" s="3">
        <f>+I220+'NOVIEMBRE 2025 '!K220</f>
        <v>35</v>
      </c>
      <c r="L220" s="94">
        <f t="shared" si="7"/>
        <v>1</v>
      </c>
      <c r="N220"/>
      <c r="O220" s="8"/>
      <c r="P220"/>
      <c r="Q220" s="8"/>
    </row>
    <row r="221" spans="2:17" x14ac:dyDescent="0.25">
      <c r="B221" s="104">
        <v>8</v>
      </c>
      <c r="C221" s="113" t="s">
        <v>61</v>
      </c>
      <c r="D221" s="114" t="s">
        <v>62</v>
      </c>
      <c r="E221" s="232"/>
      <c r="F221" s="64" t="s">
        <v>172</v>
      </c>
      <c r="G221" s="63" t="s">
        <v>172</v>
      </c>
      <c r="H221" s="97">
        <v>30</v>
      </c>
      <c r="I221" s="97">
        <v>0</v>
      </c>
      <c r="J221" s="72">
        <f t="shared" si="6"/>
        <v>0</v>
      </c>
      <c r="K221" s="97">
        <f>+I221+'NOVIEMBRE 2025 '!K221</f>
        <v>30</v>
      </c>
      <c r="L221" s="96">
        <f t="shared" si="7"/>
        <v>1</v>
      </c>
      <c r="N221"/>
      <c r="O221" s="8"/>
      <c r="P221"/>
      <c r="Q221" s="8"/>
    </row>
    <row r="222" spans="2:17" x14ac:dyDescent="0.25">
      <c r="B222" s="162">
        <v>3</v>
      </c>
      <c r="C222" s="169" t="s">
        <v>43</v>
      </c>
      <c r="D222" s="170" t="s">
        <v>44</v>
      </c>
      <c r="E222" s="280" t="s">
        <v>400</v>
      </c>
      <c r="F222" s="59" t="s">
        <v>172</v>
      </c>
      <c r="G222" s="60" t="s">
        <v>172</v>
      </c>
      <c r="H222" s="89">
        <v>20</v>
      </c>
      <c r="I222" s="66">
        <v>0</v>
      </c>
      <c r="J222" s="69">
        <f t="shared" si="6"/>
        <v>0</v>
      </c>
      <c r="K222" s="66">
        <f>+I222+'NOVIEMBRE 2025 '!K222</f>
        <v>20</v>
      </c>
      <c r="L222" s="94">
        <f t="shared" si="7"/>
        <v>1</v>
      </c>
      <c r="N222"/>
      <c r="O222" s="8"/>
      <c r="P222"/>
      <c r="Q222" s="8"/>
    </row>
    <row r="223" spans="2:17" x14ac:dyDescent="0.25">
      <c r="B223" s="163">
        <v>3</v>
      </c>
      <c r="C223" s="171" t="s">
        <v>46</v>
      </c>
      <c r="D223" s="172" t="s">
        <v>47</v>
      </c>
      <c r="E223" s="280"/>
      <c r="F223" s="61" t="s">
        <v>172</v>
      </c>
      <c r="G223" s="76" t="s">
        <v>172</v>
      </c>
      <c r="H223" s="2">
        <v>20</v>
      </c>
      <c r="I223" s="55">
        <v>0</v>
      </c>
      <c r="J223" s="69">
        <f t="shared" si="6"/>
        <v>0</v>
      </c>
      <c r="K223" s="55">
        <f>+I223+'NOVIEMBRE 2025 '!K223</f>
        <v>20</v>
      </c>
      <c r="L223" s="94">
        <f t="shared" si="7"/>
        <v>1</v>
      </c>
      <c r="N223"/>
      <c r="O223" s="8"/>
      <c r="P223"/>
      <c r="Q223" s="8"/>
    </row>
    <row r="224" spans="2:17" x14ac:dyDescent="0.25">
      <c r="B224" s="163">
        <v>3</v>
      </c>
      <c r="C224" s="171" t="s">
        <v>98</v>
      </c>
      <c r="D224" s="172" t="s">
        <v>99</v>
      </c>
      <c r="E224" s="280"/>
      <c r="F224" s="61" t="s">
        <v>172</v>
      </c>
      <c r="G224" s="62" t="s">
        <v>172</v>
      </c>
      <c r="H224" s="3">
        <v>20</v>
      </c>
      <c r="I224" s="70">
        <v>0</v>
      </c>
      <c r="J224" s="69">
        <f t="shared" si="6"/>
        <v>0</v>
      </c>
      <c r="K224" s="70">
        <f>+I224+'NOVIEMBRE 2025 '!K224</f>
        <v>20</v>
      </c>
      <c r="L224" s="94">
        <f t="shared" si="7"/>
        <v>1</v>
      </c>
      <c r="N224"/>
      <c r="O224" s="8"/>
      <c r="P224"/>
      <c r="Q224" s="8"/>
    </row>
    <row r="225" spans="2:17" x14ac:dyDescent="0.25">
      <c r="B225" s="163">
        <v>3</v>
      </c>
      <c r="C225" s="171" t="s">
        <v>49</v>
      </c>
      <c r="D225" s="172" t="s">
        <v>50</v>
      </c>
      <c r="E225" s="280"/>
      <c r="F225" s="61" t="s">
        <v>172</v>
      </c>
      <c r="G225" s="62" t="s">
        <v>172</v>
      </c>
      <c r="H225" s="3">
        <v>20</v>
      </c>
      <c r="I225" s="55">
        <v>0</v>
      </c>
      <c r="J225" s="69">
        <f t="shared" si="6"/>
        <v>0</v>
      </c>
      <c r="K225" s="55">
        <f>+I225+'NOVIEMBRE 2025 '!K225</f>
        <v>20</v>
      </c>
      <c r="L225" s="94">
        <f t="shared" si="7"/>
        <v>1</v>
      </c>
      <c r="N225"/>
      <c r="O225" s="8"/>
      <c r="P225"/>
      <c r="Q225" s="8"/>
    </row>
    <row r="226" spans="2:17" x14ac:dyDescent="0.25">
      <c r="B226" s="163">
        <v>3</v>
      </c>
      <c r="C226" s="171" t="s">
        <v>52</v>
      </c>
      <c r="D226" s="172" t="s">
        <v>53</v>
      </c>
      <c r="E226" s="280"/>
      <c r="F226" s="62" t="s">
        <v>172</v>
      </c>
      <c r="G226" s="62" t="s">
        <v>172</v>
      </c>
      <c r="H226" s="3">
        <v>20</v>
      </c>
      <c r="I226" s="55">
        <v>0</v>
      </c>
      <c r="J226" s="69">
        <f t="shared" si="6"/>
        <v>0</v>
      </c>
      <c r="K226" s="55">
        <f>+I226+'NOVIEMBRE 2025 '!K226</f>
        <v>20</v>
      </c>
      <c r="L226" s="94">
        <f t="shared" si="7"/>
        <v>1</v>
      </c>
      <c r="N226"/>
      <c r="O226" s="8"/>
      <c r="P226"/>
      <c r="Q226" s="8"/>
    </row>
    <row r="227" spans="2:17" x14ac:dyDescent="0.25">
      <c r="B227" s="163">
        <v>3</v>
      </c>
      <c r="C227" s="171" t="s">
        <v>55</v>
      </c>
      <c r="D227" s="172" t="s">
        <v>56</v>
      </c>
      <c r="E227" s="280"/>
      <c r="F227" s="62" t="s">
        <v>172</v>
      </c>
      <c r="G227" s="62" t="s">
        <v>172</v>
      </c>
      <c r="H227" s="3">
        <v>20</v>
      </c>
      <c r="I227" s="55">
        <v>0</v>
      </c>
      <c r="J227" s="69">
        <f t="shared" si="6"/>
        <v>0</v>
      </c>
      <c r="K227" s="55">
        <f>+I227+'NOVIEMBRE 2025 '!K227</f>
        <v>20</v>
      </c>
      <c r="L227" s="94">
        <f t="shared" si="7"/>
        <v>1</v>
      </c>
      <c r="N227"/>
      <c r="O227" s="8"/>
      <c r="P227"/>
      <c r="Q227" s="8"/>
    </row>
    <row r="228" spans="2:17" x14ac:dyDescent="0.25">
      <c r="B228" s="163">
        <v>5</v>
      </c>
      <c r="C228" s="171" t="s">
        <v>57</v>
      </c>
      <c r="D228" s="172" t="s">
        <v>58</v>
      </c>
      <c r="E228" s="280"/>
      <c r="F228" s="61" t="s">
        <v>172</v>
      </c>
      <c r="G228" s="62" t="s">
        <v>172</v>
      </c>
      <c r="H228" s="3">
        <v>20</v>
      </c>
      <c r="I228" s="55">
        <v>0</v>
      </c>
      <c r="J228" s="69">
        <f t="shared" si="6"/>
        <v>0</v>
      </c>
      <c r="K228" s="55">
        <f>+I228+'NOVIEMBRE 2025 '!K228</f>
        <v>20</v>
      </c>
      <c r="L228" s="94">
        <f t="shared" si="7"/>
        <v>1</v>
      </c>
      <c r="N228"/>
      <c r="O228" s="8"/>
      <c r="P228"/>
      <c r="Q228" s="8"/>
    </row>
    <row r="229" spans="2:17" x14ac:dyDescent="0.25">
      <c r="B229" s="163">
        <v>5</v>
      </c>
      <c r="C229" s="171" t="s">
        <v>59</v>
      </c>
      <c r="D229" s="172" t="s">
        <v>60</v>
      </c>
      <c r="E229" s="280"/>
      <c r="F229" s="62" t="s">
        <v>172</v>
      </c>
      <c r="G229" s="62" t="s">
        <v>172</v>
      </c>
      <c r="H229" s="3">
        <v>20</v>
      </c>
      <c r="I229" s="55">
        <v>0</v>
      </c>
      <c r="J229" s="69">
        <f t="shared" si="6"/>
        <v>0</v>
      </c>
      <c r="K229" s="55">
        <f>+I229+'NOVIEMBRE 2025 '!K229</f>
        <v>20</v>
      </c>
      <c r="L229" s="94">
        <f t="shared" si="7"/>
        <v>1</v>
      </c>
      <c r="N229"/>
      <c r="O229" s="8"/>
      <c r="P229"/>
      <c r="Q229" s="8"/>
    </row>
    <row r="230" spans="2:17" x14ac:dyDescent="0.25">
      <c r="B230" s="164">
        <v>8</v>
      </c>
      <c r="C230" s="173" t="s">
        <v>61</v>
      </c>
      <c r="D230" s="174" t="s">
        <v>62</v>
      </c>
      <c r="E230" s="280"/>
      <c r="F230" s="64" t="s">
        <v>172</v>
      </c>
      <c r="G230" s="65" t="s">
        <v>172</v>
      </c>
      <c r="H230" s="97">
        <v>20</v>
      </c>
      <c r="I230" s="56">
        <v>0</v>
      </c>
      <c r="J230" s="72">
        <f t="shared" si="6"/>
        <v>0</v>
      </c>
      <c r="K230" s="56">
        <f>+I230+'NOVIEMBRE 2025 '!K230</f>
        <v>20</v>
      </c>
      <c r="L230" s="96">
        <f t="shared" si="7"/>
        <v>1</v>
      </c>
      <c r="N230"/>
      <c r="O230" s="8"/>
      <c r="P230"/>
      <c r="Q230" s="8"/>
    </row>
    <row r="231" spans="2:17" x14ac:dyDescent="0.25">
      <c r="B231" s="85">
        <v>3</v>
      </c>
      <c r="C231" s="105" t="s">
        <v>43</v>
      </c>
      <c r="D231" s="106" t="s">
        <v>44</v>
      </c>
      <c r="E231" s="232" t="s">
        <v>407</v>
      </c>
      <c r="F231" s="62" t="s">
        <v>1484</v>
      </c>
      <c r="G231" s="63" t="s">
        <v>1485</v>
      </c>
      <c r="H231" s="66">
        <v>30</v>
      </c>
      <c r="I231" s="66">
        <v>1</v>
      </c>
      <c r="J231" s="69">
        <f t="shared" si="6"/>
        <v>3.3333333333333333E-2</v>
      </c>
      <c r="K231" s="66">
        <f>+I231+'NOVIEMBRE 2025 '!K231</f>
        <v>30</v>
      </c>
      <c r="L231" s="94">
        <f t="shared" si="7"/>
        <v>1</v>
      </c>
      <c r="N231"/>
      <c r="O231" s="8"/>
      <c r="P231"/>
      <c r="Q231" s="8"/>
    </row>
    <row r="232" spans="2:17" x14ac:dyDescent="0.25">
      <c r="B232" s="86">
        <v>3</v>
      </c>
      <c r="C232" s="107" t="s">
        <v>46</v>
      </c>
      <c r="D232" s="108" t="s">
        <v>47</v>
      </c>
      <c r="E232" s="232"/>
      <c r="F232" s="61" t="s">
        <v>1499</v>
      </c>
      <c r="G232" s="62" t="s">
        <v>1486</v>
      </c>
      <c r="H232" s="68">
        <v>30</v>
      </c>
      <c r="I232" s="55">
        <v>4</v>
      </c>
      <c r="J232" s="69">
        <f t="shared" si="6"/>
        <v>0.13333333333333333</v>
      </c>
      <c r="K232" s="55">
        <f>+I232+'NOVIEMBRE 2025 '!K232</f>
        <v>30</v>
      </c>
      <c r="L232" s="94">
        <f t="shared" si="7"/>
        <v>1</v>
      </c>
      <c r="N232"/>
      <c r="O232" s="8"/>
      <c r="P232"/>
      <c r="Q232" s="8"/>
    </row>
    <row r="233" spans="2:17" x14ac:dyDescent="0.25">
      <c r="B233" s="86">
        <v>3</v>
      </c>
      <c r="C233" s="107" t="s">
        <v>98</v>
      </c>
      <c r="D233" s="108" t="s">
        <v>99</v>
      </c>
      <c r="E233" s="232"/>
      <c r="F233" s="61" t="s">
        <v>1487</v>
      </c>
      <c r="G233" s="63" t="s">
        <v>1488</v>
      </c>
      <c r="H233" s="55">
        <v>30</v>
      </c>
      <c r="I233" s="70">
        <v>3</v>
      </c>
      <c r="J233" s="69">
        <f t="shared" si="6"/>
        <v>0.1</v>
      </c>
      <c r="K233" s="70">
        <f>+I233+'NOVIEMBRE 2025 '!K233</f>
        <v>30</v>
      </c>
      <c r="L233" s="94">
        <f t="shared" si="7"/>
        <v>1</v>
      </c>
      <c r="N233"/>
      <c r="O233" s="8"/>
      <c r="P233"/>
      <c r="Q233" s="8"/>
    </row>
    <row r="234" spans="2:17" x14ac:dyDescent="0.25">
      <c r="B234" s="86">
        <v>3</v>
      </c>
      <c r="C234" s="107" t="s">
        <v>49</v>
      </c>
      <c r="D234" s="108" t="s">
        <v>50</v>
      </c>
      <c r="E234" s="232"/>
      <c r="F234" s="61" t="s">
        <v>1489</v>
      </c>
      <c r="G234" s="62" t="s">
        <v>1490</v>
      </c>
      <c r="H234" s="55">
        <v>30</v>
      </c>
      <c r="I234" s="55">
        <v>3</v>
      </c>
      <c r="J234" s="69">
        <f t="shared" si="6"/>
        <v>0.1</v>
      </c>
      <c r="K234" s="55">
        <f>+I234+'NOVIEMBRE 2025 '!K234</f>
        <v>30</v>
      </c>
      <c r="L234" s="94">
        <f t="shared" si="7"/>
        <v>1</v>
      </c>
      <c r="N234"/>
      <c r="O234" s="8"/>
      <c r="P234"/>
      <c r="Q234" s="8"/>
    </row>
    <row r="235" spans="2:17" x14ac:dyDescent="0.25">
      <c r="B235" s="86">
        <v>3</v>
      </c>
      <c r="C235" s="107" t="s">
        <v>52</v>
      </c>
      <c r="D235" s="108" t="s">
        <v>53</v>
      </c>
      <c r="E235" s="232"/>
      <c r="F235" s="61" t="s">
        <v>1491</v>
      </c>
      <c r="G235" s="62" t="s">
        <v>1492</v>
      </c>
      <c r="H235" s="55">
        <v>30</v>
      </c>
      <c r="I235" s="55">
        <v>2</v>
      </c>
      <c r="J235" s="69">
        <f t="shared" si="6"/>
        <v>6.6666666666666666E-2</v>
      </c>
      <c r="K235" s="55">
        <f>+I235+'NOVIEMBRE 2025 '!K235</f>
        <v>30</v>
      </c>
      <c r="L235" s="94">
        <f t="shared" si="7"/>
        <v>1</v>
      </c>
      <c r="N235"/>
      <c r="O235" s="8"/>
      <c r="P235"/>
      <c r="Q235" s="8"/>
    </row>
    <row r="236" spans="2:17" x14ac:dyDescent="0.25">
      <c r="B236" s="86">
        <v>3</v>
      </c>
      <c r="C236" s="107" t="s">
        <v>55</v>
      </c>
      <c r="D236" s="108" t="s">
        <v>56</v>
      </c>
      <c r="E236" s="232"/>
      <c r="F236" s="61" t="s">
        <v>1493</v>
      </c>
      <c r="G236" s="62" t="s">
        <v>1494</v>
      </c>
      <c r="H236" s="55">
        <v>30</v>
      </c>
      <c r="I236" s="55">
        <v>4</v>
      </c>
      <c r="J236" s="69">
        <f t="shared" si="6"/>
        <v>0.13333333333333333</v>
      </c>
      <c r="K236" s="55">
        <f>+I236+'NOVIEMBRE 2025 '!K236</f>
        <v>30</v>
      </c>
      <c r="L236" s="94">
        <f t="shared" si="7"/>
        <v>1</v>
      </c>
      <c r="N236"/>
      <c r="O236" s="8"/>
      <c r="P236"/>
      <c r="Q236" s="8"/>
    </row>
    <row r="237" spans="2:17" x14ac:dyDescent="0.25">
      <c r="B237" s="86">
        <v>5</v>
      </c>
      <c r="C237" s="107" t="s">
        <v>57</v>
      </c>
      <c r="D237" s="108" t="s">
        <v>58</v>
      </c>
      <c r="E237" s="232"/>
      <c r="F237" s="129" t="s">
        <v>1409</v>
      </c>
      <c r="G237" s="76" t="s">
        <v>1410</v>
      </c>
      <c r="H237" s="55">
        <v>30</v>
      </c>
      <c r="I237" s="55">
        <v>2</v>
      </c>
      <c r="J237" s="69">
        <f t="shared" si="6"/>
        <v>6.6666666666666666E-2</v>
      </c>
      <c r="K237" s="55">
        <f>+I237+'NOVIEMBRE 2025 '!K237</f>
        <v>30</v>
      </c>
      <c r="L237" s="94">
        <f t="shared" si="7"/>
        <v>1</v>
      </c>
      <c r="N237"/>
      <c r="O237" s="8"/>
      <c r="P237"/>
      <c r="Q237" s="8"/>
    </row>
    <row r="238" spans="2:17" x14ac:dyDescent="0.25">
      <c r="B238" s="86">
        <v>5</v>
      </c>
      <c r="C238" s="107" t="s">
        <v>59</v>
      </c>
      <c r="D238" s="108" t="s">
        <v>60</v>
      </c>
      <c r="E238" s="233"/>
      <c r="F238" s="61" t="s">
        <v>1495</v>
      </c>
      <c r="G238" s="62" t="s">
        <v>1496</v>
      </c>
      <c r="H238" s="128">
        <v>30</v>
      </c>
      <c r="I238" s="55">
        <v>7</v>
      </c>
      <c r="J238" s="69">
        <f t="shared" si="6"/>
        <v>0.23333333333333334</v>
      </c>
      <c r="K238" s="55">
        <f>+I238+'NOVIEMBRE 2025 '!K238</f>
        <v>30</v>
      </c>
      <c r="L238" s="94">
        <f t="shared" si="7"/>
        <v>1</v>
      </c>
      <c r="N238"/>
      <c r="O238" s="8"/>
      <c r="P238"/>
      <c r="Q238" s="8"/>
    </row>
    <row r="239" spans="2:17" x14ac:dyDescent="0.25">
      <c r="B239" s="87">
        <v>8</v>
      </c>
      <c r="C239" s="109" t="s">
        <v>61</v>
      </c>
      <c r="D239" s="110" t="s">
        <v>62</v>
      </c>
      <c r="E239" s="234"/>
      <c r="F239" s="63" t="s">
        <v>1497</v>
      </c>
      <c r="G239" s="63" t="s">
        <v>1498</v>
      </c>
      <c r="H239" s="56">
        <v>30</v>
      </c>
      <c r="I239" s="56">
        <v>4</v>
      </c>
      <c r="J239" s="72">
        <f t="shared" si="6"/>
        <v>0.13333333333333333</v>
      </c>
      <c r="K239" s="56">
        <f>+I239+'NOVIEMBRE 2025 '!K239</f>
        <v>30</v>
      </c>
      <c r="L239" s="96">
        <f t="shared" si="7"/>
        <v>1</v>
      </c>
      <c r="N239"/>
      <c r="O239" s="8"/>
      <c r="P239"/>
      <c r="Q239" s="8"/>
    </row>
    <row r="240" spans="2:17" x14ac:dyDescent="0.25">
      <c r="B240" s="85">
        <v>3</v>
      </c>
      <c r="C240" s="105" t="s">
        <v>46</v>
      </c>
      <c r="D240" s="106" t="s">
        <v>47</v>
      </c>
      <c r="E240" s="226" t="s">
        <v>426</v>
      </c>
      <c r="F240" s="59" t="s">
        <v>48</v>
      </c>
      <c r="G240" s="60" t="s">
        <v>979</v>
      </c>
      <c r="H240" s="66">
        <v>45</v>
      </c>
      <c r="I240" s="66">
        <v>3</v>
      </c>
      <c r="J240" s="69">
        <f t="shared" si="6"/>
        <v>6.6666666666666666E-2</v>
      </c>
      <c r="K240" s="66">
        <f>+I240+'NOVIEMBRE 2025 '!K240</f>
        <v>45</v>
      </c>
      <c r="L240" s="94">
        <f t="shared" si="7"/>
        <v>1</v>
      </c>
      <c r="N240"/>
      <c r="O240" s="8"/>
      <c r="P240"/>
      <c r="Q240" s="8"/>
    </row>
    <row r="241" spans="1:17" x14ac:dyDescent="0.25">
      <c r="B241" s="86">
        <v>3</v>
      </c>
      <c r="C241" s="107" t="s">
        <v>98</v>
      </c>
      <c r="D241" s="108" t="s">
        <v>99</v>
      </c>
      <c r="E241" s="226"/>
      <c r="F241" s="61" t="s">
        <v>48</v>
      </c>
      <c r="G241" s="62" t="s">
        <v>429</v>
      </c>
      <c r="H241" s="68">
        <v>45</v>
      </c>
      <c r="I241" s="55">
        <v>5</v>
      </c>
      <c r="J241" s="69">
        <f t="shared" si="6"/>
        <v>0.1111111111111111</v>
      </c>
      <c r="K241" s="55">
        <f>+I241+'NOVIEMBRE 2025 '!K241</f>
        <v>45</v>
      </c>
      <c r="L241" s="94">
        <f t="shared" si="7"/>
        <v>1</v>
      </c>
      <c r="N241"/>
      <c r="O241" s="8"/>
      <c r="P241"/>
      <c r="Q241" s="8"/>
    </row>
    <row r="242" spans="1:17" x14ac:dyDescent="0.25">
      <c r="B242" s="86">
        <v>3</v>
      </c>
      <c r="C242" s="107" t="s">
        <v>49</v>
      </c>
      <c r="D242" s="108" t="s">
        <v>50</v>
      </c>
      <c r="E242" s="226"/>
      <c r="F242" s="61" t="s">
        <v>51</v>
      </c>
      <c r="G242" s="63" t="s">
        <v>431</v>
      </c>
      <c r="H242" s="55">
        <v>45</v>
      </c>
      <c r="I242" s="70">
        <v>5</v>
      </c>
      <c r="J242" s="69">
        <f t="shared" si="6"/>
        <v>0.1111111111111111</v>
      </c>
      <c r="K242" s="70">
        <f>+I242+'NOVIEMBRE 2025 '!K242</f>
        <v>45</v>
      </c>
      <c r="L242" s="94">
        <f t="shared" si="7"/>
        <v>1</v>
      </c>
    </row>
    <row r="243" spans="1:17" s="16" customFormat="1" x14ac:dyDescent="0.25">
      <c r="B243" s="86">
        <v>3</v>
      </c>
      <c r="C243" s="107" t="s">
        <v>52</v>
      </c>
      <c r="D243" s="108" t="s">
        <v>53</v>
      </c>
      <c r="E243" s="226"/>
      <c r="F243" s="61" t="s">
        <v>54</v>
      </c>
      <c r="G243" s="62" t="s">
        <v>296</v>
      </c>
      <c r="H243" s="55">
        <v>45</v>
      </c>
      <c r="I243" s="55">
        <v>6</v>
      </c>
      <c r="J243" s="69">
        <f t="shared" si="6"/>
        <v>0.13333333333333333</v>
      </c>
      <c r="K243" s="55">
        <f>+I243+'NOVIEMBRE 2025 '!K243</f>
        <v>45</v>
      </c>
      <c r="L243" s="94">
        <f t="shared" si="7"/>
        <v>1</v>
      </c>
      <c r="O243"/>
      <c r="Q243"/>
    </row>
    <row r="244" spans="1:17" x14ac:dyDescent="0.25">
      <c r="B244" s="86">
        <v>5</v>
      </c>
      <c r="C244" s="107" t="s">
        <v>59</v>
      </c>
      <c r="D244" s="108" t="s">
        <v>60</v>
      </c>
      <c r="E244" s="226"/>
      <c r="F244" s="61" t="s">
        <v>54</v>
      </c>
      <c r="G244" s="62" t="s">
        <v>434</v>
      </c>
      <c r="H244" s="55">
        <v>45</v>
      </c>
      <c r="I244" s="55">
        <v>6</v>
      </c>
      <c r="J244" s="69">
        <f t="shared" si="6"/>
        <v>0.13333333333333333</v>
      </c>
      <c r="K244" s="55">
        <f>+I244+'NOVIEMBRE 2025 '!K244</f>
        <v>45</v>
      </c>
      <c r="L244" s="94">
        <f t="shared" si="7"/>
        <v>1</v>
      </c>
    </row>
    <row r="245" spans="1:17" ht="14.45" customHeight="1" x14ac:dyDescent="0.25">
      <c r="B245" s="86">
        <v>8</v>
      </c>
      <c r="C245" s="107" t="s">
        <v>61</v>
      </c>
      <c r="D245" s="108" t="s">
        <v>62</v>
      </c>
      <c r="E245" s="226"/>
      <c r="F245" s="64" t="s">
        <v>63</v>
      </c>
      <c r="G245" s="65" t="s">
        <v>436</v>
      </c>
      <c r="H245" s="56">
        <v>45</v>
      </c>
      <c r="I245" s="56">
        <v>5</v>
      </c>
      <c r="J245" s="72">
        <f t="shared" si="6"/>
        <v>0.1111111111111111</v>
      </c>
      <c r="K245" s="56">
        <f>+I245+'NOVIEMBRE 2025 '!K245</f>
        <v>45</v>
      </c>
      <c r="L245" s="96">
        <f t="shared" si="7"/>
        <v>1</v>
      </c>
    </row>
    <row r="246" spans="1:17" ht="14.45" customHeight="1" x14ac:dyDescent="0.25">
      <c r="A246" s="5"/>
      <c r="B246" s="85">
        <v>3</v>
      </c>
      <c r="C246" s="105" t="s">
        <v>52</v>
      </c>
      <c r="D246" s="106" t="s">
        <v>53</v>
      </c>
      <c r="E246" s="227" t="s">
        <v>438</v>
      </c>
      <c r="F246" s="59" t="s">
        <v>1357</v>
      </c>
      <c r="G246" s="60" t="s">
        <v>447</v>
      </c>
      <c r="H246" s="66">
        <v>45</v>
      </c>
      <c r="I246" s="66">
        <v>5</v>
      </c>
      <c r="J246" s="69">
        <f t="shared" si="6"/>
        <v>0.1111111111111111</v>
      </c>
      <c r="K246" s="66">
        <f>+I246+'NOVIEMBRE 2025 '!K246</f>
        <v>45</v>
      </c>
      <c r="L246" s="94">
        <f t="shared" si="7"/>
        <v>1</v>
      </c>
    </row>
    <row r="247" spans="1:17" x14ac:dyDescent="0.25">
      <c r="A247" s="5"/>
      <c r="B247" s="86">
        <v>3</v>
      </c>
      <c r="C247" s="107" t="s">
        <v>55</v>
      </c>
      <c r="D247" s="108" t="s">
        <v>56</v>
      </c>
      <c r="E247" s="226"/>
      <c r="F247" s="61" t="s">
        <v>1358</v>
      </c>
      <c r="G247" s="62" t="s">
        <v>447</v>
      </c>
      <c r="H247" s="68">
        <v>45</v>
      </c>
      <c r="I247" s="55">
        <v>5</v>
      </c>
      <c r="J247" s="69">
        <f t="shared" si="6"/>
        <v>0.1111111111111111</v>
      </c>
      <c r="K247" s="55">
        <f>+I247+'NOVIEMBRE 2025 '!K247</f>
        <v>45</v>
      </c>
      <c r="L247" s="94">
        <f t="shared" si="7"/>
        <v>1</v>
      </c>
    </row>
    <row r="248" spans="1:17" x14ac:dyDescent="0.25">
      <c r="A248" s="5"/>
      <c r="B248" s="86">
        <v>4</v>
      </c>
      <c r="C248" s="107" t="s">
        <v>441</v>
      </c>
      <c r="D248" s="108" t="s">
        <v>442</v>
      </c>
      <c r="E248" s="226"/>
      <c r="F248" s="61" t="s">
        <v>1359</v>
      </c>
      <c r="G248" s="62" t="s">
        <v>447</v>
      </c>
      <c r="H248" s="55">
        <v>45</v>
      </c>
      <c r="I248" s="70">
        <v>5</v>
      </c>
      <c r="J248" s="69">
        <f t="shared" si="6"/>
        <v>0.1111111111111111</v>
      </c>
      <c r="K248" s="70">
        <f>+I248+'NOVIEMBRE 2025 '!K248</f>
        <v>45</v>
      </c>
      <c r="L248" s="94">
        <f t="shared" si="7"/>
        <v>1</v>
      </c>
    </row>
    <row r="249" spans="1:17" ht="14.45" customHeight="1" x14ac:dyDescent="0.25">
      <c r="A249" s="5"/>
      <c r="B249" s="86">
        <v>5</v>
      </c>
      <c r="C249" s="107" t="s">
        <v>57</v>
      </c>
      <c r="D249" s="108" t="s">
        <v>58</v>
      </c>
      <c r="E249" s="226"/>
      <c r="F249" s="61" t="s">
        <v>1360</v>
      </c>
      <c r="G249" s="62" t="s">
        <v>447</v>
      </c>
      <c r="H249" s="55">
        <v>45</v>
      </c>
      <c r="I249" s="55">
        <v>5</v>
      </c>
      <c r="J249" s="69">
        <f t="shared" si="6"/>
        <v>0.1111111111111111</v>
      </c>
      <c r="K249" s="55">
        <f>+I249+'NOVIEMBRE 2025 '!K249</f>
        <v>45</v>
      </c>
      <c r="L249" s="94">
        <f t="shared" si="7"/>
        <v>1</v>
      </c>
    </row>
    <row r="250" spans="1:17" ht="14.45" customHeight="1" x14ac:dyDescent="0.25">
      <c r="A250" s="5"/>
      <c r="B250" s="86">
        <v>5</v>
      </c>
      <c r="C250" s="107" t="s">
        <v>59</v>
      </c>
      <c r="D250" s="108" t="s">
        <v>60</v>
      </c>
      <c r="E250" s="226"/>
      <c r="F250" s="61" t="s">
        <v>1361</v>
      </c>
      <c r="G250" s="62" t="s">
        <v>447</v>
      </c>
      <c r="H250" s="55">
        <v>45</v>
      </c>
      <c r="I250" s="55">
        <v>5</v>
      </c>
      <c r="J250" s="69">
        <f t="shared" si="6"/>
        <v>0.1111111111111111</v>
      </c>
      <c r="K250" s="55">
        <f>+I250+'NOVIEMBRE 2025 '!K250</f>
        <v>45</v>
      </c>
      <c r="L250" s="94">
        <f t="shared" si="7"/>
        <v>1</v>
      </c>
    </row>
    <row r="251" spans="1:17" ht="14.45" customHeight="1" x14ac:dyDescent="0.25">
      <c r="A251" s="5"/>
      <c r="B251" s="87">
        <v>8</v>
      </c>
      <c r="C251" s="109" t="s">
        <v>61</v>
      </c>
      <c r="D251" s="110" t="s">
        <v>62</v>
      </c>
      <c r="E251" s="226"/>
      <c r="F251" s="64" t="s">
        <v>1362</v>
      </c>
      <c r="G251" s="62" t="s">
        <v>447</v>
      </c>
      <c r="H251" s="56">
        <v>45</v>
      </c>
      <c r="I251" s="56">
        <v>5</v>
      </c>
      <c r="J251" s="72">
        <f t="shared" si="6"/>
        <v>0.1111111111111111</v>
      </c>
      <c r="K251" s="56">
        <f>+I251+'NOVIEMBRE 2025 '!K251</f>
        <v>45</v>
      </c>
      <c r="L251" s="96">
        <f t="shared" si="7"/>
        <v>1</v>
      </c>
    </row>
    <row r="252" spans="1:17" x14ac:dyDescent="0.25">
      <c r="A252" s="5"/>
      <c r="B252" s="85">
        <v>3</v>
      </c>
      <c r="C252" s="105" t="s">
        <v>43</v>
      </c>
      <c r="D252" s="106" t="s">
        <v>44</v>
      </c>
      <c r="E252" s="232" t="s">
        <v>450</v>
      </c>
      <c r="F252" s="60" t="s">
        <v>1501</v>
      </c>
      <c r="G252" s="60" t="s">
        <v>1502</v>
      </c>
      <c r="H252" s="66">
        <v>34</v>
      </c>
      <c r="I252" s="66">
        <v>4</v>
      </c>
      <c r="J252" s="69">
        <f t="shared" si="6"/>
        <v>0.11764705882352941</v>
      </c>
      <c r="K252" s="66">
        <f>+I252+'NOVIEMBRE 2025 '!K252</f>
        <v>34</v>
      </c>
      <c r="L252" s="94">
        <f t="shared" si="7"/>
        <v>1</v>
      </c>
    </row>
    <row r="253" spans="1:17" x14ac:dyDescent="0.25">
      <c r="A253" s="5"/>
      <c r="B253" s="86">
        <v>3</v>
      </c>
      <c r="C253" s="107" t="s">
        <v>46</v>
      </c>
      <c r="D253" s="108" t="s">
        <v>47</v>
      </c>
      <c r="E253" s="232"/>
      <c r="F253" s="74" t="s">
        <v>1503</v>
      </c>
      <c r="G253" s="62" t="s">
        <v>1504</v>
      </c>
      <c r="H253" s="68">
        <v>34</v>
      </c>
      <c r="I253" s="55">
        <v>4</v>
      </c>
      <c r="J253" s="69">
        <f t="shared" si="6"/>
        <v>0.11764705882352941</v>
      </c>
      <c r="K253" s="55">
        <f>+I253+'NOVIEMBRE 2025 '!K253</f>
        <v>34</v>
      </c>
      <c r="L253" s="94">
        <f t="shared" si="7"/>
        <v>1</v>
      </c>
    </row>
    <row r="254" spans="1:17" ht="14.45" customHeight="1" x14ac:dyDescent="0.25">
      <c r="B254" s="86">
        <v>3</v>
      </c>
      <c r="C254" s="107" t="s">
        <v>49</v>
      </c>
      <c r="D254" s="108" t="s">
        <v>50</v>
      </c>
      <c r="E254" s="232"/>
      <c r="F254" s="62" t="s">
        <v>1505</v>
      </c>
      <c r="G254" s="63" t="s">
        <v>1506</v>
      </c>
      <c r="H254" s="55">
        <v>34</v>
      </c>
      <c r="I254" s="70">
        <v>4</v>
      </c>
      <c r="J254" s="69">
        <f t="shared" si="6"/>
        <v>0.11764705882352941</v>
      </c>
      <c r="K254" s="70">
        <f>+I254+'NOVIEMBRE 2025 '!K254</f>
        <v>34</v>
      </c>
      <c r="L254" s="94">
        <f t="shared" si="7"/>
        <v>1</v>
      </c>
    </row>
    <row r="255" spans="1:17" ht="14.45" customHeight="1" x14ac:dyDescent="0.25">
      <c r="B255" s="86">
        <v>3</v>
      </c>
      <c r="C255" s="107" t="s">
        <v>52</v>
      </c>
      <c r="D255" s="108" t="s">
        <v>53</v>
      </c>
      <c r="E255" s="232"/>
      <c r="F255" s="62" t="s">
        <v>1507</v>
      </c>
      <c r="G255" s="62" t="s">
        <v>1508</v>
      </c>
      <c r="H255" s="55">
        <v>34</v>
      </c>
      <c r="I255" s="55">
        <v>4</v>
      </c>
      <c r="J255" s="69">
        <f t="shared" si="6"/>
        <v>0.11764705882352941</v>
      </c>
      <c r="K255" s="55">
        <f>+I255+'NOVIEMBRE 2025 '!K255</f>
        <v>34</v>
      </c>
      <c r="L255" s="94">
        <f t="shared" si="7"/>
        <v>1</v>
      </c>
    </row>
    <row r="256" spans="1:17" x14ac:dyDescent="0.25">
      <c r="B256" s="86">
        <v>3</v>
      </c>
      <c r="C256" s="107" t="s">
        <v>55</v>
      </c>
      <c r="D256" s="108" t="s">
        <v>56</v>
      </c>
      <c r="E256" s="232"/>
      <c r="F256" s="62" t="s">
        <v>1438</v>
      </c>
      <c r="G256" s="62" t="s">
        <v>1439</v>
      </c>
      <c r="H256" s="55">
        <v>34</v>
      </c>
      <c r="I256" s="55">
        <v>4</v>
      </c>
      <c r="J256" s="69">
        <f t="shared" si="6"/>
        <v>0.11764705882352941</v>
      </c>
      <c r="K256" s="55">
        <f>+I256+'NOVIEMBRE 2025 '!K256</f>
        <v>34</v>
      </c>
      <c r="L256" s="94">
        <f t="shared" si="7"/>
        <v>1</v>
      </c>
    </row>
    <row r="257" spans="1:18" x14ac:dyDescent="0.25">
      <c r="B257" s="86">
        <v>5</v>
      </c>
      <c r="C257" s="107" t="s">
        <v>57</v>
      </c>
      <c r="D257" s="108" t="s">
        <v>58</v>
      </c>
      <c r="E257" s="232"/>
      <c r="F257" s="74" t="s">
        <v>1509</v>
      </c>
      <c r="G257" s="62" t="s">
        <v>1510</v>
      </c>
      <c r="H257" s="55">
        <v>34</v>
      </c>
      <c r="I257" s="55">
        <v>4</v>
      </c>
      <c r="J257" s="69">
        <f t="shared" si="6"/>
        <v>0.11764705882352941</v>
      </c>
      <c r="K257" s="55">
        <f>+I257+'NOVIEMBRE 2025 '!K257</f>
        <v>34</v>
      </c>
      <c r="L257" s="94">
        <f t="shared" si="7"/>
        <v>1</v>
      </c>
    </row>
    <row r="258" spans="1:18" s="6" customFormat="1" ht="14.45" customHeight="1" x14ac:dyDescent="0.25">
      <c r="A258" s="8"/>
      <c r="B258" s="86">
        <v>5</v>
      </c>
      <c r="C258" s="107" t="s">
        <v>59</v>
      </c>
      <c r="D258" s="108" t="s">
        <v>60</v>
      </c>
      <c r="E258" s="232"/>
      <c r="F258" s="62" t="s">
        <v>1294</v>
      </c>
      <c r="G258" s="62" t="s">
        <v>1295</v>
      </c>
      <c r="H258" s="55">
        <v>33</v>
      </c>
      <c r="I258" s="55">
        <v>3</v>
      </c>
      <c r="J258" s="69">
        <f t="shared" si="6"/>
        <v>9.0909090909090912E-2</v>
      </c>
      <c r="K258" s="55">
        <f>+I258+'NOVIEMBRE 2025 '!K258</f>
        <v>33</v>
      </c>
      <c r="L258" s="94">
        <f t="shared" si="7"/>
        <v>1</v>
      </c>
      <c r="M258" s="8"/>
      <c r="N258" s="8"/>
      <c r="O258"/>
      <c r="P258" s="8"/>
      <c r="Q258"/>
      <c r="R258" s="8"/>
    </row>
    <row r="259" spans="1:18" s="6" customFormat="1" ht="14.45" customHeight="1" x14ac:dyDescent="0.25">
      <c r="A259" s="8"/>
      <c r="B259" s="86">
        <v>8</v>
      </c>
      <c r="C259" s="107" t="s">
        <v>61</v>
      </c>
      <c r="D259" s="108" t="s">
        <v>62</v>
      </c>
      <c r="E259" s="232"/>
      <c r="F259" s="65" t="s">
        <v>1296</v>
      </c>
      <c r="G259" s="65" t="s">
        <v>464</v>
      </c>
      <c r="H259" s="56">
        <v>33</v>
      </c>
      <c r="I259" s="56">
        <v>3</v>
      </c>
      <c r="J259" s="72">
        <f t="shared" si="6"/>
        <v>9.0909090909090912E-2</v>
      </c>
      <c r="K259" s="56">
        <f>+I259+'NOVIEMBRE 2025 '!K259</f>
        <v>33</v>
      </c>
      <c r="L259" s="96">
        <f t="shared" si="7"/>
        <v>1</v>
      </c>
      <c r="M259" s="8"/>
      <c r="N259" s="8"/>
      <c r="O259"/>
      <c r="P259" s="8"/>
      <c r="Q259"/>
      <c r="R259" s="8"/>
    </row>
    <row r="260" spans="1:18" x14ac:dyDescent="0.25">
      <c r="B260" s="162">
        <v>3</v>
      </c>
      <c r="C260" s="169" t="s">
        <v>43</v>
      </c>
      <c r="D260" s="170" t="s">
        <v>44</v>
      </c>
      <c r="E260" s="277" t="s">
        <v>466</v>
      </c>
      <c r="F260" s="60" t="s">
        <v>172</v>
      </c>
      <c r="G260" s="60" t="s">
        <v>172</v>
      </c>
      <c r="H260" s="66">
        <v>20</v>
      </c>
      <c r="I260" s="66">
        <v>0</v>
      </c>
      <c r="J260" s="69">
        <f t="shared" si="6"/>
        <v>0</v>
      </c>
      <c r="K260" s="66">
        <f>+I260+'NOVIEMBRE 2025 '!K260</f>
        <v>20</v>
      </c>
      <c r="L260" s="94">
        <f t="shared" si="7"/>
        <v>1</v>
      </c>
    </row>
    <row r="261" spans="1:18" x14ac:dyDescent="0.25">
      <c r="B261" s="163">
        <v>3</v>
      </c>
      <c r="C261" s="171" t="s">
        <v>46</v>
      </c>
      <c r="D261" s="172" t="s">
        <v>47</v>
      </c>
      <c r="E261" s="278"/>
      <c r="F261" s="61" t="s">
        <v>172</v>
      </c>
      <c r="G261" s="62" t="s">
        <v>172</v>
      </c>
      <c r="H261" s="68">
        <v>20</v>
      </c>
      <c r="I261" s="55">
        <v>0</v>
      </c>
      <c r="J261" s="69">
        <f t="shared" si="6"/>
        <v>0</v>
      </c>
      <c r="K261" s="55">
        <f>+I261+'NOVIEMBRE 2025 '!K261</f>
        <v>20</v>
      </c>
      <c r="L261" s="94">
        <f t="shared" si="7"/>
        <v>1</v>
      </c>
    </row>
    <row r="262" spans="1:18" x14ac:dyDescent="0.25">
      <c r="B262" s="163">
        <v>3</v>
      </c>
      <c r="C262" s="171" t="s">
        <v>98</v>
      </c>
      <c r="D262" s="172" t="s">
        <v>99</v>
      </c>
      <c r="E262" s="278"/>
      <c r="F262" s="61" t="s">
        <v>172</v>
      </c>
      <c r="G262" s="63" t="s">
        <v>172</v>
      </c>
      <c r="H262" s="55">
        <v>20</v>
      </c>
      <c r="I262" s="70">
        <v>0</v>
      </c>
      <c r="J262" s="69">
        <f t="shared" si="6"/>
        <v>0</v>
      </c>
      <c r="K262" s="70">
        <f>+I262+'NOVIEMBRE 2025 '!K262</f>
        <v>20</v>
      </c>
      <c r="L262" s="94">
        <f t="shared" si="7"/>
        <v>1</v>
      </c>
    </row>
    <row r="263" spans="1:18" x14ac:dyDescent="0.25">
      <c r="B263" s="163">
        <v>3</v>
      </c>
      <c r="C263" s="171" t="s">
        <v>49</v>
      </c>
      <c r="D263" s="172" t="s">
        <v>50</v>
      </c>
      <c r="E263" s="278"/>
      <c r="F263" s="61" t="s">
        <v>172</v>
      </c>
      <c r="G263" s="62" t="s">
        <v>172</v>
      </c>
      <c r="H263" s="55">
        <v>20</v>
      </c>
      <c r="I263" s="55">
        <v>0</v>
      </c>
      <c r="J263" s="69">
        <f t="shared" si="6"/>
        <v>0</v>
      </c>
      <c r="K263" s="55">
        <f>+I263+'NOVIEMBRE 2025 '!K263</f>
        <v>20</v>
      </c>
      <c r="L263" s="94">
        <f t="shared" si="7"/>
        <v>1</v>
      </c>
    </row>
    <row r="264" spans="1:18" x14ac:dyDescent="0.25">
      <c r="B264" s="163">
        <v>3</v>
      </c>
      <c r="C264" s="171" t="s">
        <v>52</v>
      </c>
      <c r="D264" s="172" t="s">
        <v>53</v>
      </c>
      <c r="E264" s="278"/>
      <c r="F264" s="61" t="s">
        <v>172</v>
      </c>
      <c r="G264" s="62" t="s">
        <v>172</v>
      </c>
      <c r="H264" s="55">
        <v>20</v>
      </c>
      <c r="I264" s="55">
        <v>0</v>
      </c>
      <c r="J264" s="69">
        <f t="shared" si="6"/>
        <v>0</v>
      </c>
      <c r="K264" s="55">
        <f>+I264+'NOVIEMBRE 2025 '!K264</f>
        <v>20</v>
      </c>
      <c r="L264" s="94">
        <f t="shared" si="7"/>
        <v>1</v>
      </c>
    </row>
    <row r="265" spans="1:18" x14ac:dyDescent="0.25">
      <c r="B265" s="163">
        <v>3</v>
      </c>
      <c r="C265" s="171" t="s">
        <v>55</v>
      </c>
      <c r="D265" s="172" t="s">
        <v>56</v>
      </c>
      <c r="E265" s="278"/>
      <c r="F265" s="61" t="s">
        <v>172</v>
      </c>
      <c r="G265" s="62" t="s">
        <v>172</v>
      </c>
      <c r="H265" s="55">
        <v>20</v>
      </c>
      <c r="I265" s="55">
        <v>0</v>
      </c>
      <c r="J265" s="69">
        <f t="shared" si="6"/>
        <v>0</v>
      </c>
      <c r="K265" s="55">
        <f>+I265+'NOVIEMBRE 2025 '!K265</f>
        <v>20</v>
      </c>
      <c r="L265" s="94">
        <f t="shared" si="7"/>
        <v>1</v>
      </c>
    </row>
    <row r="266" spans="1:18" x14ac:dyDescent="0.25">
      <c r="B266" s="163">
        <v>5</v>
      </c>
      <c r="C266" s="171" t="s">
        <v>57</v>
      </c>
      <c r="D266" s="172" t="s">
        <v>58</v>
      </c>
      <c r="E266" s="278"/>
      <c r="F266" s="129" t="s">
        <v>172</v>
      </c>
      <c r="G266" s="76" t="s">
        <v>172</v>
      </c>
      <c r="H266" s="55">
        <v>20</v>
      </c>
      <c r="I266" s="55">
        <v>0</v>
      </c>
      <c r="J266" s="69">
        <f t="shared" si="6"/>
        <v>0</v>
      </c>
      <c r="K266" s="55">
        <f>+I266+'NOVIEMBRE 2025 '!K266</f>
        <v>20</v>
      </c>
      <c r="L266" s="94">
        <f t="shared" si="7"/>
        <v>1</v>
      </c>
    </row>
    <row r="267" spans="1:18" x14ac:dyDescent="0.25">
      <c r="B267" s="163">
        <v>5</v>
      </c>
      <c r="C267" s="171" t="s">
        <v>59</v>
      </c>
      <c r="D267" s="172" t="s">
        <v>60</v>
      </c>
      <c r="E267" s="278"/>
      <c r="F267" s="61" t="s">
        <v>172</v>
      </c>
      <c r="G267" s="62" t="s">
        <v>172</v>
      </c>
      <c r="H267" s="128">
        <v>20</v>
      </c>
      <c r="I267" s="55">
        <v>0</v>
      </c>
      <c r="J267" s="69">
        <f t="shared" si="6"/>
        <v>0</v>
      </c>
      <c r="K267" s="55">
        <f>+I267+'NOVIEMBRE 2025 '!K267</f>
        <v>20</v>
      </c>
      <c r="L267" s="94">
        <f t="shared" si="7"/>
        <v>1</v>
      </c>
    </row>
    <row r="268" spans="1:18" x14ac:dyDescent="0.25">
      <c r="B268" s="164">
        <v>8</v>
      </c>
      <c r="C268" s="173" t="s">
        <v>61</v>
      </c>
      <c r="D268" s="174" t="s">
        <v>62</v>
      </c>
      <c r="E268" s="279"/>
      <c r="F268" s="135" t="s">
        <v>172</v>
      </c>
      <c r="G268" s="135" t="s">
        <v>172</v>
      </c>
      <c r="H268" s="56">
        <v>20</v>
      </c>
      <c r="I268" s="56">
        <v>0</v>
      </c>
      <c r="J268" s="72">
        <f t="shared" si="6"/>
        <v>0</v>
      </c>
      <c r="K268" s="56">
        <f>+I268+'NOVIEMBRE 2025 '!K268</f>
        <v>20</v>
      </c>
      <c r="L268" s="96">
        <f t="shared" si="7"/>
        <v>1</v>
      </c>
    </row>
    <row r="269" spans="1:18" x14ac:dyDescent="0.25">
      <c r="D269" s="18"/>
      <c r="E269" s="5"/>
      <c r="F269" s="14"/>
      <c r="G269" s="5"/>
      <c r="H269" s="240" t="str">
        <f>+CONCATENATE("TOTAL A ",D7)</f>
        <v>TOTAL A DICIEMBRE</v>
      </c>
      <c r="I269" s="241"/>
      <c r="J269" s="242"/>
      <c r="K269" s="240" t="s">
        <v>33</v>
      </c>
      <c r="L269" s="242"/>
    </row>
    <row r="270" spans="1:18" x14ac:dyDescent="0.25">
      <c r="D270" s="48"/>
      <c r="E270" s="54"/>
      <c r="F270" s="16"/>
      <c r="G270" s="54"/>
      <c r="H270" s="49">
        <f>+SUM(H13:H268)</f>
        <v>6480</v>
      </c>
      <c r="I270" s="50">
        <f>SUM(I13:I268)</f>
        <v>420</v>
      </c>
      <c r="J270" s="51">
        <f>IFERROR(I270/H270,0)</f>
        <v>6.4814814814814811E-2</v>
      </c>
      <c r="K270" s="50">
        <f>+SUM(K13:K268)</f>
        <v>6480</v>
      </c>
      <c r="L270" s="51">
        <f>IFERROR(K270/H270,0)</f>
        <v>1</v>
      </c>
    </row>
    <row r="271" spans="1:18" x14ac:dyDescent="0.25">
      <c r="D271" s="48"/>
      <c r="E271" s="54"/>
      <c r="F271" s="16"/>
      <c r="G271" s="54"/>
      <c r="H271" s="118"/>
      <c r="I271" s="119"/>
      <c r="J271" s="120"/>
      <c r="K271" s="119"/>
      <c r="L271" s="120"/>
    </row>
    <row r="272" spans="1:18" ht="14.45" customHeight="1" x14ac:dyDescent="0.25">
      <c r="B272" s="271" t="s">
        <v>34</v>
      </c>
      <c r="C272" s="272"/>
      <c r="D272" s="276" t="s">
        <v>1254</v>
      </c>
      <c r="E272" s="276"/>
      <c r="F272" s="276"/>
      <c r="G272" s="276"/>
      <c r="H272" s="276"/>
      <c r="I272" s="276"/>
      <c r="J272" s="276"/>
      <c r="K272" s="276"/>
      <c r="L272" s="276"/>
    </row>
    <row r="273" spans="1:18" ht="14.45" customHeight="1" x14ac:dyDescent="0.25">
      <c r="B273" s="273"/>
      <c r="C273" s="274"/>
      <c r="D273" s="276" t="s">
        <v>1255</v>
      </c>
      <c r="E273" s="276"/>
      <c r="F273" s="276"/>
      <c r="G273" s="276"/>
      <c r="H273" s="276"/>
      <c r="I273" s="276"/>
      <c r="J273" s="276"/>
      <c r="K273" s="276"/>
      <c r="L273" s="276"/>
    </row>
    <row r="274" spans="1:18" ht="14.45" customHeight="1" x14ac:dyDescent="0.25">
      <c r="B274" s="273"/>
      <c r="C274" s="274"/>
      <c r="D274" s="276" t="s">
        <v>1256</v>
      </c>
      <c r="E274" s="276"/>
      <c r="F274" s="276"/>
      <c r="G274" s="276"/>
      <c r="H274" s="276"/>
      <c r="I274" s="276"/>
      <c r="J274" s="276"/>
      <c r="K274" s="276"/>
      <c r="L274" s="276"/>
    </row>
    <row r="275" spans="1:18" ht="120" customHeight="1" x14ac:dyDescent="0.25">
      <c r="B275" s="273"/>
      <c r="C275" s="274"/>
      <c r="D275" s="275" t="s">
        <v>1500</v>
      </c>
      <c r="E275" s="275"/>
      <c r="F275" s="275"/>
      <c r="G275" s="275"/>
      <c r="H275" s="275"/>
      <c r="I275" s="275"/>
      <c r="J275" s="275"/>
      <c r="K275" s="275"/>
      <c r="L275" s="275"/>
    </row>
    <row r="276" spans="1:18" ht="36.6" customHeight="1" x14ac:dyDescent="0.25">
      <c r="B276" s="240"/>
      <c r="C276" s="242"/>
      <c r="D276" s="275" t="s">
        <v>1469</v>
      </c>
      <c r="E276" s="275"/>
      <c r="F276" s="275"/>
      <c r="G276" s="275"/>
      <c r="H276" s="275"/>
      <c r="I276" s="275"/>
      <c r="J276" s="275"/>
      <c r="K276" s="275"/>
      <c r="L276" s="275"/>
    </row>
    <row r="277" spans="1:18" ht="14.45" customHeight="1" x14ac:dyDescent="0.25">
      <c r="B277" s="248" t="s">
        <v>36</v>
      </c>
      <c r="C277" s="249"/>
      <c r="D277" s="249"/>
      <c r="E277" s="249"/>
      <c r="F277" s="249"/>
      <c r="G277" s="249"/>
      <c r="H277" s="249"/>
      <c r="I277" s="249"/>
      <c r="J277" s="249"/>
      <c r="K277" s="249"/>
      <c r="L277" s="250"/>
    </row>
    <row r="278" spans="1:18" x14ac:dyDescent="0.25">
      <c r="B278" s="251"/>
      <c r="C278" s="252"/>
      <c r="D278" s="252"/>
      <c r="E278" s="252"/>
      <c r="F278" s="252"/>
      <c r="G278" s="252"/>
      <c r="H278" s="252"/>
      <c r="I278" s="252"/>
      <c r="J278" s="252"/>
      <c r="K278" s="252"/>
      <c r="L278" s="253"/>
    </row>
    <row r="279" spans="1:18" x14ac:dyDescent="0.25">
      <c r="B279" s="254" t="s">
        <v>37</v>
      </c>
      <c r="C279" s="255"/>
      <c r="D279" s="255"/>
      <c r="E279" s="255"/>
      <c r="F279" s="255"/>
      <c r="G279" s="255"/>
      <c r="H279" s="255"/>
      <c r="I279" s="255"/>
      <c r="J279" s="255"/>
      <c r="K279" s="255"/>
      <c r="L279" s="256"/>
    </row>
    <row r="280" spans="1:18" ht="24.75" x14ac:dyDescent="0.3">
      <c r="B280" s="52" t="s">
        <v>38</v>
      </c>
      <c r="C280" s="121"/>
      <c r="D280" s="257" t="s">
        <v>35</v>
      </c>
      <c r="E280" s="258"/>
      <c r="F280" s="258"/>
      <c r="G280" s="258"/>
      <c r="H280" s="258"/>
      <c r="I280" s="258"/>
      <c r="J280" s="258"/>
      <c r="K280" s="258"/>
      <c r="L280" s="259"/>
    </row>
    <row r="281" spans="1:18" ht="24.75" x14ac:dyDescent="0.3">
      <c r="B281" s="52" t="s">
        <v>39</v>
      </c>
      <c r="C281" s="121"/>
      <c r="D281" s="260"/>
      <c r="E281" s="261"/>
      <c r="F281" s="261"/>
      <c r="G281" s="261"/>
      <c r="H281" s="261"/>
      <c r="I281" s="261"/>
      <c r="J281" s="261"/>
      <c r="K281" s="261"/>
      <c r="L281" s="262"/>
    </row>
    <row r="282" spans="1:18" ht="14.45" customHeight="1" x14ac:dyDescent="0.25">
      <c r="B282" s="263" t="s">
        <v>36</v>
      </c>
      <c r="C282" s="264"/>
      <c r="D282" s="264"/>
      <c r="E282" s="264"/>
      <c r="F282" s="264"/>
      <c r="G282" s="264"/>
      <c r="H282" s="264"/>
      <c r="I282" s="264"/>
      <c r="J282" s="264"/>
      <c r="K282" s="264"/>
      <c r="L282" s="265"/>
    </row>
    <row r="283" spans="1:18" s="6" customFormat="1" ht="14.45" hidden="1" customHeight="1" x14ac:dyDescent="0.25">
      <c r="A283" t="s">
        <v>0</v>
      </c>
      <c r="B283" s="266"/>
      <c r="C283" s="267"/>
      <c r="D283" s="267"/>
      <c r="E283" s="267"/>
      <c r="F283" s="267"/>
      <c r="G283" s="267"/>
      <c r="H283" s="267"/>
      <c r="I283" s="267"/>
      <c r="J283" s="267"/>
      <c r="K283" s="267"/>
      <c r="L283" s="268"/>
      <c r="M283" s="8"/>
      <c r="N283" s="8"/>
      <c r="O283"/>
      <c r="P283" s="8"/>
      <c r="Q283"/>
      <c r="R283" s="8"/>
    </row>
    <row r="284" spans="1:18" s="6" customFormat="1" ht="14.45" hidden="1" customHeight="1" x14ac:dyDescent="0.25">
      <c r="A284" t="s">
        <v>2</v>
      </c>
      <c r="B284" s="254" t="s">
        <v>40</v>
      </c>
      <c r="C284" s="255"/>
      <c r="D284" s="255"/>
      <c r="E284" s="255"/>
      <c r="F284" s="255"/>
      <c r="G284" s="255"/>
      <c r="H284" s="255"/>
      <c r="I284" s="255"/>
      <c r="J284" s="255"/>
      <c r="K284" s="255"/>
      <c r="L284" s="256"/>
      <c r="M284" s="8"/>
      <c r="N284" s="8"/>
      <c r="O284"/>
      <c r="P284" s="8"/>
      <c r="Q284"/>
      <c r="R284" s="8"/>
    </row>
    <row r="285" spans="1:18" s="6" customFormat="1" ht="14.45" hidden="1" customHeight="1" x14ac:dyDescent="0.3">
      <c r="A285" t="s">
        <v>6</v>
      </c>
      <c r="B285" s="52" t="s">
        <v>38</v>
      </c>
      <c r="C285" s="121"/>
      <c r="D285" s="257" t="s">
        <v>35</v>
      </c>
      <c r="E285" s="258"/>
      <c r="F285" s="258"/>
      <c r="G285" s="258"/>
      <c r="H285" s="258"/>
      <c r="I285" s="258"/>
      <c r="J285" s="258"/>
      <c r="K285" s="258"/>
      <c r="L285" s="259"/>
      <c r="M285" s="8"/>
      <c r="N285" s="8"/>
      <c r="O285"/>
      <c r="P285" s="8"/>
      <c r="Q285"/>
      <c r="R285" s="8"/>
    </row>
    <row r="286" spans="1:18" s="6" customFormat="1" ht="14.45" hidden="1" customHeight="1" x14ac:dyDescent="0.3">
      <c r="A286" t="s">
        <v>8</v>
      </c>
      <c r="B286" s="52" t="s">
        <v>39</v>
      </c>
      <c r="C286" s="121"/>
      <c r="D286" s="260"/>
      <c r="E286" s="261"/>
      <c r="F286" s="261"/>
      <c r="G286" s="261"/>
      <c r="H286" s="261"/>
      <c r="I286" s="261"/>
      <c r="J286" s="261"/>
      <c r="K286" s="261"/>
      <c r="L286" s="262"/>
      <c r="M286" s="8"/>
      <c r="N286" s="8"/>
      <c r="O286"/>
      <c r="P286" s="8"/>
      <c r="Q286"/>
      <c r="R286" s="8"/>
    </row>
    <row r="287" spans="1:18" s="6" customFormat="1" ht="14.45" hidden="1" customHeight="1" x14ac:dyDescent="0.25">
      <c r="A287" t="s">
        <v>9</v>
      </c>
      <c r="B287" s="53"/>
      <c r="C287" s="53"/>
      <c r="D287" s="18"/>
      <c r="E287" s="5"/>
      <c r="G287" s="5"/>
      <c r="H287" s="53"/>
      <c r="I287" s="122"/>
      <c r="M287" s="8"/>
      <c r="N287" s="8"/>
      <c r="O287"/>
      <c r="P287" s="8"/>
      <c r="Q287"/>
      <c r="R287" s="8"/>
    </row>
    <row r="288" spans="1:18" s="6" customFormat="1" ht="14.45" hidden="1" customHeight="1" x14ac:dyDescent="0.25">
      <c r="A288" t="s">
        <v>10</v>
      </c>
      <c r="B288" s="53"/>
      <c r="C288" s="53"/>
      <c r="D288" s="18"/>
      <c r="E288" s="5"/>
      <c r="G288" s="5"/>
      <c r="H288" s="53"/>
      <c r="I288" s="122"/>
      <c r="M288" s="8"/>
      <c r="N288" s="8"/>
      <c r="O288"/>
      <c r="P288" s="8"/>
      <c r="Q288"/>
      <c r="R288" s="8"/>
    </row>
    <row r="289" spans="1:18" s="6" customFormat="1" ht="14.45" hidden="1" customHeight="1" x14ac:dyDescent="0.25">
      <c r="A289" t="s">
        <v>11</v>
      </c>
      <c r="B289" s="269"/>
      <c r="C289" s="269"/>
      <c r="D289" s="269"/>
      <c r="E289" s="5"/>
      <c r="G289" s="5"/>
      <c r="H289" s="269"/>
      <c r="I289" s="269"/>
      <c r="J289" s="269"/>
      <c r="K289" s="269"/>
      <c r="M289" s="8"/>
      <c r="N289" s="8"/>
      <c r="O289"/>
      <c r="P289" s="8"/>
      <c r="Q289"/>
      <c r="R289" s="8"/>
    </row>
    <row r="290" spans="1:18" s="6" customFormat="1" ht="14.45" hidden="1" customHeight="1" x14ac:dyDescent="0.25">
      <c r="A290" t="s">
        <v>13</v>
      </c>
      <c r="B290" s="5" t="s">
        <v>41</v>
      </c>
      <c r="C290" s="270"/>
      <c r="D290" s="270"/>
      <c r="E290" s="5"/>
      <c r="G290" s="5"/>
      <c r="H290" s="5" t="s">
        <v>42</v>
      </c>
      <c r="I290" s="270" t="s">
        <v>222</v>
      </c>
      <c r="J290" s="270"/>
      <c r="K290" s="270"/>
      <c r="M290" s="8"/>
      <c r="N290" s="8"/>
      <c r="O290"/>
      <c r="P290" s="8"/>
      <c r="Q290"/>
      <c r="R290" s="8"/>
    </row>
    <row r="291" spans="1:18" s="6" customFormat="1" hidden="1" x14ac:dyDescent="0.25">
      <c r="A291" t="s">
        <v>14</v>
      </c>
      <c r="B291" s="54"/>
      <c r="C291" s="5"/>
      <c r="F291" s="7"/>
      <c r="M291" s="8"/>
      <c r="N291" s="8"/>
      <c r="O291"/>
      <c r="P291" s="8"/>
      <c r="Q291"/>
      <c r="R291" s="8"/>
    </row>
    <row r="292" spans="1:18" s="6" customFormat="1" hidden="1" x14ac:dyDescent="0.25">
      <c r="A292" t="s">
        <v>16</v>
      </c>
      <c r="B292" s="54"/>
      <c r="C292" s="5"/>
      <c r="F292" s="7"/>
      <c r="M292" s="8"/>
      <c r="N292" s="8"/>
      <c r="O292"/>
      <c r="P292" s="8"/>
      <c r="Q292"/>
      <c r="R292" s="8"/>
    </row>
    <row r="293" spans="1:18" s="6" customFormat="1" hidden="1" x14ac:dyDescent="0.25">
      <c r="A293" t="s">
        <v>17</v>
      </c>
      <c r="B293" s="54"/>
      <c r="C293" s="5"/>
      <c r="F293" s="7"/>
      <c r="M293" s="8"/>
      <c r="N293" s="8"/>
      <c r="O293"/>
      <c r="P293" s="8"/>
      <c r="Q293"/>
      <c r="R293" s="8"/>
    </row>
    <row r="294" spans="1:18" s="6" customFormat="1" hidden="1" x14ac:dyDescent="0.25">
      <c r="A294" t="s">
        <v>21</v>
      </c>
      <c r="B294" s="54"/>
      <c r="C294" s="5"/>
      <c r="F294" s="7"/>
      <c r="M294" s="8"/>
      <c r="N294" s="8"/>
      <c r="O294"/>
      <c r="P294" s="8"/>
      <c r="Q294"/>
      <c r="R294" s="8"/>
    </row>
    <row r="295" spans="1:18" s="6" customFormat="1" hidden="1" x14ac:dyDescent="0.25">
      <c r="A295" t="s">
        <v>31</v>
      </c>
      <c r="B295" s="54"/>
      <c r="C295" s="5"/>
      <c r="F295" s="7"/>
      <c r="M295" s="8"/>
      <c r="N295" s="8"/>
      <c r="O295"/>
      <c r="P295" s="8"/>
      <c r="Q295"/>
      <c r="R295" s="8"/>
    </row>
    <row r="296" spans="1:18" x14ac:dyDescent="0.25">
      <c r="B296" s="254" t="s">
        <v>40</v>
      </c>
      <c r="C296" s="255"/>
      <c r="D296" s="255"/>
      <c r="E296" s="255"/>
      <c r="F296" s="255"/>
      <c r="G296" s="255"/>
      <c r="H296" s="255"/>
      <c r="I296" s="255"/>
      <c r="J296" s="255"/>
      <c r="K296" s="255"/>
      <c r="L296" s="256"/>
    </row>
    <row r="297" spans="1:18" ht="24.75" x14ac:dyDescent="0.3">
      <c r="B297" s="52" t="s">
        <v>38</v>
      </c>
      <c r="C297" s="121"/>
      <c r="D297" s="257" t="s">
        <v>35</v>
      </c>
      <c r="E297" s="258"/>
      <c r="F297" s="258"/>
      <c r="G297" s="258"/>
      <c r="H297" s="258"/>
      <c r="I297" s="258"/>
      <c r="J297" s="258"/>
      <c r="K297" s="258"/>
      <c r="L297" s="259"/>
    </row>
    <row r="298" spans="1:18" ht="24.75" x14ac:dyDescent="0.3">
      <c r="B298" s="52" t="s">
        <v>39</v>
      </c>
      <c r="C298" s="121"/>
      <c r="D298" s="260"/>
      <c r="E298" s="261"/>
      <c r="F298" s="261"/>
      <c r="G298" s="261"/>
      <c r="H298" s="261"/>
      <c r="I298" s="261"/>
      <c r="J298" s="261"/>
      <c r="K298" s="261"/>
      <c r="L298" s="262"/>
    </row>
    <row r="299" spans="1:18" x14ac:dyDescent="0.25">
      <c r="B299" s="53"/>
      <c r="C299" s="53"/>
      <c r="D299" s="18"/>
      <c r="E299" s="5"/>
      <c r="F299" s="6"/>
      <c r="G299" s="5"/>
      <c r="H299" s="53"/>
      <c r="I299" s="122"/>
    </row>
    <row r="300" spans="1:18" x14ac:dyDescent="0.25">
      <c r="B300" s="53"/>
      <c r="C300" s="53"/>
      <c r="D300" s="18"/>
      <c r="E300" s="5"/>
      <c r="F300" s="6"/>
      <c r="G300" s="5"/>
      <c r="H300" s="53"/>
      <c r="I300" s="122"/>
    </row>
    <row r="301" spans="1:18" x14ac:dyDescent="0.25">
      <c r="B301" s="269"/>
      <c r="C301" s="269"/>
      <c r="D301" s="269"/>
      <c r="E301" s="5"/>
      <c r="F301" s="6"/>
      <c r="G301" s="5"/>
      <c r="H301" s="269"/>
      <c r="I301" s="269"/>
      <c r="J301" s="269"/>
      <c r="K301" s="269"/>
    </row>
    <row r="302" spans="1:18" x14ac:dyDescent="0.25">
      <c r="B302" s="5" t="s">
        <v>41</v>
      </c>
      <c r="C302" s="270"/>
      <c r="D302" s="270"/>
      <c r="E302" s="5"/>
      <c r="F302" s="6"/>
      <c r="G302" s="5"/>
      <c r="H302" s="5" t="s">
        <v>42</v>
      </c>
      <c r="I302" s="270" t="s">
        <v>222</v>
      </c>
      <c r="J302" s="270"/>
      <c r="K302" s="270"/>
    </row>
  </sheetData>
  <sheetProtection formatCells="0" formatColumns="0" formatRows="0" insertColumns="0" insertRows="0" insertHyperlinks="0" deleteColumns="0" deleteRows="0" sort="0" autoFilter="0" pivotTables="0"/>
  <autoFilter ref="B12:L270"/>
  <mergeCells count="63">
    <mergeCell ref="E21:E29"/>
    <mergeCell ref="B2:L2"/>
    <mergeCell ref="B3:D3"/>
    <mergeCell ref="F3:I3"/>
    <mergeCell ref="J3:L3"/>
    <mergeCell ref="B5:C5"/>
    <mergeCell ref="B7:C7"/>
    <mergeCell ref="B9:C9"/>
    <mergeCell ref="B11:H11"/>
    <mergeCell ref="I11:J11"/>
    <mergeCell ref="K11:L11"/>
    <mergeCell ref="E13:E20"/>
    <mergeCell ref="E134:E145"/>
    <mergeCell ref="E30:E38"/>
    <mergeCell ref="E39:E46"/>
    <mergeCell ref="E47:E55"/>
    <mergeCell ref="E56:E64"/>
    <mergeCell ref="E65:E73"/>
    <mergeCell ref="E74:E82"/>
    <mergeCell ref="E83:E91"/>
    <mergeCell ref="E92:E102"/>
    <mergeCell ref="E103:E113"/>
    <mergeCell ref="E114:E122"/>
    <mergeCell ref="E123:E133"/>
    <mergeCell ref="E240:E245"/>
    <mergeCell ref="E146:E156"/>
    <mergeCell ref="E157:E166"/>
    <mergeCell ref="E167:E176"/>
    <mergeCell ref="E177:E181"/>
    <mergeCell ref="E182:E190"/>
    <mergeCell ref="E191:E198"/>
    <mergeCell ref="E199:E206"/>
    <mergeCell ref="E207:E212"/>
    <mergeCell ref="E213:E221"/>
    <mergeCell ref="E222:E230"/>
    <mergeCell ref="E231:E239"/>
    <mergeCell ref="B272:C276"/>
    <mergeCell ref="D272:L272"/>
    <mergeCell ref="D273:L273"/>
    <mergeCell ref="D274:L274"/>
    <mergeCell ref="D275:L275"/>
    <mergeCell ref="D276:L276"/>
    <mergeCell ref="E246:E251"/>
    <mergeCell ref="E252:E259"/>
    <mergeCell ref="E260:E268"/>
    <mergeCell ref="H269:J269"/>
    <mergeCell ref="K269:L269"/>
    <mergeCell ref="B277:L278"/>
    <mergeCell ref="B279:L279"/>
    <mergeCell ref="D280:L281"/>
    <mergeCell ref="B282:L283"/>
    <mergeCell ref="I290:K290"/>
    <mergeCell ref="D285:L286"/>
    <mergeCell ref="B289:D289"/>
    <mergeCell ref="H289:K289"/>
    <mergeCell ref="C290:D290"/>
    <mergeCell ref="B284:L284"/>
    <mergeCell ref="B296:L296"/>
    <mergeCell ref="D297:L298"/>
    <mergeCell ref="B301:D301"/>
    <mergeCell ref="H301:K301"/>
    <mergeCell ref="C302:D302"/>
    <mergeCell ref="I302:K302"/>
  </mergeCells>
  <conditionalFormatting sqref="L13:L268">
    <cfRule type="cellIs" dxfId="5" priority="1" operator="equal">
      <formula>1</formula>
    </cfRule>
    <cfRule type="cellIs" dxfId="4" priority="2" operator="greaterThan">
      <formula>1</formula>
    </cfRule>
  </conditionalFormatting>
  <dataValidations count="3">
    <dataValidation type="list" allowBlank="1" showInputMessage="1" showErrorMessage="1" sqref="D7">
      <formula1>$A$284:$A$295</formula1>
    </dataValidation>
    <dataValidation type="whole" allowBlank="1" showInputMessage="1" showErrorMessage="1" errorTitle="¡Error!" error="Introduzca un número válido." promptTitle="¡Atención!" prompt="Introduzca un número entre 0 y 366" sqref="H13:H268 H271">
      <formula1>0</formula1>
      <formula2>366</formula2>
    </dataValidation>
    <dataValidation type="whole" allowBlank="1" showInputMessage="1" showErrorMessage="1" errorTitle="¡Error!" error="Introduzca un número válido." promptTitle="¡Atención!" prompt="Introduzca un número entre 0 y 30" sqref="I13:I268">
      <formula1>0</formula1>
      <formula2>30</formula2>
    </dataValidation>
  </dataValidations>
  <hyperlinks>
    <hyperlink ref="G16" r:id="rId1"/>
  </hyperlinks>
  <pageMargins left="0.7" right="0.7" top="0.75" bottom="0.75" header="0.3" footer="0.3"/>
  <pageSetup scale="12" orientation="portrait" r:id="rId2"/>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02"/>
  <sheetViews>
    <sheetView showGridLines="0" view="pageBreakPreview" topLeftCell="B168" zoomScaleNormal="100" zoomScaleSheetLayoutView="100" workbookViewId="0">
      <selection activeCell="G177" sqref="G177:G181"/>
    </sheetView>
  </sheetViews>
  <sheetFormatPr baseColWidth="10" defaultColWidth="8.5703125" defaultRowHeight="15" x14ac:dyDescent="0.25"/>
  <cols>
    <col min="1" max="1" width="3.42578125" style="8" customWidth="1"/>
    <col min="2" max="2" width="15.5703125" style="5" customWidth="1"/>
    <col min="3" max="3" width="8.5703125" style="5" customWidth="1"/>
    <col min="4" max="4" width="43.42578125" style="6" customWidth="1"/>
    <col min="5" max="5" width="16.85546875" style="6" bestFit="1" customWidth="1"/>
    <col min="6" max="6" width="31" style="7" customWidth="1"/>
    <col min="7" max="7" width="30.140625" style="6" customWidth="1"/>
    <col min="8" max="8" width="13.5703125" style="6" customWidth="1"/>
    <col min="9" max="9" width="13.42578125" style="6" customWidth="1"/>
    <col min="10" max="10" width="10.42578125" style="6" customWidth="1"/>
    <col min="11" max="12" width="12.42578125" style="6" customWidth="1"/>
    <col min="13" max="13" width="3.42578125" style="8" customWidth="1"/>
    <col min="14" max="14" width="16.42578125" style="8" customWidth="1"/>
    <col min="16" max="16" width="16.42578125" style="8" customWidth="1"/>
    <col min="17" max="17" width="0" hidden="1" customWidth="1"/>
    <col min="18" max="18" width="16.42578125" style="8" customWidth="1"/>
    <col min="19" max="16384" width="8.5703125" style="8"/>
  </cols>
  <sheetData>
    <row r="1" spans="2:17" ht="18" customHeight="1" x14ac:dyDescent="0.25">
      <c r="Q1" t="s">
        <v>0</v>
      </c>
    </row>
    <row r="2" spans="2:17" ht="49.5" customHeight="1" x14ac:dyDescent="0.25">
      <c r="B2" s="221" t="s">
        <v>1</v>
      </c>
      <c r="C2" s="221"/>
      <c r="D2" s="221"/>
      <c r="E2" s="221"/>
      <c r="F2" s="221"/>
      <c r="G2" s="221"/>
      <c r="H2" s="221"/>
      <c r="I2" s="221"/>
      <c r="J2" s="221"/>
      <c r="K2" s="221"/>
      <c r="L2" s="221"/>
      <c r="Q2" t="s">
        <v>2</v>
      </c>
    </row>
    <row r="3" spans="2:17" ht="18.75" customHeight="1" x14ac:dyDescent="0.25">
      <c r="B3" s="222" t="s">
        <v>3</v>
      </c>
      <c r="C3" s="223"/>
      <c r="D3" s="223"/>
      <c r="E3" s="58"/>
      <c r="F3" s="223" t="s">
        <v>4</v>
      </c>
      <c r="G3" s="223"/>
      <c r="H3" s="223"/>
      <c r="I3" s="223"/>
      <c r="J3" s="223" t="s">
        <v>5</v>
      </c>
      <c r="K3" s="223"/>
      <c r="L3" s="224"/>
    </row>
    <row r="4" spans="2:17" x14ac:dyDescent="0.25">
      <c r="B4" s="9"/>
      <c r="C4" s="57"/>
      <c r="L4" s="10"/>
      <c r="Q4" t="s">
        <v>6</v>
      </c>
    </row>
    <row r="5" spans="2:17" s="16" customFormat="1" ht="27.6" customHeight="1" x14ac:dyDescent="0.25">
      <c r="B5" s="225" t="s">
        <v>7</v>
      </c>
      <c r="C5" s="225"/>
      <c r="D5" s="11">
        <v>90141005</v>
      </c>
      <c r="E5"/>
      <c r="F5" s="12"/>
      <c r="G5" s="13"/>
      <c r="H5" s="14"/>
      <c r="I5" s="14"/>
      <c r="J5" s="14"/>
      <c r="K5" s="14"/>
      <c r="L5" s="15"/>
      <c r="O5"/>
      <c r="Q5" t="s">
        <v>8</v>
      </c>
    </row>
    <row r="6" spans="2:17" s="16" customFormat="1" x14ac:dyDescent="0.25">
      <c r="B6" s="17"/>
      <c r="C6" s="5"/>
      <c r="D6" s="14"/>
      <c r="E6"/>
      <c r="F6" s="18"/>
      <c r="G6" s="14"/>
      <c r="H6" s="14"/>
      <c r="I6" s="14"/>
      <c r="J6" s="14"/>
      <c r="K6" s="14"/>
      <c r="L6" s="15"/>
      <c r="O6"/>
      <c r="Q6" t="s">
        <v>11</v>
      </c>
    </row>
    <row r="7" spans="2:17" s="16" customFormat="1" x14ac:dyDescent="0.25">
      <c r="B7" s="225" t="s">
        <v>12</v>
      </c>
      <c r="C7" s="225"/>
      <c r="D7" s="19" t="s">
        <v>2</v>
      </c>
      <c r="E7"/>
      <c r="F7" s="20"/>
      <c r="G7" s="21"/>
      <c r="H7" s="14"/>
      <c r="I7" s="14"/>
      <c r="J7" s="14"/>
      <c r="K7" s="14"/>
      <c r="L7" s="15"/>
      <c r="O7"/>
      <c r="Q7" t="s">
        <v>13</v>
      </c>
    </row>
    <row r="8" spans="2:17" s="16" customFormat="1" x14ac:dyDescent="0.25">
      <c r="B8" s="22"/>
      <c r="C8" s="23"/>
      <c r="D8" s="24"/>
      <c r="E8"/>
      <c r="F8" s="20"/>
      <c r="G8" s="21"/>
      <c r="H8" s="14"/>
      <c r="I8" s="14"/>
      <c r="J8" s="14"/>
      <c r="K8" s="14"/>
      <c r="L8" s="15"/>
      <c r="O8"/>
      <c r="Q8" t="s">
        <v>14</v>
      </c>
    </row>
    <row r="9" spans="2:17" s="16" customFormat="1" x14ac:dyDescent="0.25">
      <c r="B9" s="225" t="s">
        <v>15</v>
      </c>
      <c r="C9" s="225"/>
      <c r="D9" s="25">
        <v>46052</v>
      </c>
      <c r="E9"/>
      <c r="F9" s="26"/>
      <c r="G9" s="27"/>
      <c r="H9" s="14"/>
      <c r="I9" s="14"/>
      <c r="J9" s="14"/>
      <c r="K9" s="14"/>
      <c r="L9" s="15"/>
      <c r="O9"/>
      <c r="Q9" t="s">
        <v>16</v>
      </c>
    </row>
    <row r="10" spans="2:17" x14ac:dyDescent="0.25">
      <c r="B10" s="28"/>
      <c r="C10" s="29"/>
      <c r="L10" s="30"/>
      <c r="Q10" t="s">
        <v>17</v>
      </c>
    </row>
    <row r="11" spans="2:17" s="31" customFormat="1" ht="26.85" customHeight="1" x14ac:dyDescent="0.25">
      <c r="B11" s="225" t="s">
        <v>18</v>
      </c>
      <c r="C11" s="225"/>
      <c r="D11" s="225"/>
      <c r="E11" s="225"/>
      <c r="F11" s="225"/>
      <c r="G11" s="225"/>
      <c r="H11" s="225"/>
      <c r="I11" s="225" t="s">
        <v>19</v>
      </c>
      <c r="J11" s="225"/>
      <c r="K11" s="225" t="s">
        <v>20</v>
      </c>
      <c r="L11" s="225"/>
      <c r="O11" s="32"/>
      <c r="Q11" s="32" t="s">
        <v>21</v>
      </c>
    </row>
    <row r="12" spans="2:17" s="31" customFormat="1" ht="57.6" customHeight="1" x14ac:dyDescent="0.25">
      <c r="B12" s="33" t="s">
        <v>22</v>
      </c>
      <c r="C12" s="33" t="s">
        <v>23</v>
      </c>
      <c r="D12" s="33" t="s">
        <v>24</v>
      </c>
      <c r="E12" s="33" t="s">
        <v>72</v>
      </c>
      <c r="F12" s="34" t="s">
        <v>25</v>
      </c>
      <c r="G12" s="33" t="s">
        <v>26</v>
      </c>
      <c r="H12" s="33" t="s">
        <v>27</v>
      </c>
      <c r="I12" s="33" t="s">
        <v>28</v>
      </c>
      <c r="J12" s="33" t="s">
        <v>29</v>
      </c>
      <c r="K12" s="33" t="s">
        <v>30</v>
      </c>
      <c r="L12" s="33" t="s">
        <v>29</v>
      </c>
      <c r="O12" s="32"/>
      <c r="Q12" s="32" t="s">
        <v>31</v>
      </c>
    </row>
    <row r="13" spans="2:17" x14ac:dyDescent="0.25">
      <c r="B13" s="35">
        <v>3</v>
      </c>
      <c r="C13" s="35" t="s">
        <v>43</v>
      </c>
      <c r="D13" s="37" t="s">
        <v>44</v>
      </c>
      <c r="E13" s="218" t="s">
        <v>73</v>
      </c>
      <c r="F13" s="59" t="s">
        <v>64</v>
      </c>
      <c r="G13" s="59" t="s">
        <v>65</v>
      </c>
      <c r="H13" s="181">
        <v>44</v>
      </c>
      <c r="I13" s="181"/>
      <c r="J13" s="67">
        <f>IFERROR(I13/H13,0)</f>
        <v>0</v>
      </c>
      <c r="K13" s="181">
        <f>+I13+DICIEMBRE!K13</f>
        <v>33</v>
      </c>
      <c r="L13" s="92">
        <f>IFERROR(K13/H13,0)</f>
        <v>0.75</v>
      </c>
    </row>
    <row r="14" spans="2:17" x14ac:dyDescent="0.25">
      <c r="B14" s="38">
        <v>3</v>
      </c>
      <c r="C14" s="38" t="s">
        <v>46</v>
      </c>
      <c r="D14" s="40" t="s">
        <v>47</v>
      </c>
      <c r="E14" s="219"/>
      <c r="F14" s="61" t="s">
        <v>66</v>
      </c>
      <c r="G14" s="61">
        <v>45962</v>
      </c>
      <c r="H14" s="184">
        <v>50</v>
      </c>
      <c r="I14" s="185">
        <v>10</v>
      </c>
      <c r="J14" s="69">
        <f>IFERROR(I14/H14,0)</f>
        <v>0.2</v>
      </c>
      <c r="K14" s="185">
        <f>+I14+DICIEMBRE!K14</f>
        <v>49</v>
      </c>
      <c r="L14" s="94">
        <f>IFERROR(K14/H14,0)</f>
        <v>0.98</v>
      </c>
    </row>
    <row r="15" spans="2:17" x14ac:dyDescent="0.25">
      <c r="B15" s="38">
        <v>3</v>
      </c>
      <c r="C15" s="38" t="s">
        <v>49</v>
      </c>
      <c r="D15" s="40" t="s">
        <v>50</v>
      </c>
      <c r="E15" s="219"/>
      <c r="F15" s="61" t="s">
        <v>68</v>
      </c>
      <c r="G15" s="61" t="s">
        <v>65</v>
      </c>
      <c r="H15" s="185">
        <v>44</v>
      </c>
      <c r="I15" s="187">
        <v>3</v>
      </c>
      <c r="J15" s="69">
        <f t="shared" ref="J15:J78" si="0">IFERROR(I15/H15,0)</f>
        <v>6.8181818181818177E-2</v>
      </c>
      <c r="K15" s="187">
        <f>+I15+DICIEMBRE!K15</f>
        <v>36</v>
      </c>
      <c r="L15" s="94">
        <f t="shared" ref="L15:L78" si="1">IFERROR(K15/H15,0)</f>
        <v>0.81818181818181823</v>
      </c>
    </row>
    <row r="16" spans="2:17" x14ac:dyDescent="0.25">
      <c r="B16" s="38">
        <v>3</v>
      </c>
      <c r="C16" s="38" t="s">
        <v>52</v>
      </c>
      <c r="D16" s="40" t="s">
        <v>53</v>
      </c>
      <c r="E16" s="219"/>
      <c r="F16" s="61" t="s">
        <v>54</v>
      </c>
      <c r="G16" s="61" t="s">
        <v>1444</v>
      </c>
      <c r="H16" s="185">
        <v>44</v>
      </c>
      <c r="I16" s="185">
        <v>2</v>
      </c>
      <c r="J16" s="69">
        <f t="shared" si="0"/>
        <v>4.5454545454545456E-2</v>
      </c>
      <c r="K16" s="185">
        <f>+I16+DICIEMBRE!K16</f>
        <v>35</v>
      </c>
      <c r="L16" s="94">
        <f t="shared" si="1"/>
        <v>0.79545454545454541</v>
      </c>
    </row>
    <row r="17" spans="2:17" s="16" customFormat="1" x14ac:dyDescent="0.25">
      <c r="B17" s="38">
        <v>3</v>
      </c>
      <c r="C17" s="38" t="s">
        <v>55</v>
      </c>
      <c r="D17" s="40" t="s">
        <v>56</v>
      </c>
      <c r="E17" s="219"/>
      <c r="F17" s="61" t="s">
        <v>69</v>
      </c>
      <c r="G17" s="61" t="s">
        <v>65</v>
      </c>
      <c r="H17" s="185">
        <v>44</v>
      </c>
      <c r="I17" s="185">
        <v>1</v>
      </c>
      <c r="J17" s="69">
        <f t="shared" si="0"/>
        <v>2.2727272727272728E-2</v>
      </c>
      <c r="K17" s="185">
        <f>+I17+DICIEMBRE!K17</f>
        <v>34</v>
      </c>
      <c r="L17" s="94">
        <f t="shared" si="1"/>
        <v>0.77272727272727271</v>
      </c>
      <c r="O17" s="41"/>
      <c r="Q17" s="41"/>
    </row>
    <row r="18" spans="2:17" x14ac:dyDescent="0.25">
      <c r="B18" s="38">
        <v>5</v>
      </c>
      <c r="C18" s="38" t="s">
        <v>57</v>
      </c>
      <c r="D18" s="40" t="s">
        <v>58</v>
      </c>
      <c r="E18" s="219"/>
      <c r="F18" s="61" t="s">
        <v>54</v>
      </c>
      <c r="G18" s="61" t="s">
        <v>203</v>
      </c>
      <c r="H18" s="185">
        <v>44</v>
      </c>
      <c r="I18" s="185">
        <v>3</v>
      </c>
      <c r="J18" s="69">
        <f t="shared" si="0"/>
        <v>6.8181818181818177E-2</v>
      </c>
      <c r="K18" s="185">
        <f>+I18+DICIEMBRE!K18</f>
        <v>36</v>
      </c>
      <c r="L18" s="94">
        <f t="shared" si="1"/>
        <v>0.81818181818181823</v>
      </c>
    </row>
    <row r="19" spans="2:17" x14ac:dyDescent="0.25">
      <c r="B19" s="38">
        <v>5</v>
      </c>
      <c r="C19" s="38" t="s">
        <v>59</v>
      </c>
      <c r="D19" s="40" t="s">
        <v>60</v>
      </c>
      <c r="E19" s="219"/>
      <c r="F19" s="61" t="s">
        <v>70</v>
      </c>
      <c r="G19" s="61" t="s">
        <v>1445</v>
      </c>
      <c r="H19" s="185">
        <v>46</v>
      </c>
      <c r="I19" s="185">
        <v>6</v>
      </c>
      <c r="J19" s="69">
        <f t="shared" si="0"/>
        <v>0.13043478260869565</v>
      </c>
      <c r="K19" s="185">
        <f>+I19+DICIEMBRE!K19</f>
        <v>39</v>
      </c>
      <c r="L19" s="94">
        <f t="shared" si="1"/>
        <v>0.84782608695652173</v>
      </c>
    </row>
    <row r="20" spans="2:17" x14ac:dyDescent="0.25">
      <c r="B20" s="42">
        <v>8</v>
      </c>
      <c r="C20" s="42" t="s">
        <v>61</v>
      </c>
      <c r="D20" s="44" t="s">
        <v>62</v>
      </c>
      <c r="E20" s="220"/>
      <c r="F20" s="64" t="s">
        <v>63</v>
      </c>
      <c r="G20" s="64" t="s">
        <v>1446</v>
      </c>
      <c r="H20" s="190">
        <v>44</v>
      </c>
      <c r="I20" s="190">
        <v>5</v>
      </c>
      <c r="J20" s="72">
        <f t="shared" si="0"/>
        <v>0.11363636363636363</v>
      </c>
      <c r="K20" s="190">
        <f>+I20+DICIEMBRE!K20</f>
        <v>38</v>
      </c>
      <c r="L20" s="96">
        <f t="shared" si="1"/>
        <v>0.86363636363636365</v>
      </c>
    </row>
    <row r="21" spans="2:17" x14ac:dyDescent="0.25">
      <c r="B21" s="35">
        <v>3</v>
      </c>
      <c r="C21" s="36" t="s">
        <v>43</v>
      </c>
      <c r="D21" s="37" t="s">
        <v>44</v>
      </c>
      <c r="E21" s="218" t="s">
        <v>100</v>
      </c>
      <c r="F21" s="179" t="s">
        <v>1545</v>
      </c>
      <c r="G21" s="180" t="s">
        <v>1546</v>
      </c>
      <c r="H21" s="181">
        <v>40</v>
      </c>
      <c r="I21" s="181">
        <v>4</v>
      </c>
      <c r="J21" s="69">
        <f t="shared" si="0"/>
        <v>0.1</v>
      </c>
      <c r="K21" s="181">
        <f>+I21+DICIEMBRE!K21</f>
        <v>34</v>
      </c>
      <c r="L21" s="94">
        <f t="shared" si="1"/>
        <v>0.85</v>
      </c>
      <c r="N21"/>
      <c r="O21" s="8"/>
      <c r="P21"/>
      <c r="Q21" s="8"/>
    </row>
    <row r="22" spans="2:17" x14ac:dyDescent="0.25">
      <c r="B22" s="38">
        <v>3</v>
      </c>
      <c r="C22" s="39" t="s">
        <v>46</v>
      </c>
      <c r="D22" s="40" t="s">
        <v>47</v>
      </c>
      <c r="E22" s="219"/>
      <c r="F22" s="182" t="s">
        <v>1547</v>
      </c>
      <c r="G22" s="186" t="s">
        <v>1548</v>
      </c>
      <c r="H22" s="184">
        <v>40</v>
      </c>
      <c r="I22" s="185">
        <v>4</v>
      </c>
      <c r="J22" s="69">
        <f t="shared" si="0"/>
        <v>0.1</v>
      </c>
      <c r="K22" s="185">
        <f>+I22+DICIEMBRE!K22</f>
        <v>34</v>
      </c>
      <c r="L22" s="94">
        <f t="shared" si="1"/>
        <v>0.85</v>
      </c>
      <c r="N22"/>
      <c r="O22" s="8"/>
      <c r="P22"/>
      <c r="Q22" s="8"/>
    </row>
    <row r="23" spans="2:17" x14ac:dyDescent="0.25">
      <c r="B23" s="38">
        <v>3</v>
      </c>
      <c r="C23" s="39" t="s">
        <v>98</v>
      </c>
      <c r="D23" s="40" t="s">
        <v>99</v>
      </c>
      <c r="E23" s="219"/>
      <c r="F23" s="182" t="s">
        <v>1549</v>
      </c>
      <c r="G23" s="183" t="s">
        <v>1550</v>
      </c>
      <c r="H23" s="185">
        <v>40</v>
      </c>
      <c r="I23" s="187">
        <v>3</v>
      </c>
      <c r="J23" s="69">
        <f t="shared" si="0"/>
        <v>7.4999999999999997E-2</v>
      </c>
      <c r="K23" s="187">
        <f>+I23+DICIEMBRE!K23</f>
        <v>33</v>
      </c>
      <c r="L23" s="94">
        <f t="shared" si="1"/>
        <v>0.82499999999999996</v>
      </c>
      <c r="N23"/>
      <c r="O23" s="8"/>
      <c r="P23"/>
      <c r="Q23" s="8"/>
    </row>
    <row r="24" spans="2:17" x14ac:dyDescent="0.25">
      <c r="B24" s="38">
        <v>3</v>
      </c>
      <c r="C24" s="39" t="s">
        <v>49</v>
      </c>
      <c r="D24" s="40" t="s">
        <v>50</v>
      </c>
      <c r="E24" s="219"/>
      <c r="F24" s="182" t="s">
        <v>1551</v>
      </c>
      <c r="G24" s="186" t="s">
        <v>1552</v>
      </c>
      <c r="H24" s="185">
        <v>40</v>
      </c>
      <c r="I24" s="185">
        <v>4</v>
      </c>
      <c r="J24" s="69">
        <f t="shared" si="0"/>
        <v>0.1</v>
      </c>
      <c r="K24" s="185">
        <f>+I24+DICIEMBRE!K24</f>
        <v>34</v>
      </c>
      <c r="L24" s="94">
        <f t="shared" si="1"/>
        <v>0.85</v>
      </c>
      <c r="N24"/>
      <c r="O24" s="8"/>
      <c r="P24"/>
      <c r="Q24" s="8"/>
    </row>
    <row r="25" spans="2:17" x14ac:dyDescent="0.25">
      <c r="B25" s="38">
        <v>3</v>
      </c>
      <c r="C25" s="39" t="s">
        <v>52</v>
      </c>
      <c r="D25" s="40" t="s">
        <v>53</v>
      </c>
      <c r="E25" s="219"/>
      <c r="F25" s="182" t="s">
        <v>1553</v>
      </c>
      <c r="G25" s="186" t="s">
        <v>1554</v>
      </c>
      <c r="H25" s="185">
        <v>40</v>
      </c>
      <c r="I25" s="185">
        <v>4</v>
      </c>
      <c r="J25" s="69">
        <f t="shared" si="0"/>
        <v>0.1</v>
      </c>
      <c r="K25" s="185">
        <f>+I25+DICIEMBRE!K25</f>
        <v>34</v>
      </c>
      <c r="L25" s="94">
        <f t="shared" si="1"/>
        <v>0.85</v>
      </c>
      <c r="N25"/>
      <c r="O25" s="8"/>
      <c r="P25"/>
      <c r="Q25" s="8"/>
    </row>
    <row r="26" spans="2:17" s="16" customFormat="1" x14ac:dyDescent="0.25">
      <c r="B26" s="38">
        <v>3</v>
      </c>
      <c r="C26" s="39" t="s">
        <v>55</v>
      </c>
      <c r="D26" s="40" t="s">
        <v>56</v>
      </c>
      <c r="E26" s="219"/>
      <c r="F26" s="182" t="s">
        <v>1555</v>
      </c>
      <c r="G26" s="186" t="s">
        <v>1556</v>
      </c>
      <c r="H26" s="185">
        <v>40</v>
      </c>
      <c r="I26" s="185">
        <v>1</v>
      </c>
      <c r="J26" s="69">
        <f t="shared" si="0"/>
        <v>2.5000000000000001E-2</v>
      </c>
      <c r="K26" s="185">
        <f>+I26+DICIEMBRE!K26</f>
        <v>31</v>
      </c>
      <c r="L26" s="94">
        <f t="shared" si="1"/>
        <v>0.77500000000000002</v>
      </c>
      <c r="N26" s="41"/>
      <c r="P26" s="41"/>
    </row>
    <row r="27" spans="2:17" x14ac:dyDescent="0.25">
      <c r="B27" s="38">
        <v>5</v>
      </c>
      <c r="C27" s="39" t="s">
        <v>57</v>
      </c>
      <c r="D27" s="40" t="s">
        <v>58</v>
      </c>
      <c r="E27" s="219"/>
      <c r="F27" s="182" t="s">
        <v>1557</v>
      </c>
      <c r="G27" s="186" t="s">
        <v>1558</v>
      </c>
      <c r="H27" s="185">
        <v>40</v>
      </c>
      <c r="I27" s="185">
        <v>4</v>
      </c>
      <c r="J27" s="69">
        <f t="shared" si="0"/>
        <v>0.1</v>
      </c>
      <c r="K27" s="185">
        <f>+I27+DICIEMBRE!K27</f>
        <v>34</v>
      </c>
      <c r="L27" s="94">
        <f t="shared" si="1"/>
        <v>0.85</v>
      </c>
      <c r="N27"/>
      <c r="O27" s="8"/>
      <c r="P27"/>
      <c r="Q27" s="8"/>
    </row>
    <row r="28" spans="2:17" x14ac:dyDescent="0.25">
      <c r="B28" s="38">
        <v>5</v>
      </c>
      <c r="C28" s="39" t="s">
        <v>59</v>
      </c>
      <c r="D28" s="40" t="s">
        <v>60</v>
      </c>
      <c r="E28" s="219"/>
      <c r="F28" s="182" t="s">
        <v>1383</v>
      </c>
      <c r="G28" s="186" t="s">
        <v>1559</v>
      </c>
      <c r="H28" s="185">
        <v>40</v>
      </c>
      <c r="I28" s="185">
        <v>3</v>
      </c>
      <c r="J28" s="69">
        <f t="shared" si="0"/>
        <v>7.4999999999999997E-2</v>
      </c>
      <c r="K28" s="185">
        <f>+I28+DICIEMBRE!K28</f>
        <v>33</v>
      </c>
      <c r="L28" s="94">
        <f t="shared" si="1"/>
        <v>0.82499999999999996</v>
      </c>
      <c r="N28"/>
      <c r="O28" s="8"/>
      <c r="P28"/>
      <c r="Q28" s="8"/>
    </row>
    <row r="29" spans="2:17" x14ac:dyDescent="0.25">
      <c r="B29" s="42">
        <v>8</v>
      </c>
      <c r="C29" s="43" t="s">
        <v>61</v>
      </c>
      <c r="D29" s="44" t="s">
        <v>62</v>
      </c>
      <c r="E29" s="220"/>
      <c r="F29" s="188" t="s">
        <v>681</v>
      </c>
      <c r="G29" s="189" t="s">
        <v>1325</v>
      </c>
      <c r="H29" s="190">
        <v>40</v>
      </c>
      <c r="I29" s="190">
        <v>3</v>
      </c>
      <c r="J29" s="72">
        <f t="shared" si="0"/>
        <v>7.4999999999999997E-2</v>
      </c>
      <c r="K29" s="190">
        <f>+I29+DICIEMBRE!K29</f>
        <v>33</v>
      </c>
      <c r="L29" s="96">
        <f t="shared" si="1"/>
        <v>0.82499999999999996</v>
      </c>
      <c r="N29"/>
      <c r="O29" s="8"/>
      <c r="P29"/>
      <c r="Q29" s="8"/>
    </row>
    <row r="30" spans="2:17" x14ac:dyDescent="0.25">
      <c r="B30" s="35">
        <v>1</v>
      </c>
      <c r="C30" s="36" t="s">
        <v>74</v>
      </c>
      <c r="D30" s="37" t="s">
        <v>226</v>
      </c>
      <c r="E30" s="218" t="s">
        <v>97</v>
      </c>
      <c r="F30" s="179" t="s">
        <v>1535</v>
      </c>
      <c r="G30" s="180" t="s">
        <v>76</v>
      </c>
      <c r="H30" s="191">
        <v>75</v>
      </c>
      <c r="I30" s="191">
        <v>7</v>
      </c>
      <c r="J30" s="69">
        <f t="shared" si="0"/>
        <v>9.3333333333333338E-2</v>
      </c>
      <c r="K30" s="181">
        <f>+I30+DICIEMBRE!K30</f>
        <v>62</v>
      </c>
      <c r="L30" s="94">
        <f t="shared" si="1"/>
        <v>0.82666666666666666</v>
      </c>
      <c r="N30"/>
      <c r="O30" s="8"/>
      <c r="P30"/>
      <c r="Q30" s="8"/>
    </row>
    <row r="31" spans="2:17" x14ac:dyDescent="0.25">
      <c r="B31" s="38">
        <v>1</v>
      </c>
      <c r="C31" s="39" t="s">
        <v>77</v>
      </c>
      <c r="D31" s="40" t="s">
        <v>78</v>
      </c>
      <c r="E31" s="219"/>
      <c r="F31" s="182" t="s">
        <v>1536</v>
      </c>
      <c r="G31" s="192" t="s">
        <v>1537</v>
      </c>
      <c r="H31" s="193">
        <v>27</v>
      </c>
      <c r="I31" s="207">
        <v>3</v>
      </c>
      <c r="J31" s="69">
        <f t="shared" si="0"/>
        <v>0.1111111111111111</v>
      </c>
      <c r="K31" s="185">
        <f>+I31+DICIEMBRE!K31</f>
        <v>23</v>
      </c>
      <c r="L31" s="94">
        <f t="shared" si="1"/>
        <v>0.85185185185185186</v>
      </c>
      <c r="N31"/>
      <c r="O31" s="8"/>
      <c r="P31"/>
      <c r="Q31" s="8"/>
    </row>
    <row r="32" spans="2:17" x14ac:dyDescent="0.25">
      <c r="B32" s="38">
        <v>1</v>
      </c>
      <c r="C32" s="39" t="s">
        <v>79</v>
      </c>
      <c r="D32" s="40" t="s">
        <v>1560</v>
      </c>
      <c r="E32" s="219"/>
      <c r="F32" s="182" t="s">
        <v>1538</v>
      </c>
      <c r="G32" s="186" t="s">
        <v>81</v>
      </c>
      <c r="H32" s="207">
        <v>40</v>
      </c>
      <c r="I32" s="194">
        <v>3</v>
      </c>
      <c r="J32" s="69">
        <f t="shared" si="0"/>
        <v>7.4999999999999997E-2</v>
      </c>
      <c r="K32" s="187">
        <f>+I32+DICIEMBRE!K32</f>
        <v>33</v>
      </c>
      <c r="L32" s="94">
        <f t="shared" si="1"/>
        <v>0.82499999999999996</v>
      </c>
      <c r="N32"/>
      <c r="O32" s="8"/>
      <c r="P32"/>
      <c r="Q32" s="8"/>
    </row>
    <row r="33" spans="2:17" x14ac:dyDescent="0.25">
      <c r="B33" s="38">
        <v>1</v>
      </c>
      <c r="C33" s="39" t="s">
        <v>82</v>
      </c>
      <c r="D33" s="40" t="s">
        <v>83</v>
      </c>
      <c r="E33" s="219"/>
      <c r="F33" s="182" t="s">
        <v>1539</v>
      </c>
      <c r="G33" s="186" t="s">
        <v>81</v>
      </c>
      <c r="H33" s="207">
        <v>35</v>
      </c>
      <c r="I33" s="207">
        <v>4</v>
      </c>
      <c r="J33" s="69">
        <f t="shared" si="0"/>
        <v>0.11428571428571428</v>
      </c>
      <c r="K33" s="185">
        <f>+I33+DICIEMBRE!K33</f>
        <v>29</v>
      </c>
      <c r="L33" s="94">
        <f t="shared" si="1"/>
        <v>0.82857142857142863</v>
      </c>
      <c r="N33"/>
      <c r="O33" s="8"/>
      <c r="P33"/>
      <c r="Q33" s="8"/>
    </row>
    <row r="34" spans="2:17" x14ac:dyDescent="0.25">
      <c r="B34" s="38">
        <v>1</v>
      </c>
      <c r="C34" s="39" t="s">
        <v>84</v>
      </c>
      <c r="D34" s="40" t="s">
        <v>85</v>
      </c>
      <c r="E34" s="219"/>
      <c r="F34" s="182" t="s">
        <v>1201</v>
      </c>
      <c r="G34" s="192" t="s">
        <v>1537</v>
      </c>
      <c r="H34" s="207">
        <v>40</v>
      </c>
      <c r="I34" s="207">
        <v>3</v>
      </c>
      <c r="J34" s="69">
        <f t="shared" si="0"/>
        <v>7.4999999999999997E-2</v>
      </c>
      <c r="K34" s="185">
        <f>+I34+DICIEMBRE!K34</f>
        <v>33</v>
      </c>
      <c r="L34" s="94">
        <f t="shared" si="1"/>
        <v>0.82499999999999996</v>
      </c>
      <c r="N34"/>
      <c r="O34" s="8"/>
      <c r="P34"/>
      <c r="Q34" s="8"/>
    </row>
    <row r="35" spans="2:17" s="16" customFormat="1" x14ac:dyDescent="0.25">
      <c r="B35" s="38">
        <v>1</v>
      </c>
      <c r="C35" s="39" t="s">
        <v>86</v>
      </c>
      <c r="D35" s="40" t="s">
        <v>87</v>
      </c>
      <c r="E35" s="219"/>
      <c r="F35" s="182" t="s">
        <v>1540</v>
      </c>
      <c r="G35" s="186" t="s">
        <v>88</v>
      </c>
      <c r="H35" s="207">
        <v>28</v>
      </c>
      <c r="I35" s="207">
        <v>3</v>
      </c>
      <c r="J35" s="69">
        <f t="shared" si="0"/>
        <v>0.10714285714285714</v>
      </c>
      <c r="K35" s="185">
        <f>+I35+DICIEMBRE!K35</f>
        <v>23</v>
      </c>
      <c r="L35" s="94">
        <f t="shared" si="1"/>
        <v>0.8214285714285714</v>
      </c>
      <c r="N35" s="41"/>
      <c r="P35" s="41"/>
    </row>
    <row r="36" spans="2:17" x14ac:dyDescent="0.25">
      <c r="B36" s="38">
        <v>1</v>
      </c>
      <c r="C36" s="39" t="s">
        <v>89</v>
      </c>
      <c r="D36" s="40" t="s">
        <v>90</v>
      </c>
      <c r="E36" s="219"/>
      <c r="F36" s="182" t="s">
        <v>1541</v>
      </c>
      <c r="G36" s="186" t="s">
        <v>91</v>
      </c>
      <c r="H36" s="207">
        <v>25</v>
      </c>
      <c r="I36" s="207">
        <v>1</v>
      </c>
      <c r="J36" s="69">
        <f t="shared" si="0"/>
        <v>0.04</v>
      </c>
      <c r="K36" s="185">
        <f>+I36+DICIEMBRE!K36</f>
        <v>21</v>
      </c>
      <c r="L36" s="94">
        <f t="shared" si="1"/>
        <v>0.84</v>
      </c>
      <c r="N36"/>
      <c r="O36" s="8"/>
      <c r="P36"/>
      <c r="Q36" s="8"/>
    </row>
    <row r="37" spans="2:17" x14ac:dyDescent="0.25">
      <c r="B37" s="38">
        <v>1</v>
      </c>
      <c r="C37" s="39" t="s">
        <v>92</v>
      </c>
      <c r="D37" s="40" t="s">
        <v>1561</v>
      </c>
      <c r="E37" s="219"/>
      <c r="F37" s="182" t="s">
        <v>1542</v>
      </c>
      <c r="G37" s="186" t="s">
        <v>94</v>
      </c>
      <c r="H37" s="207">
        <v>65</v>
      </c>
      <c r="I37" s="207">
        <v>5</v>
      </c>
      <c r="J37" s="69">
        <f t="shared" si="0"/>
        <v>7.6923076923076927E-2</v>
      </c>
      <c r="K37" s="185">
        <f>+I37+DICIEMBRE!K37</f>
        <v>55</v>
      </c>
      <c r="L37" s="94">
        <f t="shared" si="1"/>
        <v>0.84615384615384615</v>
      </c>
      <c r="N37"/>
      <c r="O37" s="8"/>
      <c r="P37"/>
      <c r="Q37" s="8"/>
    </row>
    <row r="38" spans="2:17" x14ac:dyDescent="0.25">
      <c r="B38" s="42">
        <v>1</v>
      </c>
      <c r="C38" s="43" t="s">
        <v>95</v>
      </c>
      <c r="D38" s="44" t="s">
        <v>96</v>
      </c>
      <c r="E38" s="220"/>
      <c r="F38" s="188" t="s">
        <v>1050</v>
      </c>
      <c r="G38" s="189" t="s">
        <v>94</v>
      </c>
      <c r="H38" s="208">
        <v>25</v>
      </c>
      <c r="I38" s="208">
        <v>1</v>
      </c>
      <c r="J38" s="72">
        <f t="shared" si="0"/>
        <v>0.04</v>
      </c>
      <c r="K38" s="190">
        <f>+I38+DICIEMBRE!K38</f>
        <v>21</v>
      </c>
      <c r="L38" s="96">
        <f t="shared" si="1"/>
        <v>0.84</v>
      </c>
      <c r="N38"/>
      <c r="O38" s="8"/>
      <c r="P38"/>
      <c r="Q38" s="8"/>
    </row>
    <row r="39" spans="2:17" x14ac:dyDescent="0.25">
      <c r="B39" s="35">
        <v>3</v>
      </c>
      <c r="C39" s="36" t="s">
        <v>43</v>
      </c>
      <c r="D39" s="37" t="s">
        <v>44</v>
      </c>
      <c r="E39" s="218" t="s">
        <v>103</v>
      </c>
      <c r="F39" s="179" t="s">
        <v>1222</v>
      </c>
      <c r="G39" s="180" t="s">
        <v>101</v>
      </c>
      <c r="H39" s="181">
        <v>45</v>
      </c>
      <c r="I39" s="181">
        <v>4</v>
      </c>
      <c r="J39" s="69">
        <f t="shared" si="0"/>
        <v>8.8888888888888892E-2</v>
      </c>
      <c r="K39" s="181">
        <f>+I39+DICIEMBRE!K39</f>
        <v>39</v>
      </c>
      <c r="L39" s="94">
        <f t="shared" si="1"/>
        <v>0.8666666666666667</v>
      </c>
      <c r="N39"/>
      <c r="O39" s="8"/>
      <c r="P39"/>
      <c r="Q39" s="8"/>
    </row>
    <row r="40" spans="2:17" x14ac:dyDescent="0.25">
      <c r="B40" s="38">
        <v>3</v>
      </c>
      <c r="C40" s="39" t="s">
        <v>46</v>
      </c>
      <c r="D40" s="40" t="s">
        <v>47</v>
      </c>
      <c r="E40" s="219"/>
      <c r="F40" s="182" t="s">
        <v>689</v>
      </c>
      <c r="G40" s="192" t="s">
        <v>101</v>
      </c>
      <c r="H40" s="184">
        <v>45</v>
      </c>
      <c r="I40" s="185">
        <v>4</v>
      </c>
      <c r="J40" s="69">
        <f t="shared" si="0"/>
        <v>8.8888888888888892E-2</v>
      </c>
      <c r="K40" s="185">
        <f>+I40+DICIEMBRE!K40</f>
        <v>37</v>
      </c>
      <c r="L40" s="94">
        <f t="shared" si="1"/>
        <v>0.82222222222222219</v>
      </c>
      <c r="N40"/>
      <c r="O40" s="8"/>
      <c r="P40"/>
      <c r="Q40" s="8"/>
    </row>
    <row r="41" spans="2:17" x14ac:dyDescent="0.25">
      <c r="B41" s="38">
        <v>3</v>
      </c>
      <c r="C41" s="39" t="s">
        <v>49</v>
      </c>
      <c r="D41" s="40" t="s">
        <v>50</v>
      </c>
      <c r="E41" s="219"/>
      <c r="F41" s="182" t="s">
        <v>240</v>
      </c>
      <c r="G41" s="186" t="s">
        <v>101</v>
      </c>
      <c r="H41" s="185">
        <v>45</v>
      </c>
      <c r="I41" s="187">
        <v>4</v>
      </c>
      <c r="J41" s="69">
        <f t="shared" si="0"/>
        <v>8.8888888888888892E-2</v>
      </c>
      <c r="K41" s="187">
        <f>+I41+DICIEMBRE!K41</f>
        <v>37</v>
      </c>
      <c r="L41" s="94">
        <f t="shared" si="1"/>
        <v>0.82222222222222219</v>
      </c>
      <c r="N41"/>
      <c r="O41" s="8"/>
      <c r="P41"/>
      <c r="Q41" s="8"/>
    </row>
    <row r="42" spans="2:17" x14ac:dyDescent="0.25">
      <c r="B42" s="38">
        <v>3</v>
      </c>
      <c r="C42" s="39" t="s">
        <v>52</v>
      </c>
      <c r="D42" s="40" t="s">
        <v>53</v>
      </c>
      <c r="E42" s="219"/>
      <c r="F42" s="182" t="s">
        <v>170</v>
      </c>
      <c r="G42" s="186" t="s">
        <v>101</v>
      </c>
      <c r="H42" s="185">
        <v>45</v>
      </c>
      <c r="I42" s="185">
        <v>4</v>
      </c>
      <c r="J42" s="69">
        <f t="shared" si="0"/>
        <v>8.8888888888888892E-2</v>
      </c>
      <c r="K42" s="185">
        <f>+I42+DICIEMBRE!K42</f>
        <v>37</v>
      </c>
      <c r="L42" s="94">
        <f t="shared" si="1"/>
        <v>0.82222222222222219</v>
      </c>
      <c r="N42"/>
      <c r="O42" s="8"/>
      <c r="P42"/>
      <c r="Q42" s="8"/>
    </row>
    <row r="43" spans="2:17" s="16" customFormat="1" x14ac:dyDescent="0.25">
      <c r="B43" s="38">
        <v>3</v>
      </c>
      <c r="C43" s="39" t="s">
        <v>55</v>
      </c>
      <c r="D43" s="40" t="s">
        <v>56</v>
      </c>
      <c r="E43" s="219"/>
      <c r="F43" s="182" t="s">
        <v>1223</v>
      </c>
      <c r="G43" s="192" t="s">
        <v>101</v>
      </c>
      <c r="H43" s="185">
        <v>45</v>
      </c>
      <c r="I43" s="185">
        <v>4</v>
      </c>
      <c r="J43" s="69">
        <f t="shared" si="0"/>
        <v>8.8888888888888892E-2</v>
      </c>
      <c r="K43" s="185">
        <f>+I43+DICIEMBRE!K43</f>
        <v>39</v>
      </c>
      <c r="L43" s="94">
        <f t="shared" si="1"/>
        <v>0.8666666666666667</v>
      </c>
      <c r="N43" s="41"/>
      <c r="P43" s="41"/>
    </row>
    <row r="44" spans="2:17" x14ac:dyDescent="0.25">
      <c r="B44" s="38">
        <v>5</v>
      </c>
      <c r="C44" s="39" t="s">
        <v>57</v>
      </c>
      <c r="D44" s="40" t="s">
        <v>58</v>
      </c>
      <c r="E44" s="219"/>
      <c r="F44" s="182" t="s">
        <v>241</v>
      </c>
      <c r="G44" s="186" t="s">
        <v>101</v>
      </c>
      <c r="H44" s="185">
        <v>45</v>
      </c>
      <c r="I44" s="185">
        <v>3</v>
      </c>
      <c r="J44" s="69">
        <f t="shared" si="0"/>
        <v>6.6666666666666666E-2</v>
      </c>
      <c r="K44" s="185">
        <f>+I44+DICIEMBRE!K44</f>
        <v>36</v>
      </c>
      <c r="L44" s="94">
        <f t="shared" si="1"/>
        <v>0.8</v>
      </c>
      <c r="N44"/>
      <c r="O44" s="8"/>
      <c r="P44"/>
      <c r="Q44" s="8"/>
    </row>
    <row r="45" spans="2:17" x14ac:dyDescent="0.25">
      <c r="B45" s="38">
        <v>5</v>
      </c>
      <c r="C45" s="39" t="s">
        <v>59</v>
      </c>
      <c r="D45" s="40" t="s">
        <v>60</v>
      </c>
      <c r="E45" s="219"/>
      <c r="F45" s="182" t="s">
        <v>102</v>
      </c>
      <c r="G45" s="186" t="s">
        <v>101</v>
      </c>
      <c r="H45" s="185">
        <v>45</v>
      </c>
      <c r="I45" s="185">
        <v>4</v>
      </c>
      <c r="J45" s="69">
        <f t="shared" si="0"/>
        <v>8.8888888888888892E-2</v>
      </c>
      <c r="K45" s="185">
        <f>+I45+DICIEMBRE!K45</f>
        <v>39</v>
      </c>
      <c r="L45" s="94">
        <f t="shared" si="1"/>
        <v>0.8666666666666667</v>
      </c>
      <c r="N45"/>
      <c r="O45" s="8"/>
      <c r="P45"/>
      <c r="Q45" s="8"/>
    </row>
    <row r="46" spans="2:17" x14ac:dyDescent="0.25">
      <c r="B46" s="42">
        <v>8</v>
      </c>
      <c r="C46" s="43" t="s">
        <v>61</v>
      </c>
      <c r="D46" s="44" t="s">
        <v>62</v>
      </c>
      <c r="E46" s="220"/>
      <c r="F46" s="188" t="s">
        <v>212</v>
      </c>
      <c r="G46" s="186" t="s">
        <v>101</v>
      </c>
      <c r="H46" s="190">
        <v>45</v>
      </c>
      <c r="I46" s="190">
        <v>3</v>
      </c>
      <c r="J46" s="72">
        <f t="shared" si="0"/>
        <v>6.6666666666666666E-2</v>
      </c>
      <c r="K46" s="190">
        <f>+I46+DICIEMBRE!K46</f>
        <v>36</v>
      </c>
      <c r="L46" s="96">
        <f t="shared" si="1"/>
        <v>0.8</v>
      </c>
      <c r="N46"/>
      <c r="O46" s="8"/>
      <c r="P46"/>
      <c r="Q46" s="8"/>
    </row>
    <row r="47" spans="2:17" x14ac:dyDescent="0.25">
      <c r="B47" s="153">
        <v>3</v>
      </c>
      <c r="C47" s="154" t="s">
        <v>43</v>
      </c>
      <c r="D47" s="155" t="s">
        <v>44</v>
      </c>
      <c r="E47" s="281" t="s">
        <v>108</v>
      </c>
      <c r="F47" s="180" t="s">
        <v>172</v>
      </c>
      <c r="G47" s="180" t="s">
        <v>172</v>
      </c>
      <c r="H47" s="181">
        <v>20</v>
      </c>
      <c r="I47" s="181">
        <v>0</v>
      </c>
      <c r="J47" s="69">
        <f t="shared" si="0"/>
        <v>0</v>
      </c>
      <c r="K47" s="181">
        <f>+I47+DICIEMBRE!K47</f>
        <v>20</v>
      </c>
      <c r="L47" s="94">
        <f t="shared" si="1"/>
        <v>1</v>
      </c>
      <c r="N47"/>
      <c r="O47" s="8"/>
      <c r="P47"/>
      <c r="Q47" s="8"/>
    </row>
    <row r="48" spans="2:17" x14ac:dyDescent="0.25">
      <c r="B48" s="156">
        <v>3</v>
      </c>
      <c r="C48" s="157" t="s">
        <v>46</v>
      </c>
      <c r="D48" s="158" t="s">
        <v>47</v>
      </c>
      <c r="E48" s="282"/>
      <c r="F48" s="186" t="s">
        <v>172</v>
      </c>
      <c r="G48" s="186" t="s">
        <v>172</v>
      </c>
      <c r="H48" s="184">
        <v>20</v>
      </c>
      <c r="I48" s="185">
        <v>0</v>
      </c>
      <c r="J48" s="69">
        <f t="shared" si="0"/>
        <v>0</v>
      </c>
      <c r="K48" s="185">
        <f>+I48+DICIEMBRE!K48</f>
        <v>20</v>
      </c>
      <c r="L48" s="94">
        <f t="shared" si="1"/>
        <v>1</v>
      </c>
      <c r="N48"/>
      <c r="O48" s="8"/>
      <c r="P48"/>
      <c r="Q48" s="8"/>
    </row>
    <row r="49" spans="2:17" x14ac:dyDescent="0.25">
      <c r="B49" s="156">
        <v>3</v>
      </c>
      <c r="C49" s="157" t="s">
        <v>98</v>
      </c>
      <c r="D49" s="158" t="s">
        <v>99</v>
      </c>
      <c r="E49" s="282"/>
      <c r="F49" s="183" t="s">
        <v>172</v>
      </c>
      <c r="G49" s="183" t="s">
        <v>172</v>
      </c>
      <c r="H49" s="185">
        <v>20</v>
      </c>
      <c r="I49" s="187">
        <v>0</v>
      </c>
      <c r="J49" s="69">
        <f t="shared" si="0"/>
        <v>0</v>
      </c>
      <c r="K49" s="187">
        <f>+I49+DICIEMBRE!K49</f>
        <v>20</v>
      </c>
      <c r="L49" s="94">
        <f t="shared" si="1"/>
        <v>1</v>
      </c>
      <c r="N49"/>
      <c r="O49" s="8"/>
      <c r="P49"/>
      <c r="Q49" s="8"/>
    </row>
    <row r="50" spans="2:17" x14ac:dyDescent="0.25">
      <c r="B50" s="156">
        <v>3</v>
      </c>
      <c r="C50" s="157" t="s">
        <v>49</v>
      </c>
      <c r="D50" s="158" t="s">
        <v>50</v>
      </c>
      <c r="E50" s="282"/>
      <c r="F50" s="183" t="s">
        <v>172</v>
      </c>
      <c r="G50" s="183" t="s">
        <v>172</v>
      </c>
      <c r="H50" s="185">
        <v>20</v>
      </c>
      <c r="I50" s="185">
        <v>0</v>
      </c>
      <c r="J50" s="69">
        <f t="shared" si="0"/>
        <v>0</v>
      </c>
      <c r="K50" s="185">
        <f>+I50+DICIEMBRE!K50</f>
        <v>20</v>
      </c>
      <c r="L50" s="94">
        <f t="shared" si="1"/>
        <v>1</v>
      </c>
      <c r="N50"/>
      <c r="O50" s="8"/>
      <c r="P50"/>
      <c r="Q50" s="8"/>
    </row>
    <row r="51" spans="2:17" x14ac:dyDescent="0.25">
      <c r="B51" s="156">
        <v>3</v>
      </c>
      <c r="C51" s="157" t="s">
        <v>52</v>
      </c>
      <c r="D51" s="158" t="s">
        <v>53</v>
      </c>
      <c r="E51" s="282"/>
      <c r="F51" s="186" t="s">
        <v>172</v>
      </c>
      <c r="G51" s="186" t="s">
        <v>172</v>
      </c>
      <c r="H51" s="185">
        <v>20</v>
      </c>
      <c r="I51" s="185">
        <v>0</v>
      </c>
      <c r="J51" s="69">
        <f t="shared" si="0"/>
        <v>0</v>
      </c>
      <c r="K51" s="185">
        <f>+I51+DICIEMBRE!K51</f>
        <v>20</v>
      </c>
      <c r="L51" s="94">
        <f t="shared" si="1"/>
        <v>1</v>
      </c>
      <c r="N51"/>
      <c r="O51" s="8"/>
      <c r="P51"/>
      <c r="Q51" s="8"/>
    </row>
    <row r="52" spans="2:17" s="16" customFormat="1" x14ac:dyDescent="0.25">
      <c r="B52" s="156">
        <v>3</v>
      </c>
      <c r="C52" s="157" t="s">
        <v>55</v>
      </c>
      <c r="D52" s="158" t="s">
        <v>56</v>
      </c>
      <c r="E52" s="282"/>
      <c r="F52" s="186" t="s">
        <v>172</v>
      </c>
      <c r="G52" s="186" t="s">
        <v>172</v>
      </c>
      <c r="H52" s="185">
        <v>20</v>
      </c>
      <c r="I52" s="185">
        <v>0</v>
      </c>
      <c r="J52" s="69">
        <f t="shared" si="0"/>
        <v>0</v>
      </c>
      <c r="K52" s="185">
        <f>+I52+DICIEMBRE!K52</f>
        <v>20</v>
      </c>
      <c r="L52" s="94">
        <f t="shared" si="1"/>
        <v>1</v>
      </c>
      <c r="N52" s="41"/>
      <c r="P52" s="41"/>
    </row>
    <row r="53" spans="2:17" x14ac:dyDescent="0.25">
      <c r="B53" s="156">
        <v>5</v>
      </c>
      <c r="C53" s="157" t="s">
        <v>57</v>
      </c>
      <c r="D53" s="158" t="s">
        <v>58</v>
      </c>
      <c r="E53" s="282"/>
      <c r="F53" s="186" t="s">
        <v>172</v>
      </c>
      <c r="G53" s="186" t="s">
        <v>172</v>
      </c>
      <c r="H53" s="185">
        <v>20</v>
      </c>
      <c r="I53" s="185">
        <v>0</v>
      </c>
      <c r="J53" s="69">
        <f t="shared" si="0"/>
        <v>0</v>
      </c>
      <c r="K53" s="185">
        <f>+I53+DICIEMBRE!K53</f>
        <v>20</v>
      </c>
      <c r="L53" s="94">
        <f t="shared" si="1"/>
        <v>1</v>
      </c>
      <c r="N53"/>
      <c r="O53" s="8"/>
      <c r="P53"/>
      <c r="Q53" s="8"/>
    </row>
    <row r="54" spans="2:17" x14ac:dyDescent="0.25">
      <c r="B54" s="156">
        <v>5</v>
      </c>
      <c r="C54" s="157" t="s">
        <v>59</v>
      </c>
      <c r="D54" s="158" t="s">
        <v>60</v>
      </c>
      <c r="E54" s="282"/>
      <c r="F54" s="186" t="s">
        <v>172</v>
      </c>
      <c r="G54" s="186" t="s">
        <v>172</v>
      </c>
      <c r="H54" s="185">
        <v>20</v>
      </c>
      <c r="I54" s="185">
        <v>0</v>
      </c>
      <c r="J54" s="69">
        <f t="shared" si="0"/>
        <v>0</v>
      </c>
      <c r="K54" s="185">
        <f>+I54+DICIEMBRE!K54</f>
        <v>20</v>
      </c>
      <c r="L54" s="94">
        <f t="shared" si="1"/>
        <v>1</v>
      </c>
      <c r="N54"/>
      <c r="O54" s="8"/>
      <c r="P54"/>
      <c r="Q54" s="8"/>
    </row>
    <row r="55" spans="2:17" x14ac:dyDescent="0.25">
      <c r="B55" s="159">
        <v>8</v>
      </c>
      <c r="C55" s="160" t="s">
        <v>61</v>
      </c>
      <c r="D55" s="161" t="s">
        <v>62</v>
      </c>
      <c r="E55" s="283"/>
      <c r="F55" s="189" t="s">
        <v>172</v>
      </c>
      <c r="G55" s="189" t="s">
        <v>172</v>
      </c>
      <c r="H55" s="190">
        <v>20</v>
      </c>
      <c r="I55" s="190">
        <v>0</v>
      </c>
      <c r="J55" s="72">
        <f t="shared" si="0"/>
        <v>0</v>
      </c>
      <c r="K55" s="190">
        <f>+I55+DICIEMBRE!K55</f>
        <v>20</v>
      </c>
      <c r="L55" s="96">
        <f t="shared" si="1"/>
        <v>1</v>
      </c>
      <c r="N55"/>
      <c r="O55" s="8"/>
      <c r="P55"/>
      <c r="Q55" s="8"/>
    </row>
    <row r="56" spans="2:17" x14ac:dyDescent="0.25">
      <c r="B56" s="153">
        <v>3</v>
      </c>
      <c r="C56" s="154" t="s">
        <v>43</v>
      </c>
      <c r="D56" s="155" t="s">
        <v>44</v>
      </c>
      <c r="E56" s="281" t="s">
        <v>171</v>
      </c>
      <c r="F56" s="180" t="s">
        <v>172</v>
      </c>
      <c r="G56" s="180" t="s">
        <v>172</v>
      </c>
      <c r="H56" s="195">
        <v>18</v>
      </c>
      <c r="I56" s="191">
        <v>0</v>
      </c>
      <c r="J56" s="69">
        <f t="shared" si="0"/>
        <v>0</v>
      </c>
      <c r="K56" s="191">
        <f>+I56+DICIEMBRE!K56</f>
        <v>18</v>
      </c>
      <c r="L56" s="94">
        <f t="shared" si="1"/>
        <v>1</v>
      </c>
      <c r="N56"/>
      <c r="O56" s="8"/>
      <c r="P56"/>
      <c r="Q56" s="8"/>
    </row>
    <row r="57" spans="2:17" x14ac:dyDescent="0.25">
      <c r="B57" s="156">
        <v>3</v>
      </c>
      <c r="C57" s="157" t="s">
        <v>46</v>
      </c>
      <c r="D57" s="158" t="s">
        <v>47</v>
      </c>
      <c r="E57" s="282"/>
      <c r="F57" s="186" t="s">
        <v>172</v>
      </c>
      <c r="G57" s="186" t="s">
        <v>172</v>
      </c>
      <c r="H57" s="196">
        <v>36</v>
      </c>
      <c r="I57" s="207">
        <v>0</v>
      </c>
      <c r="J57" s="69">
        <f t="shared" si="0"/>
        <v>0</v>
      </c>
      <c r="K57" s="207">
        <f>+I57+DICIEMBRE!K57</f>
        <v>36</v>
      </c>
      <c r="L57" s="94">
        <f t="shared" si="1"/>
        <v>1</v>
      </c>
      <c r="N57"/>
      <c r="O57" s="8"/>
      <c r="P57"/>
      <c r="Q57" s="8"/>
    </row>
    <row r="58" spans="2:17" x14ac:dyDescent="0.25">
      <c r="B58" s="156">
        <v>3</v>
      </c>
      <c r="C58" s="157" t="s">
        <v>98</v>
      </c>
      <c r="D58" s="158" t="s">
        <v>99</v>
      </c>
      <c r="E58" s="282"/>
      <c r="F58" s="183" t="s">
        <v>172</v>
      </c>
      <c r="G58" s="183" t="s">
        <v>172</v>
      </c>
      <c r="H58" s="197">
        <v>12</v>
      </c>
      <c r="I58" s="194">
        <v>0</v>
      </c>
      <c r="J58" s="69">
        <f t="shared" si="0"/>
        <v>0</v>
      </c>
      <c r="K58" s="194">
        <f>+I58+DICIEMBRE!K58</f>
        <v>12</v>
      </c>
      <c r="L58" s="94">
        <f t="shared" si="1"/>
        <v>1</v>
      </c>
      <c r="N58"/>
      <c r="O58" s="8"/>
      <c r="P58"/>
      <c r="Q58" s="8"/>
    </row>
    <row r="59" spans="2:17" x14ac:dyDescent="0.25">
      <c r="B59" s="156">
        <v>3</v>
      </c>
      <c r="C59" s="157" t="s">
        <v>49</v>
      </c>
      <c r="D59" s="158" t="s">
        <v>50</v>
      </c>
      <c r="E59" s="282"/>
      <c r="F59" s="183" t="s">
        <v>172</v>
      </c>
      <c r="G59" s="183" t="s">
        <v>172</v>
      </c>
      <c r="H59" s="197">
        <v>36</v>
      </c>
      <c r="I59" s="207">
        <v>0</v>
      </c>
      <c r="J59" s="69">
        <f t="shared" si="0"/>
        <v>0</v>
      </c>
      <c r="K59" s="207">
        <f>+I59+DICIEMBRE!K59</f>
        <v>36</v>
      </c>
      <c r="L59" s="94">
        <f t="shared" si="1"/>
        <v>1</v>
      </c>
      <c r="N59"/>
      <c r="O59" s="8"/>
      <c r="P59"/>
      <c r="Q59" s="8"/>
    </row>
    <row r="60" spans="2:17" x14ac:dyDescent="0.25">
      <c r="B60" s="156">
        <v>3</v>
      </c>
      <c r="C60" s="157" t="s">
        <v>52</v>
      </c>
      <c r="D60" s="158" t="s">
        <v>53</v>
      </c>
      <c r="E60" s="282"/>
      <c r="F60" s="186" t="s">
        <v>172</v>
      </c>
      <c r="G60" s="186" t="s">
        <v>172</v>
      </c>
      <c r="H60" s="197">
        <v>18</v>
      </c>
      <c r="I60" s="207">
        <v>0</v>
      </c>
      <c r="J60" s="69">
        <f t="shared" si="0"/>
        <v>0</v>
      </c>
      <c r="K60" s="207">
        <f>+I60+DICIEMBRE!K60</f>
        <v>18</v>
      </c>
      <c r="L60" s="94">
        <f t="shared" si="1"/>
        <v>1</v>
      </c>
      <c r="N60"/>
      <c r="O60" s="8"/>
      <c r="P60"/>
      <c r="Q60" s="8"/>
    </row>
    <row r="61" spans="2:17" s="16" customFormat="1" x14ac:dyDescent="0.25">
      <c r="B61" s="156">
        <v>3</v>
      </c>
      <c r="C61" s="157" t="s">
        <v>55</v>
      </c>
      <c r="D61" s="158" t="s">
        <v>56</v>
      </c>
      <c r="E61" s="282"/>
      <c r="F61" s="186" t="s">
        <v>172</v>
      </c>
      <c r="G61" s="186" t="s">
        <v>172</v>
      </c>
      <c r="H61" s="197">
        <v>18</v>
      </c>
      <c r="I61" s="207">
        <v>0</v>
      </c>
      <c r="J61" s="69">
        <f t="shared" si="0"/>
        <v>0</v>
      </c>
      <c r="K61" s="207">
        <f>+I61+DICIEMBRE!K61</f>
        <v>18</v>
      </c>
      <c r="L61" s="94">
        <f t="shared" si="1"/>
        <v>1</v>
      </c>
      <c r="N61" s="41"/>
      <c r="P61" s="41"/>
    </row>
    <row r="62" spans="2:17" x14ac:dyDescent="0.25">
      <c r="B62" s="156">
        <v>5</v>
      </c>
      <c r="C62" s="157" t="s">
        <v>57</v>
      </c>
      <c r="D62" s="158" t="s">
        <v>58</v>
      </c>
      <c r="E62" s="282"/>
      <c r="F62" s="186" t="s">
        <v>172</v>
      </c>
      <c r="G62" s="186" t="s">
        <v>172</v>
      </c>
      <c r="H62" s="197">
        <v>12</v>
      </c>
      <c r="I62" s="207">
        <v>0</v>
      </c>
      <c r="J62" s="69">
        <f t="shared" si="0"/>
        <v>0</v>
      </c>
      <c r="K62" s="207">
        <f>+I62+DICIEMBRE!K62</f>
        <v>12</v>
      </c>
      <c r="L62" s="94">
        <f t="shared" si="1"/>
        <v>1</v>
      </c>
      <c r="N62"/>
      <c r="O62" s="8"/>
      <c r="P62"/>
      <c r="Q62" s="8"/>
    </row>
    <row r="63" spans="2:17" x14ac:dyDescent="0.25">
      <c r="B63" s="156">
        <v>5</v>
      </c>
      <c r="C63" s="157" t="s">
        <v>59</v>
      </c>
      <c r="D63" s="158" t="s">
        <v>60</v>
      </c>
      <c r="E63" s="282"/>
      <c r="F63" s="186" t="s">
        <v>172</v>
      </c>
      <c r="G63" s="186" t="s">
        <v>172</v>
      </c>
      <c r="H63" s="197">
        <v>18</v>
      </c>
      <c r="I63" s="207">
        <v>0</v>
      </c>
      <c r="J63" s="69">
        <f t="shared" si="0"/>
        <v>0</v>
      </c>
      <c r="K63" s="207">
        <f>+I63+DICIEMBRE!K63</f>
        <v>18</v>
      </c>
      <c r="L63" s="94">
        <f t="shared" si="1"/>
        <v>1</v>
      </c>
      <c r="N63"/>
      <c r="O63" s="8"/>
      <c r="P63"/>
      <c r="Q63" s="8"/>
    </row>
    <row r="64" spans="2:17" x14ac:dyDescent="0.25">
      <c r="B64" s="159">
        <v>8</v>
      </c>
      <c r="C64" s="160" t="s">
        <v>61</v>
      </c>
      <c r="D64" s="161" t="s">
        <v>62</v>
      </c>
      <c r="E64" s="283"/>
      <c r="F64" s="189" t="s">
        <v>172</v>
      </c>
      <c r="G64" s="189" t="s">
        <v>172</v>
      </c>
      <c r="H64" s="198">
        <v>12</v>
      </c>
      <c r="I64" s="208">
        <v>0</v>
      </c>
      <c r="J64" s="72">
        <f t="shared" si="0"/>
        <v>0</v>
      </c>
      <c r="K64" s="208">
        <f>+I64+DICIEMBRE!K64</f>
        <v>12</v>
      </c>
      <c r="L64" s="96">
        <f t="shared" si="1"/>
        <v>1</v>
      </c>
      <c r="N64"/>
      <c r="O64" s="8"/>
      <c r="P64"/>
      <c r="Q64" s="8"/>
    </row>
    <row r="65" spans="2:17" x14ac:dyDescent="0.25">
      <c r="B65" s="35">
        <v>3</v>
      </c>
      <c r="C65" s="36" t="s">
        <v>43</v>
      </c>
      <c r="D65" s="37" t="s">
        <v>44</v>
      </c>
      <c r="E65" s="218" t="s">
        <v>115</v>
      </c>
      <c r="F65" s="179" t="s">
        <v>1563</v>
      </c>
      <c r="G65" s="180" t="s">
        <v>1564</v>
      </c>
      <c r="H65" s="191">
        <v>40</v>
      </c>
      <c r="I65" s="191">
        <v>6</v>
      </c>
      <c r="J65" s="69">
        <f t="shared" si="0"/>
        <v>0.15</v>
      </c>
      <c r="K65" s="191">
        <f>+I65+DICIEMBRE!K65</f>
        <v>36</v>
      </c>
      <c r="L65" s="94">
        <f t="shared" si="1"/>
        <v>0.9</v>
      </c>
      <c r="N65"/>
      <c r="O65" s="8"/>
      <c r="P65"/>
      <c r="Q65" s="8"/>
    </row>
    <row r="66" spans="2:17" x14ac:dyDescent="0.25">
      <c r="B66" s="38">
        <v>3</v>
      </c>
      <c r="C66" s="39" t="s">
        <v>46</v>
      </c>
      <c r="D66" s="40" t="s">
        <v>47</v>
      </c>
      <c r="E66" s="219"/>
      <c r="F66" s="182" t="s">
        <v>1565</v>
      </c>
      <c r="G66" s="182" t="s">
        <v>114</v>
      </c>
      <c r="H66" s="193">
        <v>40</v>
      </c>
      <c r="I66" s="207">
        <v>3</v>
      </c>
      <c r="J66" s="69">
        <f t="shared" si="0"/>
        <v>7.4999999999999997E-2</v>
      </c>
      <c r="K66" s="207">
        <f>+I66+DICIEMBRE!K66</f>
        <v>33</v>
      </c>
      <c r="L66" s="94">
        <f t="shared" si="1"/>
        <v>0.82499999999999996</v>
      </c>
      <c r="N66"/>
      <c r="O66" s="8"/>
      <c r="P66"/>
      <c r="Q66" s="8"/>
    </row>
    <row r="67" spans="2:17" x14ac:dyDescent="0.25">
      <c r="B67" s="38">
        <v>3</v>
      </c>
      <c r="C67" s="39" t="s">
        <v>98</v>
      </c>
      <c r="D67" s="40" t="s">
        <v>99</v>
      </c>
      <c r="E67" s="219"/>
      <c r="F67" s="182" t="s">
        <v>1566</v>
      </c>
      <c r="G67" s="183" t="s">
        <v>114</v>
      </c>
      <c r="H67" s="207">
        <v>40</v>
      </c>
      <c r="I67" s="194">
        <v>4</v>
      </c>
      <c r="J67" s="69">
        <f t="shared" si="0"/>
        <v>0.1</v>
      </c>
      <c r="K67" s="194">
        <f>+I67+DICIEMBRE!K67</f>
        <v>34</v>
      </c>
      <c r="L67" s="94">
        <f t="shared" si="1"/>
        <v>0.85</v>
      </c>
      <c r="N67"/>
      <c r="O67" s="8"/>
      <c r="P67"/>
      <c r="Q67" s="8"/>
    </row>
    <row r="68" spans="2:17" x14ac:dyDescent="0.25">
      <c r="B68" s="38">
        <v>3</v>
      </c>
      <c r="C68" s="39" t="s">
        <v>49</v>
      </c>
      <c r="D68" s="40" t="s">
        <v>50</v>
      </c>
      <c r="E68" s="219"/>
      <c r="F68" s="182" t="s">
        <v>1567</v>
      </c>
      <c r="G68" s="183" t="s">
        <v>1568</v>
      </c>
      <c r="H68" s="207">
        <v>40</v>
      </c>
      <c r="I68" s="207">
        <v>4</v>
      </c>
      <c r="J68" s="69">
        <f t="shared" si="0"/>
        <v>0.1</v>
      </c>
      <c r="K68" s="207">
        <f>+I68+DICIEMBRE!K68</f>
        <v>34</v>
      </c>
      <c r="L68" s="94">
        <f t="shared" si="1"/>
        <v>0.85</v>
      </c>
      <c r="N68"/>
      <c r="O68" s="8"/>
      <c r="P68"/>
      <c r="Q68" s="8"/>
    </row>
    <row r="69" spans="2:17" x14ac:dyDescent="0.25">
      <c r="B69" s="38">
        <v>3</v>
      </c>
      <c r="C69" s="39" t="s">
        <v>52</v>
      </c>
      <c r="D69" s="40" t="s">
        <v>53</v>
      </c>
      <c r="E69" s="219"/>
      <c r="F69" s="182" t="s">
        <v>1569</v>
      </c>
      <c r="G69" s="186" t="s">
        <v>871</v>
      </c>
      <c r="H69" s="207">
        <v>40</v>
      </c>
      <c r="I69" s="207">
        <v>2</v>
      </c>
      <c r="J69" s="69">
        <f t="shared" si="0"/>
        <v>0.05</v>
      </c>
      <c r="K69" s="207">
        <f>+I69+DICIEMBRE!K69</f>
        <v>32</v>
      </c>
      <c r="L69" s="94">
        <f t="shared" si="1"/>
        <v>0.8</v>
      </c>
      <c r="N69"/>
      <c r="O69" s="8"/>
      <c r="P69"/>
      <c r="Q69" s="8"/>
    </row>
    <row r="70" spans="2:17" s="16" customFormat="1" x14ac:dyDescent="0.25">
      <c r="B70" s="38">
        <v>3</v>
      </c>
      <c r="C70" s="39" t="s">
        <v>55</v>
      </c>
      <c r="D70" s="40" t="s">
        <v>56</v>
      </c>
      <c r="E70" s="219"/>
      <c r="F70" s="182" t="s">
        <v>1369</v>
      </c>
      <c r="G70" s="186" t="s">
        <v>114</v>
      </c>
      <c r="H70" s="207">
        <v>40</v>
      </c>
      <c r="I70" s="207">
        <v>3</v>
      </c>
      <c r="J70" s="69">
        <f t="shared" si="0"/>
        <v>7.4999999999999997E-2</v>
      </c>
      <c r="K70" s="207">
        <f>+I70+DICIEMBRE!K70</f>
        <v>33</v>
      </c>
      <c r="L70" s="94">
        <f t="shared" si="1"/>
        <v>0.82499999999999996</v>
      </c>
      <c r="N70" s="41"/>
      <c r="P70" s="41"/>
    </row>
    <row r="71" spans="2:17" x14ac:dyDescent="0.25">
      <c r="B71" s="38">
        <v>5</v>
      </c>
      <c r="C71" s="39" t="s">
        <v>57</v>
      </c>
      <c r="D71" s="40" t="s">
        <v>58</v>
      </c>
      <c r="E71" s="219"/>
      <c r="F71" s="182" t="s">
        <v>262</v>
      </c>
      <c r="G71" s="186" t="s">
        <v>208</v>
      </c>
      <c r="H71" s="207">
        <v>40</v>
      </c>
      <c r="I71" s="207">
        <v>3</v>
      </c>
      <c r="J71" s="69">
        <f t="shared" si="0"/>
        <v>7.4999999999999997E-2</v>
      </c>
      <c r="K71" s="207">
        <f>+I71+DICIEMBRE!K71</f>
        <v>33</v>
      </c>
      <c r="L71" s="94">
        <f t="shared" si="1"/>
        <v>0.82499999999999996</v>
      </c>
      <c r="N71"/>
      <c r="O71" s="8"/>
      <c r="P71"/>
      <c r="Q71" s="8"/>
    </row>
    <row r="72" spans="2:17" x14ac:dyDescent="0.25">
      <c r="B72" s="38">
        <v>5</v>
      </c>
      <c r="C72" s="39" t="s">
        <v>59</v>
      </c>
      <c r="D72" s="40" t="s">
        <v>60</v>
      </c>
      <c r="E72" s="219"/>
      <c r="F72" s="182" t="s">
        <v>1570</v>
      </c>
      <c r="G72" s="186" t="s">
        <v>1564</v>
      </c>
      <c r="H72" s="207">
        <v>40</v>
      </c>
      <c r="I72" s="207">
        <v>3</v>
      </c>
      <c r="J72" s="69">
        <f t="shared" si="0"/>
        <v>7.4999999999999997E-2</v>
      </c>
      <c r="K72" s="207">
        <f>+I72+DICIEMBRE!K72</f>
        <v>33</v>
      </c>
      <c r="L72" s="94">
        <f t="shared" si="1"/>
        <v>0.82499999999999996</v>
      </c>
      <c r="N72"/>
      <c r="O72" s="8"/>
      <c r="P72"/>
      <c r="Q72" s="8"/>
    </row>
    <row r="73" spans="2:17" x14ac:dyDescent="0.25">
      <c r="B73" s="42">
        <v>8</v>
      </c>
      <c r="C73" s="43" t="s">
        <v>61</v>
      </c>
      <c r="D73" s="44" t="s">
        <v>62</v>
      </c>
      <c r="E73" s="220"/>
      <c r="F73" s="188" t="s">
        <v>706</v>
      </c>
      <c r="G73" s="189" t="s">
        <v>114</v>
      </c>
      <c r="H73" s="208">
        <v>40</v>
      </c>
      <c r="I73" s="208">
        <v>2</v>
      </c>
      <c r="J73" s="72">
        <f t="shared" si="0"/>
        <v>0.05</v>
      </c>
      <c r="K73" s="208">
        <f>+I73+DICIEMBRE!K73</f>
        <v>32</v>
      </c>
      <c r="L73" s="96">
        <f t="shared" si="1"/>
        <v>0.8</v>
      </c>
      <c r="N73"/>
      <c r="O73" s="8"/>
      <c r="P73"/>
      <c r="Q73" s="8"/>
    </row>
    <row r="74" spans="2:17" x14ac:dyDescent="0.25">
      <c r="B74" s="153">
        <v>3</v>
      </c>
      <c r="C74" s="154" t="s">
        <v>43</v>
      </c>
      <c r="D74" s="155" t="s">
        <v>44</v>
      </c>
      <c r="E74" s="281" t="s">
        <v>116</v>
      </c>
      <c r="F74" s="179" t="s">
        <v>172</v>
      </c>
      <c r="G74" s="180" t="s">
        <v>172</v>
      </c>
      <c r="H74" s="191">
        <v>20</v>
      </c>
      <c r="I74" s="191">
        <v>0</v>
      </c>
      <c r="J74" s="69">
        <f t="shared" si="0"/>
        <v>0</v>
      </c>
      <c r="K74" s="191">
        <f>+I74+DICIEMBRE!K74</f>
        <v>20</v>
      </c>
      <c r="L74" s="94">
        <f t="shared" si="1"/>
        <v>1</v>
      </c>
      <c r="N74"/>
      <c r="O74" s="8"/>
      <c r="P74"/>
      <c r="Q74" s="8"/>
    </row>
    <row r="75" spans="2:17" x14ac:dyDescent="0.25">
      <c r="B75" s="156">
        <v>3</v>
      </c>
      <c r="C75" s="157" t="s">
        <v>46</v>
      </c>
      <c r="D75" s="158" t="s">
        <v>47</v>
      </c>
      <c r="E75" s="282"/>
      <c r="F75" s="182" t="s">
        <v>172</v>
      </c>
      <c r="G75" s="182" t="s">
        <v>172</v>
      </c>
      <c r="H75" s="193">
        <v>14</v>
      </c>
      <c r="I75" s="207">
        <v>0</v>
      </c>
      <c r="J75" s="69">
        <f t="shared" si="0"/>
        <v>0</v>
      </c>
      <c r="K75" s="207">
        <f>+I75+DICIEMBRE!K75</f>
        <v>14</v>
      </c>
      <c r="L75" s="94">
        <f t="shared" si="1"/>
        <v>1</v>
      </c>
      <c r="N75"/>
      <c r="O75" s="8"/>
      <c r="P75"/>
      <c r="Q75" s="8"/>
    </row>
    <row r="76" spans="2:17" x14ac:dyDescent="0.25">
      <c r="B76" s="156">
        <v>3</v>
      </c>
      <c r="C76" s="157" t="s">
        <v>98</v>
      </c>
      <c r="D76" s="158" t="s">
        <v>99</v>
      </c>
      <c r="E76" s="282"/>
      <c r="F76" s="182" t="s">
        <v>172</v>
      </c>
      <c r="G76" s="183" t="s">
        <v>172</v>
      </c>
      <c r="H76" s="207">
        <v>28</v>
      </c>
      <c r="I76" s="194">
        <v>0</v>
      </c>
      <c r="J76" s="69">
        <f t="shared" si="0"/>
        <v>0</v>
      </c>
      <c r="K76" s="194">
        <f>+I76+DICIEMBRE!K76</f>
        <v>28</v>
      </c>
      <c r="L76" s="94">
        <f t="shared" si="1"/>
        <v>1</v>
      </c>
      <c r="N76"/>
      <c r="O76" s="8"/>
      <c r="P76"/>
      <c r="Q76" s="8"/>
    </row>
    <row r="77" spans="2:17" x14ac:dyDescent="0.25">
      <c r="B77" s="156">
        <v>3</v>
      </c>
      <c r="C77" s="157" t="s">
        <v>49</v>
      </c>
      <c r="D77" s="158" t="s">
        <v>50</v>
      </c>
      <c r="E77" s="282"/>
      <c r="F77" s="182" t="s">
        <v>172</v>
      </c>
      <c r="G77" s="183" t="s">
        <v>172</v>
      </c>
      <c r="H77" s="207">
        <v>16</v>
      </c>
      <c r="I77" s="207">
        <v>0</v>
      </c>
      <c r="J77" s="69">
        <f t="shared" si="0"/>
        <v>0</v>
      </c>
      <c r="K77" s="207">
        <f>+I77+DICIEMBRE!K77</f>
        <v>16</v>
      </c>
      <c r="L77" s="94">
        <f t="shared" si="1"/>
        <v>1</v>
      </c>
      <c r="N77"/>
      <c r="O77" s="8"/>
      <c r="P77"/>
      <c r="Q77" s="8"/>
    </row>
    <row r="78" spans="2:17" x14ac:dyDescent="0.25">
      <c r="B78" s="156">
        <v>3</v>
      </c>
      <c r="C78" s="157" t="s">
        <v>52</v>
      </c>
      <c r="D78" s="158" t="s">
        <v>53</v>
      </c>
      <c r="E78" s="282"/>
      <c r="F78" s="182" t="s">
        <v>172</v>
      </c>
      <c r="G78" s="186" t="s">
        <v>172</v>
      </c>
      <c r="H78" s="207">
        <v>16</v>
      </c>
      <c r="I78" s="207">
        <v>0</v>
      </c>
      <c r="J78" s="69">
        <f t="shared" si="0"/>
        <v>0</v>
      </c>
      <c r="K78" s="207">
        <f>+I78+DICIEMBRE!K78</f>
        <v>16</v>
      </c>
      <c r="L78" s="94">
        <f t="shared" si="1"/>
        <v>1</v>
      </c>
      <c r="N78"/>
      <c r="O78" s="8"/>
      <c r="P78"/>
      <c r="Q78" s="8"/>
    </row>
    <row r="79" spans="2:17" s="16" customFormat="1" x14ac:dyDescent="0.25">
      <c r="B79" s="156">
        <v>3</v>
      </c>
      <c r="C79" s="157" t="s">
        <v>55</v>
      </c>
      <c r="D79" s="158" t="s">
        <v>56</v>
      </c>
      <c r="E79" s="282"/>
      <c r="F79" s="182" t="s">
        <v>172</v>
      </c>
      <c r="G79" s="186" t="s">
        <v>172</v>
      </c>
      <c r="H79" s="207">
        <v>12</v>
      </c>
      <c r="I79" s="207">
        <v>0</v>
      </c>
      <c r="J79" s="69">
        <f t="shared" ref="J79:J142" si="2">IFERROR(I79/H79,0)</f>
        <v>0</v>
      </c>
      <c r="K79" s="207">
        <f>+I79+DICIEMBRE!K79</f>
        <v>12</v>
      </c>
      <c r="L79" s="94">
        <f t="shared" ref="L79:L142" si="3">IFERROR(K79/H79,0)</f>
        <v>1</v>
      </c>
      <c r="N79" s="41"/>
      <c r="P79" s="41"/>
    </row>
    <row r="80" spans="2:17" x14ac:dyDescent="0.25">
      <c r="B80" s="156">
        <v>5</v>
      </c>
      <c r="C80" s="157" t="s">
        <v>57</v>
      </c>
      <c r="D80" s="158" t="s">
        <v>58</v>
      </c>
      <c r="E80" s="282"/>
      <c r="F80" s="199" t="s">
        <v>172</v>
      </c>
      <c r="G80" s="186" t="s">
        <v>172</v>
      </c>
      <c r="H80" s="207">
        <v>24</v>
      </c>
      <c r="I80" s="207">
        <v>0</v>
      </c>
      <c r="J80" s="69">
        <f t="shared" si="2"/>
        <v>0</v>
      </c>
      <c r="K80" s="207">
        <f>+I80+DICIEMBRE!K80</f>
        <v>24</v>
      </c>
      <c r="L80" s="94">
        <f t="shared" si="3"/>
        <v>1</v>
      </c>
      <c r="N80"/>
      <c r="O80" s="8"/>
      <c r="P80"/>
      <c r="Q80" s="8"/>
    </row>
    <row r="81" spans="2:17" x14ac:dyDescent="0.25">
      <c r="B81" s="156">
        <v>5</v>
      </c>
      <c r="C81" s="157" t="s">
        <v>59</v>
      </c>
      <c r="D81" s="158" t="s">
        <v>60</v>
      </c>
      <c r="E81" s="282"/>
      <c r="F81" s="182" t="s">
        <v>172</v>
      </c>
      <c r="G81" s="186" t="s">
        <v>172</v>
      </c>
      <c r="H81" s="207">
        <v>26</v>
      </c>
      <c r="I81" s="207">
        <v>0</v>
      </c>
      <c r="J81" s="69">
        <f t="shared" si="2"/>
        <v>0</v>
      </c>
      <c r="K81" s="207">
        <f>+I81+DICIEMBRE!K81</f>
        <v>26</v>
      </c>
      <c r="L81" s="94">
        <f t="shared" si="3"/>
        <v>1</v>
      </c>
      <c r="N81"/>
      <c r="O81" s="8"/>
      <c r="P81"/>
      <c r="Q81" s="8"/>
    </row>
    <row r="82" spans="2:17" x14ac:dyDescent="0.25">
      <c r="B82" s="159">
        <v>8</v>
      </c>
      <c r="C82" s="160" t="s">
        <v>61</v>
      </c>
      <c r="D82" s="161" t="s">
        <v>62</v>
      </c>
      <c r="E82" s="283"/>
      <c r="F82" s="188" t="s">
        <v>172</v>
      </c>
      <c r="G82" s="189" t="s">
        <v>172</v>
      </c>
      <c r="H82" s="208">
        <v>24</v>
      </c>
      <c r="I82" s="208">
        <v>0</v>
      </c>
      <c r="J82" s="72">
        <f t="shared" si="2"/>
        <v>0</v>
      </c>
      <c r="K82" s="208">
        <f>+I82+DICIEMBRE!K82</f>
        <v>24</v>
      </c>
      <c r="L82" s="96">
        <f t="shared" si="3"/>
        <v>1</v>
      </c>
      <c r="N82"/>
      <c r="O82" s="8"/>
      <c r="P82"/>
      <c r="Q82" s="8"/>
    </row>
    <row r="83" spans="2:17" x14ac:dyDescent="0.25">
      <c r="B83" s="35">
        <v>3</v>
      </c>
      <c r="C83" s="36" t="s">
        <v>43</v>
      </c>
      <c r="D83" s="37" t="s">
        <v>44</v>
      </c>
      <c r="E83" s="218" t="s">
        <v>117</v>
      </c>
      <c r="F83" s="180" t="s">
        <v>1543</v>
      </c>
      <c r="G83" s="180" t="s">
        <v>1544</v>
      </c>
      <c r="H83" s="191">
        <v>40</v>
      </c>
      <c r="I83" s="191">
        <v>3</v>
      </c>
      <c r="J83" s="69">
        <f t="shared" si="2"/>
        <v>7.4999999999999997E-2</v>
      </c>
      <c r="K83" s="191">
        <f>+I83+DICIEMBRE!K83</f>
        <v>33</v>
      </c>
      <c r="L83" s="94">
        <f t="shared" si="3"/>
        <v>0.82499999999999996</v>
      </c>
      <c r="N83"/>
      <c r="O83" s="8"/>
      <c r="P83"/>
      <c r="Q83" s="8"/>
    </row>
    <row r="84" spans="2:17" x14ac:dyDescent="0.25">
      <c r="B84" s="38">
        <v>3</v>
      </c>
      <c r="C84" s="39" t="s">
        <v>46</v>
      </c>
      <c r="D84" s="40" t="s">
        <v>47</v>
      </c>
      <c r="E84" s="219"/>
      <c r="F84" s="200" t="s">
        <v>860</v>
      </c>
      <c r="G84" s="200" t="s">
        <v>1544</v>
      </c>
      <c r="H84" s="193">
        <v>40</v>
      </c>
      <c r="I84" s="207">
        <v>3</v>
      </c>
      <c r="J84" s="69">
        <f t="shared" si="2"/>
        <v>7.4999999999999997E-2</v>
      </c>
      <c r="K84" s="207">
        <f>+I84+DICIEMBRE!K84</f>
        <v>33</v>
      </c>
      <c r="L84" s="94">
        <f t="shared" si="3"/>
        <v>0.82499999999999996</v>
      </c>
      <c r="N84"/>
      <c r="O84" s="8"/>
      <c r="P84"/>
      <c r="Q84" s="8"/>
    </row>
    <row r="85" spans="2:17" x14ac:dyDescent="0.25">
      <c r="B85" s="38">
        <v>3</v>
      </c>
      <c r="C85" s="39" t="s">
        <v>98</v>
      </c>
      <c r="D85" s="40" t="s">
        <v>99</v>
      </c>
      <c r="E85" s="219"/>
      <c r="F85" s="186" t="s">
        <v>862</v>
      </c>
      <c r="G85" s="186" t="s">
        <v>1544</v>
      </c>
      <c r="H85" s="207">
        <v>40</v>
      </c>
      <c r="I85" s="194">
        <v>3</v>
      </c>
      <c r="J85" s="69">
        <f t="shared" si="2"/>
        <v>7.4999999999999997E-2</v>
      </c>
      <c r="K85" s="194">
        <f>+I85+DICIEMBRE!K85</f>
        <v>33</v>
      </c>
      <c r="L85" s="94">
        <f t="shared" si="3"/>
        <v>0.82499999999999996</v>
      </c>
      <c r="N85"/>
      <c r="O85" s="8"/>
      <c r="P85"/>
      <c r="Q85" s="8"/>
    </row>
    <row r="86" spans="2:17" x14ac:dyDescent="0.25">
      <c r="B86" s="38">
        <v>3</v>
      </c>
      <c r="C86" s="39" t="s">
        <v>49</v>
      </c>
      <c r="D86" s="40" t="s">
        <v>50</v>
      </c>
      <c r="E86" s="219"/>
      <c r="F86" s="186" t="s">
        <v>213</v>
      </c>
      <c r="G86" s="186" t="s">
        <v>1544</v>
      </c>
      <c r="H86" s="207">
        <v>40</v>
      </c>
      <c r="I86" s="207">
        <v>3</v>
      </c>
      <c r="J86" s="69">
        <f t="shared" si="2"/>
        <v>7.4999999999999997E-2</v>
      </c>
      <c r="K86" s="207">
        <f>+I86+DICIEMBRE!K86</f>
        <v>33</v>
      </c>
      <c r="L86" s="94">
        <f t="shared" si="3"/>
        <v>0.82499999999999996</v>
      </c>
      <c r="N86"/>
      <c r="O86" s="8"/>
      <c r="P86"/>
      <c r="Q86" s="8"/>
    </row>
    <row r="87" spans="2:17" x14ac:dyDescent="0.25">
      <c r="B87" s="38">
        <v>3</v>
      </c>
      <c r="C87" s="39" t="s">
        <v>52</v>
      </c>
      <c r="D87" s="40" t="s">
        <v>53</v>
      </c>
      <c r="E87" s="219"/>
      <c r="F87" s="186" t="s">
        <v>214</v>
      </c>
      <c r="G87" s="186" t="s">
        <v>1544</v>
      </c>
      <c r="H87" s="207">
        <v>40</v>
      </c>
      <c r="I87" s="207">
        <v>3</v>
      </c>
      <c r="J87" s="69">
        <f t="shared" si="2"/>
        <v>7.4999999999999997E-2</v>
      </c>
      <c r="K87" s="207">
        <f>+I87+DICIEMBRE!K87</f>
        <v>33</v>
      </c>
      <c r="L87" s="94">
        <f t="shared" si="3"/>
        <v>0.82499999999999996</v>
      </c>
      <c r="N87"/>
      <c r="O87" s="8"/>
      <c r="P87"/>
      <c r="Q87" s="8"/>
    </row>
    <row r="88" spans="2:17" s="16" customFormat="1" x14ac:dyDescent="0.25">
      <c r="B88" s="38">
        <v>3</v>
      </c>
      <c r="C88" s="39" t="s">
        <v>55</v>
      </c>
      <c r="D88" s="40" t="s">
        <v>56</v>
      </c>
      <c r="E88" s="219"/>
      <c r="F88" s="186" t="s">
        <v>215</v>
      </c>
      <c r="G88" s="186" t="s">
        <v>1544</v>
      </c>
      <c r="H88" s="207">
        <v>40</v>
      </c>
      <c r="I88" s="207">
        <v>3</v>
      </c>
      <c r="J88" s="69">
        <f t="shared" si="2"/>
        <v>7.4999999999999997E-2</v>
      </c>
      <c r="K88" s="207">
        <f>+I88+DICIEMBRE!K88</f>
        <v>33</v>
      </c>
      <c r="L88" s="94">
        <f t="shared" si="3"/>
        <v>0.82499999999999996</v>
      </c>
      <c r="N88" s="41"/>
      <c r="P88" s="41"/>
    </row>
    <row r="89" spans="2:17" x14ac:dyDescent="0.25">
      <c r="B89" s="38">
        <v>5</v>
      </c>
      <c r="C89" s="39" t="s">
        <v>57</v>
      </c>
      <c r="D89" s="40" t="s">
        <v>58</v>
      </c>
      <c r="E89" s="219"/>
      <c r="F89" s="186" t="s">
        <v>216</v>
      </c>
      <c r="G89" s="186" t="s">
        <v>1544</v>
      </c>
      <c r="H89" s="207">
        <v>40</v>
      </c>
      <c r="I89" s="207">
        <v>4</v>
      </c>
      <c r="J89" s="69">
        <f t="shared" si="2"/>
        <v>0.1</v>
      </c>
      <c r="K89" s="207">
        <f>+I89+DICIEMBRE!K89</f>
        <v>34</v>
      </c>
      <c r="L89" s="94">
        <f t="shared" si="3"/>
        <v>0.85</v>
      </c>
      <c r="N89"/>
      <c r="O89" s="8"/>
      <c r="P89"/>
      <c r="Q89" s="8"/>
    </row>
    <row r="90" spans="2:17" x14ac:dyDescent="0.25">
      <c r="B90" s="38">
        <v>5</v>
      </c>
      <c r="C90" s="39" t="s">
        <v>59</v>
      </c>
      <c r="D90" s="40" t="s">
        <v>60</v>
      </c>
      <c r="E90" s="219"/>
      <c r="F90" s="186" t="s">
        <v>194</v>
      </c>
      <c r="G90" s="186" t="s">
        <v>1544</v>
      </c>
      <c r="H90" s="207">
        <v>40</v>
      </c>
      <c r="I90" s="207">
        <v>4</v>
      </c>
      <c r="J90" s="69">
        <f t="shared" si="2"/>
        <v>0.1</v>
      </c>
      <c r="K90" s="207">
        <f>+I90+DICIEMBRE!K90</f>
        <v>34</v>
      </c>
      <c r="L90" s="94">
        <f t="shared" si="3"/>
        <v>0.85</v>
      </c>
      <c r="N90"/>
      <c r="O90" s="8"/>
      <c r="P90"/>
      <c r="Q90" s="8"/>
    </row>
    <row r="91" spans="2:17" x14ac:dyDescent="0.25">
      <c r="B91" s="42">
        <v>8</v>
      </c>
      <c r="C91" s="43" t="s">
        <v>61</v>
      </c>
      <c r="D91" s="44" t="s">
        <v>62</v>
      </c>
      <c r="E91" s="220"/>
      <c r="F91" s="189" t="s">
        <v>196</v>
      </c>
      <c r="G91" s="189" t="s">
        <v>1544</v>
      </c>
      <c r="H91" s="208">
        <v>40</v>
      </c>
      <c r="I91" s="208">
        <v>4</v>
      </c>
      <c r="J91" s="72">
        <f t="shared" si="2"/>
        <v>0.1</v>
      </c>
      <c r="K91" s="208">
        <f>+I91+DICIEMBRE!K91</f>
        <v>34</v>
      </c>
      <c r="L91" s="96">
        <f t="shared" si="3"/>
        <v>0.85</v>
      </c>
      <c r="N91"/>
      <c r="O91" s="8"/>
      <c r="P91"/>
      <c r="Q91" s="8"/>
    </row>
    <row r="92" spans="2:17" x14ac:dyDescent="0.25">
      <c r="B92" s="153">
        <v>3</v>
      </c>
      <c r="C92" s="154" t="s">
        <v>43</v>
      </c>
      <c r="D92" s="155" t="s">
        <v>44</v>
      </c>
      <c r="E92" s="281" t="s">
        <v>179</v>
      </c>
      <c r="F92" s="179" t="s">
        <v>172</v>
      </c>
      <c r="G92" s="179" t="s">
        <v>172</v>
      </c>
      <c r="H92" s="191">
        <v>18</v>
      </c>
      <c r="I92" s="191">
        <v>0</v>
      </c>
      <c r="J92" s="69">
        <f t="shared" si="2"/>
        <v>0</v>
      </c>
      <c r="K92" s="191">
        <f>+I92+DICIEMBRE!K92</f>
        <v>18</v>
      </c>
      <c r="L92" s="94">
        <f t="shared" si="3"/>
        <v>1</v>
      </c>
      <c r="N92"/>
      <c r="O92" s="8"/>
      <c r="P92"/>
      <c r="Q92" s="8"/>
    </row>
    <row r="93" spans="2:17" x14ac:dyDescent="0.25">
      <c r="B93" s="156">
        <v>3</v>
      </c>
      <c r="C93" s="157" t="s">
        <v>46</v>
      </c>
      <c r="D93" s="158" t="s">
        <v>47</v>
      </c>
      <c r="E93" s="282"/>
      <c r="F93" s="182" t="s">
        <v>172</v>
      </c>
      <c r="G93" s="182" t="s">
        <v>172</v>
      </c>
      <c r="H93" s="193">
        <v>16</v>
      </c>
      <c r="I93" s="207">
        <v>0</v>
      </c>
      <c r="J93" s="69">
        <f t="shared" si="2"/>
        <v>0</v>
      </c>
      <c r="K93" s="207">
        <f>+I93+DICIEMBRE!K93</f>
        <v>16</v>
      </c>
      <c r="L93" s="94">
        <f t="shared" si="3"/>
        <v>1</v>
      </c>
      <c r="N93"/>
      <c r="O93" s="8"/>
      <c r="P93"/>
      <c r="Q93" s="8"/>
    </row>
    <row r="94" spans="2:17" x14ac:dyDescent="0.25">
      <c r="B94" s="156">
        <v>3</v>
      </c>
      <c r="C94" s="157" t="s">
        <v>98</v>
      </c>
      <c r="D94" s="158" t="s">
        <v>99</v>
      </c>
      <c r="E94" s="282"/>
      <c r="F94" s="182" t="s">
        <v>172</v>
      </c>
      <c r="G94" s="182" t="s">
        <v>172</v>
      </c>
      <c r="H94" s="207">
        <v>16</v>
      </c>
      <c r="I94" s="194">
        <v>0</v>
      </c>
      <c r="J94" s="69">
        <f t="shared" si="2"/>
        <v>0</v>
      </c>
      <c r="K94" s="194">
        <f>+I94+DICIEMBRE!K94</f>
        <v>16</v>
      </c>
      <c r="L94" s="94">
        <f t="shared" si="3"/>
        <v>1</v>
      </c>
      <c r="N94"/>
      <c r="O94" s="8"/>
      <c r="P94"/>
      <c r="Q94" s="8"/>
    </row>
    <row r="95" spans="2:17" x14ac:dyDescent="0.25">
      <c r="B95" s="156">
        <v>3</v>
      </c>
      <c r="C95" s="157" t="s">
        <v>49</v>
      </c>
      <c r="D95" s="158" t="s">
        <v>50</v>
      </c>
      <c r="E95" s="282"/>
      <c r="F95" s="182" t="s">
        <v>172</v>
      </c>
      <c r="G95" s="182" t="s">
        <v>172</v>
      </c>
      <c r="H95" s="207">
        <v>16</v>
      </c>
      <c r="I95" s="207">
        <v>0</v>
      </c>
      <c r="J95" s="69">
        <f t="shared" si="2"/>
        <v>0</v>
      </c>
      <c r="K95" s="207">
        <f>+I95+DICIEMBRE!K95</f>
        <v>16</v>
      </c>
      <c r="L95" s="94">
        <f t="shared" si="3"/>
        <v>1</v>
      </c>
      <c r="N95"/>
      <c r="O95" s="8"/>
      <c r="P95"/>
      <c r="Q95" s="8"/>
    </row>
    <row r="96" spans="2:17" x14ac:dyDescent="0.25">
      <c r="B96" s="156">
        <v>3</v>
      </c>
      <c r="C96" s="157" t="s">
        <v>52</v>
      </c>
      <c r="D96" s="158" t="s">
        <v>53</v>
      </c>
      <c r="E96" s="282"/>
      <c r="F96" s="182" t="s">
        <v>172</v>
      </c>
      <c r="G96" s="182" t="s">
        <v>172</v>
      </c>
      <c r="H96" s="207">
        <v>16</v>
      </c>
      <c r="I96" s="207">
        <v>0</v>
      </c>
      <c r="J96" s="69">
        <f t="shared" si="2"/>
        <v>0</v>
      </c>
      <c r="K96" s="207">
        <f>+I96+DICIEMBRE!K96</f>
        <v>16</v>
      </c>
      <c r="L96" s="94">
        <f t="shared" si="3"/>
        <v>1</v>
      </c>
      <c r="N96"/>
      <c r="O96" s="8"/>
      <c r="P96"/>
      <c r="Q96" s="8"/>
    </row>
    <row r="97" spans="2:17" x14ac:dyDescent="0.25">
      <c r="B97" s="156">
        <v>3</v>
      </c>
      <c r="C97" s="157" t="s">
        <v>55</v>
      </c>
      <c r="D97" s="158" t="s">
        <v>56</v>
      </c>
      <c r="E97" s="282"/>
      <c r="F97" s="201" t="s">
        <v>172</v>
      </c>
      <c r="G97" s="201" t="s">
        <v>172</v>
      </c>
      <c r="H97" s="207">
        <v>16</v>
      </c>
      <c r="I97" s="207">
        <v>0</v>
      </c>
      <c r="J97" s="69">
        <f t="shared" si="2"/>
        <v>0</v>
      </c>
      <c r="K97" s="207">
        <f>+I97+DICIEMBRE!K97</f>
        <v>16</v>
      </c>
      <c r="L97" s="94">
        <f t="shared" si="3"/>
        <v>1</v>
      </c>
      <c r="N97"/>
      <c r="O97" s="8"/>
      <c r="P97"/>
      <c r="Q97" s="8"/>
    </row>
    <row r="98" spans="2:17" x14ac:dyDescent="0.25">
      <c r="B98" s="156">
        <v>5</v>
      </c>
      <c r="C98" s="157" t="s">
        <v>57</v>
      </c>
      <c r="D98" s="158" t="s">
        <v>58</v>
      </c>
      <c r="E98" s="282"/>
      <c r="F98" s="182" t="s">
        <v>172</v>
      </c>
      <c r="G98" s="182" t="s">
        <v>172</v>
      </c>
      <c r="H98" s="202">
        <v>16</v>
      </c>
      <c r="I98" s="207">
        <v>0</v>
      </c>
      <c r="J98" s="69">
        <f t="shared" si="2"/>
        <v>0</v>
      </c>
      <c r="K98" s="207">
        <f>+I98+DICIEMBRE!K98</f>
        <v>16</v>
      </c>
      <c r="L98" s="94">
        <f t="shared" si="3"/>
        <v>1</v>
      </c>
      <c r="N98"/>
      <c r="O98" s="8"/>
      <c r="P98"/>
      <c r="Q98" s="8"/>
    </row>
    <row r="99" spans="2:17" s="16" customFormat="1" x14ac:dyDescent="0.25">
      <c r="B99" s="156">
        <v>5</v>
      </c>
      <c r="C99" s="157" t="s">
        <v>118</v>
      </c>
      <c r="D99" s="158" t="s">
        <v>119</v>
      </c>
      <c r="E99" s="282"/>
      <c r="F99" s="203" t="s">
        <v>172</v>
      </c>
      <c r="G99" s="203" t="s">
        <v>172</v>
      </c>
      <c r="H99" s="207">
        <v>16</v>
      </c>
      <c r="I99" s="207">
        <v>0</v>
      </c>
      <c r="J99" s="69">
        <f t="shared" si="2"/>
        <v>0</v>
      </c>
      <c r="K99" s="207">
        <f>+I99+DICIEMBRE!K99</f>
        <v>16</v>
      </c>
      <c r="L99" s="94">
        <f t="shared" si="3"/>
        <v>1</v>
      </c>
      <c r="N99" s="41"/>
      <c r="P99" s="41"/>
    </row>
    <row r="100" spans="2:17" x14ac:dyDescent="0.25">
      <c r="B100" s="156">
        <v>5</v>
      </c>
      <c r="C100" s="157" t="s">
        <v>120</v>
      </c>
      <c r="D100" s="158" t="s">
        <v>121</v>
      </c>
      <c r="E100" s="282"/>
      <c r="F100" s="182" t="s">
        <v>172</v>
      </c>
      <c r="G100" s="182" t="s">
        <v>172</v>
      </c>
      <c r="H100" s="193">
        <v>18</v>
      </c>
      <c r="I100" s="207">
        <v>0</v>
      </c>
      <c r="J100" s="69">
        <f t="shared" si="2"/>
        <v>0</v>
      </c>
      <c r="K100" s="207">
        <f>+I100+DICIEMBRE!K100</f>
        <v>18</v>
      </c>
      <c r="L100" s="94">
        <f t="shared" si="3"/>
        <v>1</v>
      </c>
      <c r="N100"/>
      <c r="O100" s="8"/>
      <c r="P100"/>
      <c r="Q100" s="8"/>
    </row>
    <row r="101" spans="2:17" x14ac:dyDescent="0.25">
      <c r="B101" s="156">
        <v>5</v>
      </c>
      <c r="C101" s="157" t="s">
        <v>122</v>
      </c>
      <c r="D101" s="158" t="s">
        <v>123</v>
      </c>
      <c r="E101" s="282"/>
      <c r="F101" s="182" t="s">
        <v>172</v>
      </c>
      <c r="G101" s="182" t="s">
        <v>172</v>
      </c>
      <c r="H101" s="207">
        <v>16</v>
      </c>
      <c r="I101" s="207">
        <v>0</v>
      </c>
      <c r="J101" s="69">
        <f t="shared" si="2"/>
        <v>0</v>
      </c>
      <c r="K101" s="207">
        <f>+I101+DICIEMBRE!K101</f>
        <v>16</v>
      </c>
      <c r="L101" s="94">
        <f t="shared" si="3"/>
        <v>1</v>
      </c>
      <c r="N101"/>
      <c r="O101" s="8"/>
      <c r="P101"/>
      <c r="Q101" s="8"/>
    </row>
    <row r="102" spans="2:17" x14ac:dyDescent="0.25">
      <c r="B102" s="159">
        <v>5</v>
      </c>
      <c r="C102" s="160" t="s">
        <v>59</v>
      </c>
      <c r="D102" s="161" t="s">
        <v>60</v>
      </c>
      <c r="E102" s="283"/>
      <c r="F102" s="182" t="s">
        <v>172</v>
      </c>
      <c r="G102" s="182" t="s">
        <v>172</v>
      </c>
      <c r="H102" s="208">
        <v>16</v>
      </c>
      <c r="I102" s="208">
        <v>0</v>
      </c>
      <c r="J102" s="72">
        <f t="shared" si="2"/>
        <v>0</v>
      </c>
      <c r="K102" s="208">
        <f>+I102+DICIEMBRE!K102</f>
        <v>16</v>
      </c>
      <c r="L102" s="96">
        <f t="shared" si="3"/>
        <v>1</v>
      </c>
      <c r="N102"/>
      <c r="O102" s="8"/>
      <c r="P102"/>
      <c r="Q102" s="8"/>
    </row>
    <row r="103" spans="2:17" x14ac:dyDescent="0.25">
      <c r="B103" s="153">
        <v>3</v>
      </c>
      <c r="C103" s="154" t="s">
        <v>43</v>
      </c>
      <c r="D103" s="155" t="s">
        <v>44</v>
      </c>
      <c r="E103" s="281" t="s">
        <v>124</v>
      </c>
      <c r="F103" s="204" t="s">
        <v>172</v>
      </c>
      <c r="G103" s="204" t="s">
        <v>172</v>
      </c>
      <c r="H103" s="191">
        <v>13</v>
      </c>
      <c r="I103" s="191">
        <v>0</v>
      </c>
      <c r="J103" s="69">
        <f t="shared" si="2"/>
        <v>0</v>
      </c>
      <c r="K103" s="191">
        <f>+I103+DICIEMBRE!K103</f>
        <v>13</v>
      </c>
      <c r="L103" s="94">
        <f t="shared" si="3"/>
        <v>1</v>
      </c>
      <c r="N103"/>
      <c r="O103" s="8"/>
      <c r="P103"/>
      <c r="Q103" s="8"/>
    </row>
    <row r="104" spans="2:17" x14ac:dyDescent="0.25">
      <c r="B104" s="156">
        <v>3</v>
      </c>
      <c r="C104" s="157" t="s">
        <v>46</v>
      </c>
      <c r="D104" s="158" t="s">
        <v>47</v>
      </c>
      <c r="E104" s="282"/>
      <c r="F104" s="192" t="s">
        <v>172</v>
      </c>
      <c r="G104" s="192" t="s">
        <v>172</v>
      </c>
      <c r="H104" s="193">
        <v>14</v>
      </c>
      <c r="I104" s="207">
        <v>0</v>
      </c>
      <c r="J104" s="69">
        <f t="shared" si="2"/>
        <v>0</v>
      </c>
      <c r="K104" s="207">
        <f>+I104+DICIEMBRE!K104</f>
        <v>14</v>
      </c>
      <c r="L104" s="94">
        <f t="shared" si="3"/>
        <v>1</v>
      </c>
      <c r="N104"/>
      <c r="O104" s="8"/>
      <c r="P104"/>
      <c r="Q104" s="8"/>
    </row>
    <row r="105" spans="2:17" x14ac:dyDescent="0.25">
      <c r="B105" s="156">
        <v>3</v>
      </c>
      <c r="C105" s="157" t="s">
        <v>98</v>
      </c>
      <c r="D105" s="158" t="s">
        <v>99</v>
      </c>
      <c r="E105" s="282"/>
      <c r="F105" s="186" t="s">
        <v>172</v>
      </c>
      <c r="G105" s="186" t="s">
        <v>172</v>
      </c>
      <c r="H105" s="207">
        <v>14</v>
      </c>
      <c r="I105" s="194">
        <v>0</v>
      </c>
      <c r="J105" s="69">
        <f t="shared" si="2"/>
        <v>0</v>
      </c>
      <c r="K105" s="194">
        <f>+I105+DICIEMBRE!K105</f>
        <v>14</v>
      </c>
      <c r="L105" s="94">
        <f t="shared" si="3"/>
        <v>1</v>
      </c>
      <c r="N105"/>
      <c r="O105" s="8"/>
      <c r="P105"/>
      <c r="Q105" s="8"/>
    </row>
    <row r="106" spans="2:17" x14ac:dyDescent="0.25">
      <c r="B106" s="156">
        <v>3</v>
      </c>
      <c r="C106" s="157" t="s">
        <v>49</v>
      </c>
      <c r="D106" s="158" t="s">
        <v>50</v>
      </c>
      <c r="E106" s="282"/>
      <c r="F106" s="186" t="s">
        <v>172</v>
      </c>
      <c r="G106" s="186" t="s">
        <v>172</v>
      </c>
      <c r="H106" s="207">
        <v>16</v>
      </c>
      <c r="I106" s="207">
        <v>0</v>
      </c>
      <c r="J106" s="69">
        <f t="shared" si="2"/>
        <v>0</v>
      </c>
      <c r="K106" s="207">
        <f>+I106+DICIEMBRE!K106</f>
        <v>16</v>
      </c>
      <c r="L106" s="94">
        <f t="shared" si="3"/>
        <v>1</v>
      </c>
      <c r="N106"/>
      <c r="O106" s="8"/>
      <c r="P106"/>
      <c r="Q106" s="8"/>
    </row>
    <row r="107" spans="2:17" x14ac:dyDescent="0.25">
      <c r="B107" s="156">
        <v>3</v>
      </c>
      <c r="C107" s="157" t="s">
        <v>52</v>
      </c>
      <c r="D107" s="158" t="s">
        <v>53</v>
      </c>
      <c r="E107" s="282"/>
      <c r="F107" s="186" t="s">
        <v>172</v>
      </c>
      <c r="G107" s="186" t="s">
        <v>172</v>
      </c>
      <c r="H107" s="207">
        <v>16</v>
      </c>
      <c r="I107" s="207">
        <v>0</v>
      </c>
      <c r="J107" s="69">
        <f t="shared" si="2"/>
        <v>0</v>
      </c>
      <c r="K107" s="207">
        <f>+I107+DICIEMBRE!K107</f>
        <v>16</v>
      </c>
      <c r="L107" s="94">
        <f t="shared" si="3"/>
        <v>1</v>
      </c>
      <c r="N107"/>
      <c r="O107" s="8"/>
      <c r="P107"/>
      <c r="Q107" s="8"/>
    </row>
    <row r="108" spans="2:17" x14ac:dyDescent="0.25">
      <c r="B108" s="156">
        <v>3</v>
      </c>
      <c r="C108" s="157" t="s">
        <v>55</v>
      </c>
      <c r="D108" s="158" t="s">
        <v>56</v>
      </c>
      <c r="E108" s="282"/>
      <c r="F108" s="186" t="s">
        <v>172</v>
      </c>
      <c r="G108" s="186" t="s">
        <v>172</v>
      </c>
      <c r="H108" s="207">
        <v>15</v>
      </c>
      <c r="I108" s="207">
        <v>0</v>
      </c>
      <c r="J108" s="69">
        <f t="shared" si="2"/>
        <v>0</v>
      </c>
      <c r="K108" s="207">
        <f>+I108+DICIEMBRE!K108</f>
        <v>15</v>
      </c>
      <c r="L108" s="94">
        <f t="shared" si="3"/>
        <v>1</v>
      </c>
      <c r="N108"/>
      <c r="O108" s="8"/>
      <c r="P108"/>
      <c r="Q108" s="8"/>
    </row>
    <row r="109" spans="2:17" x14ac:dyDescent="0.25">
      <c r="B109" s="156">
        <v>5</v>
      </c>
      <c r="C109" s="157" t="s">
        <v>57</v>
      </c>
      <c r="D109" s="158" t="s">
        <v>58</v>
      </c>
      <c r="E109" s="282"/>
      <c r="F109" s="186" t="s">
        <v>172</v>
      </c>
      <c r="G109" s="186" t="s">
        <v>172</v>
      </c>
      <c r="H109" s="207">
        <v>16</v>
      </c>
      <c r="I109" s="207">
        <v>0</v>
      </c>
      <c r="J109" s="69">
        <f t="shared" si="2"/>
        <v>0</v>
      </c>
      <c r="K109" s="207">
        <f>+I109+DICIEMBRE!K109</f>
        <v>16</v>
      </c>
      <c r="L109" s="94">
        <f t="shared" si="3"/>
        <v>1</v>
      </c>
      <c r="N109"/>
      <c r="O109" s="8"/>
      <c r="P109"/>
      <c r="Q109" s="8"/>
    </row>
    <row r="110" spans="2:17" s="16" customFormat="1" x14ac:dyDescent="0.25">
      <c r="B110" s="156">
        <v>5</v>
      </c>
      <c r="C110" s="157" t="s">
        <v>118</v>
      </c>
      <c r="D110" s="158" t="s">
        <v>119</v>
      </c>
      <c r="E110" s="282"/>
      <c r="F110" s="186" t="s">
        <v>172</v>
      </c>
      <c r="G110" s="186" t="s">
        <v>172</v>
      </c>
      <c r="H110" s="207">
        <v>16</v>
      </c>
      <c r="I110" s="207">
        <v>0</v>
      </c>
      <c r="J110" s="69">
        <f t="shared" si="2"/>
        <v>0</v>
      </c>
      <c r="K110" s="207">
        <f>+I110+DICIEMBRE!K110</f>
        <v>16</v>
      </c>
      <c r="L110" s="94">
        <f t="shared" si="3"/>
        <v>1</v>
      </c>
      <c r="N110" s="41"/>
      <c r="P110" s="41"/>
    </row>
    <row r="111" spans="2:17" x14ac:dyDescent="0.25">
      <c r="B111" s="156">
        <v>5</v>
      </c>
      <c r="C111" s="157" t="s">
        <v>120</v>
      </c>
      <c r="D111" s="158" t="s">
        <v>121</v>
      </c>
      <c r="E111" s="282"/>
      <c r="F111" s="186" t="s">
        <v>172</v>
      </c>
      <c r="G111" s="186" t="s">
        <v>172</v>
      </c>
      <c r="H111" s="193">
        <v>16</v>
      </c>
      <c r="I111" s="193">
        <v>0</v>
      </c>
      <c r="J111" s="69">
        <f t="shared" si="2"/>
        <v>0</v>
      </c>
      <c r="K111" s="193">
        <f>+I111+DICIEMBRE!K111</f>
        <v>16</v>
      </c>
      <c r="L111" s="94">
        <f t="shared" si="3"/>
        <v>1</v>
      </c>
      <c r="N111"/>
      <c r="O111" s="8"/>
      <c r="P111"/>
      <c r="Q111" s="8"/>
    </row>
    <row r="112" spans="2:17" x14ac:dyDescent="0.25">
      <c r="B112" s="156">
        <v>5</v>
      </c>
      <c r="C112" s="157" t="s">
        <v>122</v>
      </c>
      <c r="D112" s="158" t="s">
        <v>123</v>
      </c>
      <c r="E112" s="282"/>
      <c r="F112" s="186" t="s">
        <v>172</v>
      </c>
      <c r="G112" s="186" t="s">
        <v>172</v>
      </c>
      <c r="H112" s="193">
        <v>20</v>
      </c>
      <c r="I112" s="193">
        <v>0</v>
      </c>
      <c r="J112" s="69">
        <f t="shared" si="2"/>
        <v>0</v>
      </c>
      <c r="K112" s="193">
        <f>+I112+DICIEMBRE!K112</f>
        <v>20</v>
      </c>
      <c r="L112" s="94">
        <f t="shared" si="3"/>
        <v>1</v>
      </c>
      <c r="N112"/>
      <c r="O112" s="8"/>
      <c r="P112"/>
      <c r="Q112" s="8"/>
    </row>
    <row r="113" spans="2:17" x14ac:dyDescent="0.25">
      <c r="B113" s="159">
        <v>5</v>
      </c>
      <c r="C113" s="160" t="s">
        <v>59</v>
      </c>
      <c r="D113" s="161" t="s">
        <v>60</v>
      </c>
      <c r="E113" s="283"/>
      <c r="F113" s="189" t="s">
        <v>172</v>
      </c>
      <c r="G113" s="189" t="s">
        <v>172</v>
      </c>
      <c r="H113" s="208">
        <v>24</v>
      </c>
      <c r="I113" s="208">
        <v>0</v>
      </c>
      <c r="J113" s="72">
        <f t="shared" si="2"/>
        <v>0</v>
      </c>
      <c r="K113" s="208">
        <f>+I113+DICIEMBRE!K113</f>
        <v>24</v>
      </c>
      <c r="L113" s="96">
        <f t="shared" si="3"/>
        <v>1</v>
      </c>
      <c r="N113"/>
      <c r="O113" s="8"/>
      <c r="P113"/>
      <c r="Q113" s="8"/>
    </row>
    <row r="114" spans="2:17" x14ac:dyDescent="0.25">
      <c r="B114" s="165">
        <v>3</v>
      </c>
      <c r="C114" s="166" t="s">
        <v>43</v>
      </c>
      <c r="D114" s="167" t="s">
        <v>44</v>
      </c>
      <c r="E114" s="284" t="s">
        <v>128</v>
      </c>
      <c r="F114" s="180" t="s">
        <v>172</v>
      </c>
      <c r="G114" s="180" t="s">
        <v>172</v>
      </c>
      <c r="H114" s="191">
        <v>20</v>
      </c>
      <c r="I114" s="191">
        <v>0</v>
      </c>
      <c r="J114" s="69">
        <f t="shared" si="2"/>
        <v>0</v>
      </c>
      <c r="K114" s="191">
        <f>+I114+DICIEMBRE!K114</f>
        <v>20</v>
      </c>
      <c r="L114" s="94">
        <f t="shared" si="3"/>
        <v>1</v>
      </c>
      <c r="N114"/>
      <c r="O114" s="8"/>
      <c r="P114"/>
      <c r="Q114" s="8"/>
    </row>
    <row r="115" spans="2:17" x14ac:dyDescent="0.25">
      <c r="B115" s="156">
        <v>3</v>
      </c>
      <c r="C115" s="157" t="s">
        <v>46</v>
      </c>
      <c r="D115" s="158" t="s">
        <v>47</v>
      </c>
      <c r="E115" s="282"/>
      <c r="F115" s="200" t="s">
        <v>172</v>
      </c>
      <c r="G115" s="200" t="s">
        <v>172</v>
      </c>
      <c r="H115" s="193">
        <v>14</v>
      </c>
      <c r="I115" s="207">
        <v>0</v>
      </c>
      <c r="J115" s="69">
        <f t="shared" si="2"/>
        <v>0</v>
      </c>
      <c r="K115" s="207">
        <f>+I115+DICIEMBRE!K115</f>
        <v>14</v>
      </c>
      <c r="L115" s="94">
        <f t="shared" si="3"/>
        <v>1</v>
      </c>
      <c r="N115"/>
      <c r="O115" s="8"/>
      <c r="P115"/>
      <c r="Q115" s="8"/>
    </row>
    <row r="116" spans="2:17" x14ac:dyDescent="0.25">
      <c r="B116" s="156">
        <v>3</v>
      </c>
      <c r="C116" s="157" t="s">
        <v>98</v>
      </c>
      <c r="D116" s="158" t="s">
        <v>99</v>
      </c>
      <c r="E116" s="282"/>
      <c r="F116" s="186" t="s">
        <v>172</v>
      </c>
      <c r="G116" s="186" t="s">
        <v>172</v>
      </c>
      <c r="H116" s="207">
        <v>28</v>
      </c>
      <c r="I116" s="194">
        <v>0</v>
      </c>
      <c r="J116" s="69">
        <f t="shared" si="2"/>
        <v>0</v>
      </c>
      <c r="K116" s="194">
        <f>+I116+DICIEMBRE!K116</f>
        <v>28</v>
      </c>
      <c r="L116" s="94">
        <f t="shared" si="3"/>
        <v>1</v>
      </c>
      <c r="N116"/>
      <c r="O116" s="8"/>
      <c r="P116"/>
      <c r="Q116" s="8"/>
    </row>
    <row r="117" spans="2:17" x14ac:dyDescent="0.25">
      <c r="B117" s="156">
        <v>3</v>
      </c>
      <c r="C117" s="157" t="s">
        <v>49</v>
      </c>
      <c r="D117" s="158" t="s">
        <v>50</v>
      </c>
      <c r="E117" s="282"/>
      <c r="F117" s="186" t="s">
        <v>172</v>
      </c>
      <c r="G117" s="186" t="s">
        <v>172</v>
      </c>
      <c r="H117" s="207">
        <v>16</v>
      </c>
      <c r="I117" s="207">
        <v>0</v>
      </c>
      <c r="J117" s="69">
        <f t="shared" si="2"/>
        <v>0</v>
      </c>
      <c r="K117" s="207">
        <f>+I117+DICIEMBRE!K117</f>
        <v>16</v>
      </c>
      <c r="L117" s="94">
        <f t="shared" si="3"/>
        <v>1</v>
      </c>
      <c r="N117"/>
      <c r="O117" s="8"/>
      <c r="P117"/>
      <c r="Q117" s="8"/>
    </row>
    <row r="118" spans="2:17" x14ac:dyDescent="0.25">
      <c r="B118" s="156">
        <v>3</v>
      </c>
      <c r="C118" s="157" t="s">
        <v>52</v>
      </c>
      <c r="D118" s="158" t="s">
        <v>53</v>
      </c>
      <c r="E118" s="282"/>
      <c r="F118" s="186" t="s">
        <v>172</v>
      </c>
      <c r="G118" s="186" t="s">
        <v>172</v>
      </c>
      <c r="H118" s="207">
        <v>16</v>
      </c>
      <c r="I118" s="207">
        <v>0</v>
      </c>
      <c r="J118" s="69">
        <f t="shared" si="2"/>
        <v>0</v>
      </c>
      <c r="K118" s="207">
        <f>+I118+DICIEMBRE!K118</f>
        <v>16</v>
      </c>
      <c r="L118" s="94">
        <f t="shared" si="3"/>
        <v>1</v>
      </c>
      <c r="N118"/>
      <c r="O118" s="8"/>
      <c r="P118"/>
      <c r="Q118" s="8"/>
    </row>
    <row r="119" spans="2:17" s="16" customFormat="1" x14ac:dyDescent="0.25">
      <c r="B119" s="156">
        <v>3</v>
      </c>
      <c r="C119" s="157" t="s">
        <v>55</v>
      </c>
      <c r="D119" s="158" t="s">
        <v>56</v>
      </c>
      <c r="E119" s="282"/>
      <c r="F119" s="186" t="s">
        <v>172</v>
      </c>
      <c r="G119" s="186" t="s">
        <v>172</v>
      </c>
      <c r="H119" s="207">
        <v>12</v>
      </c>
      <c r="I119" s="207">
        <v>0</v>
      </c>
      <c r="J119" s="69">
        <f t="shared" si="2"/>
        <v>0</v>
      </c>
      <c r="K119" s="207">
        <f>+I119+DICIEMBRE!K119</f>
        <v>12</v>
      </c>
      <c r="L119" s="94">
        <f t="shared" si="3"/>
        <v>1</v>
      </c>
      <c r="N119" s="41"/>
      <c r="P119" s="41"/>
    </row>
    <row r="120" spans="2:17" x14ac:dyDescent="0.25">
      <c r="B120" s="156">
        <v>5</v>
      </c>
      <c r="C120" s="157" t="s">
        <v>57</v>
      </c>
      <c r="D120" s="158" t="s">
        <v>58</v>
      </c>
      <c r="E120" s="282"/>
      <c r="F120" s="186" t="s">
        <v>172</v>
      </c>
      <c r="G120" s="186" t="s">
        <v>172</v>
      </c>
      <c r="H120" s="207">
        <v>24</v>
      </c>
      <c r="I120" s="207">
        <v>0</v>
      </c>
      <c r="J120" s="69">
        <f t="shared" si="2"/>
        <v>0</v>
      </c>
      <c r="K120" s="207">
        <f>+I120+DICIEMBRE!K120</f>
        <v>24</v>
      </c>
      <c r="L120" s="94">
        <f t="shared" si="3"/>
        <v>1</v>
      </c>
      <c r="N120"/>
      <c r="O120" s="8"/>
      <c r="P120"/>
      <c r="Q120" s="8"/>
    </row>
    <row r="121" spans="2:17" x14ac:dyDescent="0.25">
      <c r="B121" s="156">
        <v>5</v>
      </c>
      <c r="C121" s="157" t="s">
        <v>59</v>
      </c>
      <c r="D121" s="158" t="s">
        <v>60</v>
      </c>
      <c r="E121" s="282"/>
      <c r="F121" s="186" t="s">
        <v>172</v>
      </c>
      <c r="G121" s="186" t="s">
        <v>172</v>
      </c>
      <c r="H121" s="207">
        <v>26</v>
      </c>
      <c r="I121" s="207">
        <v>0</v>
      </c>
      <c r="J121" s="69">
        <f t="shared" si="2"/>
        <v>0</v>
      </c>
      <c r="K121" s="207">
        <f>+I121+DICIEMBRE!K121</f>
        <v>26</v>
      </c>
      <c r="L121" s="94">
        <f t="shared" si="3"/>
        <v>1</v>
      </c>
      <c r="N121"/>
      <c r="O121" s="8"/>
      <c r="P121"/>
      <c r="Q121" s="8"/>
    </row>
    <row r="122" spans="2:17" x14ac:dyDescent="0.25">
      <c r="B122" s="159">
        <v>8</v>
      </c>
      <c r="C122" s="160" t="s">
        <v>61</v>
      </c>
      <c r="D122" s="161" t="s">
        <v>62</v>
      </c>
      <c r="E122" s="283"/>
      <c r="F122" s="189" t="s">
        <v>172</v>
      </c>
      <c r="G122" s="189" t="s">
        <v>172</v>
      </c>
      <c r="H122" s="208">
        <v>24</v>
      </c>
      <c r="I122" s="208">
        <v>0</v>
      </c>
      <c r="J122" s="72">
        <f t="shared" si="2"/>
        <v>0</v>
      </c>
      <c r="K122" s="208">
        <f>+I122+DICIEMBRE!K122</f>
        <v>24</v>
      </c>
      <c r="L122" s="96">
        <f t="shared" si="3"/>
        <v>1</v>
      </c>
      <c r="N122"/>
      <c r="O122" s="8"/>
      <c r="P122"/>
      <c r="Q122" s="8"/>
    </row>
    <row r="123" spans="2:17" x14ac:dyDescent="0.25">
      <c r="B123" s="153">
        <v>1</v>
      </c>
      <c r="C123" s="154" t="s">
        <v>74</v>
      </c>
      <c r="D123" s="155" t="s">
        <v>75</v>
      </c>
      <c r="E123" s="281" t="s">
        <v>143</v>
      </c>
      <c r="F123" s="180" t="s">
        <v>172</v>
      </c>
      <c r="G123" s="180" t="s">
        <v>172</v>
      </c>
      <c r="H123" s="191">
        <v>14</v>
      </c>
      <c r="I123" s="191">
        <v>0</v>
      </c>
      <c r="J123" s="69">
        <f t="shared" si="2"/>
        <v>0</v>
      </c>
      <c r="K123" s="191">
        <f>+I123+DICIEMBRE!K123</f>
        <v>14</v>
      </c>
      <c r="L123" s="94">
        <f t="shared" si="3"/>
        <v>1</v>
      </c>
      <c r="N123"/>
      <c r="O123" s="8"/>
      <c r="P123"/>
      <c r="Q123" s="8"/>
    </row>
    <row r="124" spans="2:17" x14ac:dyDescent="0.25">
      <c r="B124" s="156">
        <v>1</v>
      </c>
      <c r="C124" s="157" t="s">
        <v>77</v>
      </c>
      <c r="D124" s="158" t="s">
        <v>78</v>
      </c>
      <c r="E124" s="282"/>
      <c r="F124" s="186" t="s">
        <v>172</v>
      </c>
      <c r="G124" s="186" t="s">
        <v>172</v>
      </c>
      <c r="H124" s="193">
        <v>14</v>
      </c>
      <c r="I124" s="207">
        <v>0</v>
      </c>
      <c r="J124" s="69">
        <f t="shared" si="2"/>
        <v>0</v>
      </c>
      <c r="K124" s="207">
        <f>+I124+DICIEMBRE!K124</f>
        <v>14</v>
      </c>
      <c r="L124" s="94">
        <f t="shared" si="3"/>
        <v>1</v>
      </c>
      <c r="N124"/>
      <c r="O124" s="8"/>
      <c r="P124"/>
      <c r="Q124" s="8"/>
    </row>
    <row r="125" spans="2:17" x14ac:dyDescent="0.25">
      <c r="B125" s="156">
        <v>1</v>
      </c>
      <c r="C125" s="157" t="s">
        <v>79</v>
      </c>
      <c r="D125" s="158" t="s">
        <v>80</v>
      </c>
      <c r="E125" s="282"/>
      <c r="F125" s="186" t="s">
        <v>172</v>
      </c>
      <c r="G125" s="186" t="s">
        <v>172</v>
      </c>
      <c r="H125" s="207">
        <v>16</v>
      </c>
      <c r="I125" s="194">
        <v>0</v>
      </c>
      <c r="J125" s="69">
        <f t="shared" si="2"/>
        <v>0</v>
      </c>
      <c r="K125" s="194">
        <f>+I125+DICIEMBRE!K125</f>
        <v>16</v>
      </c>
      <c r="L125" s="94">
        <f t="shared" si="3"/>
        <v>1</v>
      </c>
      <c r="N125"/>
      <c r="O125" s="8"/>
      <c r="P125"/>
      <c r="Q125" s="8"/>
    </row>
    <row r="126" spans="2:17" x14ac:dyDescent="0.25">
      <c r="B126" s="156">
        <v>1</v>
      </c>
      <c r="C126" s="157" t="s">
        <v>82</v>
      </c>
      <c r="D126" s="158" t="s">
        <v>83</v>
      </c>
      <c r="E126" s="282"/>
      <c r="F126" s="186" t="s">
        <v>172</v>
      </c>
      <c r="G126" s="186" t="s">
        <v>172</v>
      </c>
      <c r="H126" s="207">
        <v>18</v>
      </c>
      <c r="I126" s="207">
        <v>0</v>
      </c>
      <c r="J126" s="69">
        <f t="shared" si="2"/>
        <v>0</v>
      </c>
      <c r="K126" s="207">
        <f>+I126+DICIEMBRE!K126</f>
        <v>18</v>
      </c>
      <c r="L126" s="94">
        <f t="shared" si="3"/>
        <v>1</v>
      </c>
      <c r="N126"/>
      <c r="O126" s="8"/>
      <c r="P126"/>
      <c r="Q126" s="8"/>
    </row>
    <row r="127" spans="2:17" x14ac:dyDescent="0.25">
      <c r="B127" s="156">
        <v>1</v>
      </c>
      <c r="C127" s="157" t="s">
        <v>84</v>
      </c>
      <c r="D127" s="158" t="s">
        <v>85</v>
      </c>
      <c r="E127" s="282"/>
      <c r="F127" s="186" t="s">
        <v>172</v>
      </c>
      <c r="G127" s="186" t="s">
        <v>172</v>
      </c>
      <c r="H127" s="207">
        <v>24</v>
      </c>
      <c r="I127" s="207">
        <v>0</v>
      </c>
      <c r="J127" s="69">
        <f t="shared" si="2"/>
        <v>0</v>
      </c>
      <c r="K127" s="207">
        <f>+I127+DICIEMBRE!K127</f>
        <v>24</v>
      </c>
      <c r="L127" s="94">
        <f t="shared" si="3"/>
        <v>1</v>
      </c>
      <c r="N127"/>
      <c r="O127" s="8"/>
      <c r="P127"/>
      <c r="Q127" s="8"/>
    </row>
    <row r="128" spans="2:17" x14ac:dyDescent="0.25">
      <c r="B128" s="156">
        <v>1</v>
      </c>
      <c r="C128" s="157" t="s">
        <v>86</v>
      </c>
      <c r="D128" s="158" t="s">
        <v>87</v>
      </c>
      <c r="E128" s="282"/>
      <c r="F128" s="186" t="s">
        <v>172</v>
      </c>
      <c r="G128" s="186" t="s">
        <v>172</v>
      </c>
      <c r="H128" s="207">
        <v>16</v>
      </c>
      <c r="I128" s="207">
        <v>0</v>
      </c>
      <c r="J128" s="69">
        <f t="shared" si="2"/>
        <v>0</v>
      </c>
      <c r="K128" s="207">
        <f>+I128+DICIEMBRE!K128</f>
        <v>16</v>
      </c>
      <c r="L128" s="94">
        <f t="shared" si="3"/>
        <v>1</v>
      </c>
      <c r="N128"/>
      <c r="O128" s="8"/>
      <c r="P128"/>
      <c r="Q128" s="8"/>
    </row>
    <row r="129" spans="2:17" x14ac:dyDescent="0.25">
      <c r="B129" s="156">
        <v>1</v>
      </c>
      <c r="C129" s="157" t="s">
        <v>89</v>
      </c>
      <c r="D129" s="158" t="s">
        <v>90</v>
      </c>
      <c r="E129" s="282"/>
      <c r="F129" s="186" t="s">
        <v>172</v>
      </c>
      <c r="G129" s="186" t="s">
        <v>172</v>
      </c>
      <c r="H129" s="207">
        <v>18</v>
      </c>
      <c r="I129" s="207">
        <v>0</v>
      </c>
      <c r="J129" s="69">
        <f t="shared" si="2"/>
        <v>0</v>
      </c>
      <c r="K129" s="207">
        <f>+I129+DICIEMBRE!K129</f>
        <v>18</v>
      </c>
      <c r="L129" s="94">
        <f t="shared" si="3"/>
        <v>1</v>
      </c>
      <c r="N129"/>
      <c r="O129" s="8"/>
      <c r="P129"/>
      <c r="Q129" s="8"/>
    </row>
    <row r="130" spans="2:17" s="16" customFormat="1" x14ac:dyDescent="0.25">
      <c r="B130" s="156">
        <v>1</v>
      </c>
      <c r="C130" s="157" t="s">
        <v>92</v>
      </c>
      <c r="D130" s="158" t="s">
        <v>93</v>
      </c>
      <c r="E130" s="282"/>
      <c r="F130" s="186" t="s">
        <v>172</v>
      </c>
      <c r="G130" s="186" t="s">
        <v>172</v>
      </c>
      <c r="H130" s="207">
        <v>16</v>
      </c>
      <c r="I130" s="207">
        <v>0</v>
      </c>
      <c r="J130" s="69">
        <f t="shared" si="2"/>
        <v>0</v>
      </c>
      <c r="K130" s="207">
        <f>+I130+DICIEMBRE!K130</f>
        <v>16</v>
      </c>
      <c r="L130" s="94">
        <f t="shared" si="3"/>
        <v>1</v>
      </c>
      <c r="N130" s="41"/>
      <c r="P130" s="41"/>
    </row>
    <row r="131" spans="2:17" x14ac:dyDescent="0.25">
      <c r="B131" s="156">
        <v>1</v>
      </c>
      <c r="C131" s="157" t="s">
        <v>95</v>
      </c>
      <c r="D131" s="158" t="s">
        <v>96</v>
      </c>
      <c r="E131" s="282"/>
      <c r="F131" s="186" t="s">
        <v>172</v>
      </c>
      <c r="G131" s="186" t="s">
        <v>172</v>
      </c>
      <c r="H131" s="193">
        <v>10</v>
      </c>
      <c r="I131" s="207">
        <v>0</v>
      </c>
      <c r="J131" s="69">
        <f t="shared" si="2"/>
        <v>0</v>
      </c>
      <c r="K131" s="207">
        <f>+I131+DICIEMBRE!K131</f>
        <v>10</v>
      </c>
      <c r="L131" s="94">
        <f t="shared" si="3"/>
        <v>1</v>
      </c>
      <c r="N131"/>
      <c r="O131" s="8"/>
      <c r="P131"/>
      <c r="Q131" s="8"/>
    </row>
    <row r="132" spans="2:17" x14ac:dyDescent="0.25">
      <c r="B132" s="156">
        <v>2</v>
      </c>
      <c r="C132" s="157" t="s">
        <v>140</v>
      </c>
      <c r="D132" s="158" t="s">
        <v>141</v>
      </c>
      <c r="E132" s="282"/>
      <c r="F132" s="186" t="s">
        <v>172</v>
      </c>
      <c r="G132" s="186" t="s">
        <v>172</v>
      </c>
      <c r="H132" s="207">
        <v>14</v>
      </c>
      <c r="I132" s="207">
        <v>0</v>
      </c>
      <c r="J132" s="69">
        <f t="shared" si="2"/>
        <v>0</v>
      </c>
      <c r="K132" s="207">
        <f>+I132+DICIEMBRE!K132</f>
        <v>14</v>
      </c>
      <c r="L132" s="94">
        <f t="shared" si="3"/>
        <v>1</v>
      </c>
      <c r="N132"/>
      <c r="O132" s="8"/>
      <c r="P132"/>
      <c r="Q132" s="8"/>
    </row>
    <row r="133" spans="2:17" x14ac:dyDescent="0.25">
      <c r="B133" s="159">
        <v>2</v>
      </c>
      <c r="C133" s="160" t="s">
        <v>57</v>
      </c>
      <c r="D133" s="161" t="s">
        <v>58</v>
      </c>
      <c r="E133" s="283"/>
      <c r="F133" s="189" t="s">
        <v>172</v>
      </c>
      <c r="G133" s="189" t="s">
        <v>172</v>
      </c>
      <c r="H133" s="208">
        <v>20</v>
      </c>
      <c r="I133" s="208">
        <v>0</v>
      </c>
      <c r="J133" s="72">
        <f t="shared" si="2"/>
        <v>0</v>
      </c>
      <c r="K133" s="208">
        <f>+I133+DICIEMBRE!K133</f>
        <v>20</v>
      </c>
      <c r="L133" s="96">
        <f t="shared" si="3"/>
        <v>1</v>
      </c>
      <c r="N133"/>
      <c r="O133" s="8"/>
      <c r="P133"/>
      <c r="Q133" s="8"/>
    </row>
    <row r="134" spans="2:17" x14ac:dyDescent="0.25">
      <c r="B134" s="153">
        <v>1</v>
      </c>
      <c r="C134" s="154" t="s">
        <v>144</v>
      </c>
      <c r="D134" s="155" t="s">
        <v>145</v>
      </c>
      <c r="E134" s="281" t="s">
        <v>205</v>
      </c>
      <c r="F134" s="180" t="s">
        <v>172</v>
      </c>
      <c r="G134" s="180" t="s">
        <v>172</v>
      </c>
      <c r="H134" s="191">
        <v>20</v>
      </c>
      <c r="I134" s="191">
        <v>0</v>
      </c>
      <c r="J134" s="69">
        <f t="shared" si="2"/>
        <v>0</v>
      </c>
      <c r="K134" s="191">
        <f>+I134+DICIEMBRE!K134</f>
        <v>20</v>
      </c>
      <c r="L134" s="94">
        <f t="shared" si="3"/>
        <v>1</v>
      </c>
      <c r="N134"/>
      <c r="O134" s="8"/>
      <c r="P134"/>
      <c r="Q134" s="8"/>
    </row>
    <row r="135" spans="2:17" x14ac:dyDescent="0.25">
      <c r="B135" s="156">
        <v>1</v>
      </c>
      <c r="C135" s="157" t="s">
        <v>74</v>
      </c>
      <c r="D135" s="158" t="s">
        <v>75</v>
      </c>
      <c r="E135" s="282"/>
      <c r="F135" s="186" t="s">
        <v>172</v>
      </c>
      <c r="G135" s="186" t="s">
        <v>172</v>
      </c>
      <c r="H135" s="193">
        <v>20</v>
      </c>
      <c r="I135" s="207">
        <v>0</v>
      </c>
      <c r="J135" s="69">
        <f t="shared" si="2"/>
        <v>0</v>
      </c>
      <c r="K135" s="207">
        <f>+I135+DICIEMBRE!K135</f>
        <v>20</v>
      </c>
      <c r="L135" s="94">
        <f t="shared" si="3"/>
        <v>1</v>
      </c>
      <c r="N135"/>
      <c r="O135" s="8"/>
      <c r="P135"/>
      <c r="Q135" s="8"/>
    </row>
    <row r="136" spans="2:17" x14ac:dyDescent="0.25">
      <c r="B136" s="156">
        <v>1</v>
      </c>
      <c r="C136" s="157" t="s">
        <v>77</v>
      </c>
      <c r="D136" s="158" t="s">
        <v>78</v>
      </c>
      <c r="E136" s="282"/>
      <c r="F136" s="183" t="s">
        <v>172</v>
      </c>
      <c r="G136" s="183" t="s">
        <v>172</v>
      </c>
      <c r="H136" s="207">
        <v>20</v>
      </c>
      <c r="I136" s="194">
        <v>0</v>
      </c>
      <c r="J136" s="69">
        <f t="shared" si="2"/>
        <v>0</v>
      </c>
      <c r="K136" s="194">
        <f>+I136+DICIEMBRE!K136</f>
        <v>20</v>
      </c>
      <c r="L136" s="94">
        <f t="shared" si="3"/>
        <v>1</v>
      </c>
      <c r="N136"/>
      <c r="O136" s="8"/>
      <c r="P136"/>
      <c r="Q136" s="8"/>
    </row>
    <row r="137" spans="2:17" x14ac:dyDescent="0.25">
      <c r="B137" s="156">
        <v>1</v>
      </c>
      <c r="C137" s="157" t="s">
        <v>79</v>
      </c>
      <c r="D137" s="158" t="s">
        <v>80</v>
      </c>
      <c r="E137" s="282"/>
      <c r="F137" s="186" t="s">
        <v>172</v>
      </c>
      <c r="G137" s="186" t="s">
        <v>172</v>
      </c>
      <c r="H137" s="207">
        <v>20</v>
      </c>
      <c r="I137" s="207">
        <v>0</v>
      </c>
      <c r="J137" s="69">
        <f t="shared" si="2"/>
        <v>0</v>
      </c>
      <c r="K137" s="207">
        <f>+I137+DICIEMBRE!K137</f>
        <v>20</v>
      </c>
      <c r="L137" s="94">
        <f t="shared" si="3"/>
        <v>1</v>
      </c>
      <c r="N137"/>
      <c r="O137" s="8"/>
      <c r="P137"/>
      <c r="Q137" s="8"/>
    </row>
    <row r="138" spans="2:17" x14ac:dyDescent="0.25">
      <c r="B138" s="156">
        <v>1</v>
      </c>
      <c r="C138" s="157" t="s">
        <v>82</v>
      </c>
      <c r="D138" s="158" t="s">
        <v>83</v>
      </c>
      <c r="E138" s="282"/>
      <c r="F138" s="186" t="s">
        <v>172</v>
      </c>
      <c r="G138" s="186" t="s">
        <v>172</v>
      </c>
      <c r="H138" s="207">
        <v>2</v>
      </c>
      <c r="I138" s="207">
        <v>0</v>
      </c>
      <c r="J138" s="69">
        <f t="shared" si="2"/>
        <v>0</v>
      </c>
      <c r="K138" s="207">
        <f>+I138+DICIEMBRE!K138</f>
        <v>2</v>
      </c>
      <c r="L138" s="94">
        <f t="shared" si="3"/>
        <v>1</v>
      </c>
      <c r="N138"/>
      <c r="O138" s="8"/>
      <c r="P138"/>
      <c r="Q138" s="8"/>
    </row>
    <row r="139" spans="2:17" x14ac:dyDescent="0.25">
      <c r="B139" s="156">
        <v>1</v>
      </c>
      <c r="C139" s="157" t="s">
        <v>84</v>
      </c>
      <c r="D139" s="158" t="s">
        <v>85</v>
      </c>
      <c r="E139" s="282"/>
      <c r="F139" s="186" t="s">
        <v>172</v>
      </c>
      <c r="G139" s="186" t="s">
        <v>172</v>
      </c>
      <c r="H139" s="207">
        <v>40</v>
      </c>
      <c r="I139" s="207">
        <v>0</v>
      </c>
      <c r="J139" s="69">
        <f t="shared" si="2"/>
        <v>0</v>
      </c>
      <c r="K139" s="207">
        <f>+I139+DICIEMBRE!K139</f>
        <v>40</v>
      </c>
      <c r="L139" s="94">
        <f t="shared" si="3"/>
        <v>1</v>
      </c>
      <c r="N139"/>
      <c r="O139" s="8"/>
      <c r="P139"/>
      <c r="Q139" s="8"/>
    </row>
    <row r="140" spans="2:17" x14ac:dyDescent="0.25">
      <c r="B140" s="156">
        <v>1</v>
      </c>
      <c r="C140" s="157" t="s">
        <v>86</v>
      </c>
      <c r="D140" s="158" t="s">
        <v>87</v>
      </c>
      <c r="E140" s="282"/>
      <c r="F140" s="186" t="s">
        <v>172</v>
      </c>
      <c r="G140" s="186" t="s">
        <v>172</v>
      </c>
      <c r="H140" s="207">
        <v>2</v>
      </c>
      <c r="I140" s="207">
        <v>0</v>
      </c>
      <c r="J140" s="69">
        <f t="shared" si="2"/>
        <v>0</v>
      </c>
      <c r="K140" s="207">
        <f>+I140+DICIEMBRE!K140</f>
        <v>2</v>
      </c>
      <c r="L140" s="94">
        <f t="shared" si="3"/>
        <v>1</v>
      </c>
      <c r="N140"/>
      <c r="O140" s="8"/>
      <c r="P140"/>
      <c r="Q140" s="8"/>
    </row>
    <row r="141" spans="2:17" x14ac:dyDescent="0.25">
      <c r="B141" s="156">
        <v>1</v>
      </c>
      <c r="C141" s="157" t="s">
        <v>89</v>
      </c>
      <c r="D141" s="158" t="s">
        <v>90</v>
      </c>
      <c r="E141" s="282"/>
      <c r="F141" s="186" t="s">
        <v>172</v>
      </c>
      <c r="G141" s="186" t="s">
        <v>172</v>
      </c>
      <c r="H141" s="207">
        <v>8</v>
      </c>
      <c r="I141" s="207">
        <v>0</v>
      </c>
      <c r="J141" s="69">
        <f t="shared" si="2"/>
        <v>0</v>
      </c>
      <c r="K141" s="207">
        <f>+I141+DICIEMBRE!K141</f>
        <v>8</v>
      </c>
      <c r="L141" s="94">
        <f t="shared" si="3"/>
        <v>1</v>
      </c>
      <c r="N141"/>
      <c r="O141" s="8"/>
      <c r="P141"/>
      <c r="Q141" s="8"/>
    </row>
    <row r="142" spans="2:17" s="16" customFormat="1" x14ac:dyDescent="0.25">
      <c r="B142" s="156">
        <v>1</v>
      </c>
      <c r="C142" s="157" t="s">
        <v>92</v>
      </c>
      <c r="D142" s="158" t="s">
        <v>93</v>
      </c>
      <c r="E142" s="282"/>
      <c r="F142" s="186" t="s">
        <v>172</v>
      </c>
      <c r="G142" s="186" t="s">
        <v>172</v>
      </c>
      <c r="H142" s="193">
        <v>15</v>
      </c>
      <c r="I142" s="207">
        <v>0</v>
      </c>
      <c r="J142" s="69">
        <f t="shared" si="2"/>
        <v>0</v>
      </c>
      <c r="K142" s="207">
        <f>+I142+DICIEMBRE!K142</f>
        <v>15</v>
      </c>
      <c r="L142" s="94">
        <f t="shared" si="3"/>
        <v>1</v>
      </c>
      <c r="N142" s="41"/>
      <c r="P142" s="41"/>
    </row>
    <row r="143" spans="2:17" x14ac:dyDescent="0.25">
      <c r="B143" s="156">
        <v>1</v>
      </c>
      <c r="C143" s="157" t="s">
        <v>146</v>
      </c>
      <c r="D143" s="158" t="s">
        <v>147</v>
      </c>
      <c r="E143" s="282"/>
      <c r="F143" s="186" t="s">
        <v>172</v>
      </c>
      <c r="G143" s="186" t="s">
        <v>172</v>
      </c>
      <c r="H143" s="207">
        <v>5</v>
      </c>
      <c r="I143" s="207">
        <v>0</v>
      </c>
      <c r="J143" s="69">
        <f t="shared" ref="J143:J206" si="4">IFERROR(I143/H143,0)</f>
        <v>0</v>
      </c>
      <c r="K143" s="207">
        <f>+I143+DICIEMBRE!K143</f>
        <v>5</v>
      </c>
      <c r="L143" s="94">
        <f t="shared" ref="L143:L206" si="5">IFERROR(K143/H143,0)</f>
        <v>1</v>
      </c>
      <c r="N143"/>
      <c r="O143" s="8"/>
      <c r="P143"/>
      <c r="Q143" s="8"/>
    </row>
    <row r="144" spans="2:17" x14ac:dyDescent="0.25">
      <c r="B144" s="156">
        <v>1</v>
      </c>
      <c r="C144" s="157" t="s">
        <v>95</v>
      </c>
      <c r="D144" s="158" t="s">
        <v>96</v>
      </c>
      <c r="E144" s="282"/>
      <c r="F144" s="183" t="s">
        <v>172</v>
      </c>
      <c r="G144" s="183" t="s">
        <v>172</v>
      </c>
      <c r="H144" s="207">
        <v>13</v>
      </c>
      <c r="I144" s="194">
        <v>0</v>
      </c>
      <c r="J144" s="69">
        <f t="shared" si="4"/>
        <v>0</v>
      </c>
      <c r="K144" s="194">
        <f>+I144+DICIEMBRE!K144</f>
        <v>13</v>
      </c>
      <c r="L144" s="94">
        <f t="shared" si="5"/>
        <v>1</v>
      </c>
      <c r="N144"/>
      <c r="O144" s="8"/>
      <c r="P144"/>
      <c r="Q144" s="8"/>
    </row>
    <row r="145" spans="2:17" x14ac:dyDescent="0.25">
      <c r="B145" s="159">
        <v>8</v>
      </c>
      <c r="C145" s="160" t="s">
        <v>148</v>
      </c>
      <c r="D145" s="161" t="s">
        <v>141</v>
      </c>
      <c r="E145" s="283"/>
      <c r="F145" s="189" t="s">
        <v>172</v>
      </c>
      <c r="G145" s="189" t="s">
        <v>172</v>
      </c>
      <c r="H145" s="208">
        <v>15</v>
      </c>
      <c r="I145" s="208">
        <v>0</v>
      </c>
      <c r="J145" s="72">
        <f t="shared" si="4"/>
        <v>0</v>
      </c>
      <c r="K145" s="208">
        <f>+I145+DICIEMBRE!K145</f>
        <v>15</v>
      </c>
      <c r="L145" s="96">
        <f t="shared" si="5"/>
        <v>1</v>
      </c>
      <c r="N145"/>
      <c r="O145" s="8"/>
      <c r="P145"/>
      <c r="Q145" s="8"/>
    </row>
    <row r="146" spans="2:17" x14ac:dyDescent="0.25">
      <c r="B146" s="153">
        <v>3</v>
      </c>
      <c r="C146" s="154" t="s">
        <v>43</v>
      </c>
      <c r="D146" s="155" t="s">
        <v>44</v>
      </c>
      <c r="E146" s="285" t="s">
        <v>239</v>
      </c>
      <c r="F146" s="180" t="s">
        <v>172</v>
      </c>
      <c r="G146" s="180" t="s">
        <v>172</v>
      </c>
      <c r="H146" s="191">
        <v>16</v>
      </c>
      <c r="I146" s="191">
        <v>0</v>
      </c>
      <c r="J146" s="69">
        <f t="shared" si="4"/>
        <v>0</v>
      </c>
      <c r="K146" s="191">
        <f>+I146+DICIEMBRE!K146</f>
        <v>16</v>
      </c>
      <c r="L146" s="94">
        <f t="shared" si="5"/>
        <v>1</v>
      </c>
      <c r="N146"/>
      <c r="O146" s="8"/>
      <c r="P146"/>
      <c r="Q146" s="8"/>
    </row>
    <row r="147" spans="2:17" x14ac:dyDescent="0.25">
      <c r="B147" s="156">
        <v>3</v>
      </c>
      <c r="C147" s="157" t="s">
        <v>149</v>
      </c>
      <c r="D147" s="158" t="s">
        <v>150</v>
      </c>
      <c r="E147" s="286"/>
      <c r="F147" s="183" t="s">
        <v>172</v>
      </c>
      <c r="G147" s="183" t="s">
        <v>172</v>
      </c>
      <c r="H147" s="193">
        <v>17</v>
      </c>
      <c r="I147" s="207">
        <v>0</v>
      </c>
      <c r="J147" s="69">
        <f t="shared" si="4"/>
        <v>0</v>
      </c>
      <c r="K147" s="207">
        <f>+I147+DICIEMBRE!K147</f>
        <v>17</v>
      </c>
      <c r="L147" s="94">
        <f t="shared" si="5"/>
        <v>1</v>
      </c>
      <c r="N147"/>
      <c r="O147" s="8"/>
      <c r="P147"/>
      <c r="Q147" s="8"/>
    </row>
    <row r="148" spans="2:17" x14ac:dyDescent="0.25">
      <c r="B148" s="156">
        <v>3</v>
      </c>
      <c r="C148" s="157" t="s">
        <v>46</v>
      </c>
      <c r="D148" s="158" t="s">
        <v>47</v>
      </c>
      <c r="E148" s="286"/>
      <c r="F148" s="186" t="s">
        <v>172</v>
      </c>
      <c r="G148" s="186" t="s">
        <v>172</v>
      </c>
      <c r="H148" s="207">
        <v>16</v>
      </c>
      <c r="I148" s="194">
        <v>0</v>
      </c>
      <c r="J148" s="69">
        <f t="shared" si="4"/>
        <v>0</v>
      </c>
      <c r="K148" s="194">
        <f>+I148+DICIEMBRE!K148</f>
        <v>16</v>
      </c>
      <c r="L148" s="94">
        <f t="shared" si="5"/>
        <v>1</v>
      </c>
      <c r="N148"/>
      <c r="O148" s="8"/>
      <c r="P148"/>
      <c r="Q148" s="8"/>
    </row>
    <row r="149" spans="2:17" x14ac:dyDescent="0.25">
      <c r="B149" s="156">
        <v>3</v>
      </c>
      <c r="C149" s="157" t="s">
        <v>98</v>
      </c>
      <c r="D149" s="158" t="s">
        <v>99</v>
      </c>
      <c r="E149" s="286"/>
      <c r="F149" s="186" t="s">
        <v>172</v>
      </c>
      <c r="G149" s="186" t="s">
        <v>172</v>
      </c>
      <c r="H149" s="207">
        <v>17</v>
      </c>
      <c r="I149" s="207">
        <v>0</v>
      </c>
      <c r="J149" s="69">
        <f t="shared" si="4"/>
        <v>0</v>
      </c>
      <c r="K149" s="207">
        <f>+I149+DICIEMBRE!K149</f>
        <v>17</v>
      </c>
      <c r="L149" s="94">
        <f t="shared" si="5"/>
        <v>1</v>
      </c>
      <c r="N149"/>
      <c r="O149" s="8"/>
      <c r="P149"/>
      <c r="Q149" s="8"/>
    </row>
    <row r="150" spans="2:17" x14ac:dyDescent="0.25">
      <c r="B150" s="156">
        <v>3</v>
      </c>
      <c r="C150" s="157" t="s">
        <v>49</v>
      </c>
      <c r="D150" s="158" t="s">
        <v>50</v>
      </c>
      <c r="E150" s="286"/>
      <c r="F150" s="186" t="s">
        <v>172</v>
      </c>
      <c r="G150" s="186" t="s">
        <v>172</v>
      </c>
      <c r="H150" s="207">
        <v>16</v>
      </c>
      <c r="I150" s="207">
        <v>0</v>
      </c>
      <c r="J150" s="69">
        <f t="shared" si="4"/>
        <v>0</v>
      </c>
      <c r="K150" s="207">
        <f>+I150+DICIEMBRE!K150</f>
        <v>16</v>
      </c>
      <c r="L150" s="94">
        <f t="shared" si="5"/>
        <v>1</v>
      </c>
      <c r="N150"/>
      <c r="O150" s="8"/>
      <c r="P150"/>
      <c r="Q150" s="8"/>
    </row>
    <row r="151" spans="2:17" x14ac:dyDescent="0.25">
      <c r="B151" s="156">
        <v>3</v>
      </c>
      <c r="C151" s="157" t="s">
        <v>52</v>
      </c>
      <c r="D151" s="158" t="s">
        <v>53</v>
      </c>
      <c r="E151" s="286"/>
      <c r="F151" s="186" t="s">
        <v>172</v>
      </c>
      <c r="G151" s="186" t="s">
        <v>172</v>
      </c>
      <c r="H151" s="207">
        <v>17</v>
      </c>
      <c r="I151" s="207">
        <v>0</v>
      </c>
      <c r="J151" s="69">
        <f t="shared" si="4"/>
        <v>0</v>
      </c>
      <c r="K151" s="207">
        <f>+I151+DICIEMBRE!K151</f>
        <v>17</v>
      </c>
      <c r="L151" s="94">
        <f t="shared" si="5"/>
        <v>1</v>
      </c>
      <c r="N151"/>
      <c r="O151" s="8"/>
      <c r="P151"/>
      <c r="Q151" s="8"/>
    </row>
    <row r="152" spans="2:17" x14ac:dyDescent="0.25">
      <c r="B152" s="156">
        <v>3</v>
      </c>
      <c r="C152" s="157" t="s">
        <v>55</v>
      </c>
      <c r="D152" s="158" t="s">
        <v>56</v>
      </c>
      <c r="E152" s="286"/>
      <c r="F152" s="186" t="s">
        <v>172</v>
      </c>
      <c r="G152" s="186" t="s">
        <v>172</v>
      </c>
      <c r="H152" s="207">
        <v>16</v>
      </c>
      <c r="I152" s="207">
        <v>0</v>
      </c>
      <c r="J152" s="69">
        <f t="shared" si="4"/>
        <v>0</v>
      </c>
      <c r="K152" s="207">
        <f>+I152+DICIEMBRE!K152</f>
        <v>16</v>
      </c>
      <c r="L152" s="94">
        <f t="shared" si="5"/>
        <v>1</v>
      </c>
      <c r="N152"/>
      <c r="O152" s="8"/>
      <c r="P152"/>
      <c r="Q152" s="8"/>
    </row>
    <row r="153" spans="2:17" s="16" customFormat="1" x14ac:dyDescent="0.25">
      <c r="B153" s="156">
        <v>5</v>
      </c>
      <c r="C153" s="157" t="s">
        <v>151</v>
      </c>
      <c r="D153" s="158" t="s">
        <v>152</v>
      </c>
      <c r="E153" s="286"/>
      <c r="F153" s="186" t="s">
        <v>172</v>
      </c>
      <c r="G153" s="186" t="s">
        <v>172</v>
      </c>
      <c r="H153" s="207">
        <v>16</v>
      </c>
      <c r="I153" s="207">
        <v>0</v>
      </c>
      <c r="J153" s="69">
        <f t="shared" si="4"/>
        <v>0</v>
      </c>
      <c r="K153" s="207">
        <f>+I153+DICIEMBRE!K153</f>
        <v>16</v>
      </c>
      <c r="L153" s="94">
        <f t="shared" si="5"/>
        <v>1</v>
      </c>
      <c r="N153" s="41"/>
      <c r="P153" s="41"/>
    </row>
    <row r="154" spans="2:17" x14ac:dyDescent="0.25">
      <c r="B154" s="156">
        <v>5</v>
      </c>
      <c r="C154" s="157" t="s">
        <v>57</v>
      </c>
      <c r="D154" s="158" t="s">
        <v>58</v>
      </c>
      <c r="E154" s="286"/>
      <c r="F154" s="186" t="s">
        <v>172</v>
      </c>
      <c r="G154" s="186" t="s">
        <v>172</v>
      </c>
      <c r="H154" s="193">
        <v>16</v>
      </c>
      <c r="I154" s="207">
        <v>0</v>
      </c>
      <c r="J154" s="69">
        <f t="shared" si="4"/>
        <v>0</v>
      </c>
      <c r="K154" s="207">
        <f>+I154+DICIEMBRE!K154</f>
        <v>16</v>
      </c>
      <c r="L154" s="94">
        <f t="shared" si="5"/>
        <v>1</v>
      </c>
      <c r="N154"/>
      <c r="O154" s="8"/>
      <c r="P154"/>
      <c r="Q154" s="8"/>
    </row>
    <row r="155" spans="2:17" x14ac:dyDescent="0.25">
      <c r="B155" s="156">
        <v>5</v>
      </c>
      <c r="C155" s="157" t="s">
        <v>59</v>
      </c>
      <c r="D155" s="158" t="s">
        <v>60</v>
      </c>
      <c r="E155" s="286"/>
      <c r="F155" s="183" t="s">
        <v>172</v>
      </c>
      <c r="G155" s="183" t="s">
        <v>172</v>
      </c>
      <c r="H155" s="207">
        <v>16</v>
      </c>
      <c r="I155" s="207">
        <v>0</v>
      </c>
      <c r="J155" s="69">
        <f t="shared" si="4"/>
        <v>0</v>
      </c>
      <c r="K155" s="207">
        <f>+I155+DICIEMBRE!K155</f>
        <v>16</v>
      </c>
      <c r="L155" s="94">
        <f t="shared" si="5"/>
        <v>1</v>
      </c>
      <c r="N155"/>
      <c r="O155" s="8"/>
      <c r="P155"/>
      <c r="Q155" s="8"/>
    </row>
    <row r="156" spans="2:17" x14ac:dyDescent="0.25">
      <c r="B156" s="159">
        <v>8</v>
      </c>
      <c r="C156" s="160" t="s">
        <v>61</v>
      </c>
      <c r="D156" s="161" t="s">
        <v>62</v>
      </c>
      <c r="E156" s="287"/>
      <c r="F156" s="189" t="s">
        <v>172</v>
      </c>
      <c r="G156" s="189" t="s">
        <v>172</v>
      </c>
      <c r="H156" s="208">
        <v>17</v>
      </c>
      <c r="I156" s="208">
        <v>0</v>
      </c>
      <c r="J156" s="72">
        <f t="shared" si="4"/>
        <v>0</v>
      </c>
      <c r="K156" s="208">
        <f>+I156+DICIEMBRE!K156</f>
        <v>17</v>
      </c>
      <c r="L156" s="96">
        <f t="shared" si="5"/>
        <v>1</v>
      </c>
      <c r="N156"/>
      <c r="O156" s="8"/>
      <c r="P156"/>
      <c r="Q156" s="8"/>
    </row>
    <row r="157" spans="2:17" x14ac:dyDescent="0.25">
      <c r="B157" s="35">
        <v>3</v>
      </c>
      <c r="C157" s="36" t="s">
        <v>43</v>
      </c>
      <c r="D157" s="37" t="s">
        <v>44</v>
      </c>
      <c r="E157" s="218" t="s">
        <v>157</v>
      </c>
      <c r="F157" s="179" t="s">
        <v>1128</v>
      </c>
      <c r="G157" s="180" t="s">
        <v>1129</v>
      </c>
      <c r="H157" s="191">
        <v>36</v>
      </c>
      <c r="I157" s="191">
        <v>3</v>
      </c>
      <c r="J157" s="69">
        <f t="shared" si="4"/>
        <v>8.3333333333333329E-2</v>
      </c>
      <c r="K157" s="191">
        <f>+I157+DICIEMBRE!K157</f>
        <v>30</v>
      </c>
      <c r="L157" s="94">
        <f t="shared" si="5"/>
        <v>0.83333333333333337</v>
      </c>
      <c r="N157"/>
      <c r="O157" s="8"/>
      <c r="P157"/>
      <c r="Q157" s="8"/>
    </row>
    <row r="158" spans="2:17" x14ac:dyDescent="0.25">
      <c r="B158" s="38">
        <v>3</v>
      </c>
      <c r="C158" s="39" t="s">
        <v>153</v>
      </c>
      <c r="D158" s="40" t="s">
        <v>154</v>
      </c>
      <c r="E158" s="219"/>
      <c r="F158" s="182" t="s">
        <v>1130</v>
      </c>
      <c r="G158" s="183" t="s">
        <v>155</v>
      </c>
      <c r="H158" s="207">
        <v>36</v>
      </c>
      <c r="I158" s="207">
        <v>3</v>
      </c>
      <c r="J158" s="69">
        <f t="shared" si="4"/>
        <v>8.3333333333333329E-2</v>
      </c>
      <c r="K158" s="207">
        <f>+I158+DICIEMBRE!K158</f>
        <v>30</v>
      </c>
      <c r="L158" s="94">
        <f t="shared" si="5"/>
        <v>0.83333333333333337</v>
      </c>
      <c r="N158"/>
      <c r="O158" s="8"/>
      <c r="P158"/>
      <c r="Q158" s="8"/>
    </row>
    <row r="159" spans="2:17" x14ac:dyDescent="0.25">
      <c r="B159" s="38">
        <v>3</v>
      </c>
      <c r="C159" s="39" t="s">
        <v>46</v>
      </c>
      <c r="D159" s="40" t="s">
        <v>47</v>
      </c>
      <c r="E159" s="219"/>
      <c r="F159" s="182" t="s">
        <v>1131</v>
      </c>
      <c r="G159" s="186" t="s">
        <v>155</v>
      </c>
      <c r="H159" s="207">
        <v>36</v>
      </c>
      <c r="I159" s="207">
        <v>3</v>
      </c>
      <c r="J159" s="69">
        <f t="shared" si="4"/>
        <v>8.3333333333333329E-2</v>
      </c>
      <c r="K159" s="207">
        <f>+I159+DICIEMBRE!K159</f>
        <v>30</v>
      </c>
      <c r="L159" s="94">
        <f t="shared" si="5"/>
        <v>0.83333333333333337</v>
      </c>
      <c r="N159"/>
      <c r="O159" s="8"/>
      <c r="P159"/>
      <c r="Q159" s="8"/>
    </row>
    <row r="160" spans="2:17" x14ac:dyDescent="0.25">
      <c r="B160" s="38">
        <v>3</v>
      </c>
      <c r="C160" s="39" t="s">
        <v>98</v>
      </c>
      <c r="D160" s="40" t="s">
        <v>99</v>
      </c>
      <c r="E160" s="219"/>
      <c r="F160" s="182" t="s">
        <v>1132</v>
      </c>
      <c r="G160" s="186" t="s">
        <v>1129</v>
      </c>
      <c r="H160" s="207">
        <v>36</v>
      </c>
      <c r="I160" s="207">
        <v>3</v>
      </c>
      <c r="J160" s="69">
        <f t="shared" si="4"/>
        <v>8.3333333333333329E-2</v>
      </c>
      <c r="K160" s="207">
        <f>+I160+DICIEMBRE!K160</f>
        <v>30</v>
      </c>
      <c r="L160" s="94">
        <f t="shared" si="5"/>
        <v>0.83333333333333337</v>
      </c>
      <c r="N160"/>
      <c r="O160" s="8"/>
      <c r="P160"/>
      <c r="Q160" s="8"/>
    </row>
    <row r="161" spans="2:17" s="16" customFormat="1" x14ac:dyDescent="0.25">
      <c r="B161" s="38">
        <v>3</v>
      </c>
      <c r="C161" s="39" t="s">
        <v>49</v>
      </c>
      <c r="D161" s="40" t="s">
        <v>50</v>
      </c>
      <c r="E161" s="219"/>
      <c r="F161" s="182" t="s">
        <v>1133</v>
      </c>
      <c r="G161" s="186" t="s">
        <v>155</v>
      </c>
      <c r="H161" s="207">
        <v>36</v>
      </c>
      <c r="I161" s="207">
        <v>3</v>
      </c>
      <c r="J161" s="69">
        <f t="shared" si="4"/>
        <v>8.3333333333333329E-2</v>
      </c>
      <c r="K161" s="207">
        <f>+I161+DICIEMBRE!K161</f>
        <v>30</v>
      </c>
      <c r="L161" s="94">
        <f t="shared" si="5"/>
        <v>0.83333333333333337</v>
      </c>
      <c r="N161" s="41"/>
      <c r="P161" s="41"/>
    </row>
    <row r="162" spans="2:17" x14ac:dyDescent="0.25">
      <c r="B162" s="38">
        <v>3</v>
      </c>
      <c r="C162" s="39" t="s">
        <v>52</v>
      </c>
      <c r="D162" s="40" t="s">
        <v>53</v>
      </c>
      <c r="E162" s="219"/>
      <c r="F162" s="182" t="s">
        <v>1134</v>
      </c>
      <c r="G162" s="186" t="s">
        <v>167</v>
      </c>
      <c r="H162" s="207">
        <v>36</v>
      </c>
      <c r="I162" s="207">
        <v>3</v>
      </c>
      <c r="J162" s="69">
        <f t="shared" si="4"/>
        <v>8.3333333333333329E-2</v>
      </c>
      <c r="K162" s="207">
        <f>+I162+DICIEMBRE!K162</f>
        <v>30</v>
      </c>
      <c r="L162" s="94">
        <f t="shared" si="5"/>
        <v>0.83333333333333337</v>
      </c>
      <c r="N162"/>
      <c r="O162" s="8"/>
      <c r="P162"/>
      <c r="Q162" s="8"/>
    </row>
    <row r="163" spans="2:17" x14ac:dyDescent="0.25">
      <c r="B163" s="38">
        <v>3</v>
      </c>
      <c r="C163" s="39" t="s">
        <v>55</v>
      </c>
      <c r="D163" s="40" t="s">
        <v>56</v>
      </c>
      <c r="E163" s="219"/>
      <c r="F163" s="182" t="s">
        <v>1135</v>
      </c>
      <c r="G163" s="186" t="s">
        <v>168</v>
      </c>
      <c r="H163" s="207">
        <v>36</v>
      </c>
      <c r="I163" s="207">
        <v>3</v>
      </c>
      <c r="J163" s="69">
        <f t="shared" si="4"/>
        <v>8.3333333333333329E-2</v>
      </c>
      <c r="K163" s="207">
        <f>+I163+DICIEMBRE!K163</f>
        <v>30</v>
      </c>
      <c r="L163" s="94">
        <f t="shared" si="5"/>
        <v>0.83333333333333337</v>
      </c>
      <c r="N163"/>
      <c r="O163" s="8"/>
      <c r="P163"/>
      <c r="Q163" s="8"/>
    </row>
    <row r="164" spans="2:17" x14ac:dyDescent="0.25">
      <c r="B164" s="38">
        <v>5</v>
      </c>
      <c r="C164" s="39" t="s">
        <v>57</v>
      </c>
      <c r="D164" s="40" t="s">
        <v>58</v>
      </c>
      <c r="E164" s="219"/>
      <c r="F164" s="182" t="s">
        <v>1136</v>
      </c>
      <c r="G164" s="186" t="s">
        <v>155</v>
      </c>
      <c r="H164" s="193">
        <v>36</v>
      </c>
      <c r="I164" s="207">
        <v>3</v>
      </c>
      <c r="J164" s="69">
        <f t="shared" si="4"/>
        <v>8.3333333333333329E-2</v>
      </c>
      <c r="K164" s="207">
        <f>+I164+DICIEMBRE!K164</f>
        <v>30</v>
      </c>
      <c r="L164" s="94">
        <f t="shared" si="5"/>
        <v>0.83333333333333337</v>
      </c>
      <c r="N164"/>
      <c r="O164" s="8"/>
      <c r="P164"/>
      <c r="Q164" s="8"/>
    </row>
    <row r="165" spans="2:17" x14ac:dyDescent="0.25">
      <c r="B165" s="38">
        <v>5</v>
      </c>
      <c r="C165" s="39" t="s">
        <v>59</v>
      </c>
      <c r="D165" s="40" t="s">
        <v>60</v>
      </c>
      <c r="E165" s="219"/>
      <c r="F165" s="182" t="s">
        <v>1137</v>
      </c>
      <c r="G165" s="186" t="s">
        <v>1129</v>
      </c>
      <c r="H165" s="207">
        <v>36</v>
      </c>
      <c r="I165" s="207">
        <v>3</v>
      </c>
      <c r="J165" s="69">
        <f t="shared" si="4"/>
        <v>8.3333333333333329E-2</v>
      </c>
      <c r="K165" s="207">
        <f>+I165+DICIEMBRE!K165</f>
        <v>30</v>
      </c>
      <c r="L165" s="94">
        <f t="shared" si="5"/>
        <v>0.83333333333333337</v>
      </c>
      <c r="N165"/>
      <c r="O165" s="8"/>
      <c r="P165"/>
      <c r="Q165" s="8"/>
    </row>
    <row r="166" spans="2:17" x14ac:dyDescent="0.25">
      <c r="B166" s="42">
        <v>8</v>
      </c>
      <c r="C166" s="43" t="s">
        <v>61</v>
      </c>
      <c r="D166" s="44" t="s">
        <v>62</v>
      </c>
      <c r="E166" s="220"/>
      <c r="F166" s="188" t="s">
        <v>1138</v>
      </c>
      <c r="G166" s="205" t="s">
        <v>156</v>
      </c>
      <c r="H166" s="208">
        <v>36</v>
      </c>
      <c r="I166" s="208">
        <v>3</v>
      </c>
      <c r="J166" s="72">
        <f t="shared" si="4"/>
        <v>8.3333333333333329E-2</v>
      </c>
      <c r="K166" s="208">
        <f>+I166+DICIEMBRE!K166</f>
        <v>30</v>
      </c>
      <c r="L166" s="96">
        <f t="shared" si="5"/>
        <v>0.83333333333333337</v>
      </c>
      <c r="N166"/>
      <c r="O166" s="8"/>
      <c r="P166"/>
      <c r="Q166" s="8"/>
    </row>
    <row r="167" spans="2:17" x14ac:dyDescent="0.25">
      <c r="B167" s="35">
        <v>3</v>
      </c>
      <c r="C167" s="36" t="s">
        <v>43</v>
      </c>
      <c r="D167" s="37" t="s">
        <v>44</v>
      </c>
      <c r="E167" s="228" t="s">
        <v>158</v>
      </c>
      <c r="F167" s="179" t="s">
        <v>1422</v>
      </c>
      <c r="G167" s="180" t="s">
        <v>1423</v>
      </c>
      <c r="H167" s="191">
        <v>36</v>
      </c>
      <c r="I167" s="191">
        <v>2</v>
      </c>
      <c r="J167" s="69">
        <f t="shared" si="4"/>
        <v>5.5555555555555552E-2</v>
      </c>
      <c r="K167" s="191">
        <f>+I167+DICIEMBRE!K167</f>
        <v>29</v>
      </c>
      <c r="L167" s="94">
        <f t="shared" si="5"/>
        <v>0.80555555555555558</v>
      </c>
      <c r="N167"/>
      <c r="O167" s="8"/>
      <c r="P167"/>
      <c r="Q167" s="8"/>
    </row>
    <row r="168" spans="2:17" x14ac:dyDescent="0.25">
      <c r="B168" s="38">
        <v>3</v>
      </c>
      <c r="C168" s="39" t="s">
        <v>153</v>
      </c>
      <c r="D168" s="40" t="s">
        <v>154</v>
      </c>
      <c r="E168" s="229"/>
      <c r="F168" s="18"/>
      <c r="G168" s="186"/>
      <c r="H168" s="193">
        <v>36</v>
      </c>
      <c r="I168" s="207">
        <v>0</v>
      </c>
      <c r="J168" s="69">
        <f t="shared" si="4"/>
        <v>0</v>
      </c>
      <c r="K168" s="207">
        <f>+I168+DICIEMBRE!K168</f>
        <v>27</v>
      </c>
      <c r="L168" s="94">
        <f t="shared" si="5"/>
        <v>0.75</v>
      </c>
      <c r="N168"/>
      <c r="O168" s="8"/>
      <c r="P168"/>
      <c r="Q168" s="8"/>
    </row>
    <row r="169" spans="2:17" x14ac:dyDescent="0.25">
      <c r="B169" s="38">
        <v>3</v>
      </c>
      <c r="C169" s="39" t="s">
        <v>46</v>
      </c>
      <c r="D169" s="40" t="s">
        <v>47</v>
      </c>
      <c r="E169" s="229"/>
      <c r="F169" s="182"/>
      <c r="G169" s="183"/>
      <c r="H169" s="207">
        <v>36</v>
      </c>
      <c r="I169" s="194">
        <v>0</v>
      </c>
      <c r="J169" s="69">
        <f t="shared" si="4"/>
        <v>0</v>
      </c>
      <c r="K169" s="194">
        <f>+I169+DICIEMBRE!K169</f>
        <v>27</v>
      </c>
      <c r="L169" s="94">
        <f t="shared" si="5"/>
        <v>0.75</v>
      </c>
      <c r="N169"/>
      <c r="O169" s="8"/>
      <c r="P169"/>
      <c r="Q169" s="8"/>
    </row>
    <row r="170" spans="2:17" x14ac:dyDescent="0.25">
      <c r="B170" s="38">
        <v>3</v>
      </c>
      <c r="C170" s="39" t="s">
        <v>98</v>
      </c>
      <c r="D170" s="40" t="s">
        <v>99</v>
      </c>
      <c r="E170" s="229"/>
      <c r="F170" s="182" t="s">
        <v>814</v>
      </c>
      <c r="G170" s="183" t="s">
        <v>1511</v>
      </c>
      <c r="H170" s="207">
        <v>36</v>
      </c>
      <c r="I170" s="207">
        <v>7</v>
      </c>
      <c r="J170" s="69">
        <f t="shared" si="4"/>
        <v>0.19444444444444445</v>
      </c>
      <c r="K170" s="207">
        <f>+I170+DICIEMBRE!K170</f>
        <v>34</v>
      </c>
      <c r="L170" s="94">
        <f t="shared" si="5"/>
        <v>0.94444444444444442</v>
      </c>
      <c r="N170"/>
      <c r="O170" s="8"/>
      <c r="P170"/>
      <c r="Q170" s="8"/>
    </row>
    <row r="171" spans="2:17" s="16" customFormat="1" x14ac:dyDescent="0.25">
      <c r="B171" s="38">
        <v>3</v>
      </c>
      <c r="C171" s="39" t="s">
        <v>49</v>
      </c>
      <c r="D171" s="40" t="s">
        <v>50</v>
      </c>
      <c r="E171" s="229"/>
      <c r="F171" s="182" t="s">
        <v>567</v>
      </c>
      <c r="G171" s="183" t="s">
        <v>1512</v>
      </c>
      <c r="H171" s="207">
        <v>36</v>
      </c>
      <c r="I171" s="207">
        <v>5</v>
      </c>
      <c r="J171" s="69">
        <f t="shared" si="4"/>
        <v>0.1388888888888889</v>
      </c>
      <c r="K171" s="207">
        <f>+I171+DICIEMBRE!K171</f>
        <v>32</v>
      </c>
      <c r="L171" s="94">
        <f t="shared" si="5"/>
        <v>0.88888888888888884</v>
      </c>
      <c r="N171" s="41"/>
      <c r="P171" s="41"/>
    </row>
    <row r="172" spans="2:17" x14ac:dyDescent="0.25">
      <c r="B172" s="38">
        <v>3</v>
      </c>
      <c r="C172" s="39" t="s">
        <v>52</v>
      </c>
      <c r="D172" s="40" t="s">
        <v>53</v>
      </c>
      <c r="E172" s="229"/>
      <c r="F172" s="182" t="s">
        <v>1514</v>
      </c>
      <c r="G172" s="183" t="s">
        <v>1512</v>
      </c>
      <c r="H172" s="207">
        <v>36</v>
      </c>
      <c r="I172" s="207">
        <v>6</v>
      </c>
      <c r="J172" s="69">
        <f t="shared" si="4"/>
        <v>0.16666666666666666</v>
      </c>
      <c r="K172" s="207">
        <f>+I172+DICIEMBRE!K172</f>
        <v>33</v>
      </c>
      <c r="L172" s="94">
        <f t="shared" si="5"/>
        <v>0.91666666666666663</v>
      </c>
      <c r="N172"/>
      <c r="O172" s="8"/>
      <c r="P172"/>
      <c r="Q172" s="8"/>
    </row>
    <row r="173" spans="2:17" x14ac:dyDescent="0.25">
      <c r="B173" s="38">
        <v>3</v>
      </c>
      <c r="C173" s="39" t="s">
        <v>55</v>
      </c>
      <c r="D173" s="40" t="s">
        <v>56</v>
      </c>
      <c r="E173" s="229"/>
      <c r="F173" s="182" t="s">
        <v>1116</v>
      </c>
      <c r="G173" s="183" t="s">
        <v>1473</v>
      </c>
      <c r="H173" s="207">
        <v>36</v>
      </c>
      <c r="I173" s="207">
        <v>5</v>
      </c>
      <c r="J173" s="69">
        <f t="shared" si="4"/>
        <v>0.1388888888888889</v>
      </c>
      <c r="K173" s="207">
        <f>+I173+DICIEMBRE!K173</f>
        <v>32</v>
      </c>
      <c r="L173" s="94">
        <f t="shared" si="5"/>
        <v>0.88888888888888884</v>
      </c>
      <c r="N173"/>
      <c r="O173" s="8"/>
      <c r="P173"/>
      <c r="Q173" s="8"/>
    </row>
    <row r="174" spans="2:17" x14ac:dyDescent="0.25">
      <c r="B174" s="38">
        <v>5</v>
      </c>
      <c r="C174" s="39" t="s">
        <v>57</v>
      </c>
      <c r="D174" s="40" t="s">
        <v>58</v>
      </c>
      <c r="E174" s="229"/>
      <c r="F174" s="182" t="s">
        <v>1515</v>
      </c>
      <c r="G174" s="183" t="s">
        <v>820</v>
      </c>
      <c r="H174" s="207">
        <v>36</v>
      </c>
      <c r="I174" s="207">
        <v>2</v>
      </c>
      <c r="J174" s="69">
        <f t="shared" si="4"/>
        <v>5.5555555555555552E-2</v>
      </c>
      <c r="K174" s="207">
        <f>+I174+DICIEMBRE!K174</f>
        <v>29</v>
      </c>
      <c r="L174" s="94">
        <f t="shared" si="5"/>
        <v>0.80555555555555558</v>
      </c>
      <c r="N174"/>
      <c r="O174" s="8"/>
      <c r="P174"/>
      <c r="Q174" s="8"/>
    </row>
    <row r="175" spans="2:17" x14ac:dyDescent="0.25">
      <c r="B175" s="38">
        <v>5</v>
      </c>
      <c r="C175" s="39" t="s">
        <v>59</v>
      </c>
      <c r="D175" s="40" t="s">
        <v>60</v>
      </c>
      <c r="E175" s="229"/>
      <c r="F175" s="182" t="s">
        <v>1516</v>
      </c>
      <c r="G175" s="183" t="s">
        <v>1513</v>
      </c>
      <c r="H175" s="193">
        <v>36</v>
      </c>
      <c r="I175" s="207">
        <v>3</v>
      </c>
      <c r="J175" s="69">
        <f t="shared" si="4"/>
        <v>8.3333333333333329E-2</v>
      </c>
      <c r="K175" s="207">
        <f>+I175+DICIEMBRE!K175</f>
        <v>30</v>
      </c>
      <c r="L175" s="94">
        <f t="shared" si="5"/>
        <v>0.83333333333333337</v>
      </c>
      <c r="N175"/>
      <c r="O175" s="8"/>
      <c r="P175"/>
      <c r="Q175" s="8"/>
    </row>
    <row r="176" spans="2:17" x14ac:dyDescent="0.25">
      <c r="B176" s="42">
        <v>8</v>
      </c>
      <c r="C176" s="43" t="s">
        <v>61</v>
      </c>
      <c r="D176" s="44" t="s">
        <v>62</v>
      </c>
      <c r="E176" s="230"/>
      <c r="F176" s="188"/>
      <c r="G176" s="189"/>
      <c r="H176" s="208">
        <v>36</v>
      </c>
      <c r="I176" s="208">
        <v>0</v>
      </c>
      <c r="J176" s="72">
        <f t="shared" si="4"/>
        <v>0</v>
      </c>
      <c r="K176" s="208">
        <f>+I176+DICIEMBRE!K176</f>
        <v>27</v>
      </c>
      <c r="L176" s="96">
        <f t="shared" si="5"/>
        <v>0.75</v>
      </c>
      <c r="N176"/>
      <c r="O176" s="8"/>
      <c r="P176"/>
      <c r="Q176" s="8"/>
    </row>
    <row r="177" spans="2:17" x14ac:dyDescent="0.25">
      <c r="B177" s="35">
        <v>3</v>
      </c>
      <c r="C177" s="36" t="s">
        <v>43</v>
      </c>
      <c r="D177" s="37" t="s">
        <v>44</v>
      </c>
      <c r="E177" s="218" t="s">
        <v>183</v>
      </c>
      <c r="F177" s="179" t="s">
        <v>1335</v>
      </c>
      <c r="G177" s="183">
        <v>46023</v>
      </c>
      <c r="H177" s="191">
        <v>63</v>
      </c>
      <c r="I177" s="191">
        <v>7</v>
      </c>
      <c r="J177" s="69">
        <f t="shared" si="4"/>
        <v>0.1111111111111111</v>
      </c>
      <c r="K177" s="191">
        <f>+I177+DICIEMBRE!K177</f>
        <v>52</v>
      </c>
      <c r="L177" s="94">
        <f t="shared" si="5"/>
        <v>0.82539682539682535</v>
      </c>
      <c r="N177"/>
      <c r="O177" s="8"/>
      <c r="P177"/>
      <c r="Q177" s="8"/>
    </row>
    <row r="178" spans="2:17" x14ac:dyDescent="0.25">
      <c r="B178" s="38">
        <v>3</v>
      </c>
      <c r="C178" s="39" t="s">
        <v>46</v>
      </c>
      <c r="D178" s="40" t="s">
        <v>47</v>
      </c>
      <c r="E178" s="219"/>
      <c r="F178" s="182" t="s">
        <v>48</v>
      </c>
      <c r="G178" s="183">
        <v>46023</v>
      </c>
      <c r="H178" s="193">
        <v>63</v>
      </c>
      <c r="I178" s="207">
        <v>5</v>
      </c>
      <c r="J178" s="69">
        <f t="shared" si="4"/>
        <v>7.9365079365079361E-2</v>
      </c>
      <c r="K178" s="207">
        <f>+I178+DICIEMBRE!K178</f>
        <v>50</v>
      </c>
      <c r="L178" s="94">
        <f t="shared" si="5"/>
        <v>0.79365079365079361</v>
      </c>
      <c r="N178"/>
      <c r="O178" s="8"/>
      <c r="P178"/>
      <c r="Q178" s="8"/>
    </row>
    <row r="179" spans="2:17" x14ac:dyDescent="0.25">
      <c r="B179" s="38">
        <v>3</v>
      </c>
      <c r="C179" s="39" t="s">
        <v>49</v>
      </c>
      <c r="D179" s="40" t="s">
        <v>50</v>
      </c>
      <c r="E179" s="219"/>
      <c r="F179" s="182" t="s">
        <v>1337</v>
      </c>
      <c r="G179" s="183">
        <v>46023</v>
      </c>
      <c r="H179" s="207">
        <v>58</v>
      </c>
      <c r="I179" s="194">
        <v>5</v>
      </c>
      <c r="J179" s="69">
        <f t="shared" si="4"/>
        <v>8.6206896551724144E-2</v>
      </c>
      <c r="K179" s="194">
        <f>+I179+DICIEMBRE!K179</f>
        <v>45</v>
      </c>
      <c r="L179" s="94">
        <f t="shared" si="5"/>
        <v>0.77586206896551724</v>
      </c>
      <c r="N179"/>
      <c r="O179" s="8"/>
      <c r="P179"/>
      <c r="Q179" s="8"/>
    </row>
    <row r="180" spans="2:17" x14ac:dyDescent="0.25">
      <c r="B180" s="38">
        <v>3</v>
      </c>
      <c r="C180" s="39" t="s">
        <v>52</v>
      </c>
      <c r="D180" s="40" t="s">
        <v>53</v>
      </c>
      <c r="E180" s="219"/>
      <c r="F180" s="182" t="s">
        <v>1443</v>
      </c>
      <c r="G180" s="183">
        <v>46023</v>
      </c>
      <c r="H180" s="207">
        <v>88</v>
      </c>
      <c r="I180" s="207">
        <v>7</v>
      </c>
      <c r="J180" s="69">
        <f t="shared" si="4"/>
        <v>7.9545454545454544E-2</v>
      </c>
      <c r="K180" s="207">
        <f>+I180+DICIEMBRE!K180</f>
        <v>77</v>
      </c>
      <c r="L180" s="94">
        <f t="shared" si="5"/>
        <v>0.875</v>
      </c>
      <c r="N180"/>
      <c r="O180" s="8"/>
      <c r="P180"/>
      <c r="Q180" s="8"/>
    </row>
    <row r="181" spans="2:17" x14ac:dyDescent="0.25">
      <c r="B181" s="42">
        <v>3</v>
      </c>
      <c r="C181" s="43" t="s">
        <v>55</v>
      </c>
      <c r="D181" s="44" t="s">
        <v>56</v>
      </c>
      <c r="E181" s="220"/>
      <c r="F181" s="188" t="s">
        <v>1338</v>
      </c>
      <c r="G181" s="183">
        <v>46023</v>
      </c>
      <c r="H181" s="208">
        <v>88</v>
      </c>
      <c r="I181" s="208">
        <v>6</v>
      </c>
      <c r="J181" s="72">
        <f t="shared" si="4"/>
        <v>6.8181818181818177E-2</v>
      </c>
      <c r="K181" s="208">
        <f>+I181+DICIEMBRE!K181</f>
        <v>76</v>
      </c>
      <c r="L181" s="96">
        <f t="shared" si="5"/>
        <v>0.86363636363636365</v>
      </c>
      <c r="N181"/>
      <c r="O181" s="8"/>
      <c r="P181"/>
      <c r="Q181" s="8"/>
    </row>
    <row r="182" spans="2:17" x14ac:dyDescent="0.25">
      <c r="B182" s="162">
        <v>3</v>
      </c>
      <c r="C182" s="169" t="s">
        <v>332</v>
      </c>
      <c r="D182" s="170" t="s">
        <v>333</v>
      </c>
      <c r="E182" s="277" t="s">
        <v>334</v>
      </c>
      <c r="F182" s="179" t="s">
        <v>172</v>
      </c>
      <c r="G182" s="180" t="s">
        <v>172</v>
      </c>
      <c r="H182" s="181">
        <v>30</v>
      </c>
      <c r="I182" s="181">
        <v>0</v>
      </c>
      <c r="J182" s="69">
        <f t="shared" si="4"/>
        <v>0</v>
      </c>
      <c r="K182" s="181">
        <f>+I182+DICIEMBRE!K182</f>
        <v>30</v>
      </c>
      <c r="L182" s="94">
        <f t="shared" si="5"/>
        <v>1</v>
      </c>
      <c r="N182"/>
      <c r="O182" s="8"/>
      <c r="P182"/>
      <c r="Q182" s="8"/>
    </row>
    <row r="183" spans="2:17" x14ac:dyDescent="0.25">
      <c r="B183" s="163">
        <v>3</v>
      </c>
      <c r="C183" s="171" t="s">
        <v>52</v>
      </c>
      <c r="D183" s="172" t="s">
        <v>53</v>
      </c>
      <c r="E183" s="278"/>
      <c r="F183" s="182" t="s">
        <v>172</v>
      </c>
      <c r="G183" s="192" t="s">
        <v>172</v>
      </c>
      <c r="H183" s="184">
        <v>20</v>
      </c>
      <c r="I183" s="185">
        <v>0</v>
      </c>
      <c r="J183" s="69">
        <f t="shared" si="4"/>
        <v>0</v>
      </c>
      <c r="K183" s="185">
        <f>+I183+DICIEMBRE!K183</f>
        <v>20</v>
      </c>
      <c r="L183" s="94">
        <f t="shared" si="5"/>
        <v>1</v>
      </c>
      <c r="N183"/>
      <c r="O183" s="8"/>
      <c r="P183"/>
      <c r="Q183" s="8"/>
    </row>
    <row r="184" spans="2:17" x14ac:dyDescent="0.25">
      <c r="B184" s="163">
        <v>3</v>
      </c>
      <c r="C184" s="171" t="s">
        <v>55</v>
      </c>
      <c r="D184" s="172" t="s">
        <v>56</v>
      </c>
      <c r="E184" s="278"/>
      <c r="F184" s="182" t="s">
        <v>172</v>
      </c>
      <c r="G184" s="186" t="s">
        <v>172</v>
      </c>
      <c r="H184" s="185">
        <v>20</v>
      </c>
      <c r="I184" s="187">
        <v>0</v>
      </c>
      <c r="J184" s="69">
        <f t="shared" si="4"/>
        <v>0</v>
      </c>
      <c r="K184" s="187">
        <f>+I184+DICIEMBRE!K184</f>
        <v>20</v>
      </c>
      <c r="L184" s="94">
        <f t="shared" si="5"/>
        <v>1</v>
      </c>
      <c r="N184"/>
      <c r="O184" s="8"/>
      <c r="P184"/>
      <c r="Q184" s="8"/>
    </row>
    <row r="185" spans="2:17" x14ac:dyDescent="0.25">
      <c r="B185" s="163">
        <v>5</v>
      </c>
      <c r="C185" s="171" t="s">
        <v>57</v>
      </c>
      <c r="D185" s="172" t="s">
        <v>58</v>
      </c>
      <c r="E185" s="278"/>
      <c r="F185" s="182" t="s">
        <v>172</v>
      </c>
      <c r="G185" s="186" t="s">
        <v>172</v>
      </c>
      <c r="H185" s="185">
        <v>15</v>
      </c>
      <c r="I185" s="185">
        <v>0</v>
      </c>
      <c r="J185" s="69">
        <f t="shared" si="4"/>
        <v>0</v>
      </c>
      <c r="K185" s="185">
        <f>+I185+DICIEMBRE!K185</f>
        <v>15</v>
      </c>
      <c r="L185" s="94">
        <f t="shared" si="5"/>
        <v>1</v>
      </c>
      <c r="N185"/>
      <c r="O185" s="8"/>
      <c r="P185"/>
      <c r="Q185" s="8"/>
    </row>
    <row r="186" spans="2:17" x14ac:dyDescent="0.25">
      <c r="B186" s="163">
        <v>5</v>
      </c>
      <c r="C186" s="171" t="s">
        <v>59</v>
      </c>
      <c r="D186" s="172" t="s">
        <v>60</v>
      </c>
      <c r="E186" s="278"/>
      <c r="F186" s="186" t="s">
        <v>172</v>
      </c>
      <c r="G186" s="186" t="s">
        <v>172</v>
      </c>
      <c r="H186" s="185">
        <v>20</v>
      </c>
      <c r="I186" s="185">
        <v>0</v>
      </c>
      <c r="J186" s="69">
        <f t="shared" si="4"/>
        <v>0</v>
      </c>
      <c r="K186" s="185">
        <f>+I186+DICIEMBRE!K186</f>
        <v>20</v>
      </c>
      <c r="L186" s="94">
        <f t="shared" si="5"/>
        <v>1</v>
      </c>
      <c r="N186"/>
      <c r="O186" s="8"/>
      <c r="P186"/>
      <c r="Q186" s="8"/>
    </row>
    <row r="187" spans="2:17" x14ac:dyDescent="0.25">
      <c r="B187" s="163">
        <v>8</v>
      </c>
      <c r="C187" s="171" t="s">
        <v>61</v>
      </c>
      <c r="D187" s="172" t="s">
        <v>62</v>
      </c>
      <c r="E187" s="278"/>
      <c r="F187" s="186" t="s">
        <v>172</v>
      </c>
      <c r="G187" s="186" t="s">
        <v>172</v>
      </c>
      <c r="H187" s="185">
        <v>15</v>
      </c>
      <c r="I187" s="185">
        <v>0</v>
      </c>
      <c r="J187" s="69">
        <f t="shared" si="4"/>
        <v>0</v>
      </c>
      <c r="K187" s="185">
        <f>+I187+DICIEMBRE!K187</f>
        <v>15</v>
      </c>
      <c r="L187" s="94">
        <f t="shared" si="5"/>
        <v>1</v>
      </c>
      <c r="N187"/>
      <c r="O187" s="8"/>
      <c r="P187"/>
      <c r="Q187" s="8"/>
    </row>
    <row r="188" spans="2:17" x14ac:dyDescent="0.25">
      <c r="B188" s="163">
        <v>8</v>
      </c>
      <c r="C188" s="171" t="s">
        <v>344</v>
      </c>
      <c r="D188" s="172" t="s">
        <v>345</v>
      </c>
      <c r="E188" s="278"/>
      <c r="F188" s="182" t="s">
        <v>172</v>
      </c>
      <c r="G188" s="186" t="s">
        <v>172</v>
      </c>
      <c r="H188" s="185">
        <v>20</v>
      </c>
      <c r="I188" s="185">
        <v>0</v>
      </c>
      <c r="J188" s="69">
        <f t="shared" si="4"/>
        <v>0</v>
      </c>
      <c r="K188" s="185">
        <f>+I188+DICIEMBRE!K188</f>
        <v>20</v>
      </c>
      <c r="L188" s="94">
        <f t="shared" si="5"/>
        <v>1</v>
      </c>
      <c r="N188"/>
      <c r="O188" s="8"/>
      <c r="P188"/>
      <c r="Q188" s="8"/>
    </row>
    <row r="189" spans="2:17" x14ac:dyDescent="0.25">
      <c r="B189" s="163">
        <v>8</v>
      </c>
      <c r="C189" s="171" t="s">
        <v>346</v>
      </c>
      <c r="D189" s="172" t="s">
        <v>347</v>
      </c>
      <c r="E189" s="278"/>
      <c r="F189" s="186" t="s">
        <v>172</v>
      </c>
      <c r="G189" s="186" t="s">
        <v>172</v>
      </c>
      <c r="H189" s="185">
        <v>20</v>
      </c>
      <c r="I189" s="185">
        <v>0</v>
      </c>
      <c r="J189" s="69">
        <f t="shared" si="4"/>
        <v>0</v>
      </c>
      <c r="K189" s="185">
        <f>+I189+DICIEMBRE!K189</f>
        <v>20</v>
      </c>
      <c r="L189" s="94">
        <f t="shared" si="5"/>
        <v>1</v>
      </c>
      <c r="N189"/>
      <c r="O189" s="8"/>
      <c r="P189"/>
      <c r="Q189" s="8"/>
    </row>
    <row r="190" spans="2:17" x14ac:dyDescent="0.25">
      <c r="B190" s="164">
        <v>8</v>
      </c>
      <c r="C190" s="173" t="s">
        <v>349</v>
      </c>
      <c r="D190" s="174" t="s">
        <v>350</v>
      </c>
      <c r="E190" s="279"/>
      <c r="F190" s="188" t="s">
        <v>172</v>
      </c>
      <c r="G190" s="183" t="s">
        <v>172</v>
      </c>
      <c r="H190" s="190">
        <v>20</v>
      </c>
      <c r="I190" s="190">
        <v>0</v>
      </c>
      <c r="J190" s="72">
        <f t="shared" si="4"/>
        <v>0</v>
      </c>
      <c r="K190" s="190">
        <f>+I190+DICIEMBRE!K190</f>
        <v>20</v>
      </c>
      <c r="L190" s="96">
        <f t="shared" si="5"/>
        <v>1</v>
      </c>
      <c r="N190"/>
      <c r="O190" s="8"/>
      <c r="P190"/>
      <c r="Q190" s="8"/>
    </row>
    <row r="191" spans="2:17" x14ac:dyDescent="0.25">
      <c r="B191" s="162">
        <v>3</v>
      </c>
      <c r="C191" s="169" t="s">
        <v>43</v>
      </c>
      <c r="D191" s="170" t="s">
        <v>44</v>
      </c>
      <c r="E191" s="280" t="s">
        <v>353</v>
      </c>
      <c r="F191" s="179" t="s">
        <v>172</v>
      </c>
      <c r="G191" s="180" t="s">
        <v>172</v>
      </c>
      <c r="H191" s="181">
        <v>18</v>
      </c>
      <c r="I191" s="181">
        <v>0</v>
      </c>
      <c r="J191" s="69">
        <f t="shared" si="4"/>
        <v>0</v>
      </c>
      <c r="K191" s="181">
        <f>+I191+DICIEMBRE!K191</f>
        <v>18</v>
      </c>
      <c r="L191" s="94">
        <f t="shared" si="5"/>
        <v>1</v>
      </c>
      <c r="N191"/>
      <c r="O191" s="8"/>
      <c r="P191"/>
      <c r="Q191" s="8"/>
    </row>
    <row r="192" spans="2:17" x14ac:dyDescent="0.25">
      <c r="B192" s="163">
        <v>3</v>
      </c>
      <c r="C192" s="171" t="s">
        <v>46</v>
      </c>
      <c r="D192" s="172" t="s">
        <v>47</v>
      </c>
      <c r="E192" s="280"/>
      <c r="F192" s="182" t="s">
        <v>172</v>
      </c>
      <c r="G192" s="183" t="s">
        <v>172</v>
      </c>
      <c r="H192" s="184">
        <v>18</v>
      </c>
      <c r="I192" s="185">
        <v>0</v>
      </c>
      <c r="J192" s="69">
        <f t="shared" si="4"/>
        <v>0</v>
      </c>
      <c r="K192" s="185">
        <f>+I192+DICIEMBRE!K192</f>
        <v>18</v>
      </c>
      <c r="L192" s="94">
        <f t="shared" si="5"/>
        <v>1</v>
      </c>
      <c r="N192"/>
      <c r="O192" s="8"/>
      <c r="P192"/>
      <c r="Q192" s="8"/>
    </row>
    <row r="193" spans="2:17" x14ac:dyDescent="0.25">
      <c r="B193" s="163">
        <v>3</v>
      </c>
      <c r="C193" s="171" t="s">
        <v>98</v>
      </c>
      <c r="D193" s="172" t="s">
        <v>99</v>
      </c>
      <c r="E193" s="280"/>
      <c r="F193" s="182" t="s">
        <v>172</v>
      </c>
      <c r="G193" s="186" t="s">
        <v>172</v>
      </c>
      <c r="H193" s="185">
        <v>24</v>
      </c>
      <c r="I193" s="185">
        <v>0</v>
      </c>
      <c r="J193" s="69">
        <f t="shared" si="4"/>
        <v>0</v>
      </c>
      <c r="K193" s="185">
        <f>+I193+DICIEMBRE!K193</f>
        <v>24</v>
      </c>
      <c r="L193" s="94">
        <f t="shared" si="5"/>
        <v>1</v>
      </c>
      <c r="N193"/>
      <c r="O193" s="8"/>
      <c r="P193"/>
      <c r="Q193" s="8"/>
    </row>
    <row r="194" spans="2:17" x14ac:dyDescent="0.25">
      <c r="B194" s="163">
        <v>3</v>
      </c>
      <c r="C194" s="171" t="s">
        <v>49</v>
      </c>
      <c r="D194" s="172" t="s">
        <v>50</v>
      </c>
      <c r="E194" s="280"/>
      <c r="F194" s="182" t="s">
        <v>172</v>
      </c>
      <c r="G194" s="186" t="s">
        <v>172</v>
      </c>
      <c r="H194" s="185">
        <v>24</v>
      </c>
      <c r="I194" s="185">
        <v>0</v>
      </c>
      <c r="J194" s="69">
        <f t="shared" si="4"/>
        <v>0</v>
      </c>
      <c r="K194" s="185">
        <f>+I194+DICIEMBRE!K194</f>
        <v>24</v>
      </c>
      <c r="L194" s="94">
        <f t="shared" si="5"/>
        <v>1</v>
      </c>
      <c r="N194"/>
      <c r="O194" s="8"/>
      <c r="P194"/>
      <c r="Q194" s="8"/>
    </row>
    <row r="195" spans="2:17" x14ac:dyDescent="0.25">
      <c r="B195" s="163">
        <v>3</v>
      </c>
      <c r="C195" s="171" t="s">
        <v>52</v>
      </c>
      <c r="D195" s="172" t="s">
        <v>53</v>
      </c>
      <c r="E195" s="280"/>
      <c r="F195" s="182" t="s">
        <v>172</v>
      </c>
      <c r="G195" s="186" t="s">
        <v>172</v>
      </c>
      <c r="H195" s="185">
        <v>24</v>
      </c>
      <c r="I195" s="185">
        <v>0</v>
      </c>
      <c r="J195" s="69">
        <f t="shared" si="4"/>
        <v>0</v>
      </c>
      <c r="K195" s="185">
        <f>+I195+DICIEMBRE!K195</f>
        <v>24</v>
      </c>
      <c r="L195" s="94">
        <f t="shared" si="5"/>
        <v>1</v>
      </c>
      <c r="N195"/>
      <c r="O195" s="8"/>
      <c r="P195"/>
      <c r="Q195" s="8"/>
    </row>
    <row r="196" spans="2:17" x14ac:dyDescent="0.25">
      <c r="B196" s="163">
        <v>3</v>
      </c>
      <c r="C196" s="171" t="s">
        <v>55</v>
      </c>
      <c r="D196" s="172" t="s">
        <v>56</v>
      </c>
      <c r="E196" s="280"/>
      <c r="F196" s="182" t="s">
        <v>172</v>
      </c>
      <c r="G196" s="186" t="s">
        <v>172</v>
      </c>
      <c r="H196" s="185">
        <v>24</v>
      </c>
      <c r="I196" s="185">
        <v>0</v>
      </c>
      <c r="J196" s="69">
        <f t="shared" si="4"/>
        <v>0</v>
      </c>
      <c r="K196" s="185">
        <f>+I196+DICIEMBRE!K196</f>
        <v>24</v>
      </c>
      <c r="L196" s="94">
        <f t="shared" si="5"/>
        <v>1</v>
      </c>
      <c r="N196"/>
      <c r="O196" s="8"/>
      <c r="P196"/>
      <c r="Q196" s="8"/>
    </row>
    <row r="197" spans="2:17" x14ac:dyDescent="0.25">
      <c r="B197" s="163">
        <v>5</v>
      </c>
      <c r="C197" s="171" t="s">
        <v>57</v>
      </c>
      <c r="D197" s="172" t="s">
        <v>58</v>
      </c>
      <c r="E197" s="280"/>
      <c r="F197" s="182" t="s">
        <v>172</v>
      </c>
      <c r="G197" s="186" t="s">
        <v>172</v>
      </c>
      <c r="H197" s="185">
        <v>24</v>
      </c>
      <c r="I197" s="185">
        <v>0</v>
      </c>
      <c r="J197" s="69">
        <f t="shared" si="4"/>
        <v>0</v>
      </c>
      <c r="K197" s="185">
        <f>+I197+DICIEMBRE!K197</f>
        <v>24</v>
      </c>
      <c r="L197" s="94">
        <f t="shared" si="5"/>
        <v>1</v>
      </c>
      <c r="N197"/>
      <c r="O197" s="8"/>
      <c r="P197"/>
      <c r="Q197" s="8"/>
    </row>
    <row r="198" spans="2:17" x14ac:dyDescent="0.25">
      <c r="B198" s="164">
        <v>8</v>
      </c>
      <c r="C198" s="173" t="s">
        <v>61</v>
      </c>
      <c r="D198" s="174" t="s">
        <v>62</v>
      </c>
      <c r="E198" s="280"/>
      <c r="F198" s="188" t="s">
        <v>172</v>
      </c>
      <c r="G198" s="189" t="s">
        <v>172</v>
      </c>
      <c r="H198" s="190">
        <v>24</v>
      </c>
      <c r="I198" s="190">
        <v>0</v>
      </c>
      <c r="J198" s="72">
        <f t="shared" si="4"/>
        <v>0</v>
      </c>
      <c r="K198" s="190">
        <f>+I198+DICIEMBRE!K198</f>
        <v>24</v>
      </c>
      <c r="L198" s="96">
        <f t="shared" si="5"/>
        <v>1</v>
      </c>
      <c r="N198"/>
      <c r="O198" s="8"/>
      <c r="P198"/>
      <c r="Q198" s="8"/>
    </row>
    <row r="199" spans="2:17" x14ac:dyDescent="0.25">
      <c r="B199" s="162">
        <v>2</v>
      </c>
      <c r="C199" s="169" t="s">
        <v>356</v>
      </c>
      <c r="D199" s="170" t="s">
        <v>357</v>
      </c>
      <c r="E199" s="280" t="s">
        <v>359</v>
      </c>
      <c r="F199" s="179" t="s">
        <v>172</v>
      </c>
      <c r="G199" s="180" t="s">
        <v>172</v>
      </c>
      <c r="H199" s="181">
        <v>60</v>
      </c>
      <c r="I199" s="181">
        <v>0</v>
      </c>
      <c r="J199" s="69">
        <f t="shared" si="4"/>
        <v>0</v>
      </c>
      <c r="K199" s="181">
        <f>+I199+DICIEMBRE!K199</f>
        <v>60</v>
      </c>
      <c r="L199" s="94">
        <f t="shared" si="5"/>
        <v>1</v>
      </c>
      <c r="N199"/>
      <c r="O199" s="8"/>
      <c r="P199"/>
      <c r="Q199" s="8"/>
    </row>
    <row r="200" spans="2:17" x14ac:dyDescent="0.25">
      <c r="B200" s="163">
        <v>2</v>
      </c>
      <c r="C200" s="171" t="s">
        <v>360</v>
      </c>
      <c r="D200" s="172" t="s">
        <v>361</v>
      </c>
      <c r="E200" s="280"/>
      <c r="F200" s="182" t="s">
        <v>172</v>
      </c>
      <c r="G200" s="186" t="s">
        <v>172</v>
      </c>
      <c r="H200" s="184">
        <v>40</v>
      </c>
      <c r="I200" s="185">
        <v>0</v>
      </c>
      <c r="J200" s="69">
        <f t="shared" si="4"/>
        <v>0</v>
      </c>
      <c r="K200" s="185">
        <f>+I200+DICIEMBRE!K200</f>
        <v>40</v>
      </c>
      <c r="L200" s="94">
        <f t="shared" si="5"/>
        <v>1</v>
      </c>
      <c r="N200"/>
      <c r="O200" s="8"/>
      <c r="P200"/>
      <c r="Q200" s="8"/>
    </row>
    <row r="201" spans="2:17" x14ac:dyDescent="0.25">
      <c r="B201" s="163">
        <v>2</v>
      </c>
      <c r="C201" s="171" t="s">
        <v>363</v>
      </c>
      <c r="D201" s="172" t="s">
        <v>364</v>
      </c>
      <c r="E201" s="280"/>
      <c r="F201" s="182" t="s">
        <v>172</v>
      </c>
      <c r="G201" s="183" t="s">
        <v>172</v>
      </c>
      <c r="H201" s="185">
        <v>10</v>
      </c>
      <c r="I201" s="187">
        <v>0</v>
      </c>
      <c r="J201" s="69">
        <f t="shared" si="4"/>
        <v>0</v>
      </c>
      <c r="K201" s="187">
        <f>+I201+DICIEMBRE!K201</f>
        <v>10</v>
      </c>
      <c r="L201" s="94">
        <f t="shared" si="5"/>
        <v>1</v>
      </c>
      <c r="N201"/>
      <c r="O201" s="8"/>
      <c r="P201"/>
      <c r="Q201" s="8"/>
    </row>
    <row r="202" spans="2:17" x14ac:dyDescent="0.25">
      <c r="B202" s="163">
        <v>2</v>
      </c>
      <c r="C202" s="171" t="s">
        <v>366</v>
      </c>
      <c r="D202" s="172" t="s">
        <v>367</v>
      </c>
      <c r="E202" s="280"/>
      <c r="F202" s="182" t="s">
        <v>172</v>
      </c>
      <c r="G202" s="186" t="s">
        <v>172</v>
      </c>
      <c r="H202" s="185">
        <v>10</v>
      </c>
      <c r="I202" s="185">
        <v>0</v>
      </c>
      <c r="J202" s="69">
        <f t="shared" si="4"/>
        <v>0</v>
      </c>
      <c r="K202" s="185">
        <f>+I202+DICIEMBRE!K202</f>
        <v>10</v>
      </c>
      <c r="L202" s="94">
        <f t="shared" si="5"/>
        <v>1</v>
      </c>
      <c r="N202"/>
      <c r="O202" s="8"/>
      <c r="P202"/>
      <c r="Q202" s="8"/>
    </row>
    <row r="203" spans="2:17" x14ac:dyDescent="0.25">
      <c r="B203" s="163">
        <v>2</v>
      </c>
      <c r="C203" s="171" t="s">
        <v>368</v>
      </c>
      <c r="D203" s="172" t="s">
        <v>369</v>
      </c>
      <c r="E203" s="280"/>
      <c r="F203" s="182" t="s">
        <v>172</v>
      </c>
      <c r="G203" s="206" t="s">
        <v>172</v>
      </c>
      <c r="H203" s="185">
        <v>10</v>
      </c>
      <c r="I203" s="185">
        <v>0</v>
      </c>
      <c r="J203" s="69">
        <f t="shared" si="4"/>
        <v>0</v>
      </c>
      <c r="K203" s="185">
        <f>+I203+DICIEMBRE!K203</f>
        <v>10</v>
      </c>
      <c r="L203" s="94">
        <f t="shared" si="5"/>
        <v>1</v>
      </c>
      <c r="N203"/>
      <c r="O203" s="8"/>
      <c r="P203"/>
      <c r="Q203" s="8"/>
    </row>
    <row r="204" spans="2:17" x14ac:dyDescent="0.25">
      <c r="B204" s="163">
        <v>2</v>
      </c>
      <c r="C204" s="171" t="s">
        <v>140</v>
      </c>
      <c r="D204" s="172" t="s">
        <v>141</v>
      </c>
      <c r="E204" s="280"/>
      <c r="F204" s="182" t="s">
        <v>172</v>
      </c>
      <c r="G204" s="186" t="s">
        <v>172</v>
      </c>
      <c r="H204" s="185">
        <v>20</v>
      </c>
      <c r="I204" s="185">
        <v>0</v>
      </c>
      <c r="J204" s="69">
        <f t="shared" si="4"/>
        <v>0</v>
      </c>
      <c r="K204" s="185">
        <f>+I204+DICIEMBRE!K204</f>
        <v>20</v>
      </c>
      <c r="L204" s="94">
        <f t="shared" si="5"/>
        <v>1</v>
      </c>
      <c r="N204"/>
      <c r="O204" s="8"/>
      <c r="P204"/>
      <c r="Q204" s="8"/>
    </row>
    <row r="205" spans="2:17" x14ac:dyDescent="0.25">
      <c r="B205" s="163">
        <v>2</v>
      </c>
      <c r="C205" s="171" t="s">
        <v>371</v>
      </c>
      <c r="D205" s="172" t="s">
        <v>372</v>
      </c>
      <c r="E205" s="280"/>
      <c r="F205" s="182" t="s">
        <v>172</v>
      </c>
      <c r="G205" s="186" t="s">
        <v>172</v>
      </c>
      <c r="H205" s="185">
        <v>10</v>
      </c>
      <c r="I205" s="185">
        <v>0</v>
      </c>
      <c r="J205" s="69">
        <f t="shared" si="4"/>
        <v>0</v>
      </c>
      <c r="K205" s="185">
        <f>+I205+DICIEMBRE!K205</f>
        <v>10</v>
      </c>
      <c r="L205" s="94">
        <f t="shared" si="5"/>
        <v>1</v>
      </c>
      <c r="N205"/>
      <c r="O205" s="8"/>
      <c r="P205"/>
      <c r="Q205" s="8"/>
    </row>
    <row r="206" spans="2:17" x14ac:dyDescent="0.25">
      <c r="B206" s="164">
        <v>2</v>
      </c>
      <c r="C206" s="173" t="s">
        <v>374</v>
      </c>
      <c r="D206" s="174" t="s">
        <v>375</v>
      </c>
      <c r="E206" s="280"/>
      <c r="F206" s="188" t="s">
        <v>172</v>
      </c>
      <c r="G206" s="189" t="s">
        <v>172</v>
      </c>
      <c r="H206" s="190">
        <v>20</v>
      </c>
      <c r="I206" s="190">
        <v>0</v>
      </c>
      <c r="J206" s="72">
        <f t="shared" si="4"/>
        <v>0</v>
      </c>
      <c r="K206" s="190">
        <f>+I206+DICIEMBRE!K206</f>
        <v>20</v>
      </c>
      <c r="L206" s="96">
        <f t="shared" si="5"/>
        <v>1</v>
      </c>
      <c r="N206"/>
      <c r="O206" s="8"/>
      <c r="P206"/>
      <c r="Q206" s="8"/>
    </row>
    <row r="207" spans="2:17" x14ac:dyDescent="0.25">
      <c r="B207" s="168">
        <v>1</v>
      </c>
      <c r="C207" s="175" t="s">
        <v>230</v>
      </c>
      <c r="D207" s="176" t="s">
        <v>377</v>
      </c>
      <c r="E207" s="280" t="s">
        <v>745</v>
      </c>
      <c r="F207" s="179" t="s">
        <v>172</v>
      </c>
      <c r="G207" s="180" t="s">
        <v>172</v>
      </c>
      <c r="H207" s="191">
        <v>30</v>
      </c>
      <c r="I207" s="191">
        <v>0</v>
      </c>
      <c r="J207" s="69">
        <f t="shared" ref="J207:J268" si="6">IFERROR(I207/H207,0)</f>
        <v>0</v>
      </c>
      <c r="K207" s="191">
        <f>+I207+DICIEMBRE!K207</f>
        <v>30</v>
      </c>
      <c r="L207" s="94">
        <f t="shared" ref="L207:L268" si="7">IFERROR(K207/H207,0)</f>
        <v>1</v>
      </c>
      <c r="N207"/>
      <c r="O207" s="8"/>
      <c r="P207"/>
      <c r="Q207" s="8"/>
    </row>
    <row r="208" spans="2:17" x14ac:dyDescent="0.25">
      <c r="B208" s="163">
        <v>1</v>
      </c>
      <c r="C208" s="171" t="s">
        <v>74</v>
      </c>
      <c r="D208" s="172" t="s">
        <v>226</v>
      </c>
      <c r="E208" s="280"/>
      <c r="F208" s="182" t="s">
        <v>172</v>
      </c>
      <c r="G208" s="186" t="s">
        <v>172</v>
      </c>
      <c r="H208" s="193">
        <v>30</v>
      </c>
      <c r="I208" s="207">
        <v>0</v>
      </c>
      <c r="J208" s="69">
        <f t="shared" si="6"/>
        <v>0</v>
      </c>
      <c r="K208" s="207">
        <f>+I208+DICIEMBRE!K208</f>
        <v>30</v>
      </c>
      <c r="L208" s="94">
        <f t="shared" si="7"/>
        <v>1</v>
      </c>
      <c r="N208"/>
      <c r="O208" s="8"/>
      <c r="P208"/>
      <c r="Q208" s="8"/>
    </row>
    <row r="209" spans="2:17" x14ac:dyDescent="0.25">
      <c r="B209" s="163">
        <v>1</v>
      </c>
      <c r="C209" s="171" t="s">
        <v>77</v>
      </c>
      <c r="D209" s="172" t="s">
        <v>78</v>
      </c>
      <c r="E209" s="280"/>
      <c r="F209" s="182" t="s">
        <v>172</v>
      </c>
      <c r="G209" s="183" t="s">
        <v>172</v>
      </c>
      <c r="H209" s="207">
        <v>30</v>
      </c>
      <c r="I209" s="194">
        <v>0</v>
      </c>
      <c r="J209" s="69">
        <f t="shared" si="6"/>
        <v>0</v>
      </c>
      <c r="K209" s="194">
        <f>+I209+DICIEMBRE!K209</f>
        <v>30</v>
      </c>
      <c r="L209" s="94">
        <f t="shared" si="7"/>
        <v>1</v>
      </c>
      <c r="N209"/>
      <c r="O209" s="8"/>
      <c r="P209"/>
      <c r="Q209" s="8"/>
    </row>
    <row r="210" spans="2:17" x14ac:dyDescent="0.25">
      <c r="B210" s="163">
        <v>1</v>
      </c>
      <c r="C210" s="171" t="s">
        <v>89</v>
      </c>
      <c r="D210" s="172" t="s">
        <v>90</v>
      </c>
      <c r="E210" s="280"/>
      <c r="F210" s="182" t="s">
        <v>172</v>
      </c>
      <c r="G210" s="186" t="s">
        <v>172</v>
      </c>
      <c r="H210" s="207">
        <v>30</v>
      </c>
      <c r="I210" s="207">
        <v>0</v>
      </c>
      <c r="J210" s="69">
        <f t="shared" si="6"/>
        <v>0</v>
      </c>
      <c r="K210" s="207">
        <f>+I210+DICIEMBRE!K210</f>
        <v>30</v>
      </c>
      <c r="L210" s="94">
        <f t="shared" si="7"/>
        <v>1</v>
      </c>
      <c r="N210"/>
      <c r="O210" s="8"/>
      <c r="P210"/>
      <c r="Q210" s="8"/>
    </row>
    <row r="211" spans="2:17" x14ac:dyDescent="0.25">
      <c r="B211" s="163">
        <v>1</v>
      </c>
      <c r="C211" s="171" t="s">
        <v>379</v>
      </c>
      <c r="D211" s="172" t="s">
        <v>380</v>
      </c>
      <c r="E211" s="280"/>
      <c r="F211" s="182" t="s">
        <v>172</v>
      </c>
      <c r="G211" s="186" t="s">
        <v>172</v>
      </c>
      <c r="H211" s="207">
        <v>30</v>
      </c>
      <c r="I211" s="207">
        <v>0</v>
      </c>
      <c r="J211" s="69">
        <f t="shared" si="6"/>
        <v>0</v>
      </c>
      <c r="K211" s="207">
        <f>+I211+DICIEMBRE!K211</f>
        <v>30</v>
      </c>
      <c r="L211" s="94">
        <f t="shared" si="7"/>
        <v>1</v>
      </c>
      <c r="N211"/>
      <c r="O211" s="8"/>
      <c r="P211"/>
      <c r="Q211" s="8"/>
    </row>
    <row r="212" spans="2:17" x14ac:dyDescent="0.25">
      <c r="B212" s="164">
        <v>2</v>
      </c>
      <c r="C212" s="173" t="s">
        <v>360</v>
      </c>
      <c r="D212" s="174" t="s">
        <v>361</v>
      </c>
      <c r="E212" s="280"/>
      <c r="F212" s="188" t="s">
        <v>172</v>
      </c>
      <c r="G212" s="189" t="s">
        <v>172</v>
      </c>
      <c r="H212" s="208">
        <v>30</v>
      </c>
      <c r="I212" s="208">
        <v>0</v>
      </c>
      <c r="J212" s="72">
        <f t="shared" si="6"/>
        <v>0</v>
      </c>
      <c r="K212" s="208">
        <f>+I212+DICIEMBRE!K212</f>
        <v>30</v>
      </c>
      <c r="L212" s="96">
        <f t="shared" si="7"/>
        <v>1</v>
      </c>
      <c r="N212"/>
      <c r="O212" s="8"/>
      <c r="P212"/>
      <c r="Q212" s="8"/>
    </row>
    <row r="213" spans="2:17" x14ac:dyDescent="0.25">
      <c r="B213" s="88">
        <v>3</v>
      </c>
      <c r="C213" s="111" t="s">
        <v>43</v>
      </c>
      <c r="D213" s="112" t="s">
        <v>44</v>
      </c>
      <c r="E213" s="232" t="s">
        <v>382</v>
      </c>
      <c r="F213" s="179" t="s">
        <v>1571</v>
      </c>
      <c r="G213" s="180" t="s">
        <v>1402</v>
      </c>
      <c r="H213" s="181">
        <v>38</v>
      </c>
      <c r="I213" s="181">
        <v>8</v>
      </c>
      <c r="J213" s="69">
        <f t="shared" si="6"/>
        <v>0.21052631578947367</v>
      </c>
      <c r="K213" s="181">
        <f>+I213+DICIEMBRE!K213</f>
        <v>36</v>
      </c>
      <c r="L213" s="94">
        <f t="shared" si="7"/>
        <v>0.94736842105263153</v>
      </c>
      <c r="N213"/>
      <c r="O213" s="8"/>
      <c r="P213"/>
      <c r="Q213" s="8"/>
    </row>
    <row r="214" spans="2:17" x14ac:dyDescent="0.25">
      <c r="B214" s="86">
        <v>3</v>
      </c>
      <c r="C214" s="107" t="s">
        <v>46</v>
      </c>
      <c r="D214" s="108" t="s">
        <v>47</v>
      </c>
      <c r="E214" s="232"/>
      <c r="F214" s="182" t="s">
        <v>1572</v>
      </c>
      <c r="G214" s="192" t="s">
        <v>564</v>
      </c>
      <c r="H214" s="184">
        <v>38</v>
      </c>
      <c r="I214" s="185">
        <v>8</v>
      </c>
      <c r="J214" s="69">
        <f t="shared" si="6"/>
        <v>0.21052631578947367</v>
      </c>
      <c r="K214" s="185">
        <f>+I214+DICIEMBRE!K214</f>
        <v>36</v>
      </c>
      <c r="L214" s="94">
        <f t="shared" si="7"/>
        <v>0.94736842105263153</v>
      </c>
      <c r="N214"/>
      <c r="O214" s="8"/>
      <c r="P214"/>
      <c r="Q214" s="8"/>
    </row>
    <row r="215" spans="2:17" x14ac:dyDescent="0.25">
      <c r="B215" s="86">
        <v>3</v>
      </c>
      <c r="C215" s="107" t="s">
        <v>98</v>
      </c>
      <c r="D215" s="108" t="s">
        <v>99</v>
      </c>
      <c r="E215" s="232"/>
      <c r="F215" s="182" t="s">
        <v>1573</v>
      </c>
      <c r="G215" s="186" t="s">
        <v>393</v>
      </c>
      <c r="H215" s="185">
        <v>37</v>
      </c>
      <c r="I215" s="187">
        <v>6</v>
      </c>
      <c r="J215" s="69">
        <f t="shared" si="6"/>
        <v>0.16216216216216217</v>
      </c>
      <c r="K215" s="187">
        <f>+I215+DICIEMBRE!K215</f>
        <v>33</v>
      </c>
      <c r="L215" s="94">
        <f t="shared" si="7"/>
        <v>0.89189189189189189</v>
      </c>
      <c r="N215"/>
      <c r="O215" s="8"/>
      <c r="P215"/>
      <c r="Q215" s="8"/>
    </row>
    <row r="216" spans="2:17" x14ac:dyDescent="0.25">
      <c r="B216" s="86">
        <v>3</v>
      </c>
      <c r="C216" s="107" t="s">
        <v>49</v>
      </c>
      <c r="D216" s="108" t="s">
        <v>50</v>
      </c>
      <c r="E216" s="232"/>
      <c r="F216" s="182" t="s">
        <v>1574</v>
      </c>
      <c r="G216" s="186" t="s">
        <v>1575</v>
      </c>
      <c r="H216" s="185">
        <v>42</v>
      </c>
      <c r="I216" s="185">
        <v>5</v>
      </c>
      <c r="J216" s="69">
        <f t="shared" si="6"/>
        <v>0.11904761904761904</v>
      </c>
      <c r="K216" s="185">
        <f>+I216+DICIEMBRE!K216</f>
        <v>37</v>
      </c>
      <c r="L216" s="94">
        <f t="shared" si="7"/>
        <v>0.88095238095238093</v>
      </c>
      <c r="N216"/>
      <c r="O216" s="8"/>
      <c r="P216"/>
      <c r="Q216" s="8"/>
    </row>
    <row r="217" spans="2:17" x14ac:dyDescent="0.25">
      <c r="B217" s="86">
        <v>3</v>
      </c>
      <c r="C217" s="107" t="s">
        <v>52</v>
      </c>
      <c r="D217" s="108" t="s">
        <v>53</v>
      </c>
      <c r="E217" s="232"/>
      <c r="F217" s="186"/>
      <c r="G217" s="186"/>
      <c r="H217" s="185">
        <v>40</v>
      </c>
      <c r="I217" s="185">
        <v>0</v>
      </c>
      <c r="J217" s="69">
        <f t="shared" si="6"/>
        <v>0</v>
      </c>
      <c r="K217" s="185">
        <f>+I217+DICIEMBRE!K217</f>
        <v>30</v>
      </c>
      <c r="L217" s="94">
        <f t="shared" si="7"/>
        <v>0.75</v>
      </c>
      <c r="N217"/>
      <c r="O217" s="8"/>
      <c r="P217"/>
      <c r="Q217" s="8"/>
    </row>
    <row r="218" spans="2:17" x14ac:dyDescent="0.25">
      <c r="B218" s="86">
        <v>3</v>
      </c>
      <c r="C218" s="107" t="s">
        <v>55</v>
      </c>
      <c r="D218" s="108" t="s">
        <v>56</v>
      </c>
      <c r="E218" s="232"/>
      <c r="F218" s="186"/>
      <c r="G218" s="186"/>
      <c r="H218" s="185">
        <v>40</v>
      </c>
      <c r="I218" s="185">
        <v>0</v>
      </c>
      <c r="J218" s="69">
        <f t="shared" si="6"/>
        <v>0</v>
      </c>
      <c r="K218" s="185">
        <f>+I218+DICIEMBRE!K218</f>
        <v>30</v>
      </c>
      <c r="L218" s="94">
        <f t="shared" si="7"/>
        <v>0.75</v>
      </c>
      <c r="N218"/>
      <c r="O218" s="8"/>
      <c r="P218"/>
      <c r="Q218" s="8"/>
    </row>
    <row r="219" spans="2:17" x14ac:dyDescent="0.25">
      <c r="B219" s="86">
        <v>5</v>
      </c>
      <c r="C219" s="107" t="s">
        <v>57</v>
      </c>
      <c r="D219" s="108" t="s">
        <v>58</v>
      </c>
      <c r="E219" s="232"/>
      <c r="F219" s="182"/>
      <c r="G219" s="186"/>
      <c r="H219" s="185">
        <v>40</v>
      </c>
      <c r="I219" s="185">
        <v>0</v>
      </c>
      <c r="J219" s="69">
        <f t="shared" si="6"/>
        <v>0</v>
      </c>
      <c r="K219" s="185">
        <f>+I219+DICIEMBRE!K219</f>
        <v>30</v>
      </c>
      <c r="L219" s="94">
        <f t="shared" si="7"/>
        <v>0.75</v>
      </c>
      <c r="N219"/>
      <c r="O219" s="8"/>
      <c r="P219"/>
      <c r="Q219" s="8"/>
    </row>
    <row r="220" spans="2:17" x14ac:dyDescent="0.25">
      <c r="B220" s="86">
        <v>5</v>
      </c>
      <c r="C220" s="107" t="s">
        <v>59</v>
      </c>
      <c r="D220" s="108" t="s">
        <v>60</v>
      </c>
      <c r="E220" s="232"/>
      <c r="F220" s="186" t="s">
        <v>1576</v>
      </c>
      <c r="G220" s="186" t="s">
        <v>1575</v>
      </c>
      <c r="H220" s="185">
        <v>45</v>
      </c>
      <c r="I220" s="185">
        <v>3</v>
      </c>
      <c r="J220" s="69">
        <f t="shared" si="6"/>
        <v>6.6666666666666666E-2</v>
      </c>
      <c r="K220" s="185">
        <f>+I220+DICIEMBRE!K220</f>
        <v>38</v>
      </c>
      <c r="L220" s="94">
        <f t="shared" si="7"/>
        <v>0.84444444444444444</v>
      </c>
      <c r="N220"/>
      <c r="O220" s="8"/>
      <c r="P220"/>
      <c r="Q220" s="8"/>
    </row>
    <row r="221" spans="2:17" x14ac:dyDescent="0.25">
      <c r="B221" s="104">
        <v>8</v>
      </c>
      <c r="C221" s="113" t="s">
        <v>61</v>
      </c>
      <c r="D221" s="114" t="s">
        <v>62</v>
      </c>
      <c r="E221" s="232"/>
      <c r="F221" s="188"/>
      <c r="G221" s="183"/>
      <c r="H221" s="190">
        <v>40</v>
      </c>
      <c r="I221" s="190">
        <v>0</v>
      </c>
      <c r="J221" s="72">
        <f t="shared" si="6"/>
        <v>0</v>
      </c>
      <c r="K221" s="190">
        <f>+I221+DICIEMBRE!K221</f>
        <v>30</v>
      </c>
      <c r="L221" s="96">
        <f t="shared" si="7"/>
        <v>0.75</v>
      </c>
      <c r="N221"/>
      <c r="O221" s="8"/>
      <c r="P221"/>
      <c r="Q221" s="8"/>
    </row>
    <row r="222" spans="2:17" x14ac:dyDescent="0.25">
      <c r="B222" s="162">
        <v>3</v>
      </c>
      <c r="C222" s="169" t="s">
        <v>43</v>
      </c>
      <c r="D222" s="170" t="s">
        <v>44</v>
      </c>
      <c r="E222" s="280" t="s">
        <v>400</v>
      </c>
      <c r="F222" s="179" t="s">
        <v>172</v>
      </c>
      <c r="G222" s="180" t="s">
        <v>172</v>
      </c>
      <c r="H222" s="181">
        <v>20</v>
      </c>
      <c r="I222" s="191">
        <v>0</v>
      </c>
      <c r="J222" s="69">
        <f t="shared" si="6"/>
        <v>0</v>
      </c>
      <c r="K222" s="191">
        <f>+I222+DICIEMBRE!K222</f>
        <v>20</v>
      </c>
      <c r="L222" s="94">
        <f t="shared" si="7"/>
        <v>1</v>
      </c>
      <c r="N222"/>
      <c r="O222" s="8"/>
      <c r="P222"/>
      <c r="Q222" s="8"/>
    </row>
    <row r="223" spans="2:17" x14ac:dyDescent="0.25">
      <c r="B223" s="163">
        <v>3</v>
      </c>
      <c r="C223" s="171" t="s">
        <v>46</v>
      </c>
      <c r="D223" s="172" t="s">
        <v>47</v>
      </c>
      <c r="E223" s="280"/>
      <c r="F223" s="182" t="s">
        <v>172</v>
      </c>
      <c r="G223" s="192" t="s">
        <v>172</v>
      </c>
      <c r="H223" s="184">
        <v>20</v>
      </c>
      <c r="I223" s="207">
        <v>0</v>
      </c>
      <c r="J223" s="69">
        <f t="shared" si="6"/>
        <v>0</v>
      </c>
      <c r="K223" s="207">
        <f>+I223+DICIEMBRE!K223</f>
        <v>20</v>
      </c>
      <c r="L223" s="94">
        <f t="shared" si="7"/>
        <v>1</v>
      </c>
      <c r="N223"/>
      <c r="O223" s="8"/>
      <c r="P223"/>
      <c r="Q223" s="8"/>
    </row>
    <row r="224" spans="2:17" x14ac:dyDescent="0.25">
      <c r="B224" s="163">
        <v>3</v>
      </c>
      <c r="C224" s="171" t="s">
        <v>98</v>
      </c>
      <c r="D224" s="172" t="s">
        <v>99</v>
      </c>
      <c r="E224" s="280"/>
      <c r="F224" s="182" t="s">
        <v>172</v>
      </c>
      <c r="G224" s="186" t="s">
        <v>172</v>
      </c>
      <c r="H224" s="185">
        <v>20</v>
      </c>
      <c r="I224" s="194">
        <v>0</v>
      </c>
      <c r="J224" s="69">
        <f t="shared" si="6"/>
        <v>0</v>
      </c>
      <c r="K224" s="194">
        <f>+I224+DICIEMBRE!K224</f>
        <v>20</v>
      </c>
      <c r="L224" s="94">
        <f t="shared" si="7"/>
        <v>1</v>
      </c>
      <c r="N224"/>
      <c r="O224" s="8"/>
      <c r="P224"/>
      <c r="Q224" s="8"/>
    </row>
    <row r="225" spans="2:17" x14ac:dyDescent="0.25">
      <c r="B225" s="163">
        <v>3</v>
      </c>
      <c r="C225" s="171" t="s">
        <v>49</v>
      </c>
      <c r="D225" s="172" t="s">
        <v>50</v>
      </c>
      <c r="E225" s="280"/>
      <c r="F225" s="182" t="s">
        <v>172</v>
      </c>
      <c r="G225" s="186" t="s">
        <v>172</v>
      </c>
      <c r="H225" s="185">
        <v>20</v>
      </c>
      <c r="I225" s="207">
        <v>0</v>
      </c>
      <c r="J225" s="69">
        <f t="shared" si="6"/>
        <v>0</v>
      </c>
      <c r="K225" s="207">
        <f>+I225+DICIEMBRE!K225</f>
        <v>20</v>
      </c>
      <c r="L225" s="94">
        <f t="shared" si="7"/>
        <v>1</v>
      </c>
      <c r="N225"/>
      <c r="O225" s="8"/>
      <c r="P225"/>
      <c r="Q225" s="8"/>
    </row>
    <row r="226" spans="2:17" x14ac:dyDescent="0.25">
      <c r="B226" s="163">
        <v>3</v>
      </c>
      <c r="C226" s="171" t="s">
        <v>52</v>
      </c>
      <c r="D226" s="172" t="s">
        <v>53</v>
      </c>
      <c r="E226" s="280"/>
      <c r="F226" s="186" t="s">
        <v>172</v>
      </c>
      <c r="G226" s="186" t="s">
        <v>172</v>
      </c>
      <c r="H226" s="185">
        <v>20</v>
      </c>
      <c r="I226" s="207">
        <v>0</v>
      </c>
      <c r="J226" s="69">
        <f t="shared" si="6"/>
        <v>0</v>
      </c>
      <c r="K226" s="207">
        <f>+I226+DICIEMBRE!K226</f>
        <v>20</v>
      </c>
      <c r="L226" s="94">
        <f t="shared" si="7"/>
        <v>1</v>
      </c>
      <c r="N226"/>
      <c r="O226" s="8"/>
      <c r="P226"/>
      <c r="Q226" s="8"/>
    </row>
    <row r="227" spans="2:17" x14ac:dyDescent="0.25">
      <c r="B227" s="163">
        <v>3</v>
      </c>
      <c r="C227" s="171" t="s">
        <v>55</v>
      </c>
      <c r="D227" s="172" t="s">
        <v>56</v>
      </c>
      <c r="E227" s="280"/>
      <c r="F227" s="186" t="s">
        <v>172</v>
      </c>
      <c r="G227" s="186" t="s">
        <v>172</v>
      </c>
      <c r="H227" s="185">
        <v>20</v>
      </c>
      <c r="I227" s="207">
        <v>0</v>
      </c>
      <c r="J227" s="69">
        <f t="shared" si="6"/>
        <v>0</v>
      </c>
      <c r="K227" s="207">
        <f>+I227+DICIEMBRE!K227</f>
        <v>20</v>
      </c>
      <c r="L227" s="94">
        <f t="shared" si="7"/>
        <v>1</v>
      </c>
      <c r="N227"/>
      <c r="O227" s="8"/>
      <c r="P227"/>
      <c r="Q227" s="8"/>
    </row>
    <row r="228" spans="2:17" x14ac:dyDescent="0.25">
      <c r="B228" s="163">
        <v>5</v>
      </c>
      <c r="C228" s="171" t="s">
        <v>57</v>
      </c>
      <c r="D228" s="172" t="s">
        <v>58</v>
      </c>
      <c r="E228" s="280"/>
      <c r="F228" s="182" t="s">
        <v>172</v>
      </c>
      <c r="G228" s="186" t="s">
        <v>172</v>
      </c>
      <c r="H228" s="185">
        <v>20</v>
      </c>
      <c r="I228" s="207">
        <v>0</v>
      </c>
      <c r="J228" s="69">
        <f t="shared" si="6"/>
        <v>0</v>
      </c>
      <c r="K228" s="207">
        <f>+I228+DICIEMBRE!K228</f>
        <v>20</v>
      </c>
      <c r="L228" s="94">
        <f t="shared" si="7"/>
        <v>1</v>
      </c>
      <c r="N228"/>
      <c r="O228" s="8"/>
      <c r="P228"/>
      <c r="Q228" s="8"/>
    </row>
    <row r="229" spans="2:17" x14ac:dyDescent="0.25">
      <c r="B229" s="163">
        <v>5</v>
      </c>
      <c r="C229" s="171" t="s">
        <v>59</v>
      </c>
      <c r="D229" s="172" t="s">
        <v>60</v>
      </c>
      <c r="E229" s="280"/>
      <c r="F229" s="186" t="s">
        <v>172</v>
      </c>
      <c r="G229" s="186" t="s">
        <v>172</v>
      </c>
      <c r="H229" s="185">
        <v>20</v>
      </c>
      <c r="I229" s="207">
        <v>0</v>
      </c>
      <c r="J229" s="69">
        <f t="shared" si="6"/>
        <v>0</v>
      </c>
      <c r="K229" s="207">
        <f>+I229+DICIEMBRE!K229</f>
        <v>20</v>
      </c>
      <c r="L229" s="94">
        <f t="shared" si="7"/>
        <v>1</v>
      </c>
      <c r="N229"/>
      <c r="O229" s="8"/>
      <c r="P229"/>
      <c r="Q229" s="8"/>
    </row>
    <row r="230" spans="2:17" x14ac:dyDescent="0.25">
      <c r="B230" s="164">
        <v>8</v>
      </c>
      <c r="C230" s="173" t="s">
        <v>61</v>
      </c>
      <c r="D230" s="174" t="s">
        <v>62</v>
      </c>
      <c r="E230" s="280"/>
      <c r="F230" s="188" t="s">
        <v>172</v>
      </c>
      <c r="G230" s="189" t="s">
        <v>172</v>
      </c>
      <c r="H230" s="190">
        <v>20</v>
      </c>
      <c r="I230" s="208">
        <v>0</v>
      </c>
      <c r="J230" s="72">
        <f t="shared" si="6"/>
        <v>0</v>
      </c>
      <c r="K230" s="208">
        <f>+I230+DICIEMBRE!K230</f>
        <v>20</v>
      </c>
      <c r="L230" s="96">
        <f t="shared" si="7"/>
        <v>1</v>
      </c>
      <c r="N230"/>
      <c r="O230" s="8"/>
      <c r="P230"/>
      <c r="Q230" s="8"/>
    </row>
    <row r="231" spans="2:17" x14ac:dyDescent="0.25">
      <c r="B231" s="85">
        <v>3</v>
      </c>
      <c r="C231" s="105" t="s">
        <v>43</v>
      </c>
      <c r="D231" s="106" t="s">
        <v>44</v>
      </c>
      <c r="E231" s="232" t="s">
        <v>407</v>
      </c>
      <c r="F231" s="186" t="s">
        <v>1517</v>
      </c>
      <c r="G231" s="183" t="s">
        <v>1518</v>
      </c>
      <c r="H231" s="191">
        <v>40</v>
      </c>
      <c r="I231" s="191">
        <v>1</v>
      </c>
      <c r="J231" s="69">
        <f t="shared" si="6"/>
        <v>2.5000000000000001E-2</v>
      </c>
      <c r="K231" s="191">
        <f>+I231+DICIEMBRE!K231</f>
        <v>31</v>
      </c>
      <c r="L231" s="94">
        <f t="shared" si="7"/>
        <v>0.77500000000000002</v>
      </c>
      <c r="N231"/>
      <c r="O231" s="8"/>
      <c r="P231"/>
      <c r="Q231" s="8"/>
    </row>
    <row r="232" spans="2:17" x14ac:dyDescent="0.25">
      <c r="B232" s="86">
        <v>3</v>
      </c>
      <c r="C232" s="107" t="s">
        <v>46</v>
      </c>
      <c r="D232" s="108" t="s">
        <v>47</v>
      </c>
      <c r="E232" s="232"/>
      <c r="F232" s="182" t="s">
        <v>1519</v>
      </c>
      <c r="G232" s="186" t="s">
        <v>1520</v>
      </c>
      <c r="H232" s="193">
        <v>40</v>
      </c>
      <c r="I232" s="207">
        <v>4</v>
      </c>
      <c r="J232" s="69">
        <f t="shared" si="6"/>
        <v>0.1</v>
      </c>
      <c r="K232" s="207">
        <f>+I232+DICIEMBRE!K232</f>
        <v>34</v>
      </c>
      <c r="L232" s="94">
        <f t="shared" si="7"/>
        <v>0.85</v>
      </c>
      <c r="N232"/>
      <c r="O232" s="8"/>
      <c r="P232"/>
      <c r="Q232" s="8"/>
    </row>
    <row r="233" spans="2:17" x14ac:dyDescent="0.25">
      <c r="B233" s="86">
        <v>3</v>
      </c>
      <c r="C233" s="107" t="s">
        <v>98</v>
      </c>
      <c r="D233" s="108" t="s">
        <v>99</v>
      </c>
      <c r="E233" s="232"/>
      <c r="F233" s="182" t="s">
        <v>1521</v>
      </c>
      <c r="G233" s="183" t="s">
        <v>1522</v>
      </c>
      <c r="H233" s="207">
        <v>40</v>
      </c>
      <c r="I233" s="194">
        <v>3</v>
      </c>
      <c r="J233" s="69">
        <f t="shared" si="6"/>
        <v>7.4999999999999997E-2</v>
      </c>
      <c r="K233" s="194">
        <f>+I233+DICIEMBRE!K233</f>
        <v>33</v>
      </c>
      <c r="L233" s="94">
        <f t="shared" si="7"/>
        <v>0.82499999999999996</v>
      </c>
      <c r="N233"/>
      <c r="O233" s="8"/>
      <c r="P233"/>
      <c r="Q233" s="8"/>
    </row>
    <row r="234" spans="2:17" x14ac:dyDescent="0.25">
      <c r="B234" s="86">
        <v>3</v>
      </c>
      <c r="C234" s="107" t="s">
        <v>49</v>
      </c>
      <c r="D234" s="108" t="s">
        <v>50</v>
      </c>
      <c r="E234" s="232"/>
      <c r="F234" s="182" t="s">
        <v>1523</v>
      </c>
      <c r="G234" s="186" t="s">
        <v>1524</v>
      </c>
      <c r="H234" s="207">
        <v>40</v>
      </c>
      <c r="I234" s="207">
        <v>3</v>
      </c>
      <c r="J234" s="69">
        <f t="shared" si="6"/>
        <v>7.4999999999999997E-2</v>
      </c>
      <c r="K234" s="207">
        <f>+I234+DICIEMBRE!K234</f>
        <v>33</v>
      </c>
      <c r="L234" s="94">
        <f t="shared" si="7"/>
        <v>0.82499999999999996</v>
      </c>
      <c r="N234"/>
      <c r="O234" s="8"/>
      <c r="P234"/>
      <c r="Q234" s="8"/>
    </row>
    <row r="235" spans="2:17" x14ac:dyDescent="0.25">
      <c r="B235" s="86">
        <v>3</v>
      </c>
      <c r="C235" s="107" t="s">
        <v>52</v>
      </c>
      <c r="D235" s="108" t="s">
        <v>53</v>
      </c>
      <c r="E235" s="232"/>
      <c r="F235" s="182" t="s">
        <v>1525</v>
      </c>
      <c r="G235" s="186" t="s">
        <v>1526</v>
      </c>
      <c r="H235" s="207">
        <v>40</v>
      </c>
      <c r="I235" s="207">
        <v>2</v>
      </c>
      <c r="J235" s="69">
        <f t="shared" si="6"/>
        <v>0.05</v>
      </c>
      <c r="K235" s="207">
        <f>+I235+DICIEMBRE!K235</f>
        <v>32</v>
      </c>
      <c r="L235" s="94">
        <f t="shared" si="7"/>
        <v>0.8</v>
      </c>
      <c r="N235"/>
      <c r="O235" s="8"/>
      <c r="P235"/>
      <c r="Q235" s="8"/>
    </row>
    <row r="236" spans="2:17" x14ac:dyDescent="0.25">
      <c r="B236" s="86">
        <v>3</v>
      </c>
      <c r="C236" s="107" t="s">
        <v>55</v>
      </c>
      <c r="D236" s="108" t="s">
        <v>56</v>
      </c>
      <c r="E236" s="232"/>
      <c r="F236" s="182" t="s">
        <v>1527</v>
      </c>
      <c r="G236" s="186" t="s">
        <v>1528</v>
      </c>
      <c r="H236" s="207">
        <v>40</v>
      </c>
      <c r="I236" s="207">
        <v>4</v>
      </c>
      <c r="J236" s="69">
        <f t="shared" si="6"/>
        <v>0.1</v>
      </c>
      <c r="K236" s="207">
        <f>+I236+DICIEMBRE!K236</f>
        <v>34</v>
      </c>
      <c r="L236" s="94">
        <f t="shared" si="7"/>
        <v>0.85</v>
      </c>
      <c r="N236"/>
      <c r="O236" s="8"/>
      <c r="P236"/>
      <c r="Q236" s="8"/>
    </row>
    <row r="237" spans="2:17" x14ac:dyDescent="0.25">
      <c r="B237" s="86">
        <v>5</v>
      </c>
      <c r="C237" s="107" t="s">
        <v>57</v>
      </c>
      <c r="D237" s="108" t="s">
        <v>58</v>
      </c>
      <c r="E237" s="232"/>
      <c r="F237" s="201" t="s">
        <v>1529</v>
      </c>
      <c r="G237" s="192" t="s">
        <v>1530</v>
      </c>
      <c r="H237" s="207">
        <v>40</v>
      </c>
      <c r="I237" s="207">
        <v>2</v>
      </c>
      <c r="J237" s="69">
        <f t="shared" si="6"/>
        <v>0.05</v>
      </c>
      <c r="K237" s="207">
        <f>+I237+DICIEMBRE!K237</f>
        <v>32</v>
      </c>
      <c r="L237" s="94">
        <f t="shared" si="7"/>
        <v>0.8</v>
      </c>
      <c r="N237"/>
      <c r="O237" s="8"/>
      <c r="P237"/>
      <c r="Q237" s="8"/>
    </row>
    <row r="238" spans="2:17" x14ac:dyDescent="0.25">
      <c r="B238" s="86">
        <v>5</v>
      </c>
      <c r="C238" s="107" t="s">
        <v>59</v>
      </c>
      <c r="D238" s="108" t="s">
        <v>60</v>
      </c>
      <c r="E238" s="233"/>
      <c r="F238" s="182" t="s">
        <v>1531</v>
      </c>
      <c r="G238" s="186" t="s">
        <v>1532</v>
      </c>
      <c r="H238" s="202">
        <v>40</v>
      </c>
      <c r="I238" s="207">
        <v>7</v>
      </c>
      <c r="J238" s="69">
        <f t="shared" si="6"/>
        <v>0.17499999999999999</v>
      </c>
      <c r="K238" s="207">
        <f>+I238+DICIEMBRE!K238</f>
        <v>37</v>
      </c>
      <c r="L238" s="94">
        <f t="shared" si="7"/>
        <v>0.92500000000000004</v>
      </c>
      <c r="N238"/>
      <c r="O238" s="8"/>
      <c r="P238"/>
      <c r="Q238" s="8"/>
    </row>
    <row r="239" spans="2:17" x14ac:dyDescent="0.25">
      <c r="B239" s="87">
        <v>8</v>
      </c>
      <c r="C239" s="109" t="s">
        <v>61</v>
      </c>
      <c r="D239" s="110" t="s">
        <v>62</v>
      </c>
      <c r="E239" s="234"/>
      <c r="F239" s="183" t="s">
        <v>1533</v>
      </c>
      <c r="G239" s="183" t="s">
        <v>1534</v>
      </c>
      <c r="H239" s="208">
        <v>40</v>
      </c>
      <c r="I239" s="208">
        <v>4</v>
      </c>
      <c r="J239" s="72">
        <f t="shared" si="6"/>
        <v>0.1</v>
      </c>
      <c r="K239" s="208">
        <f>+I239+DICIEMBRE!K239</f>
        <v>34</v>
      </c>
      <c r="L239" s="96">
        <f t="shared" si="7"/>
        <v>0.85</v>
      </c>
      <c r="N239"/>
      <c r="O239" s="8"/>
      <c r="P239"/>
      <c r="Q239" s="8"/>
    </row>
    <row r="240" spans="2:17" x14ac:dyDescent="0.25">
      <c r="B240" s="85">
        <v>3</v>
      </c>
      <c r="C240" s="105" t="s">
        <v>46</v>
      </c>
      <c r="D240" s="106" t="s">
        <v>47</v>
      </c>
      <c r="E240" s="226" t="s">
        <v>426</v>
      </c>
      <c r="F240" s="179" t="s">
        <v>48</v>
      </c>
      <c r="G240" s="180" t="s">
        <v>979</v>
      </c>
      <c r="H240" s="191">
        <v>50</v>
      </c>
      <c r="I240" s="191">
        <v>4</v>
      </c>
      <c r="J240" s="69">
        <f t="shared" si="6"/>
        <v>0.08</v>
      </c>
      <c r="K240" s="191">
        <f>+I240+DICIEMBRE!K240</f>
        <v>49</v>
      </c>
      <c r="L240" s="94">
        <f t="shared" si="7"/>
        <v>0.98</v>
      </c>
      <c r="N240"/>
      <c r="O240" s="8"/>
      <c r="P240"/>
      <c r="Q240" s="8"/>
    </row>
    <row r="241" spans="1:17" x14ac:dyDescent="0.25">
      <c r="B241" s="86">
        <v>3</v>
      </c>
      <c r="C241" s="107" t="s">
        <v>98</v>
      </c>
      <c r="D241" s="108" t="s">
        <v>99</v>
      </c>
      <c r="E241" s="226"/>
      <c r="F241" s="182" t="s">
        <v>48</v>
      </c>
      <c r="G241" s="186" t="s">
        <v>429</v>
      </c>
      <c r="H241" s="193">
        <v>60</v>
      </c>
      <c r="I241" s="207">
        <v>5</v>
      </c>
      <c r="J241" s="69">
        <f t="shared" si="6"/>
        <v>8.3333333333333329E-2</v>
      </c>
      <c r="K241" s="207">
        <f>+I241+DICIEMBRE!K241</f>
        <v>50</v>
      </c>
      <c r="L241" s="94">
        <f t="shared" si="7"/>
        <v>0.83333333333333337</v>
      </c>
      <c r="N241"/>
      <c r="O241" s="8"/>
      <c r="P241"/>
      <c r="Q241" s="8"/>
    </row>
    <row r="242" spans="1:17" x14ac:dyDescent="0.25">
      <c r="B242" s="86">
        <v>3</v>
      </c>
      <c r="C242" s="107" t="s">
        <v>49</v>
      </c>
      <c r="D242" s="108" t="s">
        <v>50</v>
      </c>
      <c r="E242" s="226"/>
      <c r="F242" s="182" t="s">
        <v>51</v>
      </c>
      <c r="G242" s="183" t="s">
        <v>431</v>
      </c>
      <c r="H242" s="207">
        <v>70</v>
      </c>
      <c r="I242" s="194">
        <v>6</v>
      </c>
      <c r="J242" s="69">
        <f t="shared" si="6"/>
        <v>8.5714285714285715E-2</v>
      </c>
      <c r="K242" s="194">
        <f>+I242+DICIEMBRE!K242</f>
        <v>51</v>
      </c>
      <c r="L242" s="94">
        <f t="shared" si="7"/>
        <v>0.72857142857142854</v>
      </c>
    </row>
    <row r="243" spans="1:17" s="16" customFormat="1" x14ac:dyDescent="0.25">
      <c r="B243" s="86">
        <v>3</v>
      </c>
      <c r="C243" s="107" t="s">
        <v>52</v>
      </c>
      <c r="D243" s="108" t="s">
        <v>53</v>
      </c>
      <c r="E243" s="226"/>
      <c r="F243" s="182" t="s">
        <v>54</v>
      </c>
      <c r="G243" s="186" t="s">
        <v>296</v>
      </c>
      <c r="H243" s="207">
        <v>60</v>
      </c>
      <c r="I243" s="207">
        <v>6</v>
      </c>
      <c r="J243" s="69">
        <f t="shared" si="6"/>
        <v>0.1</v>
      </c>
      <c r="K243" s="207">
        <f>+I243+DICIEMBRE!K243</f>
        <v>51</v>
      </c>
      <c r="L243" s="94">
        <f t="shared" si="7"/>
        <v>0.85</v>
      </c>
      <c r="O243"/>
      <c r="Q243"/>
    </row>
    <row r="244" spans="1:17" x14ac:dyDescent="0.25">
      <c r="B244" s="86">
        <v>5</v>
      </c>
      <c r="C244" s="107" t="s">
        <v>59</v>
      </c>
      <c r="D244" s="108" t="s">
        <v>60</v>
      </c>
      <c r="E244" s="226"/>
      <c r="F244" s="182" t="s">
        <v>54</v>
      </c>
      <c r="G244" s="186" t="s">
        <v>434</v>
      </c>
      <c r="H244" s="207">
        <v>60</v>
      </c>
      <c r="I244" s="207">
        <v>4</v>
      </c>
      <c r="J244" s="69">
        <f t="shared" si="6"/>
        <v>6.6666666666666666E-2</v>
      </c>
      <c r="K244" s="207">
        <f>+I244+DICIEMBRE!K244</f>
        <v>49</v>
      </c>
      <c r="L244" s="94">
        <f t="shared" si="7"/>
        <v>0.81666666666666665</v>
      </c>
    </row>
    <row r="245" spans="1:17" ht="14.45" customHeight="1" x14ac:dyDescent="0.25">
      <c r="B245" s="86">
        <v>8</v>
      </c>
      <c r="C245" s="107" t="s">
        <v>61</v>
      </c>
      <c r="D245" s="108" t="s">
        <v>62</v>
      </c>
      <c r="E245" s="226"/>
      <c r="F245" s="188" t="s">
        <v>63</v>
      </c>
      <c r="G245" s="189" t="s">
        <v>436</v>
      </c>
      <c r="H245" s="208">
        <v>60</v>
      </c>
      <c r="I245" s="208">
        <v>5</v>
      </c>
      <c r="J245" s="72">
        <f t="shared" si="6"/>
        <v>8.3333333333333329E-2</v>
      </c>
      <c r="K245" s="208">
        <f>+I245+DICIEMBRE!K245</f>
        <v>50</v>
      </c>
      <c r="L245" s="96">
        <f t="shared" si="7"/>
        <v>0.83333333333333337</v>
      </c>
    </row>
    <row r="246" spans="1:17" ht="14.45" customHeight="1" x14ac:dyDescent="0.25">
      <c r="A246" s="5"/>
      <c r="B246" s="85">
        <v>3</v>
      </c>
      <c r="C246" s="105" t="s">
        <v>52</v>
      </c>
      <c r="D246" s="106" t="s">
        <v>53</v>
      </c>
      <c r="E246" s="227" t="s">
        <v>438</v>
      </c>
      <c r="F246" s="179" t="s">
        <v>1577</v>
      </c>
      <c r="G246" s="180" t="s">
        <v>1578</v>
      </c>
      <c r="H246" s="181">
        <v>60</v>
      </c>
      <c r="I246" s="181">
        <v>5</v>
      </c>
      <c r="J246" s="69">
        <f t="shared" si="6"/>
        <v>8.3333333333333329E-2</v>
      </c>
      <c r="K246" s="191">
        <f>+I246+DICIEMBRE!K246</f>
        <v>50</v>
      </c>
      <c r="L246" s="94">
        <f t="shared" si="7"/>
        <v>0.83333333333333337</v>
      </c>
    </row>
    <row r="247" spans="1:17" x14ac:dyDescent="0.25">
      <c r="A247" s="5"/>
      <c r="B247" s="86">
        <v>3</v>
      </c>
      <c r="C247" s="107" t="s">
        <v>55</v>
      </c>
      <c r="D247" s="108" t="s">
        <v>56</v>
      </c>
      <c r="E247" s="226"/>
      <c r="F247" s="182" t="s">
        <v>1579</v>
      </c>
      <c r="G247" s="186" t="s">
        <v>444</v>
      </c>
      <c r="H247" s="184">
        <v>60</v>
      </c>
      <c r="I247" s="185">
        <v>5</v>
      </c>
      <c r="J247" s="69">
        <f t="shared" si="6"/>
        <v>8.3333333333333329E-2</v>
      </c>
      <c r="K247" s="207">
        <f>+I247+DICIEMBRE!K247</f>
        <v>50</v>
      </c>
      <c r="L247" s="94">
        <f t="shared" si="7"/>
        <v>0.83333333333333337</v>
      </c>
    </row>
    <row r="248" spans="1:17" x14ac:dyDescent="0.25">
      <c r="A248" s="5"/>
      <c r="B248" s="86">
        <v>4</v>
      </c>
      <c r="C248" s="107" t="s">
        <v>441</v>
      </c>
      <c r="D248" s="108" t="s">
        <v>442</v>
      </c>
      <c r="E248" s="226"/>
      <c r="F248" s="182" t="s">
        <v>1580</v>
      </c>
      <c r="G248" s="186" t="s">
        <v>444</v>
      </c>
      <c r="H248" s="185">
        <v>60</v>
      </c>
      <c r="I248" s="187">
        <v>5</v>
      </c>
      <c r="J248" s="69">
        <f t="shared" si="6"/>
        <v>8.3333333333333329E-2</v>
      </c>
      <c r="K248" s="194">
        <f>+I248+DICIEMBRE!K248</f>
        <v>50</v>
      </c>
      <c r="L248" s="94">
        <f t="shared" si="7"/>
        <v>0.83333333333333337</v>
      </c>
    </row>
    <row r="249" spans="1:17" ht="14.45" customHeight="1" x14ac:dyDescent="0.25">
      <c r="A249" s="5"/>
      <c r="B249" s="86">
        <v>5</v>
      </c>
      <c r="C249" s="107" t="s">
        <v>57</v>
      </c>
      <c r="D249" s="108" t="s">
        <v>58</v>
      </c>
      <c r="E249" s="226"/>
      <c r="F249" s="182" t="s">
        <v>1581</v>
      </c>
      <c r="G249" s="186" t="s">
        <v>444</v>
      </c>
      <c r="H249" s="185">
        <v>60</v>
      </c>
      <c r="I249" s="185">
        <v>5</v>
      </c>
      <c r="J249" s="69">
        <f t="shared" si="6"/>
        <v>8.3333333333333329E-2</v>
      </c>
      <c r="K249" s="207">
        <f>+I249+DICIEMBRE!K249</f>
        <v>50</v>
      </c>
      <c r="L249" s="94">
        <f t="shared" si="7"/>
        <v>0.83333333333333337</v>
      </c>
    </row>
    <row r="250" spans="1:17" ht="14.45" customHeight="1" x14ac:dyDescent="0.25">
      <c r="A250" s="5"/>
      <c r="B250" s="86">
        <v>5</v>
      </c>
      <c r="C250" s="107" t="s">
        <v>59</v>
      </c>
      <c r="D250" s="108" t="s">
        <v>60</v>
      </c>
      <c r="E250" s="226"/>
      <c r="F250" s="182" t="s">
        <v>1361</v>
      </c>
      <c r="G250" s="186" t="s">
        <v>444</v>
      </c>
      <c r="H250" s="185">
        <v>60</v>
      </c>
      <c r="I250" s="185">
        <v>5</v>
      </c>
      <c r="J250" s="69">
        <f t="shared" si="6"/>
        <v>8.3333333333333329E-2</v>
      </c>
      <c r="K250" s="207">
        <f>+I250+DICIEMBRE!K250</f>
        <v>50</v>
      </c>
      <c r="L250" s="94">
        <f t="shared" si="7"/>
        <v>0.83333333333333337</v>
      </c>
    </row>
    <row r="251" spans="1:17" ht="14.45" customHeight="1" x14ac:dyDescent="0.25">
      <c r="A251" s="5"/>
      <c r="B251" s="87">
        <v>8</v>
      </c>
      <c r="C251" s="109" t="s">
        <v>61</v>
      </c>
      <c r="D251" s="110" t="s">
        <v>62</v>
      </c>
      <c r="E251" s="226"/>
      <c r="F251" s="188" t="s">
        <v>1362</v>
      </c>
      <c r="G251" s="186" t="s">
        <v>447</v>
      </c>
      <c r="H251" s="190">
        <v>60</v>
      </c>
      <c r="I251" s="190">
        <v>5</v>
      </c>
      <c r="J251" s="72">
        <f t="shared" si="6"/>
        <v>8.3333333333333329E-2</v>
      </c>
      <c r="K251" s="208">
        <f>+I251+DICIEMBRE!K251</f>
        <v>50</v>
      </c>
      <c r="L251" s="96">
        <f t="shared" si="7"/>
        <v>0.83333333333333337</v>
      </c>
    </row>
    <row r="252" spans="1:17" x14ac:dyDescent="0.25">
      <c r="A252" s="5"/>
      <c r="B252" s="85">
        <v>3</v>
      </c>
      <c r="C252" s="105" t="s">
        <v>43</v>
      </c>
      <c r="D252" s="106" t="s">
        <v>44</v>
      </c>
      <c r="E252" s="226" t="s">
        <v>450</v>
      </c>
      <c r="F252" s="180" t="s">
        <v>1582</v>
      </c>
      <c r="G252" s="180" t="s">
        <v>1583</v>
      </c>
      <c r="H252" s="191">
        <v>45</v>
      </c>
      <c r="I252" s="191">
        <v>4</v>
      </c>
      <c r="J252" s="69">
        <f t="shared" si="6"/>
        <v>8.8888888888888892E-2</v>
      </c>
      <c r="K252" s="191">
        <f>+I252+DICIEMBRE!K252</f>
        <v>38</v>
      </c>
      <c r="L252" s="94">
        <f t="shared" si="7"/>
        <v>0.84444444444444444</v>
      </c>
    </row>
    <row r="253" spans="1:17" x14ac:dyDescent="0.25">
      <c r="A253" s="5"/>
      <c r="B253" s="86">
        <v>3</v>
      </c>
      <c r="C253" s="107" t="s">
        <v>46</v>
      </c>
      <c r="D253" s="108" t="s">
        <v>47</v>
      </c>
      <c r="E253" s="226"/>
      <c r="F253" s="200" t="s">
        <v>1584</v>
      </c>
      <c r="G253" s="186" t="s">
        <v>1585</v>
      </c>
      <c r="H253" s="193">
        <v>45</v>
      </c>
      <c r="I253" s="207">
        <v>4</v>
      </c>
      <c r="J253" s="69">
        <f t="shared" si="6"/>
        <v>8.8888888888888892E-2</v>
      </c>
      <c r="K253" s="207">
        <f>+I253+DICIEMBRE!K253</f>
        <v>38</v>
      </c>
      <c r="L253" s="94">
        <f t="shared" si="7"/>
        <v>0.84444444444444444</v>
      </c>
    </row>
    <row r="254" spans="1:17" ht="14.45" customHeight="1" x14ac:dyDescent="0.25">
      <c r="B254" s="86">
        <v>3</v>
      </c>
      <c r="C254" s="107" t="s">
        <v>49</v>
      </c>
      <c r="D254" s="108" t="s">
        <v>50</v>
      </c>
      <c r="E254" s="226"/>
      <c r="F254" s="186" t="s">
        <v>1586</v>
      </c>
      <c r="G254" s="183" t="s">
        <v>1587</v>
      </c>
      <c r="H254" s="207">
        <v>45</v>
      </c>
      <c r="I254" s="194">
        <v>4</v>
      </c>
      <c r="J254" s="69">
        <f t="shared" si="6"/>
        <v>8.8888888888888892E-2</v>
      </c>
      <c r="K254" s="194">
        <f>+I254+DICIEMBRE!K254</f>
        <v>38</v>
      </c>
      <c r="L254" s="94">
        <f t="shared" si="7"/>
        <v>0.84444444444444444</v>
      </c>
    </row>
    <row r="255" spans="1:17" ht="14.45" customHeight="1" x14ac:dyDescent="0.25">
      <c r="B255" s="86">
        <v>3</v>
      </c>
      <c r="C255" s="107" t="s">
        <v>52</v>
      </c>
      <c r="D255" s="108" t="s">
        <v>53</v>
      </c>
      <c r="E255" s="226"/>
      <c r="F255" s="186" t="s">
        <v>1588</v>
      </c>
      <c r="G255" s="186" t="s">
        <v>1589</v>
      </c>
      <c r="H255" s="207">
        <v>45</v>
      </c>
      <c r="I255" s="207">
        <v>4</v>
      </c>
      <c r="J255" s="69">
        <f t="shared" si="6"/>
        <v>8.8888888888888892E-2</v>
      </c>
      <c r="K255" s="207">
        <f>+I255+DICIEMBRE!K255</f>
        <v>38</v>
      </c>
      <c r="L255" s="94">
        <f t="shared" si="7"/>
        <v>0.84444444444444444</v>
      </c>
    </row>
    <row r="256" spans="1:17" x14ac:dyDescent="0.25">
      <c r="B256" s="86">
        <v>3</v>
      </c>
      <c r="C256" s="107" t="s">
        <v>55</v>
      </c>
      <c r="D256" s="108" t="s">
        <v>56</v>
      </c>
      <c r="E256" s="226"/>
      <c r="F256" s="186" t="s">
        <v>1590</v>
      </c>
      <c r="G256" s="186" t="s">
        <v>1591</v>
      </c>
      <c r="H256" s="207">
        <v>45</v>
      </c>
      <c r="I256" s="207">
        <v>4</v>
      </c>
      <c r="J256" s="69">
        <f t="shared" si="6"/>
        <v>8.8888888888888892E-2</v>
      </c>
      <c r="K256" s="207">
        <f>+I256+DICIEMBRE!K256</f>
        <v>38</v>
      </c>
      <c r="L256" s="94">
        <f t="shared" si="7"/>
        <v>0.84444444444444444</v>
      </c>
    </row>
    <row r="257" spans="1:18" x14ac:dyDescent="0.25">
      <c r="B257" s="86">
        <v>5</v>
      </c>
      <c r="C257" s="107" t="s">
        <v>57</v>
      </c>
      <c r="D257" s="108" t="s">
        <v>58</v>
      </c>
      <c r="E257" s="226"/>
      <c r="F257" s="200" t="s">
        <v>1592</v>
      </c>
      <c r="G257" s="186" t="s">
        <v>1593</v>
      </c>
      <c r="H257" s="207">
        <v>45</v>
      </c>
      <c r="I257" s="207">
        <v>4</v>
      </c>
      <c r="J257" s="69">
        <f t="shared" si="6"/>
        <v>8.8888888888888892E-2</v>
      </c>
      <c r="K257" s="207">
        <f>+I257+DICIEMBRE!K257</f>
        <v>38</v>
      </c>
      <c r="L257" s="94">
        <f t="shared" si="7"/>
        <v>0.84444444444444444</v>
      </c>
    </row>
    <row r="258" spans="1:18" s="6" customFormat="1" ht="14.45" customHeight="1" x14ac:dyDescent="0.25">
      <c r="A258" s="8"/>
      <c r="B258" s="86">
        <v>5</v>
      </c>
      <c r="C258" s="107" t="s">
        <v>59</v>
      </c>
      <c r="D258" s="108" t="s">
        <v>60</v>
      </c>
      <c r="E258" s="226"/>
      <c r="F258" s="186" t="s">
        <v>1294</v>
      </c>
      <c r="G258" s="186" t="s">
        <v>1295</v>
      </c>
      <c r="H258" s="207">
        <v>45</v>
      </c>
      <c r="I258" s="207">
        <v>3</v>
      </c>
      <c r="J258" s="69">
        <f t="shared" si="6"/>
        <v>6.6666666666666666E-2</v>
      </c>
      <c r="K258" s="207">
        <f>+I258+DICIEMBRE!K258</f>
        <v>36</v>
      </c>
      <c r="L258" s="94">
        <f t="shared" si="7"/>
        <v>0.8</v>
      </c>
      <c r="M258" s="8"/>
      <c r="N258" s="8"/>
      <c r="O258"/>
      <c r="P258" s="8"/>
      <c r="Q258"/>
      <c r="R258" s="8"/>
    </row>
    <row r="259" spans="1:18" s="6" customFormat="1" ht="14.45" customHeight="1" x14ac:dyDescent="0.25">
      <c r="A259" s="8"/>
      <c r="B259" s="86">
        <v>8</v>
      </c>
      <c r="C259" s="107" t="s">
        <v>61</v>
      </c>
      <c r="D259" s="108" t="s">
        <v>62</v>
      </c>
      <c r="E259" s="226"/>
      <c r="F259" s="189" t="s">
        <v>1296</v>
      </c>
      <c r="G259" s="189" t="s">
        <v>464</v>
      </c>
      <c r="H259" s="208">
        <v>45</v>
      </c>
      <c r="I259" s="208">
        <v>3</v>
      </c>
      <c r="J259" s="72">
        <f t="shared" si="6"/>
        <v>6.6666666666666666E-2</v>
      </c>
      <c r="K259" s="208">
        <f>+I259+DICIEMBRE!K259</f>
        <v>36</v>
      </c>
      <c r="L259" s="96">
        <f t="shared" si="7"/>
        <v>0.8</v>
      </c>
      <c r="M259" s="8"/>
      <c r="N259" s="8"/>
      <c r="O259"/>
      <c r="P259" s="8"/>
      <c r="Q259"/>
      <c r="R259" s="8"/>
    </row>
    <row r="260" spans="1:18" x14ac:dyDescent="0.25">
      <c r="B260" s="162">
        <v>3</v>
      </c>
      <c r="C260" s="169" t="s">
        <v>43</v>
      </c>
      <c r="D260" s="170" t="s">
        <v>44</v>
      </c>
      <c r="E260" s="277" t="s">
        <v>466</v>
      </c>
      <c r="F260" s="180" t="s">
        <v>172</v>
      </c>
      <c r="G260" s="180" t="s">
        <v>172</v>
      </c>
      <c r="H260" s="191">
        <v>20</v>
      </c>
      <c r="I260" s="191">
        <v>0</v>
      </c>
      <c r="J260" s="69">
        <f t="shared" si="6"/>
        <v>0</v>
      </c>
      <c r="K260" s="191">
        <f>+I260+DICIEMBRE!K260</f>
        <v>20</v>
      </c>
      <c r="L260" s="94">
        <f t="shared" si="7"/>
        <v>1</v>
      </c>
    </row>
    <row r="261" spans="1:18" x14ac:dyDescent="0.25">
      <c r="B261" s="163">
        <v>3</v>
      </c>
      <c r="C261" s="171" t="s">
        <v>46</v>
      </c>
      <c r="D261" s="172" t="s">
        <v>47</v>
      </c>
      <c r="E261" s="278"/>
      <c r="F261" s="182" t="s">
        <v>172</v>
      </c>
      <c r="G261" s="186" t="s">
        <v>172</v>
      </c>
      <c r="H261" s="193">
        <v>20</v>
      </c>
      <c r="I261" s="207">
        <v>0</v>
      </c>
      <c r="J261" s="69">
        <f t="shared" si="6"/>
        <v>0</v>
      </c>
      <c r="K261" s="207">
        <f>+I261+DICIEMBRE!K261</f>
        <v>20</v>
      </c>
      <c r="L261" s="94">
        <f t="shared" si="7"/>
        <v>1</v>
      </c>
    </row>
    <row r="262" spans="1:18" x14ac:dyDescent="0.25">
      <c r="B262" s="163">
        <v>3</v>
      </c>
      <c r="C262" s="171" t="s">
        <v>98</v>
      </c>
      <c r="D262" s="172" t="s">
        <v>99</v>
      </c>
      <c r="E262" s="278"/>
      <c r="F262" s="182" t="s">
        <v>172</v>
      </c>
      <c r="G262" s="183" t="s">
        <v>172</v>
      </c>
      <c r="H262" s="207">
        <v>20</v>
      </c>
      <c r="I262" s="194">
        <v>0</v>
      </c>
      <c r="J262" s="69">
        <f t="shared" si="6"/>
        <v>0</v>
      </c>
      <c r="K262" s="194">
        <f>+I262+DICIEMBRE!K262</f>
        <v>20</v>
      </c>
      <c r="L262" s="94">
        <f t="shared" si="7"/>
        <v>1</v>
      </c>
    </row>
    <row r="263" spans="1:18" x14ac:dyDescent="0.25">
      <c r="B263" s="163">
        <v>3</v>
      </c>
      <c r="C263" s="171" t="s">
        <v>49</v>
      </c>
      <c r="D263" s="172" t="s">
        <v>50</v>
      </c>
      <c r="E263" s="278"/>
      <c r="F263" s="182" t="s">
        <v>172</v>
      </c>
      <c r="G263" s="186" t="s">
        <v>172</v>
      </c>
      <c r="H263" s="207">
        <v>20</v>
      </c>
      <c r="I263" s="207">
        <v>0</v>
      </c>
      <c r="J263" s="69">
        <f t="shared" si="6"/>
        <v>0</v>
      </c>
      <c r="K263" s="207">
        <f>+I263+DICIEMBRE!K263</f>
        <v>20</v>
      </c>
      <c r="L263" s="94">
        <f t="shared" si="7"/>
        <v>1</v>
      </c>
    </row>
    <row r="264" spans="1:18" x14ac:dyDescent="0.25">
      <c r="B264" s="163">
        <v>3</v>
      </c>
      <c r="C264" s="171" t="s">
        <v>52</v>
      </c>
      <c r="D264" s="172" t="s">
        <v>53</v>
      </c>
      <c r="E264" s="278"/>
      <c r="F264" s="182" t="s">
        <v>172</v>
      </c>
      <c r="G264" s="186" t="s">
        <v>172</v>
      </c>
      <c r="H264" s="207">
        <v>20</v>
      </c>
      <c r="I264" s="207">
        <v>0</v>
      </c>
      <c r="J264" s="69">
        <f t="shared" si="6"/>
        <v>0</v>
      </c>
      <c r="K264" s="207">
        <f>+I264+DICIEMBRE!K264</f>
        <v>20</v>
      </c>
      <c r="L264" s="94">
        <f t="shared" si="7"/>
        <v>1</v>
      </c>
    </row>
    <row r="265" spans="1:18" x14ac:dyDescent="0.25">
      <c r="B265" s="163">
        <v>3</v>
      </c>
      <c r="C265" s="171" t="s">
        <v>55</v>
      </c>
      <c r="D265" s="172" t="s">
        <v>56</v>
      </c>
      <c r="E265" s="278"/>
      <c r="F265" s="182" t="s">
        <v>172</v>
      </c>
      <c r="G265" s="186" t="s">
        <v>172</v>
      </c>
      <c r="H265" s="207">
        <v>20</v>
      </c>
      <c r="I265" s="207">
        <v>0</v>
      </c>
      <c r="J265" s="69">
        <f t="shared" si="6"/>
        <v>0</v>
      </c>
      <c r="K265" s="207">
        <f>+I265+DICIEMBRE!K265</f>
        <v>20</v>
      </c>
      <c r="L265" s="94">
        <f t="shared" si="7"/>
        <v>1</v>
      </c>
    </row>
    <row r="266" spans="1:18" x14ac:dyDescent="0.25">
      <c r="B266" s="163">
        <v>5</v>
      </c>
      <c r="C266" s="171" t="s">
        <v>57</v>
      </c>
      <c r="D266" s="172" t="s">
        <v>58</v>
      </c>
      <c r="E266" s="278"/>
      <c r="F266" s="201" t="s">
        <v>172</v>
      </c>
      <c r="G266" s="192" t="s">
        <v>172</v>
      </c>
      <c r="H266" s="207">
        <v>20</v>
      </c>
      <c r="I266" s="207">
        <v>0</v>
      </c>
      <c r="J266" s="69">
        <f t="shared" si="6"/>
        <v>0</v>
      </c>
      <c r="K266" s="207">
        <f>+I266+DICIEMBRE!K266</f>
        <v>20</v>
      </c>
      <c r="L266" s="94">
        <f t="shared" si="7"/>
        <v>1</v>
      </c>
    </row>
    <row r="267" spans="1:18" x14ac:dyDescent="0.25">
      <c r="B267" s="163">
        <v>5</v>
      </c>
      <c r="C267" s="171" t="s">
        <v>59</v>
      </c>
      <c r="D267" s="172" t="s">
        <v>60</v>
      </c>
      <c r="E267" s="278"/>
      <c r="F267" s="182" t="s">
        <v>172</v>
      </c>
      <c r="G267" s="186" t="s">
        <v>172</v>
      </c>
      <c r="H267" s="202">
        <v>20</v>
      </c>
      <c r="I267" s="207">
        <v>0</v>
      </c>
      <c r="J267" s="69">
        <f t="shared" si="6"/>
        <v>0</v>
      </c>
      <c r="K267" s="207">
        <f>+I267+DICIEMBRE!K267</f>
        <v>20</v>
      </c>
      <c r="L267" s="94">
        <f t="shared" si="7"/>
        <v>1</v>
      </c>
    </row>
    <row r="268" spans="1:18" x14ac:dyDescent="0.25">
      <c r="B268" s="164">
        <v>8</v>
      </c>
      <c r="C268" s="173" t="s">
        <v>61</v>
      </c>
      <c r="D268" s="174" t="s">
        <v>62</v>
      </c>
      <c r="E268" s="279"/>
      <c r="F268" s="205" t="s">
        <v>172</v>
      </c>
      <c r="G268" s="205" t="s">
        <v>172</v>
      </c>
      <c r="H268" s="208">
        <v>20</v>
      </c>
      <c r="I268" s="208">
        <v>0</v>
      </c>
      <c r="J268" s="72">
        <f t="shared" si="6"/>
        <v>0</v>
      </c>
      <c r="K268" s="208">
        <f>+I268+DICIEMBRE!K268</f>
        <v>20</v>
      </c>
      <c r="L268" s="96">
        <f t="shared" si="7"/>
        <v>1</v>
      </c>
    </row>
    <row r="269" spans="1:18" x14ac:dyDescent="0.25">
      <c r="D269" s="18"/>
      <c r="E269" s="5"/>
      <c r="F269" s="14"/>
      <c r="G269" s="5"/>
      <c r="H269" s="240" t="str">
        <f>+CONCATENATE("TOTAL A ",D7)</f>
        <v>TOTAL A ENERO</v>
      </c>
      <c r="I269" s="241"/>
      <c r="J269" s="242"/>
      <c r="K269" s="240" t="s">
        <v>33</v>
      </c>
      <c r="L269" s="242"/>
    </row>
    <row r="270" spans="1:18" x14ac:dyDescent="0.25">
      <c r="D270" s="48"/>
      <c r="E270" s="54"/>
      <c r="F270" s="16"/>
      <c r="G270" s="54"/>
      <c r="H270" s="49">
        <f>+SUM(H13:H268)</f>
        <v>7740</v>
      </c>
      <c r="I270" s="50">
        <f>SUM(I13:I268)</f>
        <v>420</v>
      </c>
      <c r="J270" s="51">
        <f>IFERROR(I270/H270,0)</f>
        <v>5.4263565891472867E-2</v>
      </c>
      <c r="K270" s="50">
        <f>+SUM(K13:K268)</f>
        <v>6900</v>
      </c>
      <c r="L270" s="51">
        <f>IFERROR(K270/H270,0)</f>
        <v>0.89147286821705429</v>
      </c>
    </row>
    <row r="271" spans="1:18" x14ac:dyDescent="0.25">
      <c r="D271" s="48"/>
      <c r="E271" s="54"/>
      <c r="F271" s="16"/>
      <c r="G271" s="54"/>
      <c r="H271" s="118"/>
      <c r="I271" s="119"/>
      <c r="J271" s="120"/>
      <c r="K271" s="119"/>
      <c r="L271" s="120"/>
    </row>
    <row r="272" spans="1:18" ht="14.45" customHeight="1" x14ac:dyDescent="0.25">
      <c r="B272" s="271" t="s">
        <v>34</v>
      </c>
      <c r="C272" s="272"/>
      <c r="D272" s="276" t="s">
        <v>1254</v>
      </c>
      <c r="E272" s="276"/>
      <c r="F272" s="276"/>
      <c r="G272" s="276"/>
      <c r="H272" s="276"/>
      <c r="I272" s="276"/>
      <c r="J272" s="276"/>
      <c r="K272" s="276"/>
      <c r="L272" s="276"/>
    </row>
    <row r="273" spans="1:18" ht="14.45" customHeight="1" x14ac:dyDescent="0.25">
      <c r="B273" s="273"/>
      <c r="C273" s="274"/>
      <c r="D273" s="276" t="s">
        <v>1255</v>
      </c>
      <c r="E273" s="276"/>
      <c r="F273" s="276"/>
      <c r="G273" s="276"/>
      <c r="H273" s="276"/>
      <c r="I273" s="276"/>
      <c r="J273" s="276"/>
      <c r="K273" s="276"/>
      <c r="L273" s="276"/>
    </row>
    <row r="274" spans="1:18" ht="14.45" customHeight="1" x14ac:dyDescent="0.25">
      <c r="B274" s="273"/>
      <c r="C274" s="274"/>
      <c r="D274" s="276" t="s">
        <v>1256</v>
      </c>
      <c r="E274" s="276"/>
      <c r="F274" s="276"/>
      <c r="G274" s="276"/>
      <c r="H274" s="276"/>
      <c r="I274" s="276"/>
      <c r="J274" s="276"/>
      <c r="K274" s="276"/>
      <c r="L274" s="276"/>
    </row>
    <row r="275" spans="1:18" ht="120" customHeight="1" x14ac:dyDescent="0.25">
      <c r="B275" s="273"/>
      <c r="C275" s="274"/>
      <c r="D275" s="275" t="s">
        <v>1500</v>
      </c>
      <c r="E275" s="275"/>
      <c r="F275" s="275"/>
      <c r="G275" s="275"/>
      <c r="H275" s="275"/>
      <c r="I275" s="275"/>
      <c r="J275" s="275"/>
      <c r="K275" s="275"/>
      <c r="L275" s="275"/>
    </row>
    <row r="276" spans="1:18" ht="36.6" customHeight="1" x14ac:dyDescent="0.25">
      <c r="B276" s="240"/>
      <c r="C276" s="242"/>
      <c r="D276" s="275" t="s">
        <v>1562</v>
      </c>
      <c r="E276" s="275"/>
      <c r="F276" s="275"/>
      <c r="G276" s="275"/>
      <c r="H276" s="275"/>
      <c r="I276" s="275"/>
      <c r="J276" s="275"/>
      <c r="K276" s="275"/>
      <c r="L276" s="275"/>
    </row>
    <row r="277" spans="1:18" ht="14.45" customHeight="1" x14ac:dyDescent="0.25">
      <c r="B277" s="248" t="s">
        <v>36</v>
      </c>
      <c r="C277" s="249"/>
      <c r="D277" s="249"/>
      <c r="E277" s="249"/>
      <c r="F277" s="249"/>
      <c r="G277" s="249"/>
      <c r="H277" s="249"/>
      <c r="I277" s="249"/>
      <c r="J277" s="249"/>
      <c r="K277" s="249"/>
      <c r="L277" s="250"/>
    </row>
    <row r="278" spans="1:18" x14ac:dyDescent="0.25">
      <c r="B278" s="251"/>
      <c r="C278" s="252"/>
      <c r="D278" s="252"/>
      <c r="E278" s="252"/>
      <c r="F278" s="252"/>
      <c r="G278" s="252"/>
      <c r="H278" s="252"/>
      <c r="I278" s="252"/>
      <c r="J278" s="252"/>
      <c r="K278" s="252"/>
      <c r="L278" s="253"/>
    </row>
    <row r="279" spans="1:18" x14ac:dyDescent="0.25">
      <c r="B279" s="254" t="s">
        <v>37</v>
      </c>
      <c r="C279" s="255"/>
      <c r="D279" s="255"/>
      <c r="E279" s="255"/>
      <c r="F279" s="255"/>
      <c r="G279" s="255"/>
      <c r="H279" s="255"/>
      <c r="I279" s="255"/>
      <c r="J279" s="255"/>
      <c r="K279" s="255"/>
      <c r="L279" s="256"/>
    </row>
    <row r="280" spans="1:18" ht="24.75" x14ac:dyDescent="0.3">
      <c r="B280" s="52" t="s">
        <v>38</v>
      </c>
      <c r="C280" s="121"/>
      <c r="D280" s="257" t="s">
        <v>35</v>
      </c>
      <c r="E280" s="258"/>
      <c r="F280" s="258"/>
      <c r="G280" s="258"/>
      <c r="H280" s="258"/>
      <c r="I280" s="258"/>
      <c r="J280" s="258"/>
      <c r="K280" s="258"/>
      <c r="L280" s="259"/>
    </row>
    <row r="281" spans="1:18" ht="24.75" x14ac:dyDescent="0.3">
      <c r="B281" s="52" t="s">
        <v>39</v>
      </c>
      <c r="C281" s="121"/>
      <c r="D281" s="260"/>
      <c r="E281" s="261"/>
      <c r="F281" s="261"/>
      <c r="G281" s="261"/>
      <c r="H281" s="261"/>
      <c r="I281" s="261"/>
      <c r="J281" s="261"/>
      <c r="K281" s="261"/>
      <c r="L281" s="262"/>
    </row>
    <row r="282" spans="1:18" ht="14.45" customHeight="1" x14ac:dyDescent="0.25">
      <c r="B282" s="263" t="s">
        <v>36</v>
      </c>
      <c r="C282" s="264"/>
      <c r="D282" s="264"/>
      <c r="E282" s="264"/>
      <c r="F282" s="264"/>
      <c r="G282" s="264"/>
      <c r="H282" s="264"/>
      <c r="I282" s="264"/>
      <c r="J282" s="264"/>
      <c r="K282" s="264"/>
      <c r="L282" s="265"/>
    </row>
    <row r="283" spans="1:18" s="6" customFormat="1" ht="14.45" hidden="1" customHeight="1" x14ac:dyDescent="0.25">
      <c r="A283" t="s">
        <v>0</v>
      </c>
      <c r="B283" s="266"/>
      <c r="C283" s="267"/>
      <c r="D283" s="267"/>
      <c r="E283" s="267"/>
      <c r="F283" s="267"/>
      <c r="G283" s="267"/>
      <c r="H283" s="267"/>
      <c r="I283" s="267"/>
      <c r="J283" s="267"/>
      <c r="K283" s="267"/>
      <c r="L283" s="268"/>
      <c r="M283" s="8"/>
      <c r="N283" s="8"/>
      <c r="O283"/>
      <c r="P283" s="8"/>
      <c r="Q283"/>
      <c r="R283" s="8"/>
    </row>
    <row r="284" spans="1:18" s="6" customFormat="1" ht="14.45" hidden="1" customHeight="1" x14ac:dyDescent="0.25">
      <c r="A284" t="s">
        <v>2</v>
      </c>
      <c r="B284" s="254" t="s">
        <v>40</v>
      </c>
      <c r="C284" s="255"/>
      <c r="D284" s="255"/>
      <c r="E284" s="255"/>
      <c r="F284" s="255"/>
      <c r="G284" s="255"/>
      <c r="H284" s="255"/>
      <c r="I284" s="255"/>
      <c r="J284" s="255"/>
      <c r="K284" s="255"/>
      <c r="L284" s="256"/>
      <c r="M284" s="8"/>
      <c r="N284" s="8"/>
      <c r="O284"/>
      <c r="P284" s="8"/>
      <c r="Q284"/>
      <c r="R284" s="8"/>
    </row>
    <row r="285" spans="1:18" s="6" customFormat="1" ht="14.45" hidden="1" customHeight="1" x14ac:dyDescent="0.3">
      <c r="A285" t="s">
        <v>6</v>
      </c>
      <c r="B285" s="52" t="s">
        <v>38</v>
      </c>
      <c r="C285" s="121"/>
      <c r="D285" s="257" t="s">
        <v>35</v>
      </c>
      <c r="E285" s="258"/>
      <c r="F285" s="258"/>
      <c r="G285" s="258"/>
      <c r="H285" s="258"/>
      <c r="I285" s="258"/>
      <c r="J285" s="258"/>
      <c r="K285" s="258"/>
      <c r="L285" s="259"/>
      <c r="M285" s="8"/>
      <c r="N285" s="8"/>
      <c r="O285"/>
      <c r="P285" s="8"/>
      <c r="Q285"/>
      <c r="R285" s="8"/>
    </row>
    <row r="286" spans="1:18" s="6" customFormat="1" ht="14.45" hidden="1" customHeight="1" x14ac:dyDescent="0.3">
      <c r="A286" t="s">
        <v>8</v>
      </c>
      <c r="B286" s="52" t="s">
        <v>39</v>
      </c>
      <c r="C286" s="121"/>
      <c r="D286" s="260"/>
      <c r="E286" s="261"/>
      <c r="F286" s="261"/>
      <c r="G286" s="261"/>
      <c r="H286" s="261"/>
      <c r="I286" s="261"/>
      <c r="J286" s="261"/>
      <c r="K286" s="261"/>
      <c r="L286" s="262"/>
      <c r="M286" s="8"/>
      <c r="N286" s="8"/>
      <c r="O286"/>
      <c r="P286" s="8"/>
      <c r="Q286"/>
      <c r="R286" s="8"/>
    </row>
    <row r="287" spans="1:18" s="6" customFormat="1" ht="14.45" hidden="1" customHeight="1" x14ac:dyDescent="0.25">
      <c r="A287" t="s">
        <v>9</v>
      </c>
      <c r="B287" s="53"/>
      <c r="C287" s="53"/>
      <c r="D287" s="18"/>
      <c r="E287" s="5"/>
      <c r="G287" s="5"/>
      <c r="H287" s="53"/>
      <c r="I287" s="122"/>
      <c r="M287" s="8"/>
      <c r="N287" s="8"/>
      <c r="O287"/>
      <c r="P287" s="8"/>
      <c r="Q287"/>
      <c r="R287" s="8"/>
    </row>
    <row r="288" spans="1:18" s="6" customFormat="1" ht="14.45" hidden="1" customHeight="1" x14ac:dyDescent="0.25">
      <c r="A288" t="s">
        <v>10</v>
      </c>
      <c r="B288" s="53"/>
      <c r="C288" s="53"/>
      <c r="D288" s="18"/>
      <c r="E288" s="5"/>
      <c r="G288" s="5"/>
      <c r="H288" s="53"/>
      <c r="I288" s="122"/>
      <c r="M288" s="8"/>
      <c r="N288" s="8"/>
      <c r="O288"/>
      <c r="P288" s="8"/>
      <c r="Q288"/>
      <c r="R288" s="8"/>
    </row>
    <row r="289" spans="1:18" s="6" customFormat="1" ht="14.45" hidden="1" customHeight="1" x14ac:dyDescent="0.25">
      <c r="A289" t="s">
        <v>11</v>
      </c>
      <c r="B289" s="269"/>
      <c r="C289" s="269"/>
      <c r="D289" s="269"/>
      <c r="E289" s="5"/>
      <c r="G289" s="5"/>
      <c r="H289" s="269"/>
      <c r="I289" s="269"/>
      <c r="J289" s="269"/>
      <c r="K289" s="269"/>
      <c r="M289" s="8"/>
      <c r="N289" s="8"/>
      <c r="O289"/>
      <c r="P289" s="8"/>
      <c r="Q289"/>
      <c r="R289" s="8"/>
    </row>
    <row r="290" spans="1:18" s="6" customFormat="1" ht="14.45" hidden="1" customHeight="1" x14ac:dyDescent="0.25">
      <c r="A290" t="s">
        <v>13</v>
      </c>
      <c r="B290" s="5" t="s">
        <v>41</v>
      </c>
      <c r="C290" s="270"/>
      <c r="D290" s="270"/>
      <c r="E290" s="5"/>
      <c r="G290" s="5"/>
      <c r="H290" s="5" t="s">
        <v>42</v>
      </c>
      <c r="I290" s="270" t="s">
        <v>222</v>
      </c>
      <c r="J290" s="270"/>
      <c r="K290" s="270"/>
      <c r="M290" s="8"/>
      <c r="N290" s="8"/>
      <c r="O290"/>
      <c r="P290" s="8"/>
      <c r="Q290"/>
      <c r="R290" s="8"/>
    </row>
    <row r="291" spans="1:18" s="6" customFormat="1" hidden="1" x14ac:dyDescent="0.25">
      <c r="A291" t="s">
        <v>14</v>
      </c>
      <c r="B291" s="54"/>
      <c r="C291" s="5"/>
      <c r="F291" s="7"/>
      <c r="M291" s="8"/>
      <c r="N291" s="8"/>
      <c r="O291"/>
      <c r="P291" s="8"/>
      <c r="Q291"/>
      <c r="R291" s="8"/>
    </row>
    <row r="292" spans="1:18" s="6" customFormat="1" hidden="1" x14ac:dyDescent="0.25">
      <c r="A292" t="s">
        <v>16</v>
      </c>
      <c r="B292" s="54"/>
      <c r="C292" s="5"/>
      <c r="F292" s="7"/>
      <c r="M292" s="8"/>
      <c r="N292" s="8"/>
      <c r="O292"/>
      <c r="P292" s="8"/>
      <c r="Q292"/>
      <c r="R292" s="8"/>
    </row>
    <row r="293" spans="1:18" s="6" customFormat="1" hidden="1" x14ac:dyDescent="0.25">
      <c r="A293" t="s">
        <v>17</v>
      </c>
      <c r="B293" s="54"/>
      <c r="C293" s="5"/>
      <c r="F293" s="7"/>
      <c r="M293" s="8"/>
      <c r="N293" s="8"/>
      <c r="O293"/>
      <c r="P293" s="8"/>
      <c r="Q293"/>
      <c r="R293" s="8"/>
    </row>
    <row r="294" spans="1:18" s="6" customFormat="1" hidden="1" x14ac:dyDescent="0.25">
      <c r="A294" t="s">
        <v>21</v>
      </c>
      <c r="B294" s="54"/>
      <c r="C294" s="5"/>
      <c r="F294" s="7"/>
      <c r="M294" s="8"/>
      <c r="N294" s="8"/>
      <c r="O294"/>
      <c r="P294" s="8"/>
      <c r="Q294"/>
      <c r="R294" s="8"/>
    </row>
    <row r="295" spans="1:18" s="6" customFormat="1" hidden="1" x14ac:dyDescent="0.25">
      <c r="A295" t="s">
        <v>31</v>
      </c>
      <c r="B295" s="54"/>
      <c r="C295" s="5"/>
      <c r="F295" s="7"/>
      <c r="M295" s="8"/>
      <c r="N295" s="8"/>
      <c r="O295"/>
      <c r="P295" s="8"/>
      <c r="Q295"/>
      <c r="R295" s="8"/>
    </row>
    <row r="296" spans="1:18" x14ac:dyDescent="0.25">
      <c r="B296" s="254" t="s">
        <v>40</v>
      </c>
      <c r="C296" s="255"/>
      <c r="D296" s="255"/>
      <c r="E296" s="255"/>
      <c r="F296" s="255"/>
      <c r="G296" s="255"/>
      <c r="H296" s="255"/>
      <c r="I296" s="255"/>
      <c r="J296" s="255"/>
      <c r="K296" s="255"/>
      <c r="L296" s="256"/>
    </row>
    <row r="297" spans="1:18" ht="24.75" x14ac:dyDescent="0.3">
      <c r="B297" s="52" t="s">
        <v>38</v>
      </c>
      <c r="C297" s="121"/>
      <c r="D297" s="257" t="s">
        <v>35</v>
      </c>
      <c r="E297" s="258"/>
      <c r="F297" s="258"/>
      <c r="G297" s="258"/>
      <c r="H297" s="258"/>
      <c r="I297" s="258"/>
      <c r="J297" s="258"/>
      <c r="K297" s="258"/>
      <c r="L297" s="259"/>
    </row>
    <row r="298" spans="1:18" ht="24.75" x14ac:dyDescent="0.3">
      <c r="B298" s="52" t="s">
        <v>39</v>
      </c>
      <c r="C298" s="121"/>
      <c r="D298" s="260"/>
      <c r="E298" s="261"/>
      <c r="F298" s="261"/>
      <c r="G298" s="261"/>
      <c r="H298" s="261"/>
      <c r="I298" s="261"/>
      <c r="J298" s="261"/>
      <c r="K298" s="261"/>
      <c r="L298" s="262"/>
    </row>
    <row r="299" spans="1:18" x14ac:dyDescent="0.25">
      <c r="B299" s="53"/>
      <c r="C299" s="53"/>
      <c r="D299" s="18"/>
      <c r="E299" s="5"/>
      <c r="F299" s="6"/>
      <c r="G299" s="5"/>
      <c r="H299" s="53"/>
      <c r="I299" s="122"/>
    </row>
    <row r="300" spans="1:18" x14ac:dyDescent="0.25">
      <c r="B300" s="53"/>
      <c r="C300" s="53"/>
      <c r="D300" s="18"/>
      <c r="E300" s="5"/>
      <c r="F300" s="6"/>
      <c r="G300" s="5"/>
      <c r="H300" s="53"/>
      <c r="I300" s="122"/>
    </row>
    <row r="301" spans="1:18" x14ac:dyDescent="0.25">
      <c r="B301" s="269"/>
      <c r="C301" s="269"/>
      <c r="D301" s="269"/>
      <c r="E301" s="5"/>
      <c r="F301" s="6"/>
      <c r="G301" s="5"/>
      <c r="H301" s="269"/>
      <c r="I301" s="269"/>
      <c r="J301" s="269"/>
      <c r="K301" s="269"/>
    </row>
    <row r="302" spans="1:18" ht="18" customHeight="1" x14ac:dyDescent="0.25">
      <c r="B302" s="5" t="s">
        <v>41</v>
      </c>
      <c r="C302" s="270"/>
      <c r="D302" s="270"/>
      <c r="E302" s="5"/>
      <c r="F302" s="6"/>
      <c r="G302" s="5"/>
      <c r="H302" s="5" t="s">
        <v>42</v>
      </c>
      <c r="I302" s="270" t="s">
        <v>222</v>
      </c>
      <c r="J302" s="270"/>
      <c r="K302" s="270"/>
    </row>
  </sheetData>
  <sheetProtection formatCells="0" formatColumns="0" formatRows="0" insertColumns="0" insertRows="0" insertHyperlinks="0" deleteColumns="0" deleteRows="0" sort="0" autoFilter="0" pivotTables="0"/>
  <autoFilter ref="B12:L270"/>
  <mergeCells count="63">
    <mergeCell ref="E21:E29"/>
    <mergeCell ref="B2:L2"/>
    <mergeCell ref="B3:D3"/>
    <mergeCell ref="F3:I3"/>
    <mergeCell ref="J3:L3"/>
    <mergeCell ref="B5:C5"/>
    <mergeCell ref="B7:C7"/>
    <mergeCell ref="B9:C9"/>
    <mergeCell ref="B11:H11"/>
    <mergeCell ref="I11:J11"/>
    <mergeCell ref="K11:L11"/>
    <mergeCell ref="E13:E20"/>
    <mergeCell ref="E134:E145"/>
    <mergeCell ref="E30:E38"/>
    <mergeCell ref="E39:E46"/>
    <mergeCell ref="E47:E55"/>
    <mergeCell ref="E56:E64"/>
    <mergeCell ref="E65:E73"/>
    <mergeCell ref="E74:E82"/>
    <mergeCell ref="E83:E91"/>
    <mergeCell ref="E92:E102"/>
    <mergeCell ref="E103:E113"/>
    <mergeCell ref="E114:E122"/>
    <mergeCell ref="E123:E133"/>
    <mergeCell ref="E240:E245"/>
    <mergeCell ref="E146:E156"/>
    <mergeCell ref="E157:E166"/>
    <mergeCell ref="E167:E176"/>
    <mergeCell ref="E177:E181"/>
    <mergeCell ref="E182:E190"/>
    <mergeCell ref="E191:E198"/>
    <mergeCell ref="E199:E206"/>
    <mergeCell ref="E207:E212"/>
    <mergeCell ref="E213:E221"/>
    <mergeCell ref="E222:E230"/>
    <mergeCell ref="E231:E239"/>
    <mergeCell ref="B272:C276"/>
    <mergeCell ref="D272:L272"/>
    <mergeCell ref="D273:L273"/>
    <mergeCell ref="D274:L274"/>
    <mergeCell ref="D275:L275"/>
    <mergeCell ref="D276:L276"/>
    <mergeCell ref="E246:E251"/>
    <mergeCell ref="E252:E259"/>
    <mergeCell ref="E260:E268"/>
    <mergeCell ref="H269:J269"/>
    <mergeCell ref="K269:L269"/>
    <mergeCell ref="B277:L278"/>
    <mergeCell ref="B279:L279"/>
    <mergeCell ref="D280:L281"/>
    <mergeCell ref="B282:L283"/>
    <mergeCell ref="I290:K290"/>
    <mergeCell ref="D285:L286"/>
    <mergeCell ref="B289:D289"/>
    <mergeCell ref="H289:K289"/>
    <mergeCell ref="C290:D290"/>
    <mergeCell ref="B284:L284"/>
    <mergeCell ref="B296:L296"/>
    <mergeCell ref="D297:L298"/>
    <mergeCell ref="B301:D301"/>
    <mergeCell ref="H301:K301"/>
    <mergeCell ref="C302:D302"/>
    <mergeCell ref="I302:K302"/>
  </mergeCells>
  <conditionalFormatting sqref="L13:L268">
    <cfRule type="cellIs" dxfId="3" priority="1" operator="equal">
      <formula>1</formula>
    </cfRule>
    <cfRule type="cellIs" dxfId="2" priority="2" operator="greaterThan">
      <formula>1</formula>
    </cfRule>
  </conditionalFormatting>
  <dataValidations count="3">
    <dataValidation type="list" allowBlank="1" showInputMessage="1" showErrorMessage="1" sqref="D7">
      <formula1>$A$284:$A$295</formula1>
    </dataValidation>
    <dataValidation type="whole" allowBlank="1" showInputMessage="1" showErrorMessage="1" errorTitle="¡Error!" error="Introduzca un número válido." promptTitle="¡Atención!" prompt="Introduzca un número entre 0 y 366" sqref="H13:H268 H271">
      <formula1>0</formula1>
      <formula2>366</formula2>
    </dataValidation>
    <dataValidation type="whole" allowBlank="1" showInputMessage="1" showErrorMessage="1" errorTitle="¡Error!" error="Introduzca un número válido." promptTitle="¡Atención!" prompt="Introduzca un número entre 0 y 30" sqref="I13:I268">
      <formula1>0</formula1>
      <formula2>30</formula2>
    </dataValidation>
  </dataValidations>
  <pageMargins left="0.7" right="0.7" top="0.75" bottom="0.75" header="0.3" footer="0.3"/>
  <pageSetup scale="12"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03"/>
  <sheetViews>
    <sheetView showGridLines="0" view="pageBreakPreview" topLeftCell="A7" zoomScaleNormal="100" zoomScaleSheetLayoutView="100" workbookViewId="0">
      <selection activeCell="G12" sqref="G12"/>
    </sheetView>
  </sheetViews>
  <sheetFormatPr baseColWidth="10" defaultColWidth="8.5703125" defaultRowHeight="15" x14ac:dyDescent="0.25"/>
  <cols>
    <col min="1" max="1" width="3.42578125" style="8" customWidth="1"/>
    <col min="2" max="2" width="15.5703125" style="5" customWidth="1"/>
    <col min="3" max="3" width="8.5703125" style="5" customWidth="1"/>
    <col min="4" max="4" width="43.42578125" style="6" customWidth="1"/>
    <col min="5" max="5" width="16.85546875" style="6" bestFit="1" customWidth="1"/>
    <col min="6" max="6" width="31" style="7" customWidth="1"/>
    <col min="7" max="7" width="30.140625" style="6" customWidth="1"/>
    <col min="8" max="8" width="13.5703125" style="6" customWidth="1"/>
    <col min="9" max="9" width="13.42578125" style="6" customWidth="1"/>
    <col min="10" max="10" width="10.42578125" style="6" customWidth="1"/>
    <col min="11" max="12" width="12.42578125" style="6" customWidth="1"/>
    <col min="13" max="13" width="3.42578125" style="8" customWidth="1"/>
    <col min="14" max="14" width="16.42578125" style="8" customWidth="1"/>
    <col min="16" max="16" width="16.42578125" style="8" customWidth="1"/>
    <col min="17" max="17" width="0" hidden="1" customWidth="1"/>
    <col min="18" max="18" width="16.42578125" style="8" customWidth="1"/>
    <col min="19" max="16384" width="8.5703125" style="8"/>
  </cols>
  <sheetData>
    <row r="1" spans="2:17" ht="18" customHeight="1" x14ac:dyDescent="0.25">
      <c r="Q1" t="s">
        <v>0</v>
      </c>
    </row>
    <row r="2" spans="2:17" ht="49.5" customHeight="1" x14ac:dyDescent="0.25">
      <c r="B2" s="221" t="s">
        <v>1</v>
      </c>
      <c r="C2" s="221"/>
      <c r="D2" s="221"/>
      <c r="E2" s="221"/>
      <c r="F2" s="221"/>
      <c r="G2" s="221"/>
      <c r="H2" s="221"/>
      <c r="I2" s="221"/>
      <c r="J2" s="221"/>
      <c r="K2" s="221"/>
      <c r="L2" s="221"/>
      <c r="Q2" t="s">
        <v>2</v>
      </c>
    </row>
    <row r="3" spans="2:17" ht="18.75" customHeight="1" x14ac:dyDescent="0.25">
      <c r="B3" s="222" t="s">
        <v>3</v>
      </c>
      <c r="C3" s="223"/>
      <c r="D3" s="223"/>
      <c r="E3" s="58"/>
      <c r="F3" s="223" t="s">
        <v>4</v>
      </c>
      <c r="G3" s="223"/>
      <c r="H3" s="223"/>
      <c r="I3" s="223"/>
      <c r="J3" s="223" t="s">
        <v>5</v>
      </c>
      <c r="K3" s="223"/>
      <c r="L3" s="224"/>
    </row>
    <row r="4" spans="2:17" x14ac:dyDescent="0.25">
      <c r="B4" s="9"/>
      <c r="C4" s="57"/>
      <c r="L4" s="10"/>
      <c r="Q4" t="s">
        <v>6</v>
      </c>
    </row>
    <row r="5" spans="2:17" s="16" customFormat="1" ht="27.6" customHeight="1" x14ac:dyDescent="0.25">
      <c r="B5" s="225" t="s">
        <v>7</v>
      </c>
      <c r="C5" s="225"/>
      <c r="D5" s="11">
        <v>90141005</v>
      </c>
      <c r="E5"/>
      <c r="F5" s="12"/>
      <c r="G5" s="13"/>
      <c r="H5" s="14"/>
      <c r="I5" s="14"/>
      <c r="J5" s="14"/>
      <c r="K5" s="14"/>
      <c r="L5" s="15"/>
      <c r="O5"/>
      <c r="Q5" t="s">
        <v>8</v>
      </c>
    </row>
    <row r="6" spans="2:17" s="16" customFormat="1" x14ac:dyDescent="0.25">
      <c r="B6" s="17"/>
      <c r="C6" s="5"/>
      <c r="D6" s="14"/>
      <c r="E6"/>
      <c r="F6" s="18"/>
      <c r="G6" s="14"/>
      <c r="H6" s="14"/>
      <c r="I6" s="14"/>
      <c r="J6" s="14"/>
      <c r="K6" s="14"/>
      <c r="L6" s="15"/>
      <c r="O6"/>
      <c r="Q6" t="s">
        <v>11</v>
      </c>
    </row>
    <row r="7" spans="2:17" s="16" customFormat="1" x14ac:dyDescent="0.25">
      <c r="B7" s="225" t="s">
        <v>12</v>
      </c>
      <c r="C7" s="225"/>
      <c r="D7" s="19" t="s">
        <v>6</v>
      </c>
      <c r="E7"/>
      <c r="F7" s="20"/>
      <c r="G7" s="21"/>
      <c r="H7" s="14"/>
      <c r="I7" s="14"/>
      <c r="J7" s="14"/>
      <c r="K7" s="14"/>
      <c r="L7" s="15"/>
      <c r="O7"/>
      <c r="Q7" t="s">
        <v>13</v>
      </c>
    </row>
    <row r="8" spans="2:17" s="16" customFormat="1" x14ac:dyDescent="0.25">
      <c r="B8" s="22"/>
      <c r="C8" s="23"/>
      <c r="D8" s="24"/>
      <c r="E8"/>
      <c r="F8" s="20"/>
      <c r="G8" s="21"/>
      <c r="H8" s="14"/>
      <c r="I8" s="14"/>
      <c r="J8" s="14"/>
      <c r="K8" s="14"/>
      <c r="L8" s="15"/>
      <c r="O8"/>
      <c r="Q8" t="s">
        <v>14</v>
      </c>
    </row>
    <row r="9" spans="2:17" s="16" customFormat="1" x14ac:dyDescent="0.25">
      <c r="B9" s="225" t="s">
        <v>15</v>
      </c>
      <c r="C9" s="225"/>
      <c r="D9" s="25">
        <v>46081</v>
      </c>
      <c r="E9"/>
      <c r="F9" s="26"/>
      <c r="G9" s="27"/>
      <c r="H9" s="14"/>
      <c r="I9" s="14"/>
      <c r="J9" s="14"/>
      <c r="K9" s="14"/>
      <c r="L9" s="15"/>
      <c r="O9"/>
      <c r="Q9" t="s">
        <v>16</v>
      </c>
    </row>
    <row r="10" spans="2:17" x14ac:dyDescent="0.25">
      <c r="B10" s="28"/>
      <c r="C10" s="29"/>
      <c r="L10" s="30"/>
      <c r="Q10" t="s">
        <v>17</v>
      </c>
    </row>
    <row r="11" spans="2:17" s="31" customFormat="1" ht="26.85" customHeight="1" x14ac:dyDescent="0.25">
      <c r="B11" s="225" t="s">
        <v>18</v>
      </c>
      <c r="C11" s="225"/>
      <c r="D11" s="225"/>
      <c r="E11" s="225"/>
      <c r="F11" s="225"/>
      <c r="G11" s="225"/>
      <c r="H11" s="225"/>
      <c r="I11" s="225" t="s">
        <v>19</v>
      </c>
      <c r="J11" s="225"/>
      <c r="K11" s="225" t="s">
        <v>20</v>
      </c>
      <c r="L11" s="225"/>
      <c r="O11" s="32"/>
      <c r="Q11" s="32" t="s">
        <v>21</v>
      </c>
    </row>
    <row r="12" spans="2:17" s="31" customFormat="1" ht="57.6" customHeight="1" x14ac:dyDescent="0.25">
      <c r="B12" s="33" t="s">
        <v>22</v>
      </c>
      <c r="C12" s="33" t="s">
        <v>23</v>
      </c>
      <c r="D12" s="33" t="s">
        <v>24</v>
      </c>
      <c r="E12" s="33" t="s">
        <v>72</v>
      </c>
      <c r="F12" s="34" t="s">
        <v>25</v>
      </c>
      <c r="G12" s="209" t="s">
        <v>26</v>
      </c>
      <c r="H12" s="33" t="s">
        <v>27</v>
      </c>
      <c r="I12" s="33" t="s">
        <v>28</v>
      </c>
      <c r="J12" s="33" t="s">
        <v>29</v>
      </c>
      <c r="K12" s="33" t="s">
        <v>30</v>
      </c>
      <c r="L12" s="33" t="s">
        <v>29</v>
      </c>
      <c r="O12" s="32"/>
      <c r="Q12" s="32" t="s">
        <v>31</v>
      </c>
    </row>
    <row r="13" spans="2:17" x14ac:dyDescent="0.25">
      <c r="B13" s="35">
        <v>3</v>
      </c>
      <c r="C13" s="35" t="s">
        <v>43</v>
      </c>
      <c r="D13" s="37" t="s">
        <v>44</v>
      </c>
      <c r="E13" s="218" t="s">
        <v>73</v>
      </c>
      <c r="F13" s="210" t="s">
        <v>64</v>
      </c>
      <c r="G13" s="210" t="s">
        <v>65</v>
      </c>
      <c r="H13" s="89">
        <v>44</v>
      </c>
      <c r="I13" s="181">
        <v>4</v>
      </c>
      <c r="J13" s="67">
        <f>IFERROR(I13/H13,0)</f>
        <v>9.0909090909090912E-2</v>
      </c>
      <c r="K13" s="181">
        <f>+I13+'ENERO 2026'!K13</f>
        <v>37</v>
      </c>
      <c r="L13" s="92">
        <f>IFERROR(K13/H13,0)</f>
        <v>0.84090909090909094</v>
      </c>
    </row>
    <row r="14" spans="2:17" x14ac:dyDescent="0.25">
      <c r="B14" s="38">
        <v>3</v>
      </c>
      <c r="C14" s="38" t="s">
        <v>46</v>
      </c>
      <c r="D14" s="40" t="s">
        <v>47</v>
      </c>
      <c r="E14" s="219"/>
      <c r="F14" s="73" t="s">
        <v>66</v>
      </c>
      <c r="G14" s="73">
        <v>45962</v>
      </c>
      <c r="H14" s="2">
        <v>50</v>
      </c>
      <c r="I14" s="185">
        <v>1</v>
      </c>
      <c r="J14" s="69">
        <f>IFERROR(I14/H14,0)</f>
        <v>0.02</v>
      </c>
      <c r="K14" s="185">
        <f>+I14+'ENERO 2026'!K14</f>
        <v>50</v>
      </c>
      <c r="L14" s="94">
        <f>IFERROR(K14/H14,0)</f>
        <v>1</v>
      </c>
    </row>
    <row r="15" spans="2:17" x14ac:dyDescent="0.25">
      <c r="B15" s="38">
        <v>3</v>
      </c>
      <c r="C15" s="38" t="s">
        <v>49</v>
      </c>
      <c r="D15" s="40" t="s">
        <v>50</v>
      </c>
      <c r="E15" s="219"/>
      <c r="F15" s="73" t="s">
        <v>68</v>
      </c>
      <c r="G15" s="73" t="s">
        <v>65</v>
      </c>
      <c r="H15" s="3">
        <v>44</v>
      </c>
      <c r="I15" s="187">
        <v>3</v>
      </c>
      <c r="J15" s="69">
        <f t="shared" ref="J15:J78" si="0">IFERROR(I15/H15,0)</f>
        <v>6.8181818181818177E-2</v>
      </c>
      <c r="K15" s="187">
        <f>+I15+'ENERO 2026'!K15</f>
        <v>39</v>
      </c>
      <c r="L15" s="94">
        <f t="shared" ref="L15:L78" si="1">IFERROR(K15/H15,0)</f>
        <v>0.88636363636363635</v>
      </c>
    </row>
    <row r="16" spans="2:17" x14ac:dyDescent="0.25">
      <c r="B16" s="38">
        <v>3</v>
      </c>
      <c r="C16" s="38" t="s">
        <v>52</v>
      </c>
      <c r="D16" s="40" t="s">
        <v>53</v>
      </c>
      <c r="E16" s="219"/>
      <c r="F16" s="73" t="s">
        <v>54</v>
      </c>
      <c r="G16" s="73" t="s">
        <v>1444</v>
      </c>
      <c r="H16" s="3">
        <v>44</v>
      </c>
      <c r="I16" s="185">
        <v>2</v>
      </c>
      <c r="J16" s="69">
        <f t="shared" si="0"/>
        <v>4.5454545454545456E-2</v>
      </c>
      <c r="K16" s="185">
        <f>+I16+'ENERO 2026'!K16</f>
        <v>37</v>
      </c>
      <c r="L16" s="94">
        <f t="shared" si="1"/>
        <v>0.84090909090909094</v>
      </c>
    </row>
    <row r="17" spans="2:17" s="16" customFormat="1" x14ac:dyDescent="0.25">
      <c r="B17" s="38">
        <v>3</v>
      </c>
      <c r="C17" s="38" t="s">
        <v>55</v>
      </c>
      <c r="D17" s="40" t="s">
        <v>56</v>
      </c>
      <c r="E17" s="219"/>
      <c r="F17" s="73" t="s">
        <v>69</v>
      </c>
      <c r="G17" s="73" t="s">
        <v>65</v>
      </c>
      <c r="H17" s="3">
        <v>44</v>
      </c>
      <c r="I17" s="185">
        <v>1</v>
      </c>
      <c r="J17" s="69">
        <f t="shared" si="0"/>
        <v>2.2727272727272728E-2</v>
      </c>
      <c r="K17" s="185">
        <f>+I17+'ENERO 2026'!K17</f>
        <v>35</v>
      </c>
      <c r="L17" s="94">
        <f t="shared" si="1"/>
        <v>0.79545454545454541</v>
      </c>
      <c r="O17" s="41"/>
      <c r="Q17" s="41"/>
    </row>
    <row r="18" spans="2:17" x14ac:dyDescent="0.25">
      <c r="B18" s="38">
        <v>5</v>
      </c>
      <c r="C18" s="38" t="s">
        <v>57</v>
      </c>
      <c r="D18" s="40" t="s">
        <v>58</v>
      </c>
      <c r="E18" s="219"/>
      <c r="F18" s="73" t="s">
        <v>54</v>
      </c>
      <c r="G18" s="73" t="s">
        <v>203</v>
      </c>
      <c r="H18" s="3">
        <v>44</v>
      </c>
      <c r="I18" s="185">
        <v>8</v>
      </c>
      <c r="J18" s="69">
        <f t="shared" si="0"/>
        <v>0.18181818181818182</v>
      </c>
      <c r="K18" s="185">
        <f>+I18+'ENERO 2026'!K18</f>
        <v>44</v>
      </c>
      <c r="L18" s="94">
        <f t="shared" si="1"/>
        <v>1</v>
      </c>
    </row>
    <row r="19" spans="2:17" x14ac:dyDescent="0.25">
      <c r="B19" s="38">
        <v>5</v>
      </c>
      <c r="C19" s="38" t="s">
        <v>59</v>
      </c>
      <c r="D19" s="40" t="s">
        <v>60</v>
      </c>
      <c r="E19" s="219"/>
      <c r="F19" s="73" t="s">
        <v>70</v>
      </c>
      <c r="G19" s="73" t="s">
        <v>1445</v>
      </c>
      <c r="H19" s="3">
        <v>46</v>
      </c>
      <c r="I19" s="185">
        <v>6</v>
      </c>
      <c r="J19" s="69">
        <f t="shared" si="0"/>
        <v>0.13043478260869565</v>
      </c>
      <c r="K19" s="185">
        <f>+I19+'ENERO 2026'!K19</f>
        <v>45</v>
      </c>
      <c r="L19" s="94">
        <f t="shared" si="1"/>
        <v>0.97826086956521741</v>
      </c>
    </row>
    <row r="20" spans="2:17" x14ac:dyDescent="0.25">
      <c r="B20" s="42">
        <v>8</v>
      </c>
      <c r="C20" s="42" t="s">
        <v>61</v>
      </c>
      <c r="D20" s="44" t="s">
        <v>62</v>
      </c>
      <c r="E20" s="220"/>
      <c r="F20" s="211" t="s">
        <v>63</v>
      </c>
      <c r="G20" s="211" t="s">
        <v>1446</v>
      </c>
      <c r="H20" s="97">
        <v>44</v>
      </c>
      <c r="I20" s="190">
        <v>5</v>
      </c>
      <c r="J20" s="72">
        <f t="shared" si="0"/>
        <v>0.11363636363636363</v>
      </c>
      <c r="K20" s="190">
        <f>+I20+'ENERO 2026'!K20</f>
        <v>43</v>
      </c>
      <c r="L20" s="96">
        <f t="shared" si="1"/>
        <v>0.97727272727272729</v>
      </c>
    </row>
    <row r="21" spans="2:17" x14ac:dyDescent="0.25">
      <c r="B21" s="35">
        <v>3</v>
      </c>
      <c r="C21" s="36" t="s">
        <v>43</v>
      </c>
      <c r="D21" s="37" t="s">
        <v>44</v>
      </c>
      <c r="E21" s="218" t="s">
        <v>100</v>
      </c>
      <c r="F21" s="59" t="s">
        <v>1618</v>
      </c>
      <c r="G21" s="59" t="s">
        <v>1619</v>
      </c>
      <c r="H21" s="181">
        <v>40</v>
      </c>
      <c r="I21" s="181">
        <v>3</v>
      </c>
      <c r="J21" s="69">
        <f t="shared" si="0"/>
        <v>7.4999999999999997E-2</v>
      </c>
      <c r="K21" s="181">
        <f>+I21+'ENERO 2026'!K21</f>
        <v>37</v>
      </c>
      <c r="L21" s="94">
        <f t="shared" si="1"/>
        <v>0.92500000000000004</v>
      </c>
      <c r="N21"/>
      <c r="O21" s="8"/>
      <c r="P21"/>
      <c r="Q21" s="8"/>
    </row>
    <row r="22" spans="2:17" x14ac:dyDescent="0.25">
      <c r="B22" s="38">
        <v>3</v>
      </c>
      <c r="C22" s="39" t="s">
        <v>46</v>
      </c>
      <c r="D22" s="40" t="s">
        <v>47</v>
      </c>
      <c r="E22" s="219"/>
      <c r="F22" s="61" t="s">
        <v>1620</v>
      </c>
      <c r="G22" s="61" t="s">
        <v>1621</v>
      </c>
      <c r="H22" s="184">
        <v>40</v>
      </c>
      <c r="I22" s="185">
        <v>3</v>
      </c>
      <c r="J22" s="69">
        <f t="shared" si="0"/>
        <v>7.4999999999999997E-2</v>
      </c>
      <c r="K22" s="185">
        <f>+I22+'ENERO 2026'!K22</f>
        <v>37</v>
      </c>
      <c r="L22" s="94">
        <f t="shared" si="1"/>
        <v>0.92500000000000004</v>
      </c>
      <c r="N22"/>
      <c r="O22" s="8"/>
      <c r="P22"/>
      <c r="Q22" s="8"/>
    </row>
    <row r="23" spans="2:17" x14ac:dyDescent="0.25">
      <c r="B23" s="38">
        <v>3</v>
      </c>
      <c r="C23" s="39" t="s">
        <v>98</v>
      </c>
      <c r="D23" s="40" t="s">
        <v>99</v>
      </c>
      <c r="E23" s="219"/>
      <c r="F23" s="61" t="s">
        <v>1622</v>
      </c>
      <c r="G23" s="61" t="s">
        <v>1623</v>
      </c>
      <c r="H23" s="185">
        <v>40</v>
      </c>
      <c r="I23" s="187">
        <v>4</v>
      </c>
      <c r="J23" s="69">
        <f t="shared" si="0"/>
        <v>0.1</v>
      </c>
      <c r="K23" s="187">
        <f>+I23+'ENERO 2026'!K23</f>
        <v>37</v>
      </c>
      <c r="L23" s="94">
        <f t="shared" si="1"/>
        <v>0.92500000000000004</v>
      </c>
      <c r="N23"/>
      <c r="O23" s="8"/>
      <c r="P23"/>
      <c r="Q23" s="8"/>
    </row>
    <row r="24" spans="2:17" x14ac:dyDescent="0.25">
      <c r="B24" s="38">
        <v>3</v>
      </c>
      <c r="C24" s="39" t="s">
        <v>49</v>
      </c>
      <c r="D24" s="40" t="s">
        <v>50</v>
      </c>
      <c r="E24" s="219"/>
      <c r="F24" s="62" t="s">
        <v>1624</v>
      </c>
      <c r="G24" s="62" t="s">
        <v>1625</v>
      </c>
      <c r="H24" s="185">
        <v>40</v>
      </c>
      <c r="I24" s="185">
        <v>3</v>
      </c>
      <c r="J24" s="69">
        <f t="shared" si="0"/>
        <v>7.4999999999999997E-2</v>
      </c>
      <c r="K24" s="185">
        <f>+I24+'ENERO 2026'!K24</f>
        <v>37</v>
      </c>
      <c r="L24" s="94">
        <f t="shared" si="1"/>
        <v>0.92500000000000004</v>
      </c>
      <c r="N24"/>
      <c r="O24" s="8"/>
      <c r="P24"/>
      <c r="Q24" s="8"/>
    </row>
    <row r="25" spans="2:17" x14ac:dyDescent="0.25">
      <c r="B25" s="38">
        <v>3</v>
      </c>
      <c r="C25" s="39" t="s">
        <v>52</v>
      </c>
      <c r="D25" s="40" t="s">
        <v>53</v>
      </c>
      <c r="E25" s="219"/>
      <c r="F25" s="61" t="s">
        <v>1626</v>
      </c>
      <c r="G25" s="61" t="s">
        <v>1627</v>
      </c>
      <c r="H25" s="185">
        <v>40</v>
      </c>
      <c r="I25" s="185">
        <v>2</v>
      </c>
      <c r="J25" s="69">
        <f t="shared" si="0"/>
        <v>0.05</v>
      </c>
      <c r="K25" s="185">
        <f>+I25+'ENERO 2026'!K25</f>
        <v>36</v>
      </c>
      <c r="L25" s="94">
        <f t="shared" si="1"/>
        <v>0.9</v>
      </c>
      <c r="N25"/>
      <c r="O25" s="8"/>
      <c r="P25"/>
      <c r="Q25" s="8"/>
    </row>
    <row r="26" spans="2:17" s="16" customFormat="1" x14ac:dyDescent="0.25">
      <c r="B26" s="38">
        <v>3</v>
      </c>
      <c r="C26" s="39" t="s">
        <v>55</v>
      </c>
      <c r="D26" s="40" t="s">
        <v>56</v>
      </c>
      <c r="E26" s="219"/>
      <c r="F26" s="61" t="s">
        <v>1628</v>
      </c>
      <c r="G26" s="61" t="s">
        <v>1629</v>
      </c>
      <c r="H26" s="185">
        <v>40</v>
      </c>
      <c r="I26" s="185">
        <v>5</v>
      </c>
      <c r="J26" s="69">
        <f t="shared" si="0"/>
        <v>0.125</v>
      </c>
      <c r="K26" s="185">
        <f>+I26+'ENERO 2026'!K26</f>
        <v>36</v>
      </c>
      <c r="L26" s="94">
        <f t="shared" si="1"/>
        <v>0.9</v>
      </c>
      <c r="N26" s="41"/>
      <c r="P26" s="41"/>
    </row>
    <row r="27" spans="2:17" x14ac:dyDescent="0.25">
      <c r="B27" s="38">
        <v>5</v>
      </c>
      <c r="C27" s="39" t="s">
        <v>57</v>
      </c>
      <c r="D27" s="40" t="s">
        <v>58</v>
      </c>
      <c r="E27" s="219"/>
      <c r="F27" s="61" t="s">
        <v>1630</v>
      </c>
      <c r="G27" s="61" t="s">
        <v>1631</v>
      </c>
      <c r="H27" s="185">
        <v>40</v>
      </c>
      <c r="I27" s="185">
        <v>4</v>
      </c>
      <c r="J27" s="69">
        <f t="shared" si="0"/>
        <v>0.1</v>
      </c>
      <c r="K27" s="185">
        <f>+I27+'ENERO 2026'!K27</f>
        <v>38</v>
      </c>
      <c r="L27" s="94">
        <f t="shared" si="1"/>
        <v>0.95</v>
      </c>
      <c r="N27"/>
      <c r="O27" s="8"/>
      <c r="P27"/>
      <c r="Q27" s="8"/>
    </row>
    <row r="28" spans="2:17" x14ac:dyDescent="0.25">
      <c r="B28" s="38">
        <v>5</v>
      </c>
      <c r="C28" s="39" t="s">
        <v>59</v>
      </c>
      <c r="D28" s="40" t="s">
        <v>60</v>
      </c>
      <c r="E28" s="219"/>
      <c r="F28" s="62" t="s">
        <v>1632</v>
      </c>
      <c r="G28" s="62" t="s">
        <v>1633</v>
      </c>
      <c r="H28" s="185">
        <v>40</v>
      </c>
      <c r="I28" s="185">
        <v>3</v>
      </c>
      <c r="J28" s="69">
        <f t="shared" si="0"/>
        <v>7.4999999999999997E-2</v>
      </c>
      <c r="K28" s="185">
        <f>+I28+'ENERO 2026'!K28</f>
        <v>36</v>
      </c>
      <c r="L28" s="94">
        <f t="shared" si="1"/>
        <v>0.9</v>
      </c>
      <c r="N28"/>
      <c r="O28" s="8"/>
      <c r="P28"/>
      <c r="Q28" s="8"/>
    </row>
    <row r="29" spans="2:17" x14ac:dyDescent="0.25">
      <c r="B29" s="42">
        <v>8</v>
      </c>
      <c r="C29" s="43" t="s">
        <v>61</v>
      </c>
      <c r="D29" s="44" t="s">
        <v>62</v>
      </c>
      <c r="E29" s="220"/>
      <c r="F29" s="211" t="s">
        <v>681</v>
      </c>
      <c r="G29" s="211" t="s">
        <v>1325</v>
      </c>
      <c r="H29" s="190">
        <v>40</v>
      </c>
      <c r="I29" s="190">
        <v>3</v>
      </c>
      <c r="J29" s="72">
        <f t="shared" si="0"/>
        <v>7.4999999999999997E-2</v>
      </c>
      <c r="K29" s="190">
        <f>+I29+'ENERO 2026'!K29</f>
        <v>36</v>
      </c>
      <c r="L29" s="96">
        <f t="shared" si="1"/>
        <v>0.9</v>
      </c>
      <c r="N29"/>
      <c r="O29" s="8"/>
      <c r="P29"/>
      <c r="Q29" s="8"/>
    </row>
    <row r="30" spans="2:17" x14ac:dyDescent="0.25">
      <c r="B30" s="35">
        <v>1</v>
      </c>
      <c r="C30" s="36" t="s">
        <v>74</v>
      </c>
      <c r="D30" s="37" t="s">
        <v>226</v>
      </c>
      <c r="E30" s="218" t="s">
        <v>97</v>
      </c>
      <c r="F30" s="179" t="s">
        <v>1679</v>
      </c>
      <c r="G30" s="180" t="s">
        <v>76</v>
      </c>
      <c r="H30" s="191">
        <v>75</v>
      </c>
      <c r="I30" s="191">
        <v>6</v>
      </c>
      <c r="J30" s="69">
        <f t="shared" si="0"/>
        <v>0.08</v>
      </c>
      <c r="K30" s="181">
        <f>+I30+'ENERO 2026'!K30</f>
        <v>68</v>
      </c>
      <c r="L30" s="94">
        <f t="shared" si="1"/>
        <v>0.90666666666666662</v>
      </c>
      <c r="N30"/>
      <c r="O30" s="8"/>
      <c r="P30"/>
      <c r="Q30" s="8"/>
    </row>
    <row r="31" spans="2:17" x14ac:dyDescent="0.25">
      <c r="B31" s="38">
        <v>1</v>
      </c>
      <c r="C31" s="39" t="s">
        <v>77</v>
      </c>
      <c r="D31" s="40" t="s">
        <v>78</v>
      </c>
      <c r="E31" s="219"/>
      <c r="F31" s="182" t="s">
        <v>1386</v>
      </c>
      <c r="G31" s="192" t="s">
        <v>1680</v>
      </c>
      <c r="H31" s="193">
        <v>27</v>
      </c>
      <c r="I31" s="207">
        <v>2</v>
      </c>
      <c r="J31" s="69">
        <f t="shared" si="0"/>
        <v>7.407407407407407E-2</v>
      </c>
      <c r="K31" s="185">
        <f>+I31+'ENERO 2026'!K31</f>
        <v>25</v>
      </c>
      <c r="L31" s="94">
        <f t="shared" si="1"/>
        <v>0.92592592592592593</v>
      </c>
      <c r="N31"/>
      <c r="O31" s="8"/>
      <c r="P31"/>
      <c r="Q31" s="8"/>
    </row>
    <row r="32" spans="2:17" x14ac:dyDescent="0.25">
      <c r="B32" s="38">
        <v>1</v>
      </c>
      <c r="C32" s="39" t="s">
        <v>79</v>
      </c>
      <c r="D32" s="40" t="s">
        <v>1560</v>
      </c>
      <c r="E32" s="219"/>
      <c r="F32" s="182" t="s">
        <v>1681</v>
      </c>
      <c r="G32" s="186" t="s">
        <v>81</v>
      </c>
      <c r="H32" s="207">
        <v>40</v>
      </c>
      <c r="I32" s="194">
        <v>4</v>
      </c>
      <c r="J32" s="69">
        <f t="shared" si="0"/>
        <v>0.1</v>
      </c>
      <c r="K32" s="187">
        <f>+I32+'ENERO 2026'!K32</f>
        <v>37</v>
      </c>
      <c r="L32" s="94">
        <f t="shared" si="1"/>
        <v>0.92500000000000004</v>
      </c>
      <c r="N32"/>
      <c r="O32" s="8"/>
      <c r="P32"/>
      <c r="Q32" s="8"/>
    </row>
    <row r="33" spans="2:17" x14ac:dyDescent="0.25">
      <c r="B33" s="38">
        <v>1</v>
      </c>
      <c r="C33" s="39" t="s">
        <v>82</v>
      </c>
      <c r="D33" s="40" t="s">
        <v>83</v>
      </c>
      <c r="E33" s="219"/>
      <c r="F33" s="182" t="s">
        <v>897</v>
      </c>
      <c r="G33" s="186" t="s">
        <v>81</v>
      </c>
      <c r="H33" s="207">
        <v>35</v>
      </c>
      <c r="I33" s="207">
        <v>3</v>
      </c>
      <c r="J33" s="69">
        <f t="shared" si="0"/>
        <v>8.5714285714285715E-2</v>
      </c>
      <c r="K33" s="185">
        <f>+I33+'ENERO 2026'!K33</f>
        <v>32</v>
      </c>
      <c r="L33" s="94">
        <f t="shared" si="1"/>
        <v>0.91428571428571426</v>
      </c>
      <c r="N33"/>
      <c r="O33" s="8"/>
      <c r="P33"/>
      <c r="Q33" s="8"/>
    </row>
    <row r="34" spans="2:17" x14ac:dyDescent="0.25">
      <c r="B34" s="38">
        <v>1</v>
      </c>
      <c r="C34" s="39" t="s">
        <v>84</v>
      </c>
      <c r="D34" s="40" t="s">
        <v>85</v>
      </c>
      <c r="E34" s="219"/>
      <c r="F34" s="182" t="s">
        <v>1682</v>
      </c>
      <c r="G34" s="192" t="s">
        <v>1680</v>
      </c>
      <c r="H34" s="207">
        <v>40</v>
      </c>
      <c r="I34" s="207">
        <v>3</v>
      </c>
      <c r="J34" s="69">
        <f t="shared" si="0"/>
        <v>7.4999999999999997E-2</v>
      </c>
      <c r="K34" s="185">
        <f>+I34+'ENERO 2026'!K34</f>
        <v>36</v>
      </c>
      <c r="L34" s="94">
        <f t="shared" si="1"/>
        <v>0.9</v>
      </c>
      <c r="N34"/>
      <c r="O34" s="8"/>
      <c r="P34"/>
      <c r="Q34" s="8"/>
    </row>
    <row r="35" spans="2:17" s="16" customFormat="1" x14ac:dyDescent="0.25">
      <c r="B35" s="38">
        <v>1</v>
      </c>
      <c r="C35" s="39" t="s">
        <v>86</v>
      </c>
      <c r="D35" s="40" t="s">
        <v>87</v>
      </c>
      <c r="E35" s="219"/>
      <c r="F35" s="182" t="s">
        <v>1202</v>
      </c>
      <c r="G35" s="186" t="s">
        <v>88</v>
      </c>
      <c r="H35" s="207">
        <v>28</v>
      </c>
      <c r="I35" s="207">
        <v>3</v>
      </c>
      <c r="J35" s="69">
        <f t="shared" si="0"/>
        <v>0.10714285714285714</v>
      </c>
      <c r="K35" s="185">
        <f>+I35+'ENERO 2026'!K35</f>
        <v>26</v>
      </c>
      <c r="L35" s="94">
        <f t="shared" si="1"/>
        <v>0.9285714285714286</v>
      </c>
      <c r="N35" s="41"/>
      <c r="P35" s="41"/>
    </row>
    <row r="36" spans="2:17" x14ac:dyDescent="0.25">
      <c r="B36" s="38">
        <v>1</v>
      </c>
      <c r="C36" s="39" t="s">
        <v>89</v>
      </c>
      <c r="D36" s="40" t="s">
        <v>90</v>
      </c>
      <c r="E36" s="219"/>
      <c r="F36" s="182" t="s">
        <v>1683</v>
      </c>
      <c r="G36" s="186" t="s">
        <v>91</v>
      </c>
      <c r="H36" s="207">
        <v>25</v>
      </c>
      <c r="I36" s="207">
        <v>2</v>
      </c>
      <c r="J36" s="69">
        <f t="shared" si="0"/>
        <v>0.08</v>
      </c>
      <c r="K36" s="185">
        <f>+I36+'ENERO 2026'!K36</f>
        <v>23</v>
      </c>
      <c r="L36" s="94">
        <f t="shared" si="1"/>
        <v>0.92</v>
      </c>
      <c r="N36"/>
      <c r="O36" s="8"/>
      <c r="P36"/>
      <c r="Q36" s="8"/>
    </row>
    <row r="37" spans="2:17" x14ac:dyDescent="0.25">
      <c r="B37" s="38">
        <v>1</v>
      </c>
      <c r="C37" s="39" t="s">
        <v>92</v>
      </c>
      <c r="D37" s="40" t="s">
        <v>1561</v>
      </c>
      <c r="E37" s="219"/>
      <c r="F37" s="182" t="s">
        <v>1684</v>
      </c>
      <c r="G37" s="186" t="s">
        <v>94</v>
      </c>
      <c r="H37" s="207">
        <v>65</v>
      </c>
      <c r="I37" s="207">
        <v>5</v>
      </c>
      <c r="J37" s="69">
        <f t="shared" si="0"/>
        <v>7.6923076923076927E-2</v>
      </c>
      <c r="K37" s="185">
        <f>+I37+'ENERO 2026'!K37</f>
        <v>60</v>
      </c>
      <c r="L37" s="94">
        <f t="shared" si="1"/>
        <v>0.92307692307692313</v>
      </c>
      <c r="N37"/>
      <c r="O37" s="8"/>
      <c r="P37"/>
      <c r="Q37" s="8"/>
    </row>
    <row r="38" spans="2:17" x14ac:dyDescent="0.25">
      <c r="B38" s="42">
        <v>1</v>
      </c>
      <c r="C38" s="43" t="s">
        <v>95</v>
      </c>
      <c r="D38" s="44" t="s">
        <v>96</v>
      </c>
      <c r="E38" s="220"/>
      <c r="F38" s="188" t="s">
        <v>1050</v>
      </c>
      <c r="G38" s="189" t="s">
        <v>94</v>
      </c>
      <c r="H38" s="208">
        <v>25</v>
      </c>
      <c r="I38" s="208">
        <v>2</v>
      </c>
      <c r="J38" s="72">
        <f t="shared" si="0"/>
        <v>0.08</v>
      </c>
      <c r="K38" s="190">
        <f>+I38+'ENERO 2026'!K38</f>
        <v>23</v>
      </c>
      <c r="L38" s="96">
        <f t="shared" si="1"/>
        <v>0.92</v>
      </c>
      <c r="N38"/>
      <c r="O38" s="8"/>
      <c r="P38"/>
      <c r="Q38" s="8"/>
    </row>
    <row r="39" spans="2:17" x14ac:dyDescent="0.25">
      <c r="B39" s="35">
        <v>3</v>
      </c>
      <c r="C39" s="36" t="s">
        <v>43</v>
      </c>
      <c r="D39" s="37" t="s">
        <v>44</v>
      </c>
      <c r="E39" s="218" t="s">
        <v>103</v>
      </c>
      <c r="F39" s="179" t="s">
        <v>1656</v>
      </c>
      <c r="G39" s="180" t="s">
        <v>101</v>
      </c>
      <c r="H39" s="181">
        <v>45</v>
      </c>
      <c r="I39" s="181">
        <v>3</v>
      </c>
      <c r="J39" s="69">
        <f t="shared" si="0"/>
        <v>6.6666666666666666E-2</v>
      </c>
      <c r="K39" s="181">
        <f>+I39+'ENERO 2026'!K39</f>
        <v>42</v>
      </c>
      <c r="L39" s="94">
        <f t="shared" si="1"/>
        <v>0.93333333333333335</v>
      </c>
      <c r="N39"/>
      <c r="O39" s="8"/>
      <c r="P39"/>
      <c r="Q39" s="8"/>
    </row>
    <row r="40" spans="2:17" x14ac:dyDescent="0.25">
      <c r="B40" s="38">
        <v>3</v>
      </c>
      <c r="C40" s="39" t="s">
        <v>46</v>
      </c>
      <c r="D40" s="40" t="s">
        <v>47</v>
      </c>
      <c r="E40" s="219"/>
      <c r="F40" s="182" t="s">
        <v>689</v>
      </c>
      <c r="G40" s="192" t="s">
        <v>101</v>
      </c>
      <c r="H40" s="184">
        <v>45</v>
      </c>
      <c r="I40" s="185">
        <v>5</v>
      </c>
      <c r="J40" s="69">
        <f t="shared" si="0"/>
        <v>0.1111111111111111</v>
      </c>
      <c r="K40" s="185">
        <f>+I40+'ENERO 2026'!K40</f>
        <v>42</v>
      </c>
      <c r="L40" s="94">
        <f t="shared" si="1"/>
        <v>0.93333333333333335</v>
      </c>
      <c r="N40"/>
      <c r="O40" s="8"/>
      <c r="P40"/>
      <c r="Q40" s="8"/>
    </row>
    <row r="41" spans="2:17" x14ac:dyDescent="0.25">
      <c r="B41" s="38">
        <v>3</v>
      </c>
      <c r="C41" s="39" t="s">
        <v>49</v>
      </c>
      <c r="D41" s="40" t="s">
        <v>50</v>
      </c>
      <c r="E41" s="219"/>
      <c r="F41" s="182" t="s">
        <v>240</v>
      </c>
      <c r="G41" s="186" t="s">
        <v>101</v>
      </c>
      <c r="H41" s="185">
        <v>45</v>
      </c>
      <c r="I41" s="187">
        <v>4</v>
      </c>
      <c r="J41" s="69">
        <f t="shared" si="0"/>
        <v>8.8888888888888892E-2</v>
      </c>
      <c r="K41" s="187">
        <f>+I41+'ENERO 2026'!K41</f>
        <v>41</v>
      </c>
      <c r="L41" s="94">
        <f t="shared" si="1"/>
        <v>0.91111111111111109</v>
      </c>
      <c r="N41"/>
      <c r="O41" s="8"/>
      <c r="P41"/>
      <c r="Q41" s="8"/>
    </row>
    <row r="42" spans="2:17" x14ac:dyDescent="0.25">
      <c r="B42" s="38">
        <v>3</v>
      </c>
      <c r="C42" s="39" t="s">
        <v>52</v>
      </c>
      <c r="D42" s="40" t="s">
        <v>53</v>
      </c>
      <c r="E42" s="219"/>
      <c r="F42" s="182" t="s">
        <v>170</v>
      </c>
      <c r="G42" s="186" t="s">
        <v>101</v>
      </c>
      <c r="H42" s="185">
        <v>45</v>
      </c>
      <c r="I42" s="185">
        <v>4</v>
      </c>
      <c r="J42" s="69">
        <f t="shared" si="0"/>
        <v>8.8888888888888892E-2</v>
      </c>
      <c r="K42" s="185">
        <f>+I42+'ENERO 2026'!K42</f>
        <v>41</v>
      </c>
      <c r="L42" s="94">
        <f t="shared" si="1"/>
        <v>0.91111111111111109</v>
      </c>
      <c r="N42"/>
      <c r="O42" s="8"/>
      <c r="P42"/>
      <c r="Q42" s="8"/>
    </row>
    <row r="43" spans="2:17" s="16" customFormat="1" x14ac:dyDescent="0.25">
      <c r="B43" s="38">
        <v>3</v>
      </c>
      <c r="C43" s="39" t="s">
        <v>55</v>
      </c>
      <c r="D43" s="40" t="s">
        <v>56</v>
      </c>
      <c r="E43" s="219"/>
      <c r="F43" s="182" t="s">
        <v>1223</v>
      </c>
      <c r="G43" s="192" t="s">
        <v>101</v>
      </c>
      <c r="H43" s="185">
        <v>45</v>
      </c>
      <c r="I43" s="185">
        <v>3</v>
      </c>
      <c r="J43" s="69">
        <f t="shared" si="0"/>
        <v>6.6666666666666666E-2</v>
      </c>
      <c r="K43" s="185">
        <f>+I43+'ENERO 2026'!K43</f>
        <v>42</v>
      </c>
      <c r="L43" s="94">
        <f t="shared" si="1"/>
        <v>0.93333333333333335</v>
      </c>
      <c r="N43" s="41"/>
      <c r="P43" s="41"/>
    </row>
    <row r="44" spans="2:17" x14ac:dyDescent="0.25">
      <c r="B44" s="38">
        <v>5</v>
      </c>
      <c r="C44" s="39" t="s">
        <v>57</v>
      </c>
      <c r="D44" s="40" t="s">
        <v>58</v>
      </c>
      <c r="E44" s="219"/>
      <c r="F44" s="182" t="s">
        <v>241</v>
      </c>
      <c r="G44" s="186" t="s">
        <v>101</v>
      </c>
      <c r="H44" s="185">
        <v>45</v>
      </c>
      <c r="I44" s="185">
        <v>4</v>
      </c>
      <c r="J44" s="69">
        <f t="shared" si="0"/>
        <v>8.8888888888888892E-2</v>
      </c>
      <c r="K44" s="185">
        <f>+I44+'ENERO 2026'!K44</f>
        <v>40</v>
      </c>
      <c r="L44" s="94">
        <f t="shared" si="1"/>
        <v>0.88888888888888884</v>
      </c>
      <c r="N44"/>
      <c r="O44" s="8"/>
      <c r="P44"/>
      <c r="Q44" s="8"/>
    </row>
    <row r="45" spans="2:17" x14ac:dyDescent="0.25">
      <c r="B45" s="38">
        <v>5</v>
      </c>
      <c r="C45" s="39" t="s">
        <v>59</v>
      </c>
      <c r="D45" s="40" t="s">
        <v>60</v>
      </c>
      <c r="E45" s="219"/>
      <c r="F45" s="182" t="s">
        <v>102</v>
      </c>
      <c r="G45" s="186" t="s">
        <v>101</v>
      </c>
      <c r="H45" s="185">
        <v>45</v>
      </c>
      <c r="I45" s="185">
        <v>3</v>
      </c>
      <c r="J45" s="69">
        <f t="shared" si="0"/>
        <v>6.6666666666666666E-2</v>
      </c>
      <c r="K45" s="185">
        <f>+I45+'ENERO 2026'!K45</f>
        <v>42</v>
      </c>
      <c r="L45" s="94">
        <f t="shared" si="1"/>
        <v>0.93333333333333335</v>
      </c>
      <c r="N45"/>
      <c r="O45" s="8"/>
      <c r="P45"/>
      <c r="Q45" s="8"/>
    </row>
    <row r="46" spans="2:17" x14ac:dyDescent="0.25">
      <c r="B46" s="42">
        <v>8</v>
      </c>
      <c r="C46" s="43" t="s">
        <v>61</v>
      </c>
      <c r="D46" s="44" t="s">
        <v>62</v>
      </c>
      <c r="E46" s="220"/>
      <c r="F46" s="188" t="s">
        <v>212</v>
      </c>
      <c r="G46" s="186" t="s">
        <v>101</v>
      </c>
      <c r="H46" s="190">
        <v>45</v>
      </c>
      <c r="I46" s="190">
        <v>4</v>
      </c>
      <c r="J46" s="72">
        <f t="shared" si="0"/>
        <v>8.8888888888888892E-2</v>
      </c>
      <c r="K46" s="190">
        <f>+I46+'ENERO 2026'!K46</f>
        <v>40</v>
      </c>
      <c r="L46" s="96">
        <f t="shared" si="1"/>
        <v>0.88888888888888884</v>
      </c>
      <c r="N46"/>
      <c r="O46" s="8"/>
      <c r="P46"/>
      <c r="Q46" s="8"/>
    </row>
    <row r="47" spans="2:17" x14ac:dyDescent="0.25">
      <c r="B47" s="153">
        <v>3</v>
      </c>
      <c r="C47" s="154" t="s">
        <v>43</v>
      </c>
      <c r="D47" s="155" t="s">
        <v>44</v>
      </c>
      <c r="E47" s="281" t="s">
        <v>108</v>
      </c>
      <c r="F47" s="180" t="s">
        <v>172</v>
      </c>
      <c r="G47" s="180" t="s">
        <v>172</v>
      </c>
      <c r="H47" s="181">
        <v>20</v>
      </c>
      <c r="I47" s="181"/>
      <c r="J47" s="69">
        <f t="shared" si="0"/>
        <v>0</v>
      </c>
      <c r="K47" s="181">
        <f>+I47+'ENERO 2026'!K47</f>
        <v>20</v>
      </c>
      <c r="L47" s="94">
        <f t="shared" si="1"/>
        <v>1</v>
      </c>
      <c r="N47"/>
      <c r="O47" s="8"/>
      <c r="P47"/>
      <c r="Q47" s="8"/>
    </row>
    <row r="48" spans="2:17" x14ac:dyDescent="0.25">
      <c r="B48" s="156">
        <v>3</v>
      </c>
      <c r="C48" s="157" t="s">
        <v>46</v>
      </c>
      <c r="D48" s="158" t="s">
        <v>47</v>
      </c>
      <c r="E48" s="282"/>
      <c r="F48" s="186" t="s">
        <v>172</v>
      </c>
      <c r="G48" s="186" t="s">
        <v>172</v>
      </c>
      <c r="H48" s="184">
        <v>20</v>
      </c>
      <c r="I48" s="185"/>
      <c r="J48" s="69">
        <f t="shared" si="0"/>
        <v>0</v>
      </c>
      <c r="K48" s="185">
        <f>+I48+'ENERO 2026'!K48</f>
        <v>20</v>
      </c>
      <c r="L48" s="94">
        <f t="shared" si="1"/>
        <v>1</v>
      </c>
      <c r="N48"/>
      <c r="O48" s="8"/>
      <c r="P48"/>
      <c r="Q48" s="8"/>
    </row>
    <row r="49" spans="2:17" x14ac:dyDescent="0.25">
      <c r="B49" s="156">
        <v>3</v>
      </c>
      <c r="C49" s="157" t="s">
        <v>98</v>
      </c>
      <c r="D49" s="158" t="s">
        <v>99</v>
      </c>
      <c r="E49" s="282"/>
      <c r="F49" s="183" t="s">
        <v>172</v>
      </c>
      <c r="G49" s="183" t="s">
        <v>172</v>
      </c>
      <c r="H49" s="185">
        <v>20</v>
      </c>
      <c r="I49" s="187"/>
      <c r="J49" s="69">
        <f t="shared" si="0"/>
        <v>0</v>
      </c>
      <c r="K49" s="187">
        <f>+I49+'ENERO 2026'!K49</f>
        <v>20</v>
      </c>
      <c r="L49" s="94">
        <f t="shared" si="1"/>
        <v>1</v>
      </c>
      <c r="N49"/>
      <c r="O49" s="8"/>
      <c r="P49"/>
      <c r="Q49" s="8"/>
    </row>
    <row r="50" spans="2:17" x14ac:dyDescent="0.25">
      <c r="B50" s="156">
        <v>3</v>
      </c>
      <c r="C50" s="157" t="s">
        <v>49</v>
      </c>
      <c r="D50" s="158" t="s">
        <v>50</v>
      </c>
      <c r="E50" s="282"/>
      <c r="F50" s="183" t="s">
        <v>172</v>
      </c>
      <c r="G50" s="183" t="s">
        <v>172</v>
      </c>
      <c r="H50" s="185">
        <v>20</v>
      </c>
      <c r="I50" s="185"/>
      <c r="J50" s="69">
        <f t="shared" si="0"/>
        <v>0</v>
      </c>
      <c r="K50" s="185">
        <f>+I50+'ENERO 2026'!K50</f>
        <v>20</v>
      </c>
      <c r="L50" s="94">
        <f t="shared" si="1"/>
        <v>1</v>
      </c>
      <c r="N50"/>
      <c r="O50" s="8"/>
      <c r="P50"/>
      <c r="Q50" s="8"/>
    </row>
    <row r="51" spans="2:17" x14ac:dyDescent="0.25">
      <c r="B51" s="156">
        <v>3</v>
      </c>
      <c r="C51" s="157" t="s">
        <v>52</v>
      </c>
      <c r="D51" s="158" t="s">
        <v>53</v>
      </c>
      <c r="E51" s="282"/>
      <c r="F51" s="186" t="s">
        <v>172</v>
      </c>
      <c r="G51" s="186" t="s">
        <v>172</v>
      </c>
      <c r="H51" s="185">
        <v>20</v>
      </c>
      <c r="I51" s="185"/>
      <c r="J51" s="69">
        <f t="shared" si="0"/>
        <v>0</v>
      </c>
      <c r="K51" s="185">
        <f>+I51+'ENERO 2026'!K51</f>
        <v>20</v>
      </c>
      <c r="L51" s="94">
        <f t="shared" si="1"/>
        <v>1</v>
      </c>
      <c r="N51"/>
      <c r="O51" s="8"/>
      <c r="P51"/>
      <c r="Q51" s="8"/>
    </row>
    <row r="52" spans="2:17" s="16" customFormat="1" x14ac:dyDescent="0.25">
      <c r="B52" s="156">
        <v>3</v>
      </c>
      <c r="C52" s="157" t="s">
        <v>55</v>
      </c>
      <c r="D52" s="158" t="s">
        <v>56</v>
      </c>
      <c r="E52" s="282"/>
      <c r="F52" s="186" t="s">
        <v>172</v>
      </c>
      <c r="G52" s="186" t="s">
        <v>172</v>
      </c>
      <c r="H52" s="185">
        <v>20</v>
      </c>
      <c r="I52" s="185"/>
      <c r="J52" s="69">
        <f t="shared" si="0"/>
        <v>0</v>
      </c>
      <c r="K52" s="185">
        <f>+I52+'ENERO 2026'!K52</f>
        <v>20</v>
      </c>
      <c r="L52" s="94">
        <f t="shared" si="1"/>
        <v>1</v>
      </c>
      <c r="N52" s="41"/>
      <c r="P52" s="41"/>
    </row>
    <row r="53" spans="2:17" x14ac:dyDescent="0.25">
      <c r="B53" s="156">
        <v>5</v>
      </c>
      <c r="C53" s="157" t="s">
        <v>57</v>
      </c>
      <c r="D53" s="158" t="s">
        <v>58</v>
      </c>
      <c r="E53" s="282"/>
      <c r="F53" s="186" t="s">
        <v>172</v>
      </c>
      <c r="G53" s="186" t="s">
        <v>172</v>
      </c>
      <c r="H53" s="185">
        <v>20</v>
      </c>
      <c r="I53" s="185"/>
      <c r="J53" s="69">
        <f t="shared" si="0"/>
        <v>0</v>
      </c>
      <c r="K53" s="185">
        <f>+I53+'ENERO 2026'!K53</f>
        <v>20</v>
      </c>
      <c r="L53" s="94">
        <f t="shared" si="1"/>
        <v>1</v>
      </c>
      <c r="N53"/>
      <c r="O53" s="8"/>
      <c r="P53"/>
      <c r="Q53" s="8"/>
    </row>
    <row r="54" spans="2:17" x14ac:dyDescent="0.25">
      <c r="B54" s="156">
        <v>5</v>
      </c>
      <c r="C54" s="157" t="s">
        <v>59</v>
      </c>
      <c r="D54" s="158" t="s">
        <v>60</v>
      </c>
      <c r="E54" s="282"/>
      <c r="F54" s="186" t="s">
        <v>172</v>
      </c>
      <c r="G54" s="186" t="s">
        <v>172</v>
      </c>
      <c r="H54" s="185">
        <v>20</v>
      </c>
      <c r="I54" s="185"/>
      <c r="J54" s="69">
        <f t="shared" si="0"/>
        <v>0</v>
      </c>
      <c r="K54" s="185">
        <f>+I54+'ENERO 2026'!K54</f>
        <v>20</v>
      </c>
      <c r="L54" s="94">
        <f t="shared" si="1"/>
        <v>1</v>
      </c>
      <c r="N54"/>
      <c r="O54" s="8"/>
      <c r="P54"/>
      <c r="Q54" s="8"/>
    </row>
    <row r="55" spans="2:17" x14ac:dyDescent="0.25">
      <c r="B55" s="159">
        <v>8</v>
      </c>
      <c r="C55" s="160" t="s">
        <v>61</v>
      </c>
      <c r="D55" s="161" t="s">
        <v>62</v>
      </c>
      <c r="E55" s="283"/>
      <c r="F55" s="189" t="s">
        <v>172</v>
      </c>
      <c r="G55" s="189" t="s">
        <v>172</v>
      </c>
      <c r="H55" s="190">
        <v>20</v>
      </c>
      <c r="I55" s="190"/>
      <c r="J55" s="72">
        <f t="shared" si="0"/>
        <v>0</v>
      </c>
      <c r="K55" s="190">
        <f>+I55+'ENERO 2026'!K55</f>
        <v>20</v>
      </c>
      <c r="L55" s="96">
        <f t="shared" si="1"/>
        <v>1</v>
      </c>
      <c r="N55"/>
      <c r="O55" s="8"/>
      <c r="P55"/>
      <c r="Q55" s="8"/>
    </row>
    <row r="56" spans="2:17" x14ac:dyDescent="0.25">
      <c r="B56" s="153">
        <v>3</v>
      </c>
      <c r="C56" s="154" t="s">
        <v>43</v>
      </c>
      <c r="D56" s="155" t="s">
        <v>44</v>
      </c>
      <c r="E56" s="281" t="s">
        <v>171</v>
      </c>
      <c r="F56" s="180" t="s">
        <v>172</v>
      </c>
      <c r="G56" s="180" t="s">
        <v>172</v>
      </c>
      <c r="H56" s="195">
        <v>18</v>
      </c>
      <c r="I56" s="191"/>
      <c r="J56" s="69">
        <f t="shared" si="0"/>
        <v>0</v>
      </c>
      <c r="K56" s="191">
        <f>+I56+'ENERO 2026'!K56</f>
        <v>18</v>
      </c>
      <c r="L56" s="94">
        <f t="shared" si="1"/>
        <v>1</v>
      </c>
      <c r="N56"/>
      <c r="O56" s="8"/>
      <c r="P56"/>
      <c r="Q56" s="8"/>
    </row>
    <row r="57" spans="2:17" x14ac:dyDescent="0.25">
      <c r="B57" s="156">
        <v>3</v>
      </c>
      <c r="C57" s="157" t="s">
        <v>46</v>
      </c>
      <c r="D57" s="158" t="s">
        <v>47</v>
      </c>
      <c r="E57" s="282"/>
      <c r="F57" s="186" t="s">
        <v>172</v>
      </c>
      <c r="G57" s="186" t="s">
        <v>172</v>
      </c>
      <c r="H57" s="196">
        <v>36</v>
      </c>
      <c r="I57" s="207"/>
      <c r="J57" s="69">
        <f t="shared" si="0"/>
        <v>0</v>
      </c>
      <c r="K57" s="207">
        <f>+I57+'ENERO 2026'!K57</f>
        <v>36</v>
      </c>
      <c r="L57" s="94">
        <f t="shared" si="1"/>
        <v>1</v>
      </c>
      <c r="N57"/>
      <c r="O57" s="8"/>
      <c r="P57"/>
      <c r="Q57" s="8"/>
    </row>
    <row r="58" spans="2:17" x14ac:dyDescent="0.25">
      <c r="B58" s="156">
        <v>3</v>
      </c>
      <c r="C58" s="157" t="s">
        <v>98</v>
      </c>
      <c r="D58" s="158" t="s">
        <v>99</v>
      </c>
      <c r="E58" s="282"/>
      <c r="F58" s="183" t="s">
        <v>172</v>
      </c>
      <c r="G58" s="183" t="s">
        <v>172</v>
      </c>
      <c r="H58" s="197">
        <v>12</v>
      </c>
      <c r="I58" s="194"/>
      <c r="J58" s="69">
        <f t="shared" si="0"/>
        <v>0</v>
      </c>
      <c r="K58" s="194">
        <f>+I58+'ENERO 2026'!K58</f>
        <v>12</v>
      </c>
      <c r="L58" s="94">
        <f t="shared" si="1"/>
        <v>1</v>
      </c>
      <c r="N58"/>
      <c r="O58" s="8"/>
      <c r="P58"/>
      <c r="Q58" s="8"/>
    </row>
    <row r="59" spans="2:17" x14ac:dyDescent="0.25">
      <c r="B59" s="156">
        <v>3</v>
      </c>
      <c r="C59" s="157" t="s">
        <v>49</v>
      </c>
      <c r="D59" s="158" t="s">
        <v>50</v>
      </c>
      <c r="E59" s="282"/>
      <c r="F59" s="183" t="s">
        <v>172</v>
      </c>
      <c r="G59" s="183" t="s">
        <v>172</v>
      </c>
      <c r="H59" s="197">
        <v>36</v>
      </c>
      <c r="I59" s="207"/>
      <c r="J59" s="69">
        <f t="shared" si="0"/>
        <v>0</v>
      </c>
      <c r="K59" s="207">
        <f>+I59+'ENERO 2026'!K59</f>
        <v>36</v>
      </c>
      <c r="L59" s="94">
        <f t="shared" si="1"/>
        <v>1</v>
      </c>
      <c r="N59"/>
      <c r="O59" s="8"/>
      <c r="P59"/>
      <c r="Q59" s="8"/>
    </row>
    <row r="60" spans="2:17" x14ac:dyDescent="0.25">
      <c r="B60" s="156">
        <v>3</v>
      </c>
      <c r="C60" s="157" t="s">
        <v>52</v>
      </c>
      <c r="D60" s="158" t="s">
        <v>53</v>
      </c>
      <c r="E60" s="282"/>
      <c r="F60" s="186" t="s">
        <v>172</v>
      </c>
      <c r="G60" s="186" t="s">
        <v>172</v>
      </c>
      <c r="H60" s="197">
        <v>18</v>
      </c>
      <c r="I60" s="207"/>
      <c r="J60" s="69">
        <f t="shared" si="0"/>
        <v>0</v>
      </c>
      <c r="K60" s="207">
        <f>+I60+'ENERO 2026'!K60</f>
        <v>18</v>
      </c>
      <c r="L60" s="94">
        <f t="shared" si="1"/>
        <v>1</v>
      </c>
      <c r="N60"/>
      <c r="O60" s="8"/>
      <c r="P60"/>
      <c r="Q60" s="8"/>
    </row>
    <row r="61" spans="2:17" s="16" customFormat="1" x14ac:dyDescent="0.25">
      <c r="B61" s="156">
        <v>3</v>
      </c>
      <c r="C61" s="157" t="s">
        <v>55</v>
      </c>
      <c r="D61" s="158" t="s">
        <v>56</v>
      </c>
      <c r="E61" s="282"/>
      <c r="F61" s="186" t="s">
        <v>172</v>
      </c>
      <c r="G61" s="186" t="s">
        <v>172</v>
      </c>
      <c r="H61" s="197">
        <v>18</v>
      </c>
      <c r="I61" s="207"/>
      <c r="J61" s="69">
        <f t="shared" si="0"/>
        <v>0</v>
      </c>
      <c r="K61" s="207">
        <f>+I61+'ENERO 2026'!K61</f>
        <v>18</v>
      </c>
      <c r="L61" s="94">
        <f t="shared" si="1"/>
        <v>1</v>
      </c>
      <c r="N61" s="41"/>
      <c r="P61" s="41"/>
    </row>
    <row r="62" spans="2:17" x14ac:dyDescent="0.25">
      <c r="B62" s="156">
        <v>5</v>
      </c>
      <c r="C62" s="157" t="s">
        <v>57</v>
      </c>
      <c r="D62" s="158" t="s">
        <v>58</v>
      </c>
      <c r="E62" s="282"/>
      <c r="F62" s="186" t="s">
        <v>172</v>
      </c>
      <c r="G62" s="186" t="s">
        <v>172</v>
      </c>
      <c r="H62" s="197">
        <v>12</v>
      </c>
      <c r="I62" s="207"/>
      <c r="J62" s="69">
        <f t="shared" si="0"/>
        <v>0</v>
      </c>
      <c r="K62" s="207">
        <f>+I62+'ENERO 2026'!K62</f>
        <v>12</v>
      </c>
      <c r="L62" s="94">
        <f t="shared" si="1"/>
        <v>1</v>
      </c>
      <c r="N62"/>
      <c r="O62" s="8"/>
      <c r="P62"/>
      <c r="Q62" s="8"/>
    </row>
    <row r="63" spans="2:17" x14ac:dyDescent="0.25">
      <c r="B63" s="156">
        <v>5</v>
      </c>
      <c r="C63" s="157" t="s">
        <v>59</v>
      </c>
      <c r="D63" s="158" t="s">
        <v>60</v>
      </c>
      <c r="E63" s="282"/>
      <c r="F63" s="186" t="s">
        <v>172</v>
      </c>
      <c r="G63" s="186" t="s">
        <v>172</v>
      </c>
      <c r="H63" s="197">
        <v>18</v>
      </c>
      <c r="I63" s="207"/>
      <c r="J63" s="69">
        <f t="shared" si="0"/>
        <v>0</v>
      </c>
      <c r="K63" s="207">
        <f>+I63+'ENERO 2026'!K63</f>
        <v>18</v>
      </c>
      <c r="L63" s="94">
        <f t="shared" si="1"/>
        <v>1</v>
      </c>
      <c r="N63"/>
      <c r="O63" s="8"/>
      <c r="P63"/>
      <c r="Q63" s="8"/>
    </row>
    <row r="64" spans="2:17" x14ac:dyDescent="0.25">
      <c r="B64" s="159">
        <v>8</v>
      </c>
      <c r="C64" s="160" t="s">
        <v>61</v>
      </c>
      <c r="D64" s="161" t="s">
        <v>62</v>
      </c>
      <c r="E64" s="283"/>
      <c r="F64" s="189" t="s">
        <v>172</v>
      </c>
      <c r="G64" s="189" t="s">
        <v>172</v>
      </c>
      <c r="H64" s="198">
        <v>12</v>
      </c>
      <c r="I64" s="208"/>
      <c r="J64" s="72">
        <f t="shared" si="0"/>
        <v>0</v>
      </c>
      <c r="K64" s="208">
        <f>+I64+'ENERO 2026'!K64</f>
        <v>12</v>
      </c>
      <c r="L64" s="96">
        <f t="shared" si="1"/>
        <v>1</v>
      </c>
      <c r="N64"/>
      <c r="O64" s="8"/>
      <c r="P64"/>
      <c r="Q64" s="8"/>
    </row>
    <row r="65" spans="2:17" x14ac:dyDescent="0.25">
      <c r="B65" s="35">
        <v>3</v>
      </c>
      <c r="C65" s="36" t="s">
        <v>43</v>
      </c>
      <c r="D65" s="37" t="s">
        <v>44</v>
      </c>
      <c r="E65" s="218" t="s">
        <v>115</v>
      </c>
      <c r="F65" s="59" t="s">
        <v>1634</v>
      </c>
      <c r="G65" s="59" t="s">
        <v>1635</v>
      </c>
      <c r="H65" s="191">
        <v>40</v>
      </c>
      <c r="I65" s="191">
        <v>3</v>
      </c>
      <c r="J65" s="69">
        <f t="shared" si="0"/>
        <v>7.4999999999999997E-2</v>
      </c>
      <c r="K65" s="191">
        <f>+I65+'ENERO 2026'!K65</f>
        <v>39</v>
      </c>
      <c r="L65" s="94">
        <f t="shared" si="1"/>
        <v>0.97499999999999998</v>
      </c>
      <c r="N65"/>
      <c r="O65" s="8"/>
      <c r="P65"/>
      <c r="Q65" s="8"/>
    </row>
    <row r="66" spans="2:17" x14ac:dyDescent="0.25">
      <c r="B66" s="38">
        <v>3</v>
      </c>
      <c r="C66" s="39" t="s">
        <v>46</v>
      </c>
      <c r="D66" s="40" t="s">
        <v>47</v>
      </c>
      <c r="E66" s="219"/>
      <c r="F66" s="61" t="s">
        <v>1636</v>
      </c>
      <c r="G66" s="61" t="s">
        <v>1637</v>
      </c>
      <c r="H66" s="193">
        <v>40</v>
      </c>
      <c r="I66" s="207">
        <v>4</v>
      </c>
      <c r="J66" s="69">
        <f t="shared" si="0"/>
        <v>0.1</v>
      </c>
      <c r="K66" s="207">
        <f>+I66+'ENERO 2026'!K66</f>
        <v>37</v>
      </c>
      <c r="L66" s="94">
        <f t="shared" si="1"/>
        <v>0.92500000000000004</v>
      </c>
      <c r="N66"/>
      <c r="O66" s="8"/>
      <c r="P66"/>
      <c r="Q66" s="8"/>
    </row>
    <row r="67" spans="2:17" x14ac:dyDescent="0.25">
      <c r="B67" s="38">
        <v>3</v>
      </c>
      <c r="C67" s="39" t="s">
        <v>98</v>
      </c>
      <c r="D67" s="40" t="s">
        <v>99</v>
      </c>
      <c r="E67" s="219"/>
      <c r="F67" s="61" t="s">
        <v>1638</v>
      </c>
      <c r="G67" s="61" t="s">
        <v>1635</v>
      </c>
      <c r="H67" s="207">
        <v>40</v>
      </c>
      <c r="I67" s="194">
        <v>3</v>
      </c>
      <c r="J67" s="69">
        <f t="shared" si="0"/>
        <v>7.4999999999999997E-2</v>
      </c>
      <c r="K67" s="194">
        <f>+I67+'ENERO 2026'!K67</f>
        <v>37</v>
      </c>
      <c r="L67" s="94">
        <f t="shared" si="1"/>
        <v>0.92500000000000004</v>
      </c>
      <c r="N67"/>
      <c r="O67" s="8"/>
      <c r="P67"/>
      <c r="Q67" s="8"/>
    </row>
    <row r="68" spans="2:17" x14ac:dyDescent="0.25">
      <c r="B68" s="38">
        <v>3</v>
      </c>
      <c r="C68" s="39" t="s">
        <v>49</v>
      </c>
      <c r="D68" s="40" t="s">
        <v>50</v>
      </c>
      <c r="E68" s="219"/>
      <c r="F68" s="61" t="s">
        <v>1639</v>
      </c>
      <c r="G68" s="61" t="s">
        <v>114</v>
      </c>
      <c r="H68" s="207">
        <v>40</v>
      </c>
      <c r="I68" s="207">
        <v>4</v>
      </c>
      <c r="J68" s="69">
        <f t="shared" si="0"/>
        <v>0.1</v>
      </c>
      <c r="K68" s="207">
        <f>+I68+'ENERO 2026'!K68</f>
        <v>38</v>
      </c>
      <c r="L68" s="94">
        <f t="shared" si="1"/>
        <v>0.95</v>
      </c>
      <c r="N68"/>
      <c r="O68" s="8"/>
      <c r="P68"/>
      <c r="Q68" s="8"/>
    </row>
    <row r="69" spans="2:17" x14ac:dyDescent="0.25">
      <c r="B69" s="38">
        <v>3</v>
      </c>
      <c r="C69" s="39" t="s">
        <v>52</v>
      </c>
      <c r="D69" s="40" t="s">
        <v>53</v>
      </c>
      <c r="E69" s="219"/>
      <c r="F69" s="61" t="s">
        <v>1640</v>
      </c>
      <c r="G69" s="61" t="s">
        <v>871</v>
      </c>
      <c r="H69" s="207">
        <v>40</v>
      </c>
      <c r="I69" s="207">
        <v>3</v>
      </c>
      <c r="J69" s="69">
        <f t="shared" si="0"/>
        <v>7.4999999999999997E-2</v>
      </c>
      <c r="K69" s="207">
        <f>+I69+'ENERO 2026'!K69</f>
        <v>35</v>
      </c>
      <c r="L69" s="94">
        <f t="shared" si="1"/>
        <v>0.875</v>
      </c>
      <c r="N69"/>
      <c r="O69" s="8"/>
      <c r="P69"/>
      <c r="Q69" s="8"/>
    </row>
    <row r="70" spans="2:17" s="16" customFormat="1" x14ac:dyDescent="0.25">
      <c r="B70" s="38">
        <v>3</v>
      </c>
      <c r="C70" s="39" t="s">
        <v>55</v>
      </c>
      <c r="D70" s="40" t="s">
        <v>56</v>
      </c>
      <c r="E70" s="219"/>
      <c r="F70" s="61" t="s">
        <v>1641</v>
      </c>
      <c r="G70" s="61" t="s">
        <v>114</v>
      </c>
      <c r="H70" s="207">
        <v>40</v>
      </c>
      <c r="I70" s="207">
        <v>3</v>
      </c>
      <c r="J70" s="69">
        <f t="shared" si="0"/>
        <v>7.4999999999999997E-2</v>
      </c>
      <c r="K70" s="207">
        <f>+I70+'ENERO 2026'!K70</f>
        <v>36</v>
      </c>
      <c r="L70" s="94">
        <f t="shared" si="1"/>
        <v>0.9</v>
      </c>
      <c r="N70" s="41"/>
      <c r="P70" s="41"/>
    </row>
    <row r="71" spans="2:17" x14ac:dyDescent="0.25">
      <c r="B71" s="38">
        <v>5</v>
      </c>
      <c r="C71" s="39" t="s">
        <v>57</v>
      </c>
      <c r="D71" s="40" t="s">
        <v>58</v>
      </c>
      <c r="E71" s="219"/>
      <c r="F71" s="61" t="s">
        <v>1642</v>
      </c>
      <c r="G71" s="61" t="s">
        <v>1643</v>
      </c>
      <c r="H71" s="207">
        <v>40</v>
      </c>
      <c r="I71" s="207">
        <v>3</v>
      </c>
      <c r="J71" s="69">
        <f t="shared" si="0"/>
        <v>7.4999999999999997E-2</v>
      </c>
      <c r="K71" s="207">
        <f>+I71+'ENERO 2026'!K71</f>
        <v>36</v>
      </c>
      <c r="L71" s="94">
        <f t="shared" si="1"/>
        <v>0.9</v>
      </c>
      <c r="N71"/>
      <c r="O71" s="8"/>
      <c r="P71"/>
      <c r="Q71" s="8"/>
    </row>
    <row r="72" spans="2:17" x14ac:dyDescent="0.25">
      <c r="B72" s="38">
        <v>5</v>
      </c>
      <c r="C72" s="39" t="s">
        <v>59</v>
      </c>
      <c r="D72" s="40" t="s">
        <v>60</v>
      </c>
      <c r="E72" s="219"/>
      <c r="F72" s="61" t="s">
        <v>1644</v>
      </c>
      <c r="G72" s="61" t="s">
        <v>1645</v>
      </c>
      <c r="H72" s="207">
        <v>40</v>
      </c>
      <c r="I72" s="207">
        <v>4</v>
      </c>
      <c r="J72" s="69">
        <f t="shared" si="0"/>
        <v>0.1</v>
      </c>
      <c r="K72" s="207">
        <f>+I72+'ENERO 2026'!K72</f>
        <v>37</v>
      </c>
      <c r="L72" s="94">
        <f t="shared" si="1"/>
        <v>0.92500000000000004</v>
      </c>
      <c r="N72"/>
      <c r="O72" s="8"/>
      <c r="P72"/>
      <c r="Q72" s="8"/>
    </row>
    <row r="73" spans="2:17" x14ac:dyDescent="0.25">
      <c r="B73" s="42">
        <v>8</v>
      </c>
      <c r="C73" s="43" t="s">
        <v>61</v>
      </c>
      <c r="D73" s="44" t="s">
        <v>62</v>
      </c>
      <c r="E73" s="220"/>
      <c r="F73" s="64" t="s">
        <v>706</v>
      </c>
      <c r="G73" s="64" t="s">
        <v>114</v>
      </c>
      <c r="H73" s="208">
        <v>40</v>
      </c>
      <c r="I73" s="208">
        <v>3</v>
      </c>
      <c r="J73" s="72">
        <f t="shared" si="0"/>
        <v>7.4999999999999997E-2</v>
      </c>
      <c r="K73" s="208">
        <f>+I73+'ENERO 2026'!K73</f>
        <v>35</v>
      </c>
      <c r="L73" s="96">
        <f t="shared" si="1"/>
        <v>0.875</v>
      </c>
      <c r="N73"/>
      <c r="O73" s="8"/>
      <c r="P73"/>
      <c r="Q73" s="8"/>
    </row>
    <row r="74" spans="2:17" x14ac:dyDescent="0.25">
      <c r="B74" s="153">
        <v>3</v>
      </c>
      <c r="C74" s="154" t="s">
        <v>43</v>
      </c>
      <c r="D74" s="155" t="s">
        <v>44</v>
      </c>
      <c r="E74" s="281" t="s">
        <v>116</v>
      </c>
      <c r="F74" s="179" t="s">
        <v>172</v>
      </c>
      <c r="G74" s="180" t="s">
        <v>172</v>
      </c>
      <c r="H74" s="191">
        <v>20</v>
      </c>
      <c r="I74" s="191"/>
      <c r="J74" s="69">
        <f t="shared" si="0"/>
        <v>0</v>
      </c>
      <c r="K74" s="191">
        <f>+I74+'ENERO 2026'!K74</f>
        <v>20</v>
      </c>
      <c r="L74" s="94">
        <f t="shared" si="1"/>
        <v>1</v>
      </c>
      <c r="N74"/>
      <c r="O74" s="8"/>
      <c r="P74"/>
      <c r="Q74" s="8"/>
    </row>
    <row r="75" spans="2:17" x14ac:dyDescent="0.25">
      <c r="B75" s="156">
        <v>3</v>
      </c>
      <c r="C75" s="157" t="s">
        <v>46</v>
      </c>
      <c r="D75" s="158" t="s">
        <v>47</v>
      </c>
      <c r="E75" s="282"/>
      <c r="F75" s="182" t="s">
        <v>172</v>
      </c>
      <c r="G75" s="182" t="s">
        <v>172</v>
      </c>
      <c r="H75" s="193">
        <v>14</v>
      </c>
      <c r="I75" s="207"/>
      <c r="J75" s="69">
        <f t="shared" si="0"/>
        <v>0</v>
      </c>
      <c r="K75" s="207">
        <f>+I75+'ENERO 2026'!K75</f>
        <v>14</v>
      </c>
      <c r="L75" s="94">
        <f t="shared" si="1"/>
        <v>1</v>
      </c>
      <c r="N75"/>
      <c r="O75" s="8"/>
      <c r="P75"/>
      <c r="Q75" s="8"/>
    </row>
    <row r="76" spans="2:17" x14ac:dyDescent="0.25">
      <c r="B76" s="156">
        <v>3</v>
      </c>
      <c r="C76" s="157" t="s">
        <v>98</v>
      </c>
      <c r="D76" s="158" t="s">
        <v>99</v>
      </c>
      <c r="E76" s="282"/>
      <c r="F76" s="182" t="s">
        <v>172</v>
      </c>
      <c r="G76" s="183" t="s">
        <v>172</v>
      </c>
      <c r="H76" s="207">
        <v>28</v>
      </c>
      <c r="I76" s="194"/>
      <c r="J76" s="69">
        <f t="shared" si="0"/>
        <v>0</v>
      </c>
      <c r="K76" s="194">
        <f>+I76+'ENERO 2026'!K76</f>
        <v>28</v>
      </c>
      <c r="L76" s="94">
        <f t="shared" si="1"/>
        <v>1</v>
      </c>
      <c r="N76"/>
      <c r="O76" s="8"/>
      <c r="P76"/>
      <c r="Q76" s="8"/>
    </row>
    <row r="77" spans="2:17" x14ac:dyDescent="0.25">
      <c r="B77" s="156">
        <v>3</v>
      </c>
      <c r="C77" s="157" t="s">
        <v>49</v>
      </c>
      <c r="D77" s="158" t="s">
        <v>50</v>
      </c>
      <c r="E77" s="282"/>
      <c r="F77" s="182" t="s">
        <v>172</v>
      </c>
      <c r="G77" s="183" t="s">
        <v>172</v>
      </c>
      <c r="H77" s="207">
        <v>16</v>
      </c>
      <c r="I77" s="207"/>
      <c r="J77" s="69">
        <f t="shared" si="0"/>
        <v>0</v>
      </c>
      <c r="K77" s="207">
        <f>+I77+'ENERO 2026'!K77</f>
        <v>16</v>
      </c>
      <c r="L77" s="94">
        <f t="shared" si="1"/>
        <v>1</v>
      </c>
      <c r="N77"/>
      <c r="O77" s="8"/>
      <c r="P77"/>
      <c r="Q77" s="8"/>
    </row>
    <row r="78" spans="2:17" x14ac:dyDescent="0.25">
      <c r="B78" s="156">
        <v>3</v>
      </c>
      <c r="C78" s="157" t="s">
        <v>52</v>
      </c>
      <c r="D78" s="158" t="s">
        <v>53</v>
      </c>
      <c r="E78" s="282"/>
      <c r="F78" s="182" t="s">
        <v>172</v>
      </c>
      <c r="G78" s="186" t="s">
        <v>172</v>
      </c>
      <c r="H78" s="207">
        <v>16</v>
      </c>
      <c r="I78" s="207"/>
      <c r="J78" s="69">
        <f t="shared" si="0"/>
        <v>0</v>
      </c>
      <c r="K78" s="207">
        <f>+I78+'ENERO 2026'!K78</f>
        <v>16</v>
      </c>
      <c r="L78" s="94">
        <f t="shared" si="1"/>
        <v>1</v>
      </c>
      <c r="N78"/>
      <c r="O78" s="8"/>
      <c r="P78"/>
      <c r="Q78" s="8"/>
    </row>
    <row r="79" spans="2:17" s="16" customFormat="1" x14ac:dyDescent="0.25">
      <c r="B79" s="156">
        <v>3</v>
      </c>
      <c r="C79" s="157" t="s">
        <v>55</v>
      </c>
      <c r="D79" s="158" t="s">
        <v>56</v>
      </c>
      <c r="E79" s="282"/>
      <c r="F79" s="182" t="s">
        <v>172</v>
      </c>
      <c r="G79" s="186" t="s">
        <v>172</v>
      </c>
      <c r="H79" s="207">
        <v>12</v>
      </c>
      <c r="I79" s="207"/>
      <c r="J79" s="69">
        <f t="shared" ref="J79:J142" si="2">IFERROR(I79/H79,0)</f>
        <v>0</v>
      </c>
      <c r="K79" s="207">
        <f>+I79+'ENERO 2026'!K79</f>
        <v>12</v>
      </c>
      <c r="L79" s="94">
        <f t="shared" ref="L79:L142" si="3">IFERROR(K79/H79,0)</f>
        <v>1</v>
      </c>
      <c r="N79" s="41"/>
      <c r="P79" s="41"/>
    </row>
    <row r="80" spans="2:17" x14ac:dyDescent="0.25">
      <c r="B80" s="156">
        <v>5</v>
      </c>
      <c r="C80" s="157" t="s">
        <v>57</v>
      </c>
      <c r="D80" s="158" t="s">
        <v>58</v>
      </c>
      <c r="E80" s="282"/>
      <c r="F80" s="199" t="s">
        <v>172</v>
      </c>
      <c r="G80" s="186" t="s">
        <v>172</v>
      </c>
      <c r="H80" s="207">
        <v>24</v>
      </c>
      <c r="I80" s="207"/>
      <c r="J80" s="69">
        <f t="shared" si="2"/>
        <v>0</v>
      </c>
      <c r="K80" s="207">
        <f>+I80+'ENERO 2026'!K80</f>
        <v>24</v>
      </c>
      <c r="L80" s="94">
        <f t="shared" si="3"/>
        <v>1</v>
      </c>
      <c r="N80"/>
      <c r="O80" s="8"/>
      <c r="P80"/>
      <c r="Q80" s="8"/>
    </row>
    <row r="81" spans="2:17" x14ac:dyDescent="0.25">
      <c r="B81" s="156">
        <v>5</v>
      </c>
      <c r="C81" s="157" t="s">
        <v>59</v>
      </c>
      <c r="D81" s="158" t="s">
        <v>60</v>
      </c>
      <c r="E81" s="282"/>
      <c r="F81" s="182" t="s">
        <v>172</v>
      </c>
      <c r="G81" s="186" t="s">
        <v>172</v>
      </c>
      <c r="H81" s="207">
        <v>26</v>
      </c>
      <c r="I81" s="207"/>
      <c r="J81" s="69">
        <f t="shared" si="2"/>
        <v>0</v>
      </c>
      <c r="K81" s="207">
        <f>+I81+'ENERO 2026'!K81</f>
        <v>26</v>
      </c>
      <c r="L81" s="94">
        <f t="shared" si="3"/>
        <v>1</v>
      </c>
      <c r="N81"/>
      <c r="O81" s="8"/>
      <c r="P81"/>
      <c r="Q81" s="8"/>
    </row>
    <row r="82" spans="2:17" x14ac:dyDescent="0.25">
      <c r="B82" s="159">
        <v>8</v>
      </c>
      <c r="C82" s="160" t="s">
        <v>61</v>
      </c>
      <c r="D82" s="161" t="s">
        <v>62</v>
      </c>
      <c r="E82" s="283"/>
      <c r="F82" s="188" t="s">
        <v>172</v>
      </c>
      <c r="G82" s="189" t="s">
        <v>172</v>
      </c>
      <c r="H82" s="208">
        <v>24</v>
      </c>
      <c r="I82" s="208"/>
      <c r="J82" s="72">
        <f t="shared" si="2"/>
        <v>0</v>
      </c>
      <c r="K82" s="208">
        <f>+I82+'ENERO 2026'!K82</f>
        <v>24</v>
      </c>
      <c r="L82" s="96">
        <f t="shared" si="3"/>
        <v>1</v>
      </c>
      <c r="N82"/>
      <c r="O82" s="8"/>
      <c r="P82"/>
      <c r="Q82" s="8"/>
    </row>
    <row r="83" spans="2:17" x14ac:dyDescent="0.25">
      <c r="B83" s="35">
        <v>3</v>
      </c>
      <c r="C83" s="36" t="s">
        <v>43</v>
      </c>
      <c r="D83" s="37" t="s">
        <v>44</v>
      </c>
      <c r="E83" s="218" t="s">
        <v>117</v>
      </c>
      <c r="F83" s="59" t="s">
        <v>1543</v>
      </c>
      <c r="G83" s="62" t="s">
        <v>1544</v>
      </c>
      <c r="H83" s="191">
        <v>40</v>
      </c>
      <c r="I83" s="191">
        <v>3</v>
      </c>
      <c r="J83" s="69">
        <f t="shared" si="2"/>
        <v>7.4999999999999997E-2</v>
      </c>
      <c r="K83" s="191">
        <f>+I83+'ENERO 2026'!K83</f>
        <v>36</v>
      </c>
      <c r="L83" s="94">
        <f t="shared" si="3"/>
        <v>0.9</v>
      </c>
      <c r="N83"/>
      <c r="O83" s="8"/>
      <c r="P83"/>
      <c r="Q83" s="8"/>
    </row>
    <row r="84" spans="2:17" x14ac:dyDescent="0.25">
      <c r="B84" s="38">
        <v>3</v>
      </c>
      <c r="C84" s="39" t="s">
        <v>46</v>
      </c>
      <c r="D84" s="40" t="s">
        <v>47</v>
      </c>
      <c r="E84" s="219"/>
      <c r="F84" s="61" t="s">
        <v>860</v>
      </c>
      <c r="G84" s="62" t="s">
        <v>1544</v>
      </c>
      <c r="H84" s="193">
        <v>40</v>
      </c>
      <c r="I84" s="207">
        <v>3</v>
      </c>
      <c r="J84" s="69">
        <f t="shared" si="2"/>
        <v>7.4999999999999997E-2</v>
      </c>
      <c r="K84" s="207">
        <f>+I84+'ENERO 2026'!K84</f>
        <v>36</v>
      </c>
      <c r="L84" s="94">
        <f t="shared" si="3"/>
        <v>0.9</v>
      </c>
      <c r="N84"/>
      <c r="O84" s="8"/>
      <c r="P84"/>
      <c r="Q84" s="8"/>
    </row>
    <row r="85" spans="2:17" x14ac:dyDescent="0.25">
      <c r="B85" s="38">
        <v>3</v>
      </c>
      <c r="C85" s="39" t="s">
        <v>98</v>
      </c>
      <c r="D85" s="40" t="s">
        <v>99</v>
      </c>
      <c r="E85" s="219"/>
      <c r="F85" s="61" t="s">
        <v>862</v>
      </c>
      <c r="G85" s="62" t="s">
        <v>1544</v>
      </c>
      <c r="H85" s="207">
        <v>40</v>
      </c>
      <c r="I85" s="194">
        <v>3</v>
      </c>
      <c r="J85" s="69">
        <f t="shared" si="2"/>
        <v>7.4999999999999997E-2</v>
      </c>
      <c r="K85" s="194">
        <f>+I85+'ENERO 2026'!K85</f>
        <v>36</v>
      </c>
      <c r="L85" s="94">
        <f t="shared" si="3"/>
        <v>0.9</v>
      </c>
      <c r="N85"/>
      <c r="O85" s="8"/>
      <c r="P85"/>
      <c r="Q85" s="8"/>
    </row>
    <row r="86" spans="2:17" x14ac:dyDescent="0.25">
      <c r="B86" s="38">
        <v>3</v>
      </c>
      <c r="C86" s="39" t="s">
        <v>49</v>
      </c>
      <c r="D86" s="40" t="s">
        <v>50</v>
      </c>
      <c r="E86" s="219"/>
      <c r="F86" s="61" t="s">
        <v>213</v>
      </c>
      <c r="G86" s="62" t="s">
        <v>1544</v>
      </c>
      <c r="H86" s="207">
        <v>40</v>
      </c>
      <c r="I86" s="207">
        <v>3</v>
      </c>
      <c r="J86" s="69">
        <f t="shared" si="2"/>
        <v>7.4999999999999997E-2</v>
      </c>
      <c r="K86" s="207">
        <f>+I86+'ENERO 2026'!K86</f>
        <v>36</v>
      </c>
      <c r="L86" s="94">
        <f t="shared" si="3"/>
        <v>0.9</v>
      </c>
      <c r="N86"/>
      <c r="O86" s="8"/>
      <c r="P86"/>
      <c r="Q86" s="8"/>
    </row>
    <row r="87" spans="2:17" x14ac:dyDescent="0.25">
      <c r="B87" s="38">
        <v>3</v>
      </c>
      <c r="C87" s="39" t="s">
        <v>52</v>
      </c>
      <c r="D87" s="40" t="s">
        <v>53</v>
      </c>
      <c r="E87" s="219"/>
      <c r="F87" s="61" t="s">
        <v>214</v>
      </c>
      <c r="G87" s="62" t="s">
        <v>1544</v>
      </c>
      <c r="H87" s="207">
        <v>40</v>
      </c>
      <c r="I87" s="207">
        <v>3</v>
      </c>
      <c r="J87" s="69">
        <f t="shared" si="2"/>
        <v>7.4999999999999997E-2</v>
      </c>
      <c r="K87" s="207">
        <f>+I87+'ENERO 2026'!K87</f>
        <v>36</v>
      </c>
      <c r="L87" s="94">
        <f t="shared" si="3"/>
        <v>0.9</v>
      </c>
      <c r="N87"/>
      <c r="O87" s="8"/>
      <c r="P87"/>
      <c r="Q87" s="8"/>
    </row>
    <row r="88" spans="2:17" s="16" customFormat="1" x14ac:dyDescent="0.25">
      <c r="B88" s="38">
        <v>3</v>
      </c>
      <c r="C88" s="39" t="s">
        <v>55</v>
      </c>
      <c r="D88" s="40" t="s">
        <v>56</v>
      </c>
      <c r="E88" s="219"/>
      <c r="F88" s="61" t="s">
        <v>215</v>
      </c>
      <c r="G88" s="62" t="s">
        <v>1544</v>
      </c>
      <c r="H88" s="207">
        <v>40</v>
      </c>
      <c r="I88" s="207">
        <v>3</v>
      </c>
      <c r="J88" s="69">
        <f t="shared" si="2"/>
        <v>7.4999999999999997E-2</v>
      </c>
      <c r="K88" s="207">
        <f>+I88+'ENERO 2026'!K88</f>
        <v>36</v>
      </c>
      <c r="L88" s="94">
        <f t="shared" si="3"/>
        <v>0.9</v>
      </c>
      <c r="N88" s="41"/>
      <c r="P88" s="41"/>
    </row>
    <row r="89" spans="2:17" x14ac:dyDescent="0.25">
      <c r="B89" s="38">
        <v>5</v>
      </c>
      <c r="C89" s="39" t="s">
        <v>57</v>
      </c>
      <c r="D89" s="40" t="s">
        <v>58</v>
      </c>
      <c r="E89" s="219"/>
      <c r="F89" s="61" t="s">
        <v>216</v>
      </c>
      <c r="G89" s="62" t="s">
        <v>1544</v>
      </c>
      <c r="H89" s="207">
        <v>40</v>
      </c>
      <c r="I89" s="207">
        <v>4</v>
      </c>
      <c r="J89" s="69">
        <f t="shared" si="2"/>
        <v>0.1</v>
      </c>
      <c r="K89" s="207">
        <f>+I89+'ENERO 2026'!K89</f>
        <v>38</v>
      </c>
      <c r="L89" s="94">
        <f t="shared" si="3"/>
        <v>0.95</v>
      </c>
      <c r="N89"/>
      <c r="O89" s="8"/>
      <c r="P89"/>
      <c r="Q89" s="8"/>
    </row>
    <row r="90" spans="2:17" x14ac:dyDescent="0.25">
      <c r="B90" s="38">
        <v>5</v>
      </c>
      <c r="C90" s="39" t="s">
        <v>59</v>
      </c>
      <c r="D90" s="40" t="s">
        <v>60</v>
      </c>
      <c r="E90" s="219"/>
      <c r="F90" s="61" t="s">
        <v>194</v>
      </c>
      <c r="G90" s="62" t="s">
        <v>1544</v>
      </c>
      <c r="H90" s="207">
        <v>40</v>
      </c>
      <c r="I90" s="207">
        <v>4</v>
      </c>
      <c r="J90" s="69">
        <f t="shared" si="2"/>
        <v>0.1</v>
      </c>
      <c r="K90" s="207">
        <f>+I90+'ENERO 2026'!K90</f>
        <v>38</v>
      </c>
      <c r="L90" s="94">
        <f t="shared" si="3"/>
        <v>0.95</v>
      </c>
      <c r="N90"/>
      <c r="O90" s="8"/>
      <c r="P90"/>
      <c r="Q90" s="8"/>
    </row>
    <row r="91" spans="2:17" x14ac:dyDescent="0.25">
      <c r="B91" s="42">
        <v>8</v>
      </c>
      <c r="C91" s="43" t="s">
        <v>61</v>
      </c>
      <c r="D91" s="44" t="s">
        <v>62</v>
      </c>
      <c r="E91" s="220"/>
      <c r="F91" s="64" t="s">
        <v>196</v>
      </c>
      <c r="G91" s="62" t="s">
        <v>1544</v>
      </c>
      <c r="H91" s="208">
        <v>40</v>
      </c>
      <c r="I91" s="208">
        <v>4</v>
      </c>
      <c r="J91" s="72">
        <f t="shared" si="2"/>
        <v>0.1</v>
      </c>
      <c r="K91" s="208">
        <f>+I91+'ENERO 2026'!K91</f>
        <v>38</v>
      </c>
      <c r="L91" s="96">
        <f t="shared" si="3"/>
        <v>0.95</v>
      </c>
      <c r="N91"/>
      <c r="O91" s="8"/>
      <c r="P91"/>
      <c r="Q91" s="8"/>
    </row>
    <row r="92" spans="2:17" x14ac:dyDescent="0.25">
      <c r="B92" s="153">
        <v>3</v>
      </c>
      <c r="C92" s="154" t="s">
        <v>43</v>
      </c>
      <c r="D92" s="155" t="s">
        <v>44</v>
      </c>
      <c r="E92" s="281" t="s">
        <v>179</v>
      </c>
      <c r="F92" s="179" t="s">
        <v>172</v>
      </c>
      <c r="G92" s="179" t="s">
        <v>172</v>
      </c>
      <c r="H92" s="191">
        <v>18</v>
      </c>
      <c r="I92" s="191"/>
      <c r="J92" s="69">
        <f t="shared" si="2"/>
        <v>0</v>
      </c>
      <c r="K92" s="191">
        <f>+I92+'ENERO 2026'!K92</f>
        <v>18</v>
      </c>
      <c r="L92" s="94">
        <f t="shared" si="3"/>
        <v>1</v>
      </c>
      <c r="N92"/>
      <c r="O92" s="8"/>
      <c r="P92"/>
      <c r="Q92" s="8"/>
    </row>
    <row r="93" spans="2:17" x14ac:dyDescent="0.25">
      <c r="B93" s="156">
        <v>3</v>
      </c>
      <c r="C93" s="157" t="s">
        <v>46</v>
      </c>
      <c r="D93" s="158" t="s">
        <v>47</v>
      </c>
      <c r="E93" s="282"/>
      <c r="F93" s="182" t="s">
        <v>172</v>
      </c>
      <c r="G93" s="182" t="s">
        <v>172</v>
      </c>
      <c r="H93" s="193">
        <v>16</v>
      </c>
      <c r="I93" s="207"/>
      <c r="J93" s="69">
        <f t="shared" si="2"/>
        <v>0</v>
      </c>
      <c r="K93" s="207">
        <f>+I93+'ENERO 2026'!K93</f>
        <v>16</v>
      </c>
      <c r="L93" s="94">
        <f t="shared" si="3"/>
        <v>1</v>
      </c>
      <c r="N93"/>
      <c r="O93" s="8"/>
      <c r="P93"/>
      <c r="Q93" s="8"/>
    </row>
    <row r="94" spans="2:17" x14ac:dyDescent="0.25">
      <c r="B94" s="156">
        <v>3</v>
      </c>
      <c r="C94" s="157" t="s">
        <v>98</v>
      </c>
      <c r="D94" s="158" t="s">
        <v>99</v>
      </c>
      <c r="E94" s="282"/>
      <c r="F94" s="182" t="s">
        <v>172</v>
      </c>
      <c r="G94" s="182" t="s">
        <v>172</v>
      </c>
      <c r="H94" s="207">
        <v>16</v>
      </c>
      <c r="I94" s="194"/>
      <c r="J94" s="69">
        <f t="shared" si="2"/>
        <v>0</v>
      </c>
      <c r="K94" s="194">
        <f>+I94+'ENERO 2026'!K94</f>
        <v>16</v>
      </c>
      <c r="L94" s="94">
        <f t="shared" si="3"/>
        <v>1</v>
      </c>
      <c r="N94"/>
      <c r="O94" s="8"/>
      <c r="P94"/>
      <c r="Q94" s="8"/>
    </row>
    <row r="95" spans="2:17" x14ac:dyDescent="0.25">
      <c r="B95" s="156">
        <v>3</v>
      </c>
      <c r="C95" s="157" t="s">
        <v>49</v>
      </c>
      <c r="D95" s="158" t="s">
        <v>50</v>
      </c>
      <c r="E95" s="282"/>
      <c r="F95" s="182" t="s">
        <v>172</v>
      </c>
      <c r="G95" s="182" t="s">
        <v>172</v>
      </c>
      <c r="H95" s="207">
        <v>16</v>
      </c>
      <c r="I95" s="207"/>
      <c r="J95" s="69">
        <f t="shared" si="2"/>
        <v>0</v>
      </c>
      <c r="K95" s="207">
        <f>+I95+'ENERO 2026'!K95</f>
        <v>16</v>
      </c>
      <c r="L95" s="94">
        <f t="shared" si="3"/>
        <v>1</v>
      </c>
      <c r="N95"/>
      <c r="O95" s="8"/>
      <c r="P95"/>
      <c r="Q95" s="8"/>
    </row>
    <row r="96" spans="2:17" x14ac:dyDescent="0.25">
      <c r="B96" s="156">
        <v>3</v>
      </c>
      <c r="C96" s="157" t="s">
        <v>52</v>
      </c>
      <c r="D96" s="158" t="s">
        <v>53</v>
      </c>
      <c r="E96" s="282"/>
      <c r="F96" s="182" t="s">
        <v>172</v>
      </c>
      <c r="G96" s="182" t="s">
        <v>172</v>
      </c>
      <c r="H96" s="207">
        <v>16</v>
      </c>
      <c r="I96" s="207"/>
      <c r="J96" s="69">
        <f t="shared" si="2"/>
        <v>0</v>
      </c>
      <c r="K96" s="207">
        <f>+I96+'ENERO 2026'!K96</f>
        <v>16</v>
      </c>
      <c r="L96" s="94">
        <f t="shared" si="3"/>
        <v>1</v>
      </c>
      <c r="N96"/>
      <c r="O96" s="8"/>
      <c r="P96"/>
      <c r="Q96" s="8"/>
    </row>
    <row r="97" spans="2:17" x14ac:dyDescent="0.25">
      <c r="B97" s="156">
        <v>3</v>
      </c>
      <c r="C97" s="157" t="s">
        <v>55</v>
      </c>
      <c r="D97" s="158" t="s">
        <v>56</v>
      </c>
      <c r="E97" s="282"/>
      <c r="F97" s="201" t="s">
        <v>172</v>
      </c>
      <c r="G97" s="201" t="s">
        <v>172</v>
      </c>
      <c r="H97" s="207">
        <v>16</v>
      </c>
      <c r="I97" s="207"/>
      <c r="J97" s="69">
        <f t="shared" si="2"/>
        <v>0</v>
      </c>
      <c r="K97" s="207">
        <f>+I97+'ENERO 2026'!K97</f>
        <v>16</v>
      </c>
      <c r="L97" s="94">
        <f t="shared" si="3"/>
        <v>1</v>
      </c>
      <c r="N97"/>
      <c r="O97" s="8"/>
      <c r="P97"/>
      <c r="Q97" s="8"/>
    </row>
    <row r="98" spans="2:17" x14ac:dyDescent="0.25">
      <c r="B98" s="156">
        <v>5</v>
      </c>
      <c r="C98" s="157" t="s">
        <v>57</v>
      </c>
      <c r="D98" s="158" t="s">
        <v>58</v>
      </c>
      <c r="E98" s="282"/>
      <c r="F98" s="182" t="s">
        <v>172</v>
      </c>
      <c r="G98" s="182" t="s">
        <v>172</v>
      </c>
      <c r="H98" s="202">
        <v>16</v>
      </c>
      <c r="I98" s="207"/>
      <c r="J98" s="69">
        <f t="shared" si="2"/>
        <v>0</v>
      </c>
      <c r="K98" s="207">
        <f>+I98+'ENERO 2026'!K98</f>
        <v>16</v>
      </c>
      <c r="L98" s="94">
        <f t="shared" si="3"/>
        <v>1</v>
      </c>
      <c r="N98"/>
      <c r="O98" s="8"/>
      <c r="P98"/>
      <c r="Q98" s="8"/>
    </row>
    <row r="99" spans="2:17" s="16" customFormat="1" x14ac:dyDescent="0.25">
      <c r="B99" s="156">
        <v>5</v>
      </c>
      <c r="C99" s="157" t="s">
        <v>118</v>
      </c>
      <c r="D99" s="158" t="s">
        <v>119</v>
      </c>
      <c r="E99" s="282"/>
      <c r="F99" s="203" t="s">
        <v>172</v>
      </c>
      <c r="G99" s="203" t="s">
        <v>172</v>
      </c>
      <c r="H99" s="207">
        <v>16</v>
      </c>
      <c r="I99" s="207"/>
      <c r="J99" s="69">
        <f t="shared" si="2"/>
        <v>0</v>
      </c>
      <c r="K99" s="207">
        <f>+I99+'ENERO 2026'!K99</f>
        <v>16</v>
      </c>
      <c r="L99" s="94">
        <f t="shared" si="3"/>
        <v>1</v>
      </c>
      <c r="N99" s="41"/>
      <c r="P99" s="41"/>
    </row>
    <row r="100" spans="2:17" x14ac:dyDescent="0.25">
      <c r="B100" s="156">
        <v>5</v>
      </c>
      <c r="C100" s="157" t="s">
        <v>120</v>
      </c>
      <c r="D100" s="158" t="s">
        <v>121</v>
      </c>
      <c r="E100" s="282"/>
      <c r="F100" s="182" t="s">
        <v>172</v>
      </c>
      <c r="G100" s="182" t="s">
        <v>172</v>
      </c>
      <c r="H100" s="193">
        <v>18</v>
      </c>
      <c r="I100" s="207"/>
      <c r="J100" s="69">
        <f t="shared" si="2"/>
        <v>0</v>
      </c>
      <c r="K100" s="207">
        <f>+I100+'ENERO 2026'!K100</f>
        <v>18</v>
      </c>
      <c r="L100" s="94">
        <f t="shared" si="3"/>
        <v>1</v>
      </c>
      <c r="N100"/>
      <c r="O100" s="8"/>
      <c r="P100"/>
      <c r="Q100" s="8"/>
    </row>
    <row r="101" spans="2:17" x14ac:dyDescent="0.25">
      <c r="B101" s="156">
        <v>5</v>
      </c>
      <c r="C101" s="157" t="s">
        <v>122</v>
      </c>
      <c r="D101" s="158" t="s">
        <v>123</v>
      </c>
      <c r="E101" s="282"/>
      <c r="F101" s="182" t="s">
        <v>172</v>
      </c>
      <c r="G101" s="182" t="s">
        <v>172</v>
      </c>
      <c r="H101" s="207">
        <v>16</v>
      </c>
      <c r="I101" s="207"/>
      <c r="J101" s="69">
        <f t="shared" si="2"/>
        <v>0</v>
      </c>
      <c r="K101" s="207">
        <f>+I101+'ENERO 2026'!K101</f>
        <v>16</v>
      </c>
      <c r="L101" s="94">
        <f t="shared" si="3"/>
        <v>1</v>
      </c>
      <c r="N101"/>
      <c r="O101" s="8"/>
      <c r="P101"/>
      <c r="Q101" s="8"/>
    </row>
    <row r="102" spans="2:17" x14ac:dyDescent="0.25">
      <c r="B102" s="159">
        <v>5</v>
      </c>
      <c r="C102" s="160" t="s">
        <v>59</v>
      </c>
      <c r="D102" s="161" t="s">
        <v>60</v>
      </c>
      <c r="E102" s="283"/>
      <c r="F102" s="182" t="s">
        <v>172</v>
      </c>
      <c r="G102" s="182" t="s">
        <v>172</v>
      </c>
      <c r="H102" s="208">
        <v>16</v>
      </c>
      <c r="I102" s="208"/>
      <c r="J102" s="72">
        <f t="shared" si="2"/>
        <v>0</v>
      </c>
      <c r="K102" s="208">
        <f>+I102+'ENERO 2026'!K102</f>
        <v>16</v>
      </c>
      <c r="L102" s="96">
        <f t="shared" si="3"/>
        <v>1</v>
      </c>
      <c r="N102"/>
      <c r="O102" s="8"/>
      <c r="P102"/>
      <c r="Q102" s="8"/>
    </row>
    <row r="103" spans="2:17" x14ac:dyDescent="0.25">
      <c r="B103" s="153">
        <v>3</v>
      </c>
      <c r="C103" s="154" t="s">
        <v>43</v>
      </c>
      <c r="D103" s="155" t="s">
        <v>44</v>
      </c>
      <c r="E103" s="281" t="s">
        <v>124</v>
      </c>
      <c r="F103" s="204" t="s">
        <v>172</v>
      </c>
      <c r="G103" s="204" t="s">
        <v>172</v>
      </c>
      <c r="H103" s="191">
        <v>13</v>
      </c>
      <c r="I103" s="191"/>
      <c r="J103" s="69">
        <f t="shared" si="2"/>
        <v>0</v>
      </c>
      <c r="K103" s="191">
        <f>+I103+'ENERO 2026'!K103</f>
        <v>13</v>
      </c>
      <c r="L103" s="94">
        <f t="shared" si="3"/>
        <v>1</v>
      </c>
      <c r="N103"/>
      <c r="O103" s="8"/>
      <c r="P103"/>
      <c r="Q103" s="8"/>
    </row>
    <row r="104" spans="2:17" x14ac:dyDescent="0.25">
      <c r="B104" s="156">
        <v>3</v>
      </c>
      <c r="C104" s="157" t="s">
        <v>46</v>
      </c>
      <c r="D104" s="158" t="s">
        <v>47</v>
      </c>
      <c r="E104" s="282"/>
      <c r="F104" s="192" t="s">
        <v>172</v>
      </c>
      <c r="G104" s="192" t="s">
        <v>172</v>
      </c>
      <c r="H104" s="193">
        <v>14</v>
      </c>
      <c r="I104" s="207"/>
      <c r="J104" s="69">
        <f t="shared" si="2"/>
        <v>0</v>
      </c>
      <c r="K104" s="207">
        <f>+I104+'ENERO 2026'!K104</f>
        <v>14</v>
      </c>
      <c r="L104" s="94">
        <f t="shared" si="3"/>
        <v>1</v>
      </c>
      <c r="N104"/>
      <c r="O104" s="8"/>
      <c r="P104"/>
      <c r="Q104" s="8"/>
    </row>
    <row r="105" spans="2:17" x14ac:dyDescent="0.25">
      <c r="B105" s="156">
        <v>3</v>
      </c>
      <c r="C105" s="157" t="s">
        <v>98</v>
      </c>
      <c r="D105" s="158" t="s">
        <v>99</v>
      </c>
      <c r="E105" s="282"/>
      <c r="F105" s="186" t="s">
        <v>172</v>
      </c>
      <c r="G105" s="186" t="s">
        <v>172</v>
      </c>
      <c r="H105" s="207">
        <v>14</v>
      </c>
      <c r="I105" s="194"/>
      <c r="J105" s="69">
        <f t="shared" si="2"/>
        <v>0</v>
      </c>
      <c r="K105" s="194">
        <f>+I105+'ENERO 2026'!K105</f>
        <v>14</v>
      </c>
      <c r="L105" s="94">
        <f t="shared" si="3"/>
        <v>1</v>
      </c>
      <c r="N105"/>
      <c r="O105" s="8"/>
      <c r="P105"/>
      <c r="Q105" s="8"/>
    </row>
    <row r="106" spans="2:17" x14ac:dyDescent="0.25">
      <c r="B106" s="156">
        <v>3</v>
      </c>
      <c r="C106" s="157" t="s">
        <v>49</v>
      </c>
      <c r="D106" s="158" t="s">
        <v>50</v>
      </c>
      <c r="E106" s="282"/>
      <c r="F106" s="186" t="s">
        <v>172</v>
      </c>
      <c r="G106" s="186" t="s">
        <v>172</v>
      </c>
      <c r="H106" s="207">
        <v>16</v>
      </c>
      <c r="I106" s="207"/>
      <c r="J106" s="69">
        <f t="shared" si="2"/>
        <v>0</v>
      </c>
      <c r="K106" s="207">
        <f>+I106+'ENERO 2026'!K106</f>
        <v>16</v>
      </c>
      <c r="L106" s="94">
        <f t="shared" si="3"/>
        <v>1</v>
      </c>
      <c r="N106"/>
      <c r="O106" s="8"/>
      <c r="P106"/>
      <c r="Q106" s="8"/>
    </row>
    <row r="107" spans="2:17" x14ac:dyDescent="0.25">
      <c r="B107" s="156">
        <v>3</v>
      </c>
      <c r="C107" s="157" t="s">
        <v>52</v>
      </c>
      <c r="D107" s="158" t="s">
        <v>53</v>
      </c>
      <c r="E107" s="282"/>
      <c r="F107" s="186" t="s">
        <v>172</v>
      </c>
      <c r="G107" s="186" t="s">
        <v>172</v>
      </c>
      <c r="H107" s="207">
        <v>16</v>
      </c>
      <c r="I107" s="207"/>
      <c r="J107" s="69">
        <f t="shared" si="2"/>
        <v>0</v>
      </c>
      <c r="K107" s="207">
        <f>+I107+'ENERO 2026'!K107</f>
        <v>16</v>
      </c>
      <c r="L107" s="94">
        <f t="shared" si="3"/>
        <v>1</v>
      </c>
      <c r="N107"/>
      <c r="O107" s="8"/>
      <c r="P107"/>
      <c r="Q107" s="8"/>
    </row>
    <row r="108" spans="2:17" x14ac:dyDescent="0.25">
      <c r="B108" s="156">
        <v>3</v>
      </c>
      <c r="C108" s="157" t="s">
        <v>55</v>
      </c>
      <c r="D108" s="158" t="s">
        <v>56</v>
      </c>
      <c r="E108" s="282"/>
      <c r="F108" s="186" t="s">
        <v>172</v>
      </c>
      <c r="G108" s="186" t="s">
        <v>172</v>
      </c>
      <c r="H108" s="207">
        <v>15</v>
      </c>
      <c r="I108" s="207"/>
      <c r="J108" s="69">
        <f t="shared" si="2"/>
        <v>0</v>
      </c>
      <c r="K108" s="207">
        <f>+I108+'ENERO 2026'!K108</f>
        <v>15</v>
      </c>
      <c r="L108" s="94">
        <f t="shared" si="3"/>
        <v>1</v>
      </c>
      <c r="N108"/>
      <c r="O108" s="8"/>
      <c r="P108"/>
      <c r="Q108" s="8"/>
    </row>
    <row r="109" spans="2:17" x14ac:dyDescent="0.25">
      <c r="B109" s="156">
        <v>5</v>
      </c>
      <c r="C109" s="157" t="s">
        <v>57</v>
      </c>
      <c r="D109" s="158" t="s">
        <v>58</v>
      </c>
      <c r="E109" s="282"/>
      <c r="F109" s="186" t="s">
        <v>172</v>
      </c>
      <c r="G109" s="186" t="s">
        <v>172</v>
      </c>
      <c r="H109" s="207">
        <v>16</v>
      </c>
      <c r="I109" s="207"/>
      <c r="J109" s="69">
        <f t="shared" si="2"/>
        <v>0</v>
      </c>
      <c r="K109" s="207">
        <f>+I109+'ENERO 2026'!K109</f>
        <v>16</v>
      </c>
      <c r="L109" s="94">
        <f t="shared" si="3"/>
        <v>1</v>
      </c>
      <c r="N109"/>
      <c r="O109" s="8"/>
      <c r="P109"/>
      <c r="Q109" s="8"/>
    </row>
    <row r="110" spans="2:17" s="16" customFormat="1" x14ac:dyDescent="0.25">
      <c r="B110" s="156">
        <v>5</v>
      </c>
      <c r="C110" s="157" t="s">
        <v>118</v>
      </c>
      <c r="D110" s="158" t="s">
        <v>119</v>
      </c>
      <c r="E110" s="282"/>
      <c r="F110" s="186" t="s">
        <v>172</v>
      </c>
      <c r="G110" s="186" t="s">
        <v>172</v>
      </c>
      <c r="H110" s="207">
        <v>16</v>
      </c>
      <c r="I110" s="207"/>
      <c r="J110" s="69">
        <f t="shared" si="2"/>
        <v>0</v>
      </c>
      <c r="K110" s="207">
        <f>+I110+'ENERO 2026'!K110</f>
        <v>16</v>
      </c>
      <c r="L110" s="94">
        <f t="shared" si="3"/>
        <v>1</v>
      </c>
      <c r="N110" s="41"/>
      <c r="P110" s="41"/>
    </row>
    <row r="111" spans="2:17" x14ac:dyDescent="0.25">
      <c r="B111" s="156">
        <v>5</v>
      </c>
      <c r="C111" s="157" t="s">
        <v>120</v>
      </c>
      <c r="D111" s="158" t="s">
        <v>121</v>
      </c>
      <c r="E111" s="282"/>
      <c r="F111" s="186" t="s">
        <v>172</v>
      </c>
      <c r="G111" s="186" t="s">
        <v>172</v>
      </c>
      <c r="H111" s="193">
        <v>16</v>
      </c>
      <c r="I111" s="193"/>
      <c r="J111" s="69">
        <f t="shared" si="2"/>
        <v>0</v>
      </c>
      <c r="K111" s="193">
        <f>+I111+'ENERO 2026'!K111</f>
        <v>16</v>
      </c>
      <c r="L111" s="94">
        <f t="shared" si="3"/>
        <v>1</v>
      </c>
      <c r="N111"/>
      <c r="O111" s="8"/>
      <c r="P111"/>
      <c r="Q111" s="8"/>
    </row>
    <row r="112" spans="2:17" x14ac:dyDescent="0.25">
      <c r="B112" s="156">
        <v>5</v>
      </c>
      <c r="C112" s="157" t="s">
        <v>122</v>
      </c>
      <c r="D112" s="158" t="s">
        <v>123</v>
      </c>
      <c r="E112" s="282"/>
      <c r="F112" s="186" t="s">
        <v>172</v>
      </c>
      <c r="G112" s="186" t="s">
        <v>172</v>
      </c>
      <c r="H112" s="193">
        <v>20</v>
      </c>
      <c r="I112" s="193"/>
      <c r="J112" s="69">
        <f t="shared" si="2"/>
        <v>0</v>
      </c>
      <c r="K112" s="193">
        <f>+I112+'ENERO 2026'!K112</f>
        <v>20</v>
      </c>
      <c r="L112" s="94">
        <f t="shared" si="3"/>
        <v>1</v>
      </c>
      <c r="N112"/>
      <c r="O112" s="8"/>
      <c r="P112"/>
      <c r="Q112" s="8"/>
    </row>
    <row r="113" spans="2:17" x14ac:dyDescent="0.25">
      <c r="B113" s="159">
        <v>5</v>
      </c>
      <c r="C113" s="160" t="s">
        <v>59</v>
      </c>
      <c r="D113" s="161" t="s">
        <v>60</v>
      </c>
      <c r="E113" s="283"/>
      <c r="F113" s="189" t="s">
        <v>172</v>
      </c>
      <c r="G113" s="189" t="s">
        <v>172</v>
      </c>
      <c r="H113" s="208">
        <v>24</v>
      </c>
      <c r="I113" s="208"/>
      <c r="J113" s="72">
        <f t="shared" si="2"/>
        <v>0</v>
      </c>
      <c r="K113" s="208">
        <f>+I113+'ENERO 2026'!K113</f>
        <v>24</v>
      </c>
      <c r="L113" s="96">
        <f t="shared" si="3"/>
        <v>1</v>
      </c>
      <c r="N113"/>
      <c r="O113" s="8"/>
      <c r="P113"/>
      <c r="Q113" s="8"/>
    </row>
    <row r="114" spans="2:17" x14ac:dyDescent="0.25">
      <c r="B114" s="165">
        <v>3</v>
      </c>
      <c r="C114" s="166" t="s">
        <v>43</v>
      </c>
      <c r="D114" s="167" t="s">
        <v>44</v>
      </c>
      <c r="E114" s="284" t="s">
        <v>128</v>
      </c>
      <c r="F114" s="180" t="s">
        <v>172</v>
      </c>
      <c r="G114" s="180" t="s">
        <v>172</v>
      </c>
      <c r="H114" s="191">
        <v>20</v>
      </c>
      <c r="I114" s="191"/>
      <c r="J114" s="69">
        <f t="shared" si="2"/>
        <v>0</v>
      </c>
      <c r="K114" s="191">
        <f>+I114+'ENERO 2026'!K114</f>
        <v>20</v>
      </c>
      <c r="L114" s="94">
        <f t="shared" si="3"/>
        <v>1</v>
      </c>
      <c r="N114"/>
      <c r="O114" s="8"/>
      <c r="P114"/>
      <c r="Q114" s="8"/>
    </row>
    <row r="115" spans="2:17" x14ac:dyDescent="0.25">
      <c r="B115" s="156">
        <v>3</v>
      </c>
      <c r="C115" s="157" t="s">
        <v>46</v>
      </c>
      <c r="D115" s="158" t="s">
        <v>47</v>
      </c>
      <c r="E115" s="282"/>
      <c r="F115" s="200" t="s">
        <v>172</v>
      </c>
      <c r="G115" s="200" t="s">
        <v>172</v>
      </c>
      <c r="H115" s="193">
        <v>14</v>
      </c>
      <c r="I115" s="207"/>
      <c r="J115" s="69">
        <f t="shared" si="2"/>
        <v>0</v>
      </c>
      <c r="K115" s="207">
        <f>+I115+'ENERO 2026'!K115</f>
        <v>14</v>
      </c>
      <c r="L115" s="94">
        <f t="shared" si="3"/>
        <v>1</v>
      </c>
      <c r="N115"/>
      <c r="O115" s="8"/>
      <c r="P115"/>
      <c r="Q115" s="8"/>
    </row>
    <row r="116" spans="2:17" x14ac:dyDescent="0.25">
      <c r="B116" s="156">
        <v>3</v>
      </c>
      <c r="C116" s="157" t="s">
        <v>98</v>
      </c>
      <c r="D116" s="158" t="s">
        <v>99</v>
      </c>
      <c r="E116" s="282"/>
      <c r="F116" s="186" t="s">
        <v>172</v>
      </c>
      <c r="G116" s="186" t="s">
        <v>172</v>
      </c>
      <c r="H116" s="207">
        <v>28</v>
      </c>
      <c r="I116" s="194"/>
      <c r="J116" s="69">
        <f t="shared" si="2"/>
        <v>0</v>
      </c>
      <c r="K116" s="194">
        <f>+I116+'ENERO 2026'!K116</f>
        <v>28</v>
      </c>
      <c r="L116" s="94">
        <f t="shared" si="3"/>
        <v>1</v>
      </c>
      <c r="N116"/>
      <c r="O116" s="8"/>
      <c r="P116"/>
      <c r="Q116" s="8"/>
    </row>
    <row r="117" spans="2:17" x14ac:dyDescent="0.25">
      <c r="B117" s="156">
        <v>3</v>
      </c>
      <c r="C117" s="157" t="s">
        <v>49</v>
      </c>
      <c r="D117" s="158" t="s">
        <v>50</v>
      </c>
      <c r="E117" s="282"/>
      <c r="F117" s="186" t="s">
        <v>172</v>
      </c>
      <c r="G117" s="186" t="s">
        <v>172</v>
      </c>
      <c r="H117" s="207">
        <v>16</v>
      </c>
      <c r="I117" s="207"/>
      <c r="J117" s="69">
        <f t="shared" si="2"/>
        <v>0</v>
      </c>
      <c r="K117" s="207">
        <f>+I117+'ENERO 2026'!K117</f>
        <v>16</v>
      </c>
      <c r="L117" s="94">
        <f t="shared" si="3"/>
        <v>1</v>
      </c>
      <c r="N117"/>
      <c r="O117" s="8"/>
      <c r="P117"/>
      <c r="Q117" s="8"/>
    </row>
    <row r="118" spans="2:17" x14ac:dyDescent="0.25">
      <c r="B118" s="156">
        <v>3</v>
      </c>
      <c r="C118" s="157" t="s">
        <v>52</v>
      </c>
      <c r="D118" s="158" t="s">
        <v>53</v>
      </c>
      <c r="E118" s="282"/>
      <c r="F118" s="186" t="s">
        <v>172</v>
      </c>
      <c r="G118" s="186" t="s">
        <v>172</v>
      </c>
      <c r="H118" s="207">
        <v>16</v>
      </c>
      <c r="I118" s="207"/>
      <c r="J118" s="69">
        <f t="shared" si="2"/>
        <v>0</v>
      </c>
      <c r="K118" s="207">
        <f>+I118+'ENERO 2026'!K118</f>
        <v>16</v>
      </c>
      <c r="L118" s="94">
        <f t="shared" si="3"/>
        <v>1</v>
      </c>
      <c r="N118"/>
      <c r="O118" s="8"/>
      <c r="P118"/>
      <c r="Q118" s="8"/>
    </row>
    <row r="119" spans="2:17" s="16" customFormat="1" x14ac:dyDescent="0.25">
      <c r="B119" s="156">
        <v>3</v>
      </c>
      <c r="C119" s="157" t="s">
        <v>55</v>
      </c>
      <c r="D119" s="158" t="s">
        <v>56</v>
      </c>
      <c r="E119" s="282"/>
      <c r="F119" s="186" t="s">
        <v>172</v>
      </c>
      <c r="G119" s="186" t="s">
        <v>172</v>
      </c>
      <c r="H119" s="207">
        <v>12</v>
      </c>
      <c r="I119" s="207"/>
      <c r="J119" s="69">
        <f t="shared" si="2"/>
        <v>0</v>
      </c>
      <c r="K119" s="207">
        <f>+I119+'ENERO 2026'!K119</f>
        <v>12</v>
      </c>
      <c r="L119" s="94">
        <f t="shared" si="3"/>
        <v>1</v>
      </c>
      <c r="N119" s="41"/>
      <c r="P119" s="41"/>
    </row>
    <row r="120" spans="2:17" x14ac:dyDescent="0.25">
      <c r="B120" s="156">
        <v>5</v>
      </c>
      <c r="C120" s="157" t="s">
        <v>57</v>
      </c>
      <c r="D120" s="158" t="s">
        <v>58</v>
      </c>
      <c r="E120" s="282"/>
      <c r="F120" s="186" t="s">
        <v>172</v>
      </c>
      <c r="G120" s="186" t="s">
        <v>172</v>
      </c>
      <c r="H120" s="207">
        <v>24</v>
      </c>
      <c r="I120" s="207"/>
      <c r="J120" s="69">
        <f t="shared" si="2"/>
        <v>0</v>
      </c>
      <c r="K120" s="207">
        <f>+I120+'ENERO 2026'!K120</f>
        <v>24</v>
      </c>
      <c r="L120" s="94">
        <f t="shared" si="3"/>
        <v>1</v>
      </c>
      <c r="N120"/>
      <c r="O120" s="8"/>
      <c r="P120"/>
      <c r="Q120" s="8"/>
    </row>
    <row r="121" spans="2:17" x14ac:dyDescent="0.25">
      <c r="B121" s="156">
        <v>5</v>
      </c>
      <c r="C121" s="157" t="s">
        <v>59</v>
      </c>
      <c r="D121" s="158" t="s">
        <v>60</v>
      </c>
      <c r="E121" s="282"/>
      <c r="F121" s="186" t="s">
        <v>172</v>
      </c>
      <c r="G121" s="186" t="s">
        <v>172</v>
      </c>
      <c r="H121" s="207">
        <v>26</v>
      </c>
      <c r="I121" s="207"/>
      <c r="J121" s="69">
        <f t="shared" si="2"/>
        <v>0</v>
      </c>
      <c r="K121" s="207">
        <f>+I121+'ENERO 2026'!K121</f>
        <v>26</v>
      </c>
      <c r="L121" s="94">
        <f t="shared" si="3"/>
        <v>1</v>
      </c>
      <c r="N121"/>
      <c r="O121" s="8"/>
      <c r="P121"/>
      <c r="Q121" s="8"/>
    </row>
    <row r="122" spans="2:17" x14ac:dyDescent="0.25">
      <c r="B122" s="159">
        <v>8</v>
      </c>
      <c r="C122" s="160" t="s">
        <v>61</v>
      </c>
      <c r="D122" s="161" t="s">
        <v>62</v>
      </c>
      <c r="E122" s="283"/>
      <c r="F122" s="189" t="s">
        <v>172</v>
      </c>
      <c r="G122" s="189" t="s">
        <v>172</v>
      </c>
      <c r="H122" s="208">
        <v>24</v>
      </c>
      <c r="I122" s="208"/>
      <c r="J122" s="72">
        <f t="shared" si="2"/>
        <v>0</v>
      </c>
      <c r="K122" s="208">
        <f>+I122+'ENERO 2026'!K122</f>
        <v>24</v>
      </c>
      <c r="L122" s="96">
        <f t="shared" si="3"/>
        <v>1</v>
      </c>
      <c r="N122"/>
      <c r="O122" s="8"/>
      <c r="P122"/>
      <c r="Q122" s="8"/>
    </row>
    <row r="123" spans="2:17" x14ac:dyDescent="0.25">
      <c r="B123" s="153">
        <v>1</v>
      </c>
      <c r="C123" s="154" t="s">
        <v>74</v>
      </c>
      <c r="D123" s="155" t="s">
        <v>75</v>
      </c>
      <c r="E123" s="281" t="s">
        <v>143</v>
      </c>
      <c r="F123" s="180" t="s">
        <v>172</v>
      </c>
      <c r="G123" s="180" t="s">
        <v>172</v>
      </c>
      <c r="H123" s="191">
        <v>14</v>
      </c>
      <c r="I123" s="191"/>
      <c r="J123" s="69">
        <f t="shared" si="2"/>
        <v>0</v>
      </c>
      <c r="K123" s="191">
        <f>+I123+'ENERO 2026'!K123</f>
        <v>14</v>
      </c>
      <c r="L123" s="94">
        <f t="shared" si="3"/>
        <v>1</v>
      </c>
      <c r="N123"/>
      <c r="O123" s="8"/>
      <c r="P123"/>
      <c r="Q123" s="8"/>
    </row>
    <row r="124" spans="2:17" x14ac:dyDescent="0.25">
      <c r="B124" s="156">
        <v>1</v>
      </c>
      <c r="C124" s="157" t="s">
        <v>77</v>
      </c>
      <c r="D124" s="158" t="s">
        <v>78</v>
      </c>
      <c r="E124" s="282"/>
      <c r="F124" s="186" t="s">
        <v>172</v>
      </c>
      <c r="G124" s="186" t="s">
        <v>172</v>
      </c>
      <c r="H124" s="193">
        <v>14</v>
      </c>
      <c r="I124" s="207"/>
      <c r="J124" s="69">
        <f t="shared" si="2"/>
        <v>0</v>
      </c>
      <c r="K124" s="207">
        <f>+I124+'ENERO 2026'!K124</f>
        <v>14</v>
      </c>
      <c r="L124" s="94">
        <f t="shared" si="3"/>
        <v>1</v>
      </c>
      <c r="N124"/>
      <c r="O124" s="8"/>
      <c r="P124"/>
      <c r="Q124" s="8"/>
    </row>
    <row r="125" spans="2:17" x14ac:dyDescent="0.25">
      <c r="B125" s="156">
        <v>1</v>
      </c>
      <c r="C125" s="157" t="s">
        <v>79</v>
      </c>
      <c r="D125" s="158" t="s">
        <v>80</v>
      </c>
      <c r="E125" s="282"/>
      <c r="F125" s="186" t="s">
        <v>172</v>
      </c>
      <c r="G125" s="186" t="s">
        <v>172</v>
      </c>
      <c r="H125" s="207">
        <v>16</v>
      </c>
      <c r="I125" s="194"/>
      <c r="J125" s="69">
        <f t="shared" si="2"/>
        <v>0</v>
      </c>
      <c r="K125" s="194">
        <f>+I125+'ENERO 2026'!K125</f>
        <v>16</v>
      </c>
      <c r="L125" s="94">
        <f t="shared" si="3"/>
        <v>1</v>
      </c>
      <c r="N125"/>
      <c r="O125" s="8"/>
      <c r="P125"/>
      <c r="Q125" s="8"/>
    </row>
    <row r="126" spans="2:17" x14ac:dyDescent="0.25">
      <c r="B126" s="156">
        <v>1</v>
      </c>
      <c r="C126" s="157" t="s">
        <v>82</v>
      </c>
      <c r="D126" s="158" t="s">
        <v>83</v>
      </c>
      <c r="E126" s="282"/>
      <c r="F126" s="186" t="s">
        <v>172</v>
      </c>
      <c r="G126" s="186" t="s">
        <v>172</v>
      </c>
      <c r="H126" s="207">
        <v>18</v>
      </c>
      <c r="I126" s="207"/>
      <c r="J126" s="69">
        <f t="shared" si="2"/>
        <v>0</v>
      </c>
      <c r="K126" s="207">
        <f>+I126+'ENERO 2026'!K126</f>
        <v>18</v>
      </c>
      <c r="L126" s="94">
        <f t="shared" si="3"/>
        <v>1</v>
      </c>
      <c r="N126"/>
      <c r="O126" s="8"/>
      <c r="P126"/>
      <c r="Q126" s="8"/>
    </row>
    <row r="127" spans="2:17" x14ac:dyDescent="0.25">
      <c r="B127" s="156">
        <v>1</v>
      </c>
      <c r="C127" s="157" t="s">
        <v>84</v>
      </c>
      <c r="D127" s="158" t="s">
        <v>85</v>
      </c>
      <c r="E127" s="282"/>
      <c r="F127" s="186" t="s">
        <v>172</v>
      </c>
      <c r="G127" s="186" t="s">
        <v>172</v>
      </c>
      <c r="H127" s="207">
        <v>24</v>
      </c>
      <c r="I127" s="207"/>
      <c r="J127" s="69">
        <f t="shared" si="2"/>
        <v>0</v>
      </c>
      <c r="K127" s="207">
        <f>+I127+'ENERO 2026'!K127</f>
        <v>24</v>
      </c>
      <c r="L127" s="94">
        <f t="shared" si="3"/>
        <v>1</v>
      </c>
      <c r="N127"/>
      <c r="O127" s="8"/>
      <c r="P127"/>
      <c r="Q127" s="8"/>
    </row>
    <row r="128" spans="2:17" x14ac:dyDescent="0.25">
      <c r="B128" s="156">
        <v>1</v>
      </c>
      <c r="C128" s="157" t="s">
        <v>86</v>
      </c>
      <c r="D128" s="158" t="s">
        <v>87</v>
      </c>
      <c r="E128" s="282"/>
      <c r="F128" s="186" t="s">
        <v>172</v>
      </c>
      <c r="G128" s="186" t="s">
        <v>172</v>
      </c>
      <c r="H128" s="207">
        <v>16</v>
      </c>
      <c r="I128" s="207"/>
      <c r="J128" s="69">
        <f t="shared" si="2"/>
        <v>0</v>
      </c>
      <c r="K128" s="207">
        <f>+I128+'ENERO 2026'!K128</f>
        <v>16</v>
      </c>
      <c r="L128" s="94">
        <f t="shared" si="3"/>
        <v>1</v>
      </c>
      <c r="N128"/>
      <c r="O128" s="8"/>
      <c r="P128"/>
      <c r="Q128" s="8"/>
    </row>
    <row r="129" spans="2:17" x14ac:dyDescent="0.25">
      <c r="B129" s="156">
        <v>1</v>
      </c>
      <c r="C129" s="157" t="s">
        <v>89</v>
      </c>
      <c r="D129" s="158" t="s">
        <v>90</v>
      </c>
      <c r="E129" s="282"/>
      <c r="F129" s="186" t="s">
        <v>172</v>
      </c>
      <c r="G129" s="186" t="s">
        <v>172</v>
      </c>
      <c r="H129" s="207">
        <v>18</v>
      </c>
      <c r="I129" s="207"/>
      <c r="J129" s="69">
        <f t="shared" si="2"/>
        <v>0</v>
      </c>
      <c r="K129" s="207">
        <f>+I129+'ENERO 2026'!K129</f>
        <v>18</v>
      </c>
      <c r="L129" s="94">
        <f t="shared" si="3"/>
        <v>1</v>
      </c>
      <c r="N129"/>
      <c r="O129" s="8"/>
      <c r="P129"/>
      <c r="Q129" s="8"/>
    </row>
    <row r="130" spans="2:17" s="16" customFormat="1" x14ac:dyDescent="0.25">
      <c r="B130" s="156">
        <v>1</v>
      </c>
      <c r="C130" s="157" t="s">
        <v>92</v>
      </c>
      <c r="D130" s="158" t="s">
        <v>93</v>
      </c>
      <c r="E130" s="282"/>
      <c r="F130" s="186" t="s">
        <v>172</v>
      </c>
      <c r="G130" s="186" t="s">
        <v>172</v>
      </c>
      <c r="H130" s="207">
        <v>16</v>
      </c>
      <c r="I130" s="207"/>
      <c r="J130" s="69">
        <f t="shared" si="2"/>
        <v>0</v>
      </c>
      <c r="K130" s="207">
        <f>+I130+'ENERO 2026'!K130</f>
        <v>16</v>
      </c>
      <c r="L130" s="94">
        <f t="shared" si="3"/>
        <v>1</v>
      </c>
      <c r="N130" s="41"/>
      <c r="P130" s="41"/>
    </row>
    <row r="131" spans="2:17" x14ac:dyDescent="0.25">
      <c r="B131" s="156">
        <v>1</v>
      </c>
      <c r="C131" s="157" t="s">
        <v>95</v>
      </c>
      <c r="D131" s="158" t="s">
        <v>96</v>
      </c>
      <c r="E131" s="282"/>
      <c r="F131" s="186" t="s">
        <v>172</v>
      </c>
      <c r="G131" s="186" t="s">
        <v>172</v>
      </c>
      <c r="H131" s="193">
        <v>10</v>
      </c>
      <c r="I131" s="207"/>
      <c r="J131" s="69">
        <f t="shared" si="2"/>
        <v>0</v>
      </c>
      <c r="K131" s="207">
        <f>+I131+'ENERO 2026'!K131</f>
        <v>10</v>
      </c>
      <c r="L131" s="94">
        <f t="shared" si="3"/>
        <v>1</v>
      </c>
      <c r="N131"/>
      <c r="O131" s="8"/>
      <c r="P131"/>
      <c r="Q131" s="8"/>
    </row>
    <row r="132" spans="2:17" x14ac:dyDescent="0.25">
      <c r="B132" s="156">
        <v>2</v>
      </c>
      <c r="C132" s="157" t="s">
        <v>140</v>
      </c>
      <c r="D132" s="158" t="s">
        <v>141</v>
      </c>
      <c r="E132" s="282"/>
      <c r="F132" s="186" t="s">
        <v>172</v>
      </c>
      <c r="G132" s="186" t="s">
        <v>172</v>
      </c>
      <c r="H132" s="207">
        <v>14</v>
      </c>
      <c r="I132" s="207"/>
      <c r="J132" s="69">
        <f t="shared" si="2"/>
        <v>0</v>
      </c>
      <c r="K132" s="207">
        <f>+I132+'ENERO 2026'!K132</f>
        <v>14</v>
      </c>
      <c r="L132" s="94">
        <f t="shared" si="3"/>
        <v>1</v>
      </c>
      <c r="N132"/>
      <c r="O132" s="8"/>
      <c r="P132"/>
      <c r="Q132" s="8"/>
    </row>
    <row r="133" spans="2:17" x14ac:dyDescent="0.25">
      <c r="B133" s="159">
        <v>2</v>
      </c>
      <c r="C133" s="160" t="s">
        <v>57</v>
      </c>
      <c r="D133" s="161" t="s">
        <v>58</v>
      </c>
      <c r="E133" s="283"/>
      <c r="F133" s="189" t="s">
        <v>172</v>
      </c>
      <c r="G133" s="189" t="s">
        <v>172</v>
      </c>
      <c r="H133" s="208">
        <v>20</v>
      </c>
      <c r="I133" s="208"/>
      <c r="J133" s="72">
        <f t="shared" si="2"/>
        <v>0</v>
      </c>
      <c r="K133" s="208">
        <f>+I133+'ENERO 2026'!K133</f>
        <v>20</v>
      </c>
      <c r="L133" s="96">
        <f t="shared" si="3"/>
        <v>1</v>
      </c>
      <c r="N133"/>
      <c r="O133" s="8"/>
      <c r="P133"/>
      <c r="Q133" s="8"/>
    </row>
    <row r="134" spans="2:17" x14ac:dyDescent="0.25">
      <c r="B134" s="153">
        <v>1</v>
      </c>
      <c r="C134" s="154" t="s">
        <v>144</v>
      </c>
      <c r="D134" s="155" t="s">
        <v>145</v>
      </c>
      <c r="E134" s="281" t="s">
        <v>205</v>
      </c>
      <c r="F134" s="180" t="s">
        <v>172</v>
      </c>
      <c r="G134" s="180" t="s">
        <v>172</v>
      </c>
      <c r="H134" s="191">
        <v>20</v>
      </c>
      <c r="I134" s="191"/>
      <c r="J134" s="69">
        <f t="shared" si="2"/>
        <v>0</v>
      </c>
      <c r="K134" s="191">
        <f>+I134+'ENERO 2026'!K134</f>
        <v>20</v>
      </c>
      <c r="L134" s="94">
        <f t="shared" si="3"/>
        <v>1</v>
      </c>
      <c r="N134"/>
      <c r="O134" s="8"/>
      <c r="P134"/>
      <c r="Q134" s="8"/>
    </row>
    <row r="135" spans="2:17" x14ac:dyDescent="0.25">
      <c r="B135" s="156">
        <v>1</v>
      </c>
      <c r="C135" s="157" t="s">
        <v>74</v>
      </c>
      <c r="D135" s="158" t="s">
        <v>75</v>
      </c>
      <c r="E135" s="282"/>
      <c r="F135" s="186" t="s">
        <v>172</v>
      </c>
      <c r="G135" s="186" t="s">
        <v>172</v>
      </c>
      <c r="H135" s="193">
        <v>20</v>
      </c>
      <c r="I135" s="207"/>
      <c r="J135" s="69">
        <f t="shared" si="2"/>
        <v>0</v>
      </c>
      <c r="K135" s="207">
        <f>+I135+'ENERO 2026'!K135</f>
        <v>20</v>
      </c>
      <c r="L135" s="94">
        <f t="shared" si="3"/>
        <v>1</v>
      </c>
      <c r="N135"/>
      <c r="O135" s="8"/>
      <c r="P135"/>
      <c r="Q135" s="8"/>
    </row>
    <row r="136" spans="2:17" x14ac:dyDescent="0.25">
      <c r="B136" s="156">
        <v>1</v>
      </c>
      <c r="C136" s="157" t="s">
        <v>77</v>
      </c>
      <c r="D136" s="158" t="s">
        <v>78</v>
      </c>
      <c r="E136" s="282"/>
      <c r="F136" s="183" t="s">
        <v>172</v>
      </c>
      <c r="G136" s="183" t="s">
        <v>172</v>
      </c>
      <c r="H136" s="207">
        <v>20</v>
      </c>
      <c r="I136" s="194"/>
      <c r="J136" s="69">
        <f t="shared" si="2"/>
        <v>0</v>
      </c>
      <c r="K136" s="194">
        <f>+I136+'ENERO 2026'!K136</f>
        <v>20</v>
      </c>
      <c r="L136" s="94">
        <f t="shared" si="3"/>
        <v>1</v>
      </c>
      <c r="N136"/>
      <c r="O136" s="8"/>
      <c r="P136"/>
      <c r="Q136" s="8"/>
    </row>
    <row r="137" spans="2:17" x14ac:dyDescent="0.25">
      <c r="B137" s="156">
        <v>1</v>
      </c>
      <c r="C137" s="157" t="s">
        <v>79</v>
      </c>
      <c r="D137" s="158" t="s">
        <v>80</v>
      </c>
      <c r="E137" s="282"/>
      <c r="F137" s="186" t="s">
        <v>172</v>
      </c>
      <c r="G137" s="186" t="s">
        <v>172</v>
      </c>
      <c r="H137" s="207">
        <v>20</v>
      </c>
      <c r="I137" s="207"/>
      <c r="J137" s="69">
        <f t="shared" si="2"/>
        <v>0</v>
      </c>
      <c r="K137" s="207">
        <f>+I137+'ENERO 2026'!K137</f>
        <v>20</v>
      </c>
      <c r="L137" s="94">
        <f t="shared" si="3"/>
        <v>1</v>
      </c>
      <c r="N137"/>
      <c r="O137" s="8"/>
      <c r="P137"/>
      <c r="Q137" s="8"/>
    </row>
    <row r="138" spans="2:17" x14ac:dyDescent="0.25">
      <c r="B138" s="156">
        <v>1</v>
      </c>
      <c r="C138" s="157" t="s">
        <v>82</v>
      </c>
      <c r="D138" s="158" t="s">
        <v>83</v>
      </c>
      <c r="E138" s="282"/>
      <c r="F138" s="186" t="s">
        <v>172</v>
      </c>
      <c r="G138" s="186" t="s">
        <v>172</v>
      </c>
      <c r="H138" s="207">
        <v>2</v>
      </c>
      <c r="I138" s="207"/>
      <c r="J138" s="69">
        <f t="shared" si="2"/>
        <v>0</v>
      </c>
      <c r="K138" s="207">
        <f>+I138+'ENERO 2026'!K138</f>
        <v>2</v>
      </c>
      <c r="L138" s="94">
        <f t="shared" si="3"/>
        <v>1</v>
      </c>
      <c r="N138"/>
      <c r="O138" s="8"/>
      <c r="P138"/>
      <c r="Q138" s="8"/>
    </row>
    <row r="139" spans="2:17" x14ac:dyDescent="0.25">
      <c r="B139" s="156">
        <v>1</v>
      </c>
      <c r="C139" s="157" t="s">
        <v>84</v>
      </c>
      <c r="D139" s="158" t="s">
        <v>85</v>
      </c>
      <c r="E139" s="282"/>
      <c r="F139" s="186" t="s">
        <v>172</v>
      </c>
      <c r="G139" s="186" t="s">
        <v>172</v>
      </c>
      <c r="H139" s="207">
        <v>40</v>
      </c>
      <c r="I139" s="207"/>
      <c r="J139" s="69">
        <f t="shared" si="2"/>
        <v>0</v>
      </c>
      <c r="K139" s="207">
        <f>+I139+'ENERO 2026'!K139</f>
        <v>40</v>
      </c>
      <c r="L139" s="94">
        <f t="shared" si="3"/>
        <v>1</v>
      </c>
      <c r="N139"/>
      <c r="O139" s="8"/>
      <c r="P139"/>
      <c r="Q139" s="8"/>
    </row>
    <row r="140" spans="2:17" x14ac:dyDescent="0.25">
      <c r="B140" s="156">
        <v>1</v>
      </c>
      <c r="C140" s="157" t="s">
        <v>86</v>
      </c>
      <c r="D140" s="158" t="s">
        <v>87</v>
      </c>
      <c r="E140" s="282"/>
      <c r="F140" s="186" t="s">
        <v>172</v>
      </c>
      <c r="G140" s="186" t="s">
        <v>172</v>
      </c>
      <c r="H140" s="207">
        <v>2</v>
      </c>
      <c r="I140" s="207"/>
      <c r="J140" s="69">
        <f t="shared" si="2"/>
        <v>0</v>
      </c>
      <c r="K140" s="207">
        <f>+I140+'ENERO 2026'!K140</f>
        <v>2</v>
      </c>
      <c r="L140" s="94">
        <f t="shared" si="3"/>
        <v>1</v>
      </c>
      <c r="N140"/>
      <c r="O140" s="8"/>
      <c r="P140"/>
      <c r="Q140" s="8"/>
    </row>
    <row r="141" spans="2:17" x14ac:dyDescent="0.25">
      <c r="B141" s="156">
        <v>1</v>
      </c>
      <c r="C141" s="157" t="s">
        <v>89</v>
      </c>
      <c r="D141" s="158" t="s">
        <v>90</v>
      </c>
      <c r="E141" s="282"/>
      <c r="F141" s="186" t="s">
        <v>172</v>
      </c>
      <c r="G141" s="186" t="s">
        <v>172</v>
      </c>
      <c r="H141" s="207">
        <v>8</v>
      </c>
      <c r="I141" s="207"/>
      <c r="J141" s="69">
        <f t="shared" si="2"/>
        <v>0</v>
      </c>
      <c r="K141" s="207">
        <f>+I141+'ENERO 2026'!K141</f>
        <v>8</v>
      </c>
      <c r="L141" s="94">
        <f t="shared" si="3"/>
        <v>1</v>
      </c>
      <c r="N141"/>
      <c r="O141" s="8"/>
      <c r="P141"/>
      <c r="Q141" s="8"/>
    </row>
    <row r="142" spans="2:17" s="16" customFormat="1" x14ac:dyDescent="0.25">
      <c r="B142" s="156">
        <v>1</v>
      </c>
      <c r="C142" s="157" t="s">
        <v>92</v>
      </c>
      <c r="D142" s="158" t="s">
        <v>93</v>
      </c>
      <c r="E142" s="282"/>
      <c r="F142" s="186" t="s">
        <v>172</v>
      </c>
      <c r="G142" s="186" t="s">
        <v>172</v>
      </c>
      <c r="H142" s="193">
        <v>15</v>
      </c>
      <c r="I142" s="207"/>
      <c r="J142" s="69">
        <f t="shared" si="2"/>
        <v>0</v>
      </c>
      <c r="K142" s="207">
        <f>+I142+'ENERO 2026'!K142</f>
        <v>15</v>
      </c>
      <c r="L142" s="94">
        <f t="shared" si="3"/>
        <v>1</v>
      </c>
      <c r="N142" s="41"/>
      <c r="P142" s="41"/>
    </row>
    <row r="143" spans="2:17" x14ac:dyDescent="0.25">
      <c r="B143" s="156">
        <v>1</v>
      </c>
      <c r="C143" s="157" t="s">
        <v>146</v>
      </c>
      <c r="D143" s="158" t="s">
        <v>147</v>
      </c>
      <c r="E143" s="282"/>
      <c r="F143" s="186" t="s">
        <v>172</v>
      </c>
      <c r="G143" s="186" t="s">
        <v>172</v>
      </c>
      <c r="H143" s="207">
        <v>5</v>
      </c>
      <c r="I143" s="207"/>
      <c r="J143" s="69">
        <f t="shared" ref="J143:J206" si="4">IFERROR(I143/H143,0)</f>
        <v>0</v>
      </c>
      <c r="K143" s="207">
        <f>+I143+'ENERO 2026'!K143</f>
        <v>5</v>
      </c>
      <c r="L143" s="94">
        <f t="shared" ref="L143:L206" si="5">IFERROR(K143/H143,0)</f>
        <v>1</v>
      </c>
      <c r="N143"/>
      <c r="O143" s="8"/>
      <c r="P143"/>
      <c r="Q143" s="8"/>
    </row>
    <row r="144" spans="2:17" x14ac:dyDescent="0.25">
      <c r="B144" s="156">
        <v>1</v>
      </c>
      <c r="C144" s="157" t="s">
        <v>95</v>
      </c>
      <c r="D144" s="158" t="s">
        <v>96</v>
      </c>
      <c r="E144" s="282"/>
      <c r="F144" s="183" t="s">
        <v>172</v>
      </c>
      <c r="G144" s="183" t="s">
        <v>172</v>
      </c>
      <c r="H144" s="207">
        <v>13</v>
      </c>
      <c r="I144" s="194"/>
      <c r="J144" s="69">
        <f t="shared" si="4"/>
        <v>0</v>
      </c>
      <c r="K144" s="194">
        <f>+I144+'ENERO 2026'!K144</f>
        <v>13</v>
      </c>
      <c r="L144" s="94">
        <f t="shared" si="5"/>
        <v>1</v>
      </c>
      <c r="N144"/>
      <c r="O144" s="8"/>
      <c r="P144"/>
      <c r="Q144" s="8"/>
    </row>
    <row r="145" spans="2:17" x14ac:dyDescent="0.25">
      <c r="B145" s="159">
        <v>8</v>
      </c>
      <c r="C145" s="160" t="s">
        <v>148</v>
      </c>
      <c r="D145" s="161" t="s">
        <v>141</v>
      </c>
      <c r="E145" s="283"/>
      <c r="F145" s="189" t="s">
        <v>172</v>
      </c>
      <c r="G145" s="189" t="s">
        <v>172</v>
      </c>
      <c r="H145" s="208">
        <v>15</v>
      </c>
      <c r="I145" s="208"/>
      <c r="J145" s="72">
        <f t="shared" si="4"/>
        <v>0</v>
      </c>
      <c r="K145" s="208">
        <f>+I145+'ENERO 2026'!K145</f>
        <v>15</v>
      </c>
      <c r="L145" s="96">
        <f t="shared" si="5"/>
        <v>1</v>
      </c>
      <c r="N145"/>
      <c r="O145" s="8"/>
      <c r="P145"/>
      <c r="Q145" s="8"/>
    </row>
    <row r="146" spans="2:17" x14ac:dyDescent="0.25">
      <c r="B146" s="153">
        <v>3</v>
      </c>
      <c r="C146" s="154" t="s">
        <v>43</v>
      </c>
      <c r="D146" s="155" t="s">
        <v>44</v>
      </c>
      <c r="E146" s="285" t="s">
        <v>239</v>
      </c>
      <c r="F146" s="180" t="s">
        <v>172</v>
      </c>
      <c r="G146" s="180" t="s">
        <v>172</v>
      </c>
      <c r="H146" s="191">
        <v>16</v>
      </c>
      <c r="I146" s="191"/>
      <c r="J146" s="69">
        <f t="shared" si="4"/>
        <v>0</v>
      </c>
      <c r="K146" s="191">
        <f>+I146+'ENERO 2026'!K146</f>
        <v>16</v>
      </c>
      <c r="L146" s="94">
        <f t="shared" si="5"/>
        <v>1</v>
      </c>
      <c r="N146"/>
      <c r="O146" s="8"/>
      <c r="P146"/>
      <c r="Q146" s="8"/>
    </row>
    <row r="147" spans="2:17" x14ac:dyDescent="0.25">
      <c r="B147" s="156">
        <v>3</v>
      </c>
      <c r="C147" s="157" t="s">
        <v>149</v>
      </c>
      <c r="D147" s="158" t="s">
        <v>150</v>
      </c>
      <c r="E147" s="286"/>
      <c r="F147" s="183" t="s">
        <v>172</v>
      </c>
      <c r="G147" s="183" t="s">
        <v>172</v>
      </c>
      <c r="H147" s="193">
        <v>17</v>
      </c>
      <c r="I147" s="207"/>
      <c r="J147" s="69">
        <f t="shared" si="4"/>
        <v>0</v>
      </c>
      <c r="K147" s="207">
        <f>+I147+'ENERO 2026'!K147</f>
        <v>17</v>
      </c>
      <c r="L147" s="94">
        <f t="shared" si="5"/>
        <v>1</v>
      </c>
      <c r="N147"/>
      <c r="O147" s="8"/>
      <c r="P147"/>
      <c r="Q147" s="8"/>
    </row>
    <row r="148" spans="2:17" x14ac:dyDescent="0.25">
      <c r="B148" s="156">
        <v>3</v>
      </c>
      <c r="C148" s="157" t="s">
        <v>46</v>
      </c>
      <c r="D148" s="158" t="s">
        <v>47</v>
      </c>
      <c r="E148" s="286"/>
      <c r="F148" s="186" t="s">
        <v>172</v>
      </c>
      <c r="G148" s="186" t="s">
        <v>172</v>
      </c>
      <c r="H148" s="207">
        <v>16</v>
      </c>
      <c r="I148" s="194"/>
      <c r="J148" s="69">
        <f t="shared" si="4"/>
        <v>0</v>
      </c>
      <c r="K148" s="194">
        <f>+I148+'ENERO 2026'!K148</f>
        <v>16</v>
      </c>
      <c r="L148" s="94">
        <f t="shared" si="5"/>
        <v>1</v>
      </c>
      <c r="N148"/>
      <c r="O148" s="8"/>
      <c r="P148"/>
      <c r="Q148" s="8"/>
    </row>
    <row r="149" spans="2:17" x14ac:dyDescent="0.25">
      <c r="B149" s="156">
        <v>3</v>
      </c>
      <c r="C149" s="157" t="s">
        <v>98</v>
      </c>
      <c r="D149" s="158" t="s">
        <v>99</v>
      </c>
      <c r="E149" s="286"/>
      <c r="F149" s="186" t="s">
        <v>172</v>
      </c>
      <c r="G149" s="186" t="s">
        <v>172</v>
      </c>
      <c r="H149" s="207">
        <v>17</v>
      </c>
      <c r="I149" s="207"/>
      <c r="J149" s="69">
        <f t="shared" si="4"/>
        <v>0</v>
      </c>
      <c r="K149" s="207">
        <f>+I149+'ENERO 2026'!K149</f>
        <v>17</v>
      </c>
      <c r="L149" s="94">
        <f t="shared" si="5"/>
        <v>1</v>
      </c>
      <c r="N149"/>
      <c r="O149" s="8"/>
      <c r="P149"/>
      <c r="Q149" s="8"/>
    </row>
    <row r="150" spans="2:17" x14ac:dyDescent="0.25">
      <c r="B150" s="156">
        <v>3</v>
      </c>
      <c r="C150" s="157" t="s">
        <v>49</v>
      </c>
      <c r="D150" s="158" t="s">
        <v>50</v>
      </c>
      <c r="E150" s="286"/>
      <c r="F150" s="186" t="s">
        <v>172</v>
      </c>
      <c r="G150" s="186" t="s">
        <v>172</v>
      </c>
      <c r="H150" s="207">
        <v>16</v>
      </c>
      <c r="I150" s="207"/>
      <c r="J150" s="69">
        <f t="shared" si="4"/>
        <v>0</v>
      </c>
      <c r="K150" s="207">
        <f>+I150+'ENERO 2026'!K150</f>
        <v>16</v>
      </c>
      <c r="L150" s="94">
        <f t="shared" si="5"/>
        <v>1</v>
      </c>
      <c r="N150"/>
      <c r="O150" s="8"/>
      <c r="P150"/>
      <c r="Q150" s="8"/>
    </row>
    <row r="151" spans="2:17" x14ac:dyDescent="0.25">
      <c r="B151" s="156">
        <v>3</v>
      </c>
      <c r="C151" s="157" t="s">
        <v>52</v>
      </c>
      <c r="D151" s="158" t="s">
        <v>53</v>
      </c>
      <c r="E151" s="286"/>
      <c r="F151" s="186" t="s">
        <v>172</v>
      </c>
      <c r="G151" s="186" t="s">
        <v>172</v>
      </c>
      <c r="H151" s="207">
        <v>17</v>
      </c>
      <c r="I151" s="207"/>
      <c r="J151" s="69">
        <f t="shared" si="4"/>
        <v>0</v>
      </c>
      <c r="K151" s="207">
        <f>+I151+'ENERO 2026'!K151</f>
        <v>17</v>
      </c>
      <c r="L151" s="94">
        <f t="shared" si="5"/>
        <v>1</v>
      </c>
      <c r="N151"/>
      <c r="O151" s="8"/>
      <c r="P151"/>
      <c r="Q151" s="8"/>
    </row>
    <row r="152" spans="2:17" x14ac:dyDescent="0.25">
      <c r="B152" s="156">
        <v>3</v>
      </c>
      <c r="C152" s="157" t="s">
        <v>55</v>
      </c>
      <c r="D152" s="158" t="s">
        <v>56</v>
      </c>
      <c r="E152" s="286"/>
      <c r="F152" s="186" t="s">
        <v>172</v>
      </c>
      <c r="G152" s="186" t="s">
        <v>172</v>
      </c>
      <c r="H152" s="207">
        <v>16</v>
      </c>
      <c r="I152" s="207"/>
      <c r="J152" s="69">
        <f t="shared" si="4"/>
        <v>0</v>
      </c>
      <c r="K152" s="207">
        <f>+I152+'ENERO 2026'!K152</f>
        <v>16</v>
      </c>
      <c r="L152" s="94">
        <f t="shared" si="5"/>
        <v>1</v>
      </c>
      <c r="N152"/>
      <c r="O152" s="8"/>
      <c r="P152"/>
      <c r="Q152" s="8"/>
    </row>
    <row r="153" spans="2:17" s="16" customFormat="1" x14ac:dyDescent="0.25">
      <c r="B153" s="156">
        <v>5</v>
      </c>
      <c r="C153" s="157" t="s">
        <v>151</v>
      </c>
      <c r="D153" s="158" t="s">
        <v>152</v>
      </c>
      <c r="E153" s="286"/>
      <c r="F153" s="186" t="s">
        <v>172</v>
      </c>
      <c r="G153" s="186" t="s">
        <v>172</v>
      </c>
      <c r="H153" s="207">
        <v>16</v>
      </c>
      <c r="I153" s="207"/>
      <c r="J153" s="69">
        <f t="shared" si="4"/>
        <v>0</v>
      </c>
      <c r="K153" s="207">
        <f>+I153+'ENERO 2026'!K153</f>
        <v>16</v>
      </c>
      <c r="L153" s="94">
        <f t="shared" si="5"/>
        <v>1</v>
      </c>
      <c r="N153" s="41"/>
      <c r="P153" s="41"/>
    </row>
    <row r="154" spans="2:17" x14ac:dyDescent="0.25">
      <c r="B154" s="156">
        <v>5</v>
      </c>
      <c r="C154" s="157" t="s">
        <v>57</v>
      </c>
      <c r="D154" s="158" t="s">
        <v>58</v>
      </c>
      <c r="E154" s="286"/>
      <c r="F154" s="186" t="s">
        <v>172</v>
      </c>
      <c r="G154" s="186" t="s">
        <v>172</v>
      </c>
      <c r="H154" s="193">
        <v>16</v>
      </c>
      <c r="I154" s="207"/>
      <c r="J154" s="69">
        <f t="shared" si="4"/>
        <v>0</v>
      </c>
      <c r="K154" s="207">
        <f>+I154+'ENERO 2026'!K154</f>
        <v>16</v>
      </c>
      <c r="L154" s="94">
        <f t="shared" si="5"/>
        <v>1</v>
      </c>
      <c r="N154"/>
      <c r="O154" s="8"/>
      <c r="P154"/>
      <c r="Q154" s="8"/>
    </row>
    <row r="155" spans="2:17" x14ac:dyDescent="0.25">
      <c r="B155" s="156">
        <v>5</v>
      </c>
      <c r="C155" s="157" t="s">
        <v>59</v>
      </c>
      <c r="D155" s="158" t="s">
        <v>60</v>
      </c>
      <c r="E155" s="286"/>
      <c r="F155" s="183" t="s">
        <v>172</v>
      </c>
      <c r="G155" s="183" t="s">
        <v>172</v>
      </c>
      <c r="H155" s="207">
        <v>16</v>
      </c>
      <c r="I155" s="207"/>
      <c r="J155" s="69">
        <f t="shared" si="4"/>
        <v>0</v>
      </c>
      <c r="K155" s="207">
        <f>+I155+'ENERO 2026'!K155</f>
        <v>16</v>
      </c>
      <c r="L155" s="94">
        <f t="shared" si="5"/>
        <v>1</v>
      </c>
      <c r="N155"/>
      <c r="O155" s="8"/>
      <c r="P155"/>
      <c r="Q155" s="8"/>
    </row>
    <row r="156" spans="2:17" x14ac:dyDescent="0.25">
      <c r="B156" s="159">
        <v>8</v>
      </c>
      <c r="C156" s="160" t="s">
        <v>61</v>
      </c>
      <c r="D156" s="161" t="s">
        <v>62</v>
      </c>
      <c r="E156" s="287"/>
      <c r="F156" s="189" t="s">
        <v>172</v>
      </c>
      <c r="G156" s="189" t="s">
        <v>172</v>
      </c>
      <c r="H156" s="208">
        <v>17</v>
      </c>
      <c r="I156" s="208"/>
      <c r="J156" s="72">
        <f t="shared" si="4"/>
        <v>0</v>
      </c>
      <c r="K156" s="208">
        <f>+I156+'ENERO 2026'!K156</f>
        <v>17</v>
      </c>
      <c r="L156" s="96">
        <f t="shared" si="5"/>
        <v>1</v>
      </c>
      <c r="N156"/>
      <c r="O156" s="8"/>
      <c r="P156"/>
      <c r="Q156" s="8"/>
    </row>
    <row r="157" spans="2:17" x14ac:dyDescent="0.25">
      <c r="B157" s="35">
        <v>3</v>
      </c>
      <c r="C157" s="36" t="s">
        <v>43</v>
      </c>
      <c r="D157" s="37" t="s">
        <v>44</v>
      </c>
      <c r="E157" s="218" t="s">
        <v>157</v>
      </c>
      <c r="F157" s="59" t="s">
        <v>1128</v>
      </c>
      <c r="G157" s="60" t="s">
        <v>1677</v>
      </c>
      <c r="H157" s="66">
        <v>36</v>
      </c>
      <c r="I157" s="66">
        <v>3</v>
      </c>
      <c r="J157" s="69">
        <f t="shared" si="4"/>
        <v>8.3333333333333329E-2</v>
      </c>
      <c r="K157" s="191">
        <f>+I157+'ENERO 2026'!K157</f>
        <v>33</v>
      </c>
      <c r="L157" s="94">
        <f t="shared" si="5"/>
        <v>0.91666666666666663</v>
      </c>
      <c r="N157"/>
      <c r="O157" s="8"/>
      <c r="P157"/>
      <c r="Q157" s="8"/>
    </row>
    <row r="158" spans="2:17" x14ac:dyDescent="0.25">
      <c r="B158" s="38">
        <v>3</v>
      </c>
      <c r="C158" s="39" t="s">
        <v>153</v>
      </c>
      <c r="D158" s="40" t="s">
        <v>154</v>
      </c>
      <c r="E158" s="219"/>
      <c r="F158" s="61" t="s">
        <v>1130</v>
      </c>
      <c r="G158" s="62" t="s">
        <v>155</v>
      </c>
      <c r="H158" s="55">
        <v>36</v>
      </c>
      <c r="I158" s="55">
        <v>3</v>
      </c>
      <c r="J158" s="69">
        <f t="shared" si="4"/>
        <v>8.3333333333333329E-2</v>
      </c>
      <c r="K158" s="207">
        <f>+I158+'ENERO 2026'!K158</f>
        <v>33</v>
      </c>
      <c r="L158" s="94">
        <f t="shared" si="5"/>
        <v>0.91666666666666663</v>
      </c>
      <c r="N158"/>
      <c r="O158" s="8"/>
      <c r="P158"/>
      <c r="Q158" s="8"/>
    </row>
    <row r="159" spans="2:17" x14ac:dyDescent="0.25">
      <c r="B159" s="38">
        <v>3</v>
      </c>
      <c r="C159" s="39" t="s">
        <v>46</v>
      </c>
      <c r="D159" s="40" t="s">
        <v>47</v>
      </c>
      <c r="E159" s="219"/>
      <c r="F159" s="61" t="s">
        <v>1131</v>
      </c>
      <c r="G159" s="63" t="s">
        <v>155</v>
      </c>
      <c r="H159" s="70">
        <v>36</v>
      </c>
      <c r="I159" s="70">
        <v>3</v>
      </c>
      <c r="J159" s="69">
        <f t="shared" si="4"/>
        <v>8.3333333333333329E-2</v>
      </c>
      <c r="K159" s="207">
        <f>+I159+'ENERO 2026'!K159</f>
        <v>33</v>
      </c>
      <c r="L159" s="94">
        <f t="shared" si="5"/>
        <v>0.91666666666666663</v>
      </c>
      <c r="N159"/>
      <c r="O159" s="8"/>
      <c r="P159"/>
      <c r="Q159" s="8"/>
    </row>
    <row r="160" spans="2:17" x14ac:dyDescent="0.25">
      <c r="B160" s="38">
        <v>3</v>
      </c>
      <c r="C160" s="39" t="s">
        <v>98</v>
      </c>
      <c r="D160" s="40" t="s">
        <v>99</v>
      </c>
      <c r="E160" s="219"/>
      <c r="F160" s="61" t="s">
        <v>1132</v>
      </c>
      <c r="G160" s="62" t="s">
        <v>1677</v>
      </c>
      <c r="H160" s="55">
        <v>36</v>
      </c>
      <c r="I160" s="55">
        <v>3</v>
      </c>
      <c r="J160" s="69">
        <f t="shared" si="4"/>
        <v>8.3333333333333329E-2</v>
      </c>
      <c r="K160" s="207">
        <f>+I160+'ENERO 2026'!K160</f>
        <v>33</v>
      </c>
      <c r="L160" s="94">
        <f t="shared" si="5"/>
        <v>0.91666666666666663</v>
      </c>
      <c r="N160"/>
      <c r="O160" s="8"/>
      <c r="P160"/>
      <c r="Q160" s="8"/>
    </row>
    <row r="161" spans="2:17" s="16" customFormat="1" x14ac:dyDescent="0.25">
      <c r="B161" s="38">
        <v>3</v>
      </c>
      <c r="C161" s="39" t="s">
        <v>49</v>
      </c>
      <c r="D161" s="40" t="s">
        <v>50</v>
      </c>
      <c r="E161" s="219"/>
      <c r="F161" s="61" t="s">
        <v>1133</v>
      </c>
      <c r="G161" s="62" t="s">
        <v>155</v>
      </c>
      <c r="H161" s="55">
        <v>36</v>
      </c>
      <c r="I161" s="55">
        <v>3</v>
      </c>
      <c r="J161" s="69">
        <f t="shared" si="4"/>
        <v>8.3333333333333329E-2</v>
      </c>
      <c r="K161" s="207">
        <f>+I161+'ENERO 2026'!K161</f>
        <v>33</v>
      </c>
      <c r="L161" s="94">
        <f t="shared" si="5"/>
        <v>0.91666666666666663</v>
      </c>
      <c r="N161" s="41"/>
      <c r="P161" s="41"/>
    </row>
    <row r="162" spans="2:17" x14ac:dyDescent="0.25">
      <c r="B162" s="38">
        <v>3</v>
      </c>
      <c r="C162" s="39" t="s">
        <v>52</v>
      </c>
      <c r="D162" s="40" t="s">
        <v>53</v>
      </c>
      <c r="E162" s="219"/>
      <c r="F162" s="61" t="s">
        <v>1134</v>
      </c>
      <c r="G162" s="62" t="s">
        <v>167</v>
      </c>
      <c r="H162" s="55">
        <v>36</v>
      </c>
      <c r="I162" s="55">
        <v>3</v>
      </c>
      <c r="J162" s="69">
        <f t="shared" si="4"/>
        <v>8.3333333333333329E-2</v>
      </c>
      <c r="K162" s="207">
        <f>+I162+'ENERO 2026'!K162</f>
        <v>33</v>
      </c>
      <c r="L162" s="94">
        <f t="shared" si="5"/>
        <v>0.91666666666666663</v>
      </c>
      <c r="N162"/>
      <c r="O162" s="8"/>
      <c r="P162"/>
      <c r="Q162" s="8"/>
    </row>
    <row r="163" spans="2:17" x14ac:dyDescent="0.25">
      <c r="B163" s="38">
        <v>3</v>
      </c>
      <c r="C163" s="39" t="s">
        <v>55</v>
      </c>
      <c r="D163" s="40" t="s">
        <v>56</v>
      </c>
      <c r="E163" s="219"/>
      <c r="F163" s="61" t="s">
        <v>1135</v>
      </c>
      <c r="G163" s="62" t="s">
        <v>168</v>
      </c>
      <c r="H163" s="55">
        <v>36</v>
      </c>
      <c r="I163" s="55">
        <v>3</v>
      </c>
      <c r="J163" s="69">
        <f t="shared" si="4"/>
        <v>8.3333333333333329E-2</v>
      </c>
      <c r="K163" s="207">
        <f>+I163+'ENERO 2026'!K163</f>
        <v>33</v>
      </c>
      <c r="L163" s="94">
        <f t="shared" si="5"/>
        <v>0.91666666666666663</v>
      </c>
      <c r="N163"/>
      <c r="O163" s="8"/>
      <c r="P163"/>
      <c r="Q163" s="8"/>
    </row>
    <row r="164" spans="2:17" x14ac:dyDescent="0.25">
      <c r="B164" s="38">
        <v>5</v>
      </c>
      <c r="C164" s="39" t="s">
        <v>57</v>
      </c>
      <c r="D164" s="40" t="s">
        <v>58</v>
      </c>
      <c r="E164" s="219"/>
      <c r="F164" s="61" t="s">
        <v>1136</v>
      </c>
      <c r="G164" s="62" t="s">
        <v>155</v>
      </c>
      <c r="H164" s="55">
        <v>36</v>
      </c>
      <c r="I164" s="55">
        <v>3</v>
      </c>
      <c r="J164" s="69">
        <f t="shared" si="4"/>
        <v>8.3333333333333329E-2</v>
      </c>
      <c r="K164" s="207">
        <f>+I164+'ENERO 2026'!K164</f>
        <v>33</v>
      </c>
      <c r="L164" s="94">
        <f t="shared" si="5"/>
        <v>0.91666666666666663</v>
      </c>
      <c r="N164"/>
      <c r="O164" s="8"/>
      <c r="P164"/>
      <c r="Q164" s="8"/>
    </row>
    <row r="165" spans="2:17" x14ac:dyDescent="0.25">
      <c r="B165" s="38">
        <v>5</v>
      </c>
      <c r="C165" s="39" t="s">
        <v>59</v>
      </c>
      <c r="D165" s="40" t="s">
        <v>60</v>
      </c>
      <c r="E165" s="219"/>
      <c r="F165" s="61" t="s">
        <v>1137</v>
      </c>
      <c r="G165" s="62" t="s">
        <v>1678</v>
      </c>
      <c r="H165" s="55">
        <v>36</v>
      </c>
      <c r="I165" s="55">
        <v>3</v>
      </c>
      <c r="J165" s="69">
        <f t="shared" si="4"/>
        <v>8.3333333333333329E-2</v>
      </c>
      <c r="K165" s="207">
        <f>+I165+'ENERO 2026'!K165</f>
        <v>33</v>
      </c>
      <c r="L165" s="94">
        <f t="shared" si="5"/>
        <v>0.91666666666666663</v>
      </c>
      <c r="N165"/>
      <c r="O165" s="8"/>
      <c r="P165"/>
      <c r="Q165" s="8"/>
    </row>
    <row r="166" spans="2:17" x14ac:dyDescent="0.25">
      <c r="B166" s="42">
        <v>8</v>
      </c>
      <c r="C166" s="43" t="s">
        <v>61</v>
      </c>
      <c r="D166" s="44" t="s">
        <v>62</v>
      </c>
      <c r="E166" s="220"/>
      <c r="F166" s="64" t="s">
        <v>1138</v>
      </c>
      <c r="G166" s="65" t="s">
        <v>156</v>
      </c>
      <c r="H166" s="56">
        <v>36</v>
      </c>
      <c r="I166" s="56">
        <v>3</v>
      </c>
      <c r="J166" s="72">
        <f t="shared" si="4"/>
        <v>8.3333333333333329E-2</v>
      </c>
      <c r="K166" s="208">
        <f>+I166+'ENERO 2026'!K166</f>
        <v>33</v>
      </c>
      <c r="L166" s="96">
        <f t="shared" si="5"/>
        <v>0.91666666666666663</v>
      </c>
      <c r="N166"/>
      <c r="O166" s="8"/>
      <c r="P166"/>
      <c r="Q166" s="8"/>
    </row>
    <row r="167" spans="2:17" x14ac:dyDescent="0.25">
      <c r="B167" s="35">
        <v>3</v>
      </c>
      <c r="C167" s="36" t="s">
        <v>43</v>
      </c>
      <c r="D167" s="37" t="s">
        <v>44</v>
      </c>
      <c r="E167" s="228" t="s">
        <v>158</v>
      </c>
      <c r="F167" s="179" t="s">
        <v>172</v>
      </c>
      <c r="G167" s="180" t="s">
        <v>172</v>
      </c>
      <c r="H167" s="191">
        <v>36</v>
      </c>
      <c r="I167" s="191">
        <v>0</v>
      </c>
      <c r="J167" s="69">
        <f t="shared" si="4"/>
        <v>0</v>
      </c>
      <c r="K167" s="191">
        <f>+I167+'ENERO 2026'!K167</f>
        <v>29</v>
      </c>
      <c r="L167" s="94">
        <f t="shared" si="5"/>
        <v>0.80555555555555558</v>
      </c>
      <c r="N167"/>
      <c r="O167" s="8"/>
      <c r="P167"/>
      <c r="Q167" s="8"/>
    </row>
    <row r="168" spans="2:17" x14ac:dyDescent="0.25">
      <c r="B168" s="38">
        <v>3</v>
      </c>
      <c r="C168" s="39" t="s">
        <v>153</v>
      </c>
      <c r="D168" s="40" t="s">
        <v>154</v>
      </c>
      <c r="E168" s="229"/>
      <c r="F168" s="18" t="s">
        <v>1646</v>
      </c>
      <c r="G168" s="186" t="s">
        <v>1647</v>
      </c>
      <c r="H168" s="193">
        <v>36</v>
      </c>
      <c r="I168" s="207">
        <v>6</v>
      </c>
      <c r="J168" s="69">
        <f t="shared" si="4"/>
        <v>0.16666666666666666</v>
      </c>
      <c r="K168" s="207">
        <f>+I168+'ENERO 2026'!K168</f>
        <v>33</v>
      </c>
      <c r="L168" s="94">
        <f t="shared" si="5"/>
        <v>0.91666666666666663</v>
      </c>
      <c r="N168"/>
      <c r="O168" s="8"/>
      <c r="P168"/>
      <c r="Q168" s="8"/>
    </row>
    <row r="169" spans="2:17" x14ac:dyDescent="0.25">
      <c r="B169" s="38">
        <v>3</v>
      </c>
      <c r="C169" s="39" t="s">
        <v>46</v>
      </c>
      <c r="D169" s="40" t="s">
        <v>47</v>
      </c>
      <c r="E169" s="229"/>
      <c r="F169" s="182" t="s">
        <v>1648</v>
      </c>
      <c r="G169" s="183" t="s">
        <v>1649</v>
      </c>
      <c r="H169" s="207">
        <v>36</v>
      </c>
      <c r="I169" s="194">
        <v>9</v>
      </c>
      <c r="J169" s="69">
        <f t="shared" si="4"/>
        <v>0.25</v>
      </c>
      <c r="K169" s="194">
        <f>+I169+'ENERO 2026'!K169</f>
        <v>36</v>
      </c>
      <c r="L169" s="94">
        <f t="shared" si="5"/>
        <v>1</v>
      </c>
      <c r="N169"/>
      <c r="O169" s="8"/>
      <c r="P169"/>
      <c r="Q169" s="8"/>
    </row>
    <row r="170" spans="2:17" x14ac:dyDescent="0.25">
      <c r="B170" s="38">
        <v>3</v>
      </c>
      <c r="C170" s="39" t="s">
        <v>98</v>
      </c>
      <c r="D170" s="40" t="s">
        <v>99</v>
      </c>
      <c r="E170" s="229"/>
      <c r="F170" s="182" t="s">
        <v>1650</v>
      </c>
      <c r="G170" s="183" t="s">
        <v>1651</v>
      </c>
      <c r="H170" s="207">
        <v>36</v>
      </c>
      <c r="I170" s="207">
        <v>2</v>
      </c>
      <c r="J170" s="69">
        <f t="shared" si="4"/>
        <v>5.5555555555555552E-2</v>
      </c>
      <c r="K170" s="207">
        <f>+I170+'ENERO 2026'!K170</f>
        <v>36</v>
      </c>
      <c r="L170" s="94">
        <f t="shared" si="5"/>
        <v>1</v>
      </c>
      <c r="N170"/>
      <c r="O170" s="8"/>
      <c r="P170"/>
      <c r="Q170" s="8"/>
    </row>
    <row r="171" spans="2:17" s="16" customFormat="1" x14ac:dyDescent="0.25">
      <c r="B171" s="38">
        <v>3</v>
      </c>
      <c r="C171" s="39" t="s">
        <v>49</v>
      </c>
      <c r="D171" s="40" t="s">
        <v>50</v>
      </c>
      <c r="E171" s="229"/>
      <c r="F171" s="182" t="s">
        <v>1652</v>
      </c>
      <c r="G171" s="183" t="s">
        <v>1423</v>
      </c>
      <c r="H171" s="207">
        <v>36</v>
      </c>
      <c r="I171" s="207">
        <v>4</v>
      </c>
      <c r="J171" s="69">
        <f t="shared" si="4"/>
        <v>0.1111111111111111</v>
      </c>
      <c r="K171" s="207">
        <f>+I171+'ENERO 2026'!K171</f>
        <v>36</v>
      </c>
      <c r="L171" s="94">
        <f t="shared" si="5"/>
        <v>1</v>
      </c>
      <c r="N171" s="41"/>
      <c r="P171" s="41"/>
    </row>
    <row r="172" spans="2:17" x14ac:dyDescent="0.25">
      <c r="B172" s="38">
        <v>3</v>
      </c>
      <c r="C172" s="39" t="s">
        <v>52</v>
      </c>
      <c r="D172" s="40" t="s">
        <v>53</v>
      </c>
      <c r="E172" s="229"/>
      <c r="F172" s="182" t="s">
        <v>1653</v>
      </c>
      <c r="G172" s="183" t="s">
        <v>1649</v>
      </c>
      <c r="H172" s="207">
        <v>36</v>
      </c>
      <c r="I172" s="207">
        <v>3</v>
      </c>
      <c r="J172" s="69">
        <f t="shared" si="4"/>
        <v>8.3333333333333329E-2</v>
      </c>
      <c r="K172" s="207">
        <f>+I172+'ENERO 2026'!K172</f>
        <v>36</v>
      </c>
      <c r="L172" s="94">
        <f t="shared" si="5"/>
        <v>1</v>
      </c>
      <c r="N172"/>
      <c r="O172" s="8"/>
      <c r="P172"/>
      <c r="Q172" s="8"/>
    </row>
    <row r="173" spans="2:17" x14ac:dyDescent="0.25">
      <c r="B173" s="38">
        <v>3</v>
      </c>
      <c r="C173" s="39" t="s">
        <v>55</v>
      </c>
      <c r="D173" s="40" t="s">
        <v>56</v>
      </c>
      <c r="E173" s="229"/>
      <c r="F173" s="182" t="s">
        <v>172</v>
      </c>
      <c r="G173" s="183" t="s">
        <v>172</v>
      </c>
      <c r="H173" s="207">
        <v>36</v>
      </c>
      <c r="I173" s="207">
        <v>0</v>
      </c>
      <c r="J173" s="69">
        <f t="shared" si="4"/>
        <v>0</v>
      </c>
      <c r="K173" s="207">
        <f>+I173+'ENERO 2026'!K173</f>
        <v>32</v>
      </c>
      <c r="L173" s="94">
        <f t="shared" si="5"/>
        <v>0.88888888888888884</v>
      </c>
      <c r="N173"/>
      <c r="O173" s="8"/>
      <c r="P173"/>
      <c r="Q173" s="8"/>
    </row>
    <row r="174" spans="2:17" x14ac:dyDescent="0.25">
      <c r="B174" s="38">
        <v>5</v>
      </c>
      <c r="C174" s="39" t="s">
        <v>57</v>
      </c>
      <c r="D174" s="40" t="s">
        <v>58</v>
      </c>
      <c r="E174" s="229"/>
      <c r="F174" s="182" t="s">
        <v>172</v>
      </c>
      <c r="G174" s="183" t="s">
        <v>172</v>
      </c>
      <c r="H174" s="207">
        <v>36</v>
      </c>
      <c r="I174" s="207">
        <v>0</v>
      </c>
      <c r="J174" s="69">
        <f t="shared" si="4"/>
        <v>0</v>
      </c>
      <c r="K174" s="207">
        <f>+I174+'ENERO 2026'!K174</f>
        <v>29</v>
      </c>
      <c r="L174" s="94">
        <f t="shared" si="5"/>
        <v>0.80555555555555558</v>
      </c>
      <c r="N174"/>
      <c r="O174" s="8"/>
      <c r="P174"/>
      <c r="Q174" s="8"/>
    </row>
    <row r="175" spans="2:17" x14ac:dyDescent="0.25">
      <c r="B175" s="38">
        <v>5</v>
      </c>
      <c r="C175" s="39" t="s">
        <v>59</v>
      </c>
      <c r="D175" s="40" t="s">
        <v>60</v>
      </c>
      <c r="E175" s="229"/>
      <c r="F175" s="182" t="s">
        <v>172</v>
      </c>
      <c r="G175" s="183" t="s">
        <v>172</v>
      </c>
      <c r="H175" s="193">
        <v>36</v>
      </c>
      <c r="I175" s="207">
        <v>0</v>
      </c>
      <c r="J175" s="69">
        <f t="shared" si="4"/>
        <v>0</v>
      </c>
      <c r="K175" s="207">
        <f>+I175+'ENERO 2026'!K175</f>
        <v>30</v>
      </c>
      <c r="L175" s="94">
        <f t="shared" si="5"/>
        <v>0.83333333333333337</v>
      </c>
      <c r="N175"/>
      <c r="O175" s="8"/>
      <c r="P175"/>
      <c r="Q175" s="8"/>
    </row>
    <row r="176" spans="2:17" x14ac:dyDescent="0.25">
      <c r="B176" s="42">
        <v>8</v>
      </c>
      <c r="C176" s="43" t="s">
        <v>61</v>
      </c>
      <c r="D176" s="44" t="s">
        <v>62</v>
      </c>
      <c r="E176" s="230"/>
      <c r="F176" s="188" t="s">
        <v>1116</v>
      </c>
      <c r="G176" s="189" t="s">
        <v>1654</v>
      </c>
      <c r="H176" s="208">
        <v>36</v>
      </c>
      <c r="I176" s="208">
        <v>6</v>
      </c>
      <c r="J176" s="72">
        <f t="shared" si="4"/>
        <v>0.16666666666666666</v>
      </c>
      <c r="K176" s="208">
        <f>+I176+'ENERO 2026'!K176</f>
        <v>33</v>
      </c>
      <c r="L176" s="96">
        <f t="shared" si="5"/>
        <v>0.91666666666666663</v>
      </c>
      <c r="N176"/>
      <c r="O176" s="8"/>
      <c r="P176"/>
      <c r="Q176" s="8"/>
    </row>
    <row r="177" spans="2:17" x14ac:dyDescent="0.25">
      <c r="B177" s="35">
        <v>3</v>
      </c>
      <c r="C177" s="36" t="s">
        <v>43</v>
      </c>
      <c r="D177" s="37" t="s">
        <v>44</v>
      </c>
      <c r="E177" s="218" t="s">
        <v>183</v>
      </c>
      <c r="F177" s="179" t="s">
        <v>1685</v>
      </c>
      <c r="G177" s="183" t="s">
        <v>1686</v>
      </c>
      <c r="H177" s="191">
        <v>63</v>
      </c>
      <c r="I177" s="137">
        <v>7</v>
      </c>
      <c r="J177" s="69">
        <f t="shared" si="4"/>
        <v>0.1111111111111111</v>
      </c>
      <c r="K177" s="191">
        <f>+I177+'ENERO 2026'!K177</f>
        <v>59</v>
      </c>
      <c r="L177" s="94">
        <f t="shared" si="5"/>
        <v>0.93650793650793651</v>
      </c>
      <c r="N177"/>
      <c r="O177" s="8"/>
      <c r="P177"/>
      <c r="Q177" s="8"/>
    </row>
    <row r="178" spans="2:17" x14ac:dyDescent="0.25">
      <c r="B178" s="38">
        <v>3</v>
      </c>
      <c r="C178" s="39" t="s">
        <v>46</v>
      </c>
      <c r="D178" s="40" t="s">
        <v>47</v>
      </c>
      <c r="E178" s="219"/>
      <c r="F178" s="182" t="s">
        <v>48</v>
      </c>
      <c r="G178" s="183" t="s">
        <v>1686</v>
      </c>
      <c r="H178" s="193">
        <v>63</v>
      </c>
      <c r="I178" s="3">
        <v>5</v>
      </c>
      <c r="J178" s="69">
        <f t="shared" si="4"/>
        <v>7.9365079365079361E-2</v>
      </c>
      <c r="K178" s="207">
        <f>+I178+'ENERO 2026'!K178</f>
        <v>55</v>
      </c>
      <c r="L178" s="94">
        <f t="shared" si="5"/>
        <v>0.87301587301587302</v>
      </c>
      <c r="N178"/>
      <c r="O178" s="8"/>
      <c r="P178"/>
      <c r="Q178" s="8"/>
    </row>
    <row r="179" spans="2:17" x14ac:dyDescent="0.25">
      <c r="B179" s="38">
        <v>3</v>
      </c>
      <c r="C179" s="39" t="s">
        <v>49</v>
      </c>
      <c r="D179" s="40" t="s">
        <v>50</v>
      </c>
      <c r="E179" s="219"/>
      <c r="F179" s="182" t="s">
        <v>1337</v>
      </c>
      <c r="G179" s="183" t="s">
        <v>1686</v>
      </c>
      <c r="H179" s="207">
        <v>58</v>
      </c>
      <c r="I179" s="4">
        <v>5</v>
      </c>
      <c r="J179" s="69">
        <f t="shared" si="4"/>
        <v>8.6206896551724144E-2</v>
      </c>
      <c r="K179" s="194">
        <f>+I179+'ENERO 2026'!K179</f>
        <v>50</v>
      </c>
      <c r="L179" s="94">
        <f t="shared" si="5"/>
        <v>0.86206896551724133</v>
      </c>
      <c r="N179"/>
      <c r="O179" s="8"/>
      <c r="P179"/>
      <c r="Q179" s="8"/>
    </row>
    <row r="180" spans="2:17" x14ac:dyDescent="0.25">
      <c r="B180" s="38">
        <v>3</v>
      </c>
      <c r="C180" s="39" t="s">
        <v>52</v>
      </c>
      <c r="D180" s="40" t="s">
        <v>53</v>
      </c>
      <c r="E180" s="219"/>
      <c r="F180" s="182" t="s">
        <v>1687</v>
      </c>
      <c r="G180" s="183" t="s">
        <v>1686</v>
      </c>
      <c r="H180" s="207">
        <v>88</v>
      </c>
      <c r="I180" s="3">
        <v>5</v>
      </c>
      <c r="J180" s="69">
        <f t="shared" si="4"/>
        <v>5.6818181818181816E-2</v>
      </c>
      <c r="K180" s="207">
        <f>+I180+'ENERO 2026'!K180</f>
        <v>82</v>
      </c>
      <c r="L180" s="94">
        <f t="shared" si="5"/>
        <v>0.93181818181818177</v>
      </c>
      <c r="N180"/>
      <c r="O180" s="8"/>
      <c r="P180"/>
      <c r="Q180" s="8"/>
    </row>
    <row r="181" spans="2:17" x14ac:dyDescent="0.25">
      <c r="B181" s="42">
        <v>3</v>
      </c>
      <c r="C181" s="43" t="s">
        <v>55</v>
      </c>
      <c r="D181" s="44" t="s">
        <v>56</v>
      </c>
      <c r="E181" s="220"/>
      <c r="F181" s="188" t="s">
        <v>1688</v>
      </c>
      <c r="G181" s="183" t="s">
        <v>1686</v>
      </c>
      <c r="H181" s="208">
        <v>88</v>
      </c>
      <c r="I181" s="97">
        <v>8</v>
      </c>
      <c r="J181" s="72">
        <f t="shared" si="4"/>
        <v>9.0909090909090912E-2</v>
      </c>
      <c r="K181" s="208">
        <f>+I181+'ENERO 2026'!K181</f>
        <v>84</v>
      </c>
      <c r="L181" s="96">
        <f t="shared" si="5"/>
        <v>0.95454545454545459</v>
      </c>
      <c r="N181"/>
      <c r="O181" s="8"/>
      <c r="P181"/>
      <c r="Q181" s="8"/>
    </row>
    <row r="182" spans="2:17" x14ac:dyDescent="0.25">
      <c r="B182" s="162">
        <v>3</v>
      </c>
      <c r="C182" s="169" t="s">
        <v>332</v>
      </c>
      <c r="D182" s="170" t="s">
        <v>333</v>
      </c>
      <c r="E182" s="277" t="s">
        <v>334</v>
      </c>
      <c r="F182" s="179" t="s">
        <v>172</v>
      </c>
      <c r="G182" s="180" t="s">
        <v>172</v>
      </c>
      <c r="H182" s="181">
        <v>30</v>
      </c>
      <c r="I182" s="181"/>
      <c r="J182" s="69">
        <f t="shared" si="4"/>
        <v>0</v>
      </c>
      <c r="K182" s="181">
        <f>+I182+'ENERO 2026'!K182</f>
        <v>30</v>
      </c>
      <c r="L182" s="94">
        <f t="shared" si="5"/>
        <v>1</v>
      </c>
      <c r="N182"/>
      <c r="O182" s="8"/>
      <c r="P182"/>
      <c r="Q182" s="8"/>
    </row>
    <row r="183" spans="2:17" x14ac:dyDescent="0.25">
      <c r="B183" s="163">
        <v>3</v>
      </c>
      <c r="C183" s="171" t="s">
        <v>52</v>
      </c>
      <c r="D183" s="172" t="s">
        <v>53</v>
      </c>
      <c r="E183" s="278"/>
      <c r="F183" s="182" t="s">
        <v>172</v>
      </c>
      <c r="G183" s="192" t="s">
        <v>172</v>
      </c>
      <c r="H183" s="184">
        <v>20</v>
      </c>
      <c r="I183" s="185"/>
      <c r="J183" s="69">
        <f t="shared" si="4"/>
        <v>0</v>
      </c>
      <c r="K183" s="185">
        <f>+I183+'ENERO 2026'!K183</f>
        <v>20</v>
      </c>
      <c r="L183" s="94">
        <f t="shared" si="5"/>
        <v>1</v>
      </c>
      <c r="N183"/>
      <c r="O183" s="8"/>
      <c r="P183"/>
      <c r="Q183" s="8"/>
    </row>
    <row r="184" spans="2:17" x14ac:dyDescent="0.25">
      <c r="B184" s="163">
        <v>3</v>
      </c>
      <c r="C184" s="171" t="s">
        <v>55</v>
      </c>
      <c r="D184" s="172" t="s">
        <v>56</v>
      </c>
      <c r="E184" s="278"/>
      <c r="F184" s="182" t="s">
        <v>172</v>
      </c>
      <c r="G184" s="186" t="s">
        <v>172</v>
      </c>
      <c r="H184" s="185">
        <v>20</v>
      </c>
      <c r="I184" s="187"/>
      <c r="J184" s="69">
        <f t="shared" si="4"/>
        <v>0</v>
      </c>
      <c r="K184" s="187">
        <f>+I184+'ENERO 2026'!K184</f>
        <v>20</v>
      </c>
      <c r="L184" s="94">
        <f t="shared" si="5"/>
        <v>1</v>
      </c>
      <c r="N184"/>
      <c r="O184" s="8"/>
      <c r="P184"/>
      <c r="Q184" s="8"/>
    </row>
    <row r="185" spans="2:17" x14ac:dyDescent="0.25">
      <c r="B185" s="163">
        <v>5</v>
      </c>
      <c r="C185" s="171" t="s">
        <v>57</v>
      </c>
      <c r="D185" s="172" t="s">
        <v>58</v>
      </c>
      <c r="E185" s="278"/>
      <c r="F185" s="182" t="s">
        <v>172</v>
      </c>
      <c r="G185" s="186" t="s">
        <v>172</v>
      </c>
      <c r="H185" s="185">
        <v>15</v>
      </c>
      <c r="I185" s="185"/>
      <c r="J185" s="69">
        <f t="shared" si="4"/>
        <v>0</v>
      </c>
      <c r="K185" s="185">
        <f>+I185+'ENERO 2026'!K185</f>
        <v>15</v>
      </c>
      <c r="L185" s="94">
        <f t="shared" si="5"/>
        <v>1</v>
      </c>
      <c r="N185"/>
      <c r="O185" s="8"/>
      <c r="P185"/>
      <c r="Q185" s="8"/>
    </row>
    <row r="186" spans="2:17" x14ac:dyDescent="0.25">
      <c r="B186" s="163">
        <v>5</v>
      </c>
      <c r="C186" s="171" t="s">
        <v>59</v>
      </c>
      <c r="D186" s="172" t="s">
        <v>60</v>
      </c>
      <c r="E186" s="278"/>
      <c r="F186" s="186" t="s">
        <v>172</v>
      </c>
      <c r="G186" s="186" t="s">
        <v>172</v>
      </c>
      <c r="H186" s="185">
        <v>20</v>
      </c>
      <c r="I186" s="185"/>
      <c r="J186" s="69">
        <f t="shared" si="4"/>
        <v>0</v>
      </c>
      <c r="K186" s="185">
        <f>+I186+'ENERO 2026'!K186</f>
        <v>20</v>
      </c>
      <c r="L186" s="94">
        <f t="shared" si="5"/>
        <v>1</v>
      </c>
      <c r="N186"/>
      <c r="O186" s="8"/>
      <c r="P186"/>
      <c r="Q186" s="8"/>
    </row>
    <row r="187" spans="2:17" x14ac:dyDescent="0.25">
      <c r="B187" s="163">
        <v>8</v>
      </c>
      <c r="C187" s="171" t="s">
        <v>61</v>
      </c>
      <c r="D187" s="172" t="s">
        <v>62</v>
      </c>
      <c r="E187" s="278"/>
      <c r="F187" s="186" t="s">
        <v>172</v>
      </c>
      <c r="G187" s="186" t="s">
        <v>172</v>
      </c>
      <c r="H187" s="185">
        <v>15</v>
      </c>
      <c r="I187" s="185"/>
      <c r="J187" s="69">
        <f t="shared" si="4"/>
        <v>0</v>
      </c>
      <c r="K187" s="185">
        <f>+I187+'ENERO 2026'!K187</f>
        <v>15</v>
      </c>
      <c r="L187" s="94">
        <f t="shared" si="5"/>
        <v>1</v>
      </c>
      <c r="N187"/>
      <c r="O187" s="8"/>
      <c r="P187"/>
      <c r="Q187" s="8"/>
    </row>
    <row r="188" spans="2:17" x14ac:dyDescent="0.25">
      <c r="B188" s="163">
        <v>8</v>
      </c>
      <c r="C188" s="171" t="s">
        <v>344</v>
      </c>
      <c r="D188" s="172" t="s">
        <v>345</v>
      </c>
      <c r="E188" s="278"/>
      <c r="F188" s="182" t="s">
        <v>172</v>
      </c>
      <c r="G188" s="186" t="s">
        <v>172</v>
      </c>
      <c r="H188" s="185">
        <v>20</v>
      </c>
      <c r="I188" s="185"/>
      <c r="J188" s="69">
        <f t="shared" si="4"/>
        <v>0</v>
      </c>
      <c r="K188" s="185">
        <f>+I188+'ENERO 2026'!K188</f>
        <v>20</v>
      </c>
      <c r="L188" s="94">
        <f t="shared" si="5"/>
        <v>1</v>
      </c>
      <c r="N188"/>
      <c r="O188" s="8"/>
      <c r="P188"/>
      <c r="Q188" s="8"/>
    </row>
    <row r="189" spans="2:17" x14ac:dyDescent="0.25">
      <c r="B189" s="163">
        <v>8</v>
      </c>
      <c r="C189" s="171" t="s">
        <v>346</v>
      </c>
      <c r="D189" s="172" t="s">
        <v>347</v>
      </c>
      <c r="E189" s="278"/>
      <c r="F189" s="186" t="s">
        <v>172</v>
      </c>
      <c r="G189" s="186" t="s">
        <v>172</v>
      </c>
      <c r="H189" s="185">
        <v>20</v>
      </c>
      <c r="I189" s="185"/>
      <c r="J189" s="69">
        <f t="shared" si="4"/>
        <v>0</v>
      </c>
      <c r="K189" s="185">
        <f>+I189+'ENERO 2026'!K189</f>
        <v>20</v>
      </c>
      <c r="L189" s="94">
        <f t="shared" si="5"/>
        <v>1</v>
      </c>
      <c r="N189"/>
      <c r="O189" s="8"/>
      <c r="P189"/>
      <c r="Q189" s="8"/>
    </row>
    <row r="190" spans="2:17" x14ac:dyDescent="0.25">
      <c r="B190" s="164">
        <v>8</v>
      </c>
      <c r="C190" s="173" t="s">
        <v>349</v>
      </c>
      <c r="D190" s="174" t="s">
        <v>350</v>
      </c>
      <c r="E190" s="279"/>
      <c r="F190" s="188" t="s">
        <v>172</v>
      </c>
      <c r="G190" s="183" t="s">
        <v>172</v>
      </c>
      <c r="H190" s="190">
        <v>20</v>
      </c>
      <c r="I190" s="190"/>
      <c r="J190" s="72">
        <f t="shared" si="4"/>
        <v>0</v>
      </c>
      <c r="K190" s="190">
        <f>+I190+'ENERO 2026'!K190</f>
        <v>20</v>
      </c>
      <c r="L190" s="96">
        <f t="shared" si="5"/>
        <v>1</v>
      </c>
      <c r="N190"/>
      <c r="O190" s="8"/>
      <c r="P190"/>
      <c r="Q190" s="8"/>
    </row>
    <row r="191" spans="2:17" x14ac:dyDescent="0.25">
      <c r="B191" s="162">
        <v>3</v>
      </c>
      <c r="C191" s="169" t="s">
        <v>43</v>
      </c>
      <c r="D191" s="170" t="s">
        <v>44</v>
      </c>
      <c r="E191" s="280" t="s">
        <v>353</v>
      </c>
      <c r="F191" s="179" t="s">
        <v>172</v>
      </c>
      <c r="G191" s="180" t="s">
        <v>172</v>
      </c>
      <c r="H191" s="181">
        <v>18</v>
      </c>
      <c r="I191" s="181"/>
      <c r="J191" s="69">
        <f t="shared" si="4"/>
        <v>0</v>
      </c>
      <c r="K191" s="181">
        <f>+I191+'ENERO 2026'!K191</f>
        <v>18</v>
      </c>
      <c r="L191" s="94">
        <f t="shared" si="5"/>
        <v>1</v>
      </c>
      <c r="N191"/>
      <c r="O191" s="8"/>
      <c r="P191"/>
      <c r="Q191" s="8"/>
    </row>
    <row r="192" spans="2:17" x14ac:dyDescent="0.25">
      <c r="B192" s="163">
        <v>3</v>
      </c>
      <c r="C192" s="171" t="s">
        <v>46</v>
      </c>
      <c r="D192" s="172" t="s">
        <v>47</v>
      </c>
      <c r="E192" s="280"/>
      <c r="F192" s="182" t="s">
        <v>172</v>
      </c>
      <c r="G192" s="183" t="s">
        <v>172</v>
      </c>
      <c r="H192" s="184">
        <v>18</v>
      </c>
      <c r="I192" s="185"/>
      <c r="J192" s="69">
        <f t="shared" si="4"/>
        <v>0</v>
      </c>
      <c r="K192" s="185">
        <f>+I192+'ENERO 2026'!K192</f>
        <v>18</v>
      </c>
      <c r="L192" s="94">
        <f t="shared" si="5"/>
        <v>1</v>
      </c>
      <c r="N192"/>
      <c r="O192" s="8"/>
      <c r="P192"/>
      <c r="Q192" s="8"/>
    </row>
    <row r="193" spans="2:17" x14ac:dyDescent="0.25">
      <c r="B193" s="163">
        <v>3</v>
      </c>
      <c r="C193" s="171" t="s">
        <v>98</v>
      </c>
      <c r="D193" s="172" t="s">
        <v>99</v>
      </c>
      <c r="E193" s="280"/>
      <c r="F193" s="182" t="s">
        <v>172</v>
      </c>
      <c r="G193" s="186" t="s">
        <v>172</v>
      </c>
      <c r="H193" s="185">
        <v>24</v>
      </c>
      <c r="I193" s="185"/>
      <c r="J193" s="69">
        <f t="shared" si="4"/>
        <v>0</v>
      </c>
      <c r="K193" s="185">
        <f>+I193+'ENERO 2026'!K193</f>
        <v>24</v>
      </c>
      <c r="L193" s="94">
        <f t="shared" si="5"/>
        <v>1</v>
      </c>
      <c r="N193"/>
      <c r="O193" s="8"/>
      <c r="P193"/>
      <c r="Q193" s="8"/>
    </row>
    <row r="194" spans="2:17" x14ac:dyDescent="0.25">
      <c r="B194" s="163">
        <v>3</v>
      </c>
      <c r="C194" s="171" t="s">
        <v>49</v>
      </c>
      <c r="D194" s="172" t="s">
        <v>50</v>
      </c>
      <c r="E194" s="280"/>
      <c r="F194" s="182" t="s">
        <v>172</v>
      </c>
      <c r="G194" s="186" t="s">
        <v>172</v>
      </c>
      <c r="H194" s="185">
        <v>24</v>
      </c>
      <c r="I194" s="185"/>
      <c r="J194" s="69">
        <f t="shared" si="4"/>
        <v>0</v>
      </c>
      <c r="K194" s="185">
        <f>+I194+'ENERO 2026'!K194</f>
        <v>24</v>
      </c>
      <c r="L194" s="94">
        <f t="shared" si="5"/>
        <v>1</v>
      </c>
      <c r="N194"/>
      <c r="O194" s="8"/>
      <c r="P194"/>
      <c r="Q194" s="8"/>
    </row>
    <row r="195" spans="2:17" x14ac:dyDescent="0.25">
      <c r="B195" s="163">
        <v>3</v>
      </c>
      <c r="C195" s="171" t="s">
        <v>52</v>
      </c>
      <c r="D195" s="172" t="s">
        <v>53</v>
      </c>
      <c r="E195" s="280"/>
      <c r="F195" s="182" t="s">
        <v>172</v>
      </c>
      <c r="G195" s="186" t="s">
        <v>172</v>
      </c>
      <c r="H195" s="185">
        <v>24</v>
      </c>
      <c r="I195" s="185"/>
      <c r="J195" s="69">
        <f t="shared" si="4"/>
        <v>0</v>
      </c>
      <c r="K195" s="185">
        <f>+I195+'ENERO 2026'!K195</f>
        <v>24</v>
      </c>
      <c r="L195" s="94">
        <f t="shared" si="5"/>
        <v>1</v>
      </c>
      <c r="N195"/>
      <c r="O195" s="8"/>
      <c r="P195"/>
      <c r="Q195" s="8"/>
    </row>
    <row r="196" spans="2:17" x14ac:dyDescent="0.25">
      <c r="B196" s="163">
        <v>3</v>
      </c>
      <c r="C196" s="171" t="s">
        <v>55</v>
      </c>
      <c r="D196" s="172" t="s">
        <v>56</v>
      </c>
      <c r="E196" s="280"/>
      <c r="F196" s="182" t="s">
        <v>172</v>
      </c>
      <c r="G196" s="186" t="s">
        <v>172</v>
      </c>
      <c r="H196" s="185">
        <v>24</v>
      </c>
      <c r="I196" s="185"/>
      <c r="J196" s="69">
        <f t="shared" si="4"/>
        <v>0</v>
      </c>
      <c r="K196" s="185">
        <f>+I196+'ENERO 2026'!K196</f>
        <v>24</v>
      </c>
      <c r="L196" s="94">
        <f t="shared" si="5"/>
        <v>1</v>
      </c>
      <c r="N196"/>
      <c r="O196" s="8"/>
      <c r="P196"/>
      <c r="Q196" s="8"/>
    </row>
    <row r="197" spans="2:17" x14ac:dyDescent="0.25">
      <c r="B197" s="163">
        <v>5</v>
      </c>
      <c r="C197" s="171" t="s">
        <v>57</v>
      </c>
      <c r="D197" s="172" t="s">
        <v>58</v>
      </c>
      <c r="E197" s="280"/>
      <c r="F197" s="182" t="s">
        <v>172</v>
      </c>
      <c r="G197" s="186" t="s">
        <v>172</v>
      </c>
      <c r="H197" s="185">
        <v>24</v>
      </c>
      <c r="I197" s="185"/>
      <c r="J197" s="69">
        <f t="shared" si="4"/>
        <v>0</v>
      </c>
      <c r="K197" s="185">
        <f>+I197+'ENERO 2026'!K197</f>
        <v>24</v>
      </c>
      <c r="L197" s="94">
        <f t="shared" si="5"/>
        <v>1</v>
      </c>
      <c r="N197"/>
      <c r="O197" s="8"/>
      <c r="P197"/>
      <c r="Q197" s="8"/>
    </row>
    <row r="198" spans="2:17" x14ac:dyDescent="0.25">
      <c r="B198" s="164">
        <v>8</v>
      </c>
      <c r="C198" s="173" t="s">
        <v>61</v>
      </c>
      <c r="D198" s="174" t="s">
        <v>62</v>
      </c>
      <c r="E198" s="280"/>
      <c r="F198" s="188" t="s">
        <v>172</v>
      </c>
      <c r="G198" s="189" t="s">
        <v>172</v>
      </c>
      <c r="H198" s="190">
        <v>24</v>
      </c>
      <c r="I198" s="190"/>
      <c r="J198" s="72">
        <f t="shared" si="4"/>
        <v>0</v>
      </c>
      <c r="K198" s="190">
        <f>+I198+'ENERO 2026'!K198</f>
        <v>24</v>
      </c>
      <c r="L198" s="96">
        <f t="shared" si="5"/>
        <v>1</v>
      </c>
      <c r="N198"/>
      <c r="O198" s="8"/>
      <c r="P198"/>
      <c r="Q198" s="8"/>
    </row>
    <row r="199" spans="2:17" x14ac:dyDescent="0.25">
      <c r="B199" s="162">
        <v>2</v>
      </c>
      <c r="C199" s="169" t="s">
        <v>356</v>
      </c>
      <c r="D199" s="170" t="s">
        <v>357</v>
      </c>
      <c r="E199" s="280" t="s">
        <v>359</v>
      </c>
      <c r="F199" s="179" t="s">
        <v>172</v>
      </c>
      <c r="G199" s="180" t="s">
        <v>172</v>
      </c>
      <c r="H199" s="181">
        <v>60</v>
      </c>
      <c r="I199" s="181"/>
      <c r="J199" s="69">
        <f t="shared" si="4"/>
        <v>0</v>
      </c>
      <c r="K199" s="181">
        <f>+I199+'ENERO 2026'!K199</f>
        <v>60</v>
      </c>
      <c r="L199" s="94">
        <f t="shared" si="5"/>
        <v>1</v>
      </c>
      <c r="N199"/>
      <c r="O199" s="8"/>
      <c r="P199"/>
      <c r="Q199" s="8"/>
    </row>
    <row r="200" spans="2:17" x14ac:dyDescent="0.25">
      <c r="B200" s="163">
        <v>2</v>
      </c>
      <c r="C200" s="171" t="s">
        <v>360</v>
      </c>
      <c r="D200" s="172" t="s">
        <v>361</v>
      </c>
      <c r="E200" s="280"/>
      <c r="F200" s="182" t="s">
        <v>172</v>
      </c>
      <c r="G200" s="186" t="s">
        <v>172</v>
      </c>
      <c r="H200" s="184">
        <v>40</v>
      </c>
      <c r="I200" s="185"/>
      <c r="J200" s="69">
        <f t="shared" si="4"/>
        <v>0</v>
      </c>
      <c r="K200" s="185">
        <f>+I200+'ENERO 2026'!K200</f>
        <v>40</v>
      </c>
      <c r="L200" s="94">
        <f t="shared" si="5"/>
        <v>1</v>
      </c>
      <c r="N200"/>
      <c r="O200" s="8"/>
      <c r="P200"/>
      <c r="Q200" s="8"/>
    </row>
    <row r="201" spans="2:17" x14ac:dyDescent="0.25">
      <c r="B201" s="163">
        <v>2</v>
      </c>
      <c r="C201" s="171" t="s">
        <v>363</v>
      </c>
      <c r="D201" s="172" t="s">
        <v>364</v>
      </c>
      <c r="E201" s="280"/>
      <c r="F201" s="182" t="s">
        <v>172</v>
      </c>
      <c r="G201" s="183" t="s">
        <v>172</v>
      </c>
      <c r="H201" s="185">
        <v>10</v>
      </c>
      <c r="I201" s="187"/>
      <c r="J201" s="69">
        <f t="shared" si="4"/>
        <v>0</v>
      </c>
      <c r="K201" s="187">
        <f>+I201+'ENERO 2026'!K201</f>
        <v>10</v>
      </c>
      <c r="L201" s="94">
        <f t="shared" si="5"/>
        <v>1</v>
      </c>
      <c r="N201"/>
      <c r="O201" s="8"/>
      <c r="P201"/>
      <c r="Q201" s="8"/>
    </row>
    <row r="202" spans="2:17" x14ac:dyDescent="0.25">
      <c r="B202" s="163">
        <v>2</v>
      </c>
      <c r="C202" s="171" t="s">
        <v>366</v>
      </c>
      <c r="D202" s="172" t="s">
        <v>367</v>
      </c>
      <c r="E202" s="280"/>
      <c r="F202" s="182" t="s">
        <v>172</v>
      </c>
      <c r="G202" s="186" t="s">
        <v>172</v>
      </c>
      <c r="H202" s="185">
        <v>10</v>
      </c>
      <c r="I202" s="185"/>
      <c r="J202" s="69">
        <f t="shared" si="4"/>
        <v>0</v>
      </c>
      <c r="K202" s="185">
        <f>+I202+'ENERO 2026'!K202</f>
        <v>10</v>
      </c>
      <c r="L202" s="94">
        <f t="shared" si="5"/>
        <v>1</v>
      </c>
      <c r="N202"/>
      <c r="O202" s="8"/>
      <c r="P202"/>
      <c r="Q202" s="8"/>
    </row>
    <row r="203" spans="2:17" x14ac:dyDescent="0.25">
      <c r="B203" s="163">
        <v>2</v>
      </c>
      <c r="C203" s="171" t="s">
        <v>368</v>
      </c>
      <c r="D203" s="172" t="s">
        <v>369</v>
      </c>
      <c r="E203" s="280"/>
      <c r="F203" s="182" t="s">
        <v>172</v>
      </c>
      <c r="G203" s="206" t="s">
        <v>172</v>
      </c>
      <c r="H203" s="185">
        <v>10</v>
      </c>
      <c r="I203" s="185"/>
      <c r="J203" s="69">
        <f t="shared" si="4"/>
        <v>0</v>
      </c>
      <c r="K203" s="185">
        <f>+I203+'ENERO 2026'!K203</f>
        <v>10</v>
      </c>
      <c r="L203" s="94">
        <f t="shared" si="5"/>
        <v>1</v>
      </c>
      <c r="N203"/>
      <c r="O203" s="8"/>
      <c r="P203"/>
      <c r="Q203" s="8"/>
    </row>
    <row r="204" spans="2:17" x14ac:dyDescent="0.25">
      <c r="B204" s="163">
        <v>2</v>
      </c>
      <c r="C204" s="171" t="s">
        <v>140</v>
      </c>
      <c r="D204" s="172" t="s">
        <v>141</v>
      </c>
      <c r="E204" s="280"/>
      <c r="F204" s="182" t="s">
        <v>172</v>
      </c>
      <c r="G204" s="186" t="s">
        <v>172</v>
      </c>
      <c r="H204" s="185">
        <v>20</v>
      </c>
      <c r="I204" s="185"/>
      <c r="J204" s="69">
        <f t="shared" si="4"/>
        <v>0</v>
      </c>
      <c r="K204" s="185">
        <f>+I204+'ENERO 2026'!K204</f>
        <v>20</v>
      </c>
      <c r="L204" s="94">
        <f t="shared" si="5"/>
        <v>1</v>
      </c>
      <c r="N204"/>
      <c r="O204" s="8"/>
      <c r="P204"/>
      <c r="Q204" s="8"/>
    </row>
    <row r="205" spans="2:17" x14ac:dyDescent="0.25">
      <c r="B205" s="163">
        <v>2</v>
      </c>
      <c r="C205" s="171" t="s">
        <v>371</v>
      </c>
      <c r="D205" s="172" t="s">
        <v>372</v>
      </c>
      <c r="E205" s="280"/>
      <c r="F205" s="182" t="s">
        <v>172</v>
      </c>
      <c r="G205" s="186" t="s">
        <v>172</v>
      </c>
      <c r="H205" s="185">
        <v>10</v>
      </c>
      <c r="I205" s="185"/>
      <c r="J205" s="69">
        <f t="shared" si="4"/>
        <v>0</v>
      </c>
      <c r="K205" s="185">
        <f>+I205+'ENERO 2026'!K205</f>
        <v>10</v>
      </c>
      <c r="L205" s="94">
        <f t="shared" si="5"/>
        <v>1</v>
      </c>
      <c r="N205"/>
      <c r="O205" s="8"/>
      <c r="P205"/>
      <c r="Q205" s="8"/>
    </row>
    <row r="206" spans="2:17" x14ac:dyDescent="0.25">
      <c r="B206" s="164">
        <v>2</v>
      </c>
      <c r="C206" s="173" t="s">
        <v>374</v>
      </c>
      <c r="D206" s="174" t="s">
        <v>375</v>
      </c>
      <c r="E206" s="280"/>
      <c r="F206" s="188" t="s">
        <v>172</v>
      </c>
      <c r="G206" s="189" t="s">
        <v>172</v>
      </c>
      <c r="H206" s="190">
        <v>20</v>
      </c>
      <c r="I206" s="190"/>
      <c r="J206" s="72">
        <f t="shared" si="4"/>
        <v>0</v>
      </c>
      <c r="K206" s="190">
        <f>+I206+'ENERO 2026'!K206</f>
        <v>20</v>
      </c>
      <c r="L206" s="96">
        <f t="shared" si="5"/>
        <v>1</v>
      </c>
      <c r="N206"/>
      <c r="O206" s="8"/>
      <c r="P206"/>
      <c r="Q206" s="8"/>
    </row>
    <row r="207" spans="2:17" x14ac:dyDescent="0.25">
      <c r="B207" s="168">
        <v>1</v>
      </c>
      <c r="C207" s="175" t="s">
        <v>230</v>
      </c>
      <c r="D207" s="176" t="s">
        <v>377</v>
      </c>
      <c r="E207" s="280" t="s">
        <v>745</v>
      </c>
      <c r="F207" s="179" t="s">
        <v>172</v>
      </c>
      <c r="G207" s="180" t="s">
        <v>172</v>
      </c>
      <c r="H207" s="191">
        <v>30</v>
      </c>
      <c r="I207" s="191"/>
      <c r="J207" s="69">
        <f t="shared" ref="J207:J268" si="6">IFERROR(I207/H207,0)</f>
        <v>0</v>
      </c>
      <c r="K207" s="191">
        <f>+I207+'ENERO 2026'!K207</f>
        <v>30</v>
      </c>
      <c r="L207" s="94">
        <f t="shared" ref="L207:L268" si="7">IFERROR(K207/H207,0)</f>
        <v>1</v>
      </c>
      <c r="N207"/>
      <c r="O207" s="8"/>
      <c r="P207"/>
      <c r="Q207" s="8"/>
    </row>
    <row r="208" spans="2:17" x14ac:dyDescent="0.25">
      <c r="B208" s="163">
        <v>1</v>
      </c>
      <c r="C208" s="171" t="s">
        <v>74</v>
      </c>
      <c r="D208" s="172" t="s">
        <v>226</v>
      </c>
      <c r="E208" s="280"/>
      <c r="F208" s="182" t="s">
        <v>172</v>
      </c>
      <c r="G208" s="186" t="s">
        <v>172</v>
      </c>
      <c r="H208" s="193">
        <v>30</v>
      </c>
      <c r="I208" s="207"/>
      <c r="J208" s="69">
        <f t="shared" si="6"/>
        <v>0</v>
      </c>
      <c r="K208" s="207">
        <f>+I208+'ENERO 2026'!K208</f>
        <v>30</v>
      </c>
      <c r="L208" s="94">
        <f t="shared" si="7"/>
        <v>1</v>
      </c>
      <c r="N208"/>
      <c r="O208" s="8"/>
      <c r="P208"/>
      <c r="Q208" s="8"/>
    </row>
    <row r="209" spans="2:17" x14ac:dyDescent="0.25">
      <c r="B209" s="163">
        <v>1</v>
      </c>
      <c r="C209" s="171" t="s">
        <v>77</v>
      </c>
      <c r="D209" s="172" t="s">
        <v>78</v>
      </c>
      <c r="E209" s="280"/>
      <c r="F209" s="182" t="s">
        <v>172</v>
      </c>
      <c r="G209" s="183" t="s">
        <v>172</v>
      </c>
      <c r="H209" s="207">
        <v>30</v>
      </c>
      <c r="I209" s="194"/>
      <c r="J209" s="69">
        <f t="shared" si="6"/>
        <v>0</v>
      </c>
      <c r="K209" s="194">
        <f>+I209+'ENERO 2026'!K209</f>
        <v>30</v>
      </c>
      <c r="L209" s="94">
        <f t="shared" si="7"/>
        <v>1</v>
      </c>
      <c r="N209"/>
      <c r="O209" s="8"/>
      <c r="P209"/>
      <c r="Q209" s="8"/>
    </row>
    <row r="210" spans="2:17" x14ac:dyDescent="0.25">
      <c r="B210" s="163">
        <v>1</v>
      </c>
      <c r="C210" s="171" t="s">
        <v>89</v>
      </c>
      <c r="D210" s="172" t="s">
        <v>90</v>
      </c>
      <c r="E210" s="280"/>
      <c r="F210" s="182" t="s">
        <v>172</v>
      </c>
      <c r="G210" s="186" t="s">
        <v>172</v>
      </c>
      <c r="H210" s="207">
        <v>30</v>
      </c>
      <c r="I210" s="207"/>
      <c r="J210" s="69">
        <f t="shared" si="6"/>
        <v>0</v>
      </c>
      <c r="K210" s="207">
        <f>+I210+'ENERO 2026'!K210</f>
        <v>30</v>
      </c>
      <c r="L210" s="94">
        <f t="shared" si="7"/>
        <v>1</v>
      </c>
      <c r="N210"/>
      <c r="O210" s="8"/>
      <c r="P210"/>
      <c r="Q210" s="8"/>
    </row>
    <row r="211" spans="2:17" x14ac:dyDescent="0.25">
      <c r="B211" s="163">
        <v>1</v>
      </c>
      <c r="C211" s="171" t="s">
        <v>379</v>
      </c>
      <c r="D211" s="172" t="s">
        <v>380</v>
      </c>
      <c r="E211" s="280"/>
      <c r="F211" s="182" t="s">
        <v>172</v>
      </c>
      <c r="G211" s="186" t="s">
        <v>172</v>
      </c>
      <c r="H211" s="207">
        <v>30</v>
      </c>
      <c r="I211" s="207"/>
      <c r="J211" s="69">
        <f t="shared" si="6"/>
        <v>0</v>
      </c>
      <c r="K211" s="207">
        <f>+I211+'ENERO 2026'!K211</f>
        <v>30</v>
      </c>
      <c r="L211" s="94">
        <f t="shared" si="7"/>
        <v>1</v>
      </c>
      <c r="N211"/>
      <c r="O211" s="8"/>
      <c r="P211"/>
      <c r="Q211" s="8"/>
    </row>
    <row r="212" spans="2:17" x14ac:dyDescent="0.25">
      <c r="B212" s="164">
        <v>2</v>
      </c>
      <c r="C212" s="173" t="s">
        <v>360</v>
      </c>
      <c r="D212" s="174" t="s">
        <v>361</v>
      </c>
      <c r="E212" s="280"/>
      <c r="F212" s="188" t="s">
        <v>172</v>
      </c>
      <c r="G212" s="189" t="s">
        <v>172</v>
      </c>
      <c r="H212" s="208">
        <v>30</v>
      </c>
      <c r="I212" s="208"/>
      <c r="J212" s="72">
        <f t="shared" si="6"/>
        <v>0</v>
      </c>
      <c r="K212" s="208">
        <f>+I212+'ENERO 2026'!K212</f>
        <v>30</v>
      </c>
      <c r="L212" s="96">
        <f t="shared" si="7"/>
        <v>1</v>
      </c>
      <c r="N212"/>
      <c r="O212" s="8"/>
      <c r="P212"/>
      <c r="Q212" s="8"/>
    </row>
    <row r="213" spans="2:17" x14ac:dyDescent="0.25">
      <c r="B213" s="88">
        <v>3</v>
      </c>
      <c r="C213" s="111" t="s">
        <v>43</v>
      </c>
      <c r="D213" s="112" t="s">
        <v>44</v>
      </c>
      <c r="E213" s="232" t="s">
        <v>382</v>
      </c>
      <c r="F213" s="212" t="s">
        <v>172</v>
      </c>
      <c r="G213" s="212" t="s">
        <v>172</v>
      </c>
      <c r="H213" s="181">
        <v>38</v>
      </c>
      <c r="I213" s="181">
        <v>0</v>
      </c>
      <c r="J213" s="69">
        <f t="shared" si="6"/>
        <v>0</v>
      </c>
      <c r="K213" s="181">
        <f>+I213+'ENERO 2026'!K213</f>
        <v>36</v>
      </c>
      <c r="L213" s="94">
        <f t="shared" si="7"/>
        <v>0.94736842105263153</v>
      </c>
      <c r="N213"/>
      <c r="O213" s="8"/>
      <c r="P213"/>
      <c r="Q213" s="8"/>
    </row>
    <row r="214" spans="2:17" x14ac:dyDescent="0.25">
      <c r="B214" s="86">
        <v>3</v>
      </c>
      <c r="C214" s="107" t="s">
        <v>46</v>
      </c>
      <c r="D214" s="108" t="s">
        <v>47</v>
      </c>
      <c r="E214" s="232"/>
      <c r="F214" s="213" t="s">
        <v>172</v>
      </c>
      <c r="G214" s="213" t="s">
        <v>172</v>
      </c>
      <c r="H214" s="184">
        <v>38</v>
      </c>
      <c r="I214" s="185">
        <v>0</v>
      </c>
      <c r="J214" s="69">
        <f t="shared" si="6"/>
        <v>0</v>
      </c>
      <c r="K214" s="185">
        <f>+I214+'ENERO 2026'!K214</f>
        <v>36</v>
      </c>
      <c r="L214" s="94">
        <f t="shared" si="7"/>
        <v>0.94736842105263153</v>
      </c>
      <c r="N214"/>
      <c r="O214" s="8"/>
      <c r="P214"/>
      <c r="Q214" s="8"/>
    </row>
    <row r="215" spans="2:17" x14ac:dyDescent="0.25">
      <c r="B215" s="86">
        <v>3</v>
      </c>
      <c r="C215" s="107" t="s">
        <v>98</v>
      </c>
      <c r="D215" s="108" t="s">
        <v>99</v>
      </c>
      <c r="E215" s="232"/>
      <c r="F215" s="214" t="s">
        <v>1595</v>
      </c>
      <c r="G215" s="214" t="s">
        <v>1596</v>
      </c>
      <c r="H215" s="185">
        <v>37</v>
      </c>
      <c r="I215" s="187">
        <v>4</v>
      </c>
      <c r="J215" s="69">
        <f t="shared" si="6"/>
        <v>0.10810810810810811</v>
      </c>
      <c r="K215" s="187">
        <f>+I215+'ENERO 2026'!K215</f>
        <v>37</v>
      </c>
      <c r="L215" s="94">
        <f t="shared" si="7"/>
        <v>1</v>
      </c>
      <c r="N215"/>
      <c r="O215" s="8"/>
      <c r="P215"/>
      <c r="Q215" s="8"/>
    </row>
    <row r="216" spans="2:17" x14ac:dyDescent="0.25">
      <c r="B216" s="86">
        <v>3</v>
      </c>
      <c r="C216" s="107" t="s">
        <v>49</v>
      </c>
      <c r="D216" s="108" t="s">
        <v>50</v>
      </c>
      <c r="E216" s="232"/>
      <c r="F216" s="214" t="s">
        <v>1597</v>
      </c>
      <c r="G216" s="214" t="s">
        <v>1596</v>
      </c>
      <c r="H216" s="185">
        <v>42</v>
      </c>
      <c r="I216" s="185">
        <v>5</v>
      </c>
      <c r="J216" s="69">
        <f t="shared" si="6"/>
        <v>0.11904761904761904</v>
      </c>
      <c r="K216" s="185">
        <f>+I216+'ENERO 2026'!K216</f>
        <v>42</v>
      </c>
      <c r="L216" s="94">
        <f t="shared" si="7"/>
        <v>1</v>
      </c>
      <c r="N216"/>
      <c r="O216" s="8"/>
      <c r="P216"/>
      <c r="Q216" s="8"/>
    </row>
    <row r="217" spans="2:17" x14ac:dyDescent="0.25">
      <c r="B217" s="86">
        <v>3</v>
      </c>
      <c r="C217" s="107" t="s">
        <v>52</v>
      </c>
      <c r="D217" s="108" t="s">
        <v>53</v>
      </c>
      <c r="E217" s="232"/>
      <c r="F217" s="214" t="s">
        <v>1598</v>
      </c>
      <c r="G217" s="214" t="s">
        <v>393</v>
      </c>
      <c r="H217" s="185">
        <v>40</v>
      </c>
      <c r="I217" s="185">
        <v>5</v>
      </c>
      <c r="J217" s="69">
        <f t="shared" si="6"/>
        <v>0.125</v>
      </c>
      <c r="K217" s="185">
        <f>+I217+'ENERO 2026'!K217</f>
        <v>35</v>
      </c>
      <c r="L217" s="94">
        <f t="shared" si="7"/>
        <v>0.875</v>
      </c>
      <c r="N217"/>
      <c r="O217" s="8"/>
      <c r="P217"/>
      <c r="Q217" s="8"/>
    </row>
    <row r="218" spans="2:17" x14ac:dyDescent="0.25">
      <c r="B218" s="86">
        <v>3</v>
      </c>
      <c r="C218" s="107" t="s">
        <v>55</v>
      </c>
      <c r="D218" s="108" t="s">
        <v>56</v>
      </c>
      <c r="E218" s="232"/>
      <c r="F218" s="215" t="s">
        <v>172</v>
      </c>
      <c r="G218" s="215" t="s">
        <v>172</v>
      </c>
      <c r="H218" s="185">
        <v>40</v>
      </c>
      <c r="I218" s="185">
        <v>0</v>
      </c>
      <c r="J218" s="69">
        <f t="shared" si="6"/>
        <v>0</v>
      </c>
      <c r="K218" s="185">
        <f>+I218+'ENERO 2026'!K218</f>
        <v>30</v>
      </c>
      <c r="L218" s="94">
        <f t="shared" si="7"/>
        <v>0.75</v>
      </c>
      <c r="N218"/>
      <c r="O218" s="8"/>
      <c r="P218"/>
      <c r="Q218" s="8"/>
    </row>
    <row r="219" spans="2:17" x14ac:dyDescent="0.25">
      <c r="B219" s="86">
        <v>5</v>
      </c>
      <c r="C219" s="107" t="s">
        <v>57</v>
      </c>
      <c r="D219" s="108" t="s">
        <v>58</v>
      </c>
      <c r="E219" s="232"/>
      <c r="F219" s="215" t="s">
        <v>1599</v>
      </c>
      <c r="G219" s="215" t="s">
        <v>1600</v>
      </c>
      <c r="H219" s="185">
        <v>40</v>
      </c>
      <c r="I219" s="185">
        <v>7</v>
      </c>
      <c r="J219" s="69">
        <f t="shared" si="6"/>
        <v>0.17499999999999999</v>
      </c>
      <c r="K219" s="185">
        <f>+I219+'ENERO 2026'!K219</f>
        <v>37</v>
      </c>
      <c r="L219" s="94">
        <f t="shared" si="7"/>
        <v>0.92500000000000004</v>
      </c>
      <c r="N219"/>
      <c r="O219" s="8"/>
      <c r="P219"/>
      <c r="Q219" s="8"/>
    </row>
    <row r="220" spans="2:17" x14ac:dyDescent="0.25">
      <c r="B220" s="86">
        <v>5</v>
      </c>
      <c r="C220" s="107" t="s">
        <v>59</v>
      </c>
      <c r="D220" s="108" t="s">
        <v>60</v>
      </c>
      <c r="E220" s="232"/>
      <c r="F220" s="214" t="s">
        <v>1601</v>
      </c>
      <c r="G220" s="214" t="s">
        <v>564</v>
      </c>
      <c r="H220" s="185">
        <v>45</v>
      </c>
      <c r="I220" s="185">
        <v>6</v>
      </c>
      <c r="J220" s="69">
        <f t="shared" si="6"/>
        <v>0.13333333333333333</v>
      </c>
      <c r="K220" s="185">
        <f>+I220+'ENERO 2026'!K220</f>
        <v>44</v>
      </c>
      <c r="L220" s="94">
        <f t="shared" si="7"/>
        <v>0.97777777777777775</v>
      </c>
      <c r="N220"/>
      <c r="O220" s="8"/>
      <c r="P220"/>
      <c r="Q220" s="8"/>
    </row>
    <row r="221" spans="2:17" x14ac:dyDescent="0.25">
      <c r="B221" s="104">
        <v>8</v>
      </c>
      <c r="C221" s="113" t="s">
        <v>61</v>
      </c>
      <c r="D221" s="114" t="s">
        <v>62</v>
      </c>
      <c r="E221" s="232"/>
      <c r="F221" s="216" t="s">
        <v>1602</v>
      </c>
      <c r="G221" s="216" t="s">
        <v>1603</v>
      </c>
      <c r="H221" s="190">
        <v>40</v>
      </c>
      <c r="I221" s="190">
        <v>3</v>
      </c>
      <c r="J221" s="72">
        <f t="shared" si="6"/>
        <v>7.4999999999999997E-2</v>
      </c>
      <c r="K221" s="190">
        <f>+I221+'ENERO 2026'!K221</f>
        <v>33</v>
      </c>
      <c r="L221" s="96">
        <f t="shared" si="7"/>
        <v>0.82499999999999996</v>
      </c>
      <c r="N221"/>
      <c r="O221" s="8"/>
      <c r="P221"/>
      <c r="Q221" s="8"/>
    </row>
    <row r="222" spans="2:17" x14ac:dyDescent="0.25">
      <c r="B222" s="162">
        <v>3</v>
      </c>
      <c r="C222" s="169" t="s">
        <v>43</v>
      </c>
      <c r="D222" s="170" t="s">
        <v>44</v>
      </c>
      <c r="E222" s="280" t="s">
        <v>400</v>
      </c>
      <c r="F222" s="179" t="s">
        <v>172</v>
      </c>
      <c r="G222" s="180" t="s">
        <v>172</v>
      </c>
      <c r="H222" s="181">
        <v>20</v>
      </c>
      <c r="I222" s="191"/>
      <c r="J222" s="69">
        <f t="shared" si="6"/>
        <v>0</v>
      </c>
      <c r="K222" s="191">
        <f>+I222+'ENERO 2026'!K222</f>
        <v>20</v>
      </c>
      <c r="L222" s="94">
        <f t="shared" si="7"/>
        <v>1</v>
      </c>
      <c r="N222"/>
      <c r="O222" s="8"/>
      <c r="P222"/>
      <c r="Q222" s="8"/>
    </row>
    <row r="223" spans="2:17" x14ac:dyDescent="0.25">
      <c r="B223" s="163">
        <v>3</v>
      </c>
      <c r="C223" s="171" t="s">
        <v>46</v>
      </c>
      <c r="D223" s="172" t="s">
        <v>47</v>
      </c>
      <c r="E223" s="280"/>
      <c r="F223" s="182" t="s">
        <v>172</v>
      </c>
      <c r="G223" s="192" t="s">
        <v>172</v>
      </c>
      <c r="H223" s="184">
        <v>20</v>
      </c>
      <c r="I223" s="207"/>
      <c r="J223" s="69">
        <f t="shared" si="6"/>
        <v>0</v>
      </c>
      <c r="K223" s="207">
        <f>+I223+'ENERO 2026'!K223</f>
        <v>20</v>
      </c>
      <c r="L223" s="94">
        <f t="shared" si="7"/>
        <v>1</v>
      </c>
      <c r="N223"/>
      <c r="O223" s="8"/>
      <c r="P223"/>
      <c r="Q223" s="8"/>
    </row>
    <row r="224" spans="2:17" x14ac:dyDescent="0.25">
      <c r="B224" s="163">
        <v>3</v>
      </c>
      <c r="C224" s="171" t="s">
        <v>98</v>
      </c>
      <c r="D224" s="172" t="s">
        <v>99</v>
      </c>
      <c r="E224" s="280"/>
      <c r="F224" s="182" t="s">
        <v>172</v>
      </c>
      <c r="G224" s="186" t="s">
        <v>172</v>
      </c>
      <c r="H224" s="185">
        <v>20</v>
      </c>
      <c r="I224" s="194"/>
      <c r="J224" s="69">
        <f t="shared" si="6"/>
        <v>0</v>
      </c>
      <c r="K224" s="194">
        <f>+I224+'ENERO 2026'!K224</f>
        <v>20</v>
      </c>
      <c r="L224" s="94">
        <f t="shared" si="7"/>
        <v>1</v>
      </c>
      <c r="N224"/>
      <c r="O224" s="8"/>
      <c r="P224"/>
      <c r="Q224" s="8"/>
    </row>
    <row r="225" spans="2:17" x14ac:dyDescent="0.25">
      <c r="B225" s="163">
        <v>3</v>
      </c>
      <c r="C225" s="171" t="s">
        <v>49</v>
      </c>
      <c r="D225" s="172" t="s">
        <v>50</v>
      </c>
      <c r="E225" s="280"/>
      <c r="F225" s="182" t="s">
        <v>172</v>
      </c>
      <c r="G225" s="186" t="s">
        <v>172</v>
      </c>
      <c r="H225" s="185">
        <v>20</v>
      </c>
      <c r="I225" s="207"/>
      <c r="J225" s="69">
        <f t="shared" si="6"/>
        <v>0</v>
      </c>
      <c r="K225" s="207">
        <f>+I225+'ENERO 2026'!K225</f>
        <v>20</v>
      </c>
      <c r="L225" s="94">
        <f t="shared" si="7"/>
        <v>1</v>
      </c>
      <c r="N225"/>
      <c r="O225" s="8"/>
      <c r="P225"/>
      <c r="Q225" s="8"/>
    </row>
    <row r="226" spans="2:17" x14ac:dyDescent="0.25">
      <c r="B226" s="163">
        <v>3</v>
      </c>
      <c r="C226" s="171" t="s">
        <v>52</v>
      </c>
      <c r="D226" s="172" t="s">
        <v>53</v>
      </c>
      <c r="E226" s="280"/>
      <c r="F226" s="186" t="s">
        <v>172</v>
      </c>
      <c r="G226" s="186" t="s">
        <v>172</v>
      </c>
      <c r="H226" s="185">
        <v>20</v>
      </c>
      <c r="I226" s="207"/>
      <c r="J226" s="69">
        <f t="shared" si="6"/>
        <v>0</v>
      </c>
      <c r="K226" s="207">
        <f>+I226+'ENERO 2026'!K226</f>
        <v>20</v>
      </c>
      <c r="L226" s="94">
        <f t="shared" si="7"/>
        <v>1</v>
      </c>
      <c r="N226"/>
      <c r="O226" s="8"/>
      <c r="P226"/>
      <c r="Q226" s="8"/>
    </row>
    <row r="227" spans="2:17" x14ac:dyDescent="0.25">
      <c r="B227" s="163">
        <v>3</v>
      </c>
      <c r="C227" s="171" t="s">
        <v>55</v>
      </c>
      <c r="D227" s="172" t="s">
        <v>56</v>
      </c>
      <c r="E227" s="280"/>
      <c r="F227" s="186" t="s">
        <v>172</v>
      </c>
      <c r="G227" s="186" t="s">
        <v>172</v>
      </c>
      <c r="H227" s="185">
        <v>20</v>
      </c>
      <c r="I227" s="207"/>
      <c r="J227" s="69">
        <f t="shared" si="6"/>
        <v>0</v>
      </c>
      <c r="K227" s="207">
        <f>+I227+'ENERO 2026'!K227</f>
        <v>20</v>
      </c>
      <c r="L227" s="94">
        <f t="shared" si="7"/>
        <v>1</v>
      </c>
      <c r="N227"/>
      <c r="O227" s="8"/>
      <c r="P227"/>
      <c r="Q227" s="8"/>
    </row>
    <row r="228" spans="2:17" x14ac:dyDescent="0.25">
      <c r="B228" s="163">
        <v>5</v>
      </c>
      <c r="C228" s="171" t="s">
        <v>57</v>
      </c>
      <c r="D228" s="172" t="s">
        <v>58</v>
      </c>
      <c r="E228" s="280"/>
      <c r="F228" s="182" t="s">
        <v>172</v>
      </c>
      <c r="G228" s="186" t="s">
        <v>172</v>
      </c>
      <c r="H228" s="185">
        <v>20</v>
      </c>
      <c r="I228" s="207"/>
      <c r="J228" s="69">
        <f t="shared" si="6"/>
        <v>0</v>
      </c>
      <c r="K228" s="207">
        <f>+I228+'ENERO 2026'!K228</f>
        <v>20</v>
      </c>
      <c r="L228" s="94">
        <f t="shared" si="7"/>
        <v>1</v>
      </c>
      <c r="N228"/>
      <c r="O228" s="8"/>
      <c r="P228"/>
      <c r="Q228" s="8"/>
    </row>
    <row r="229" spans="2:17" x14ac:dyDescent="0.25">
      <c r="B229" s="163">
        <v>5</v>
      </c>
      <c r="C229" s="171" t="s">
        <v>59</v>
      </c>
      <c r="D229" s="172" t="s">
        <v>60</v>
      </c>
      <c r="E229" s="280"/>
      <c r="F229" s="186" t="s">
        <v>172</v>
      </c>
      <c r="G229" s="186" t="s">
        <v>172</v>
      </c>
      <c r="H229" s="185">
        <v>20</v>
      </c>
      <c r="I229" s="207"/>
      <c r="J229" s="69">
        <f t="shared" si="6"/>
        <v>0</v>
      </c>
      <c r="K229" s="207">
        <f>+I229+'ENERO 2026'!K229</f>
        <v>20</v>
      </c>
      <c r="L229" s="94">
        <f t="shared" si="7"/>
        <v>1</v>
      </c>
      <c r="N229"/>
      <c r="O229" s="8"/>
      <c r="P229"/>
      <c r="Q229" s="8"/>
    </row>
    <row r="230" spans="2:17" x14ac:dyDescent="0.25">
      <c r="B230" s="164">
        <v>8</v>
      </c>
      <c r="C230" s="173" t="s">
        <v>61</v>
      </c>
      <c r="D230" s="174" t="s">
        <v>62</v>
      </c>
      <c r="E230" s="280"/>
      <c r="F230" s="188" t="s">
        <v>172</v>
      </c>
      <c r="G230" s="189" t="s">
        <v>172</v>
      </c>
      <c r="H230" s="190">
        <v>20</v>
      </c>
      <c r="I230" s="208"/>
      <c r="J230" s="72">
        <f t="shared" si="6"/>
        <v>0</v>
      </c>
      <c r="K230" s="208">
        <f>+I230+'ENERO 2026'!K230</f>
        <v>20</v>
      </c>
      <c r="L230" s="96">
        <f t="shared" si="7"/>
        <v>1</v>
      </c>
      <c r="N230"/>
      <c r="O230" s="8"/>
      <c r="P230"/>
      <c r="Q230" s="8"/>
    </row>
    <row r="231" spans="2:17" x14ac:dyDescent="0.25">
      <c r="B231" s="85">
        <v>3</v>
      </c>
      <c r="C231" s="105" t="s">
        <v>43</v>
      </c>
      <c r="D231" s="106" t="s">
        <v>44</v>
      </c>
      <c r="E231" s="232" t="s">
        <v>407</v>
      </c>
      <c r="F231" s="186" t="s">
        <v>1615</v>
      </c>
      <c r="G231" s="183" t="s">
        <v>1660</v>
      </c>
      <c r="H231" s="66">
        <v>40</v>
      </c>
      <c r="I231" s="89">
        <v>5</v>
      </c>
      <c r="J231" s="69">
        <f t="shared" si="6"/>
        <v>0.125</v>
      </c>
      <c r="K231" s="191">
        <f>+I231+'ENERO 2026'!K231</f>
        <v>36</v>
      </c>
      <c r="L231" s="94">
        <f t="shared" si="7"/>
        <v>0.9</v>
      </c>
      <c r="N231"/>
      <c r="O231" s="8"/>
      <c r="P231"/>
      <c r="Q231" s="8"/>
    </row>
    <row r="232" spans="2:17" x14ac:dyDescent="0.25">
      <c r="B232" s="86">
        <v>3</v>
      </c>
      <c r="C232" s="107" t="s">
        <v>46</v>
      </c>
      <c r="D232" s="108" t="s">
        <v>47</v>
      </c>
      <c r="E232" s="232"/>
      <c r="F232" s="182" t="s">
        <v>1605</v>
      </c>
      <c r="G232" s="186" t="s">
        <v>1606</v>
      </c>
      <c r="H232" s="68">
        <v>40</v>
      </c>
      <c r="I232" s="3">
        <v>3</v>
      </c>
      <c r="J232" s="69">
        <f t="shared" si="6"/>
        <v>7.4999999999999997E-2</v>
      </c>
      <c r="K232" s="207">
        <f>+I232+'ENERO 2026'!K232</f>
        <v>37</v>
      </c>
      <c r="L232" s="94">
        <f t="shared" si="7"/>
        <v>0.92500000000000004</v>
      </c>
      <c r="N232"/>
      <c r="O232" s="8"/>
      <c r="P232"/>
      <c r="Q232" s="8"/>
    </row>
    <row r="233" spans="2:17" x14ac:dyDescent="0.25">
      <c r="B233" s="86">
        <v>3</v>
      </c>
      <c r="C233" s="107" t="s">
        <v>98</v>
      </c>
      <c r="D233" s="108" t="s">
        <v>99</v>
      </c>
      <c r="E233" s="232"/>
      <c r="F233" s="182" t="s">
        <v>1409</v>
      </c>
      <c r="G233" s="183" t="s">
        <v>1607</v>
      </c>
      <c r="H233" s="55">
        <v>40</v>
      </c>
      <c r="I233" s="4">
        <v>3</v>
      </c>
      <c r="J233" s="69">
        <f t="shared" si="6"/>
        <v>7.4999999999999997E-2</v>
      </c>
      <c r="K233" s="194">
        <f>+I233+'ENERO 2026'!K233</f>
        <v>36</v>
      </c>
      <c r="L233" s="94">
        <f t="shared" si="7"/>
        <v>0.9</v>
      </c>
      <c r="N233"/>
      <c r="O233" s="8"/>
      <c r="P233"/>
      <c r="Q233" s="8"/>
    </row>
    <row r="234" spans="2:17" x14ac:dyDescent="0.25">
      <c r="B234" s="86">
        <v>3</v>
      </c>
      <c r="C234" s="107" t="s">
        <v>49</v>
      </c>
      <c r="D234" s="108" t="s">
        <v>50</v>
      </c>
      <c r="E234" s="232"/>
      <c r="F234" s="182" t="s">
        <v>1497</v>
      </c>
      <c r="G234" s="186" t="s">
        <v>1608</v>
      </c>
      <c r="H234" s="55">
        <v>40</v>
      </c>
      <c r="I234" s="3">
        <v>6</v>
      </c>
      <c r="J234" s="69">
        <f t="shared" si="6"/>
        <v>0.15</v>
      </c>
      <c r="K234" s="207">
        <f>+I234+'ENERO 2026'!K234</f>
        <v>39</v>
      </c>
      <c r="L234" s="94">
        <f t="shared" si="7"/>
        <v>0.97499999999999998</v>
      </c>
      <c r="N234"/>
      <c r="O234" s="8"/>
      <c r="P234"/>
      <c r="Q234" s="8"/>
    </row>
    <row r="235" spans="2:17" x14ac:dyDescent="0.25">
      <c r="B235" s="86">
        <v>3</v>
      </c>
      <c r="C235" s="107" t="s">
        <v>52</v>
      </c>
      <c r="D235" s="108" t="s">
        <v>53</v>
      </c>
      <c r="E235" s="232"/>
      <c r="F235" s="182" t="s">
        <v>1609</v>
      </c>
      <c r="G235" s="186" t="s">
        <v>1610</v>
      </c>
      <c r="H235" s="55">
        <v>40</v>
      </c>
      <c r="I235" s="3">
        <v>2</v>
      </c>
      <c r="J235" s="69">
        <f t="shared" si="6"/>
        <v>0.05</v>
      </c>
      <c r="K235" s="207">
        <f>+I235+'ENERO 2026'!K235</f>
        <v>34</v>
      </c>
      <c r="L235" s="94">
        <f t="shared" si="7"/>
        <v>0.85</v>
      </c>
      <c r="N235"/>
      <c r="O235" s="8"/>
      <c r="P235"/>
      <c r="Q235" s="8"/>
    </row>
    <row r="236" spans="2:17" x14ac:dyDescent="0.25">
      <c r="B236" s="86">
        <v>3</v>
      </c>
      <c r="C236" s="107" t="s">
        <v>55</v>
      </c>
      <c r="D236" s="108" t="s">
        <v>56</v>
      </c>
      <c r="E236" s="232"/>
      <c r="F236" s="182" t="s">
        <v>1611</v>
      </c>
      <c r="G236" s="186" t="s">
        <v>1612</v>
      </c>
      <c r="H236" s="55">
        <v>40</v>
      </c>
      <c r="I236" s="3">
        <v>2</v>
      </c>
      <c r="J236" s="69">
        <f t="shared" si="6"/>
        <v>0.05</v>
      </c>
      <c r="K236" s="207">
        <f>+I236+'ENERO 2026'!K236</f>
        <v>36</v>
      </c>
      <c r="L236" s="94">
        <f t="shared" si="7"/>
        <v>0.9</v>
      </c>
      <c r="N236"/>
      <c r="O236" s="8"/>
      <c r="P236"/>
      <c r="Q236" s="8"/>
    </row>
    <row r="237" spans="2:17" x14ac:dyDescent="0.25">
      <c r="B237" s="86">
        <v>5</v>
      </c>
      <c r="C237" s="107" t="s">
        <v>57</v>
      </c>
      <c r="D237" s="108" t="s">
        <v>58</v>
      </c>
      <c r="E237" s="232"/>
      <c r="F237" s="201" t="s">
        <v>1613</v>
      </c>
      <c r="G237" s="192" t="s">
        <v>1614</v>
      </c>
      <c r="H237" s="55">
        <v>40</v>
      </c>
      <c r="I237" s="3">
        <v>3</v>
      </c>
      <c r="J237" s="69">
        <f t="shared" si="6"/>
        <v>7.4999999999999997E-2</v>
      </c>
      <c r="K237" s="207">
        <f>+I237+'ENERO 2026'!K237</f>
        <v>35</v>
      </c>
      <c r="L237" s="94">
        <f t="shared" si="7"/>
        <v>0.875</v>
      </c>
      <c r="N237"/>
      <c r="O237" s="8"/>
      <c r="P237"/>
      <c r="Q237" s="8"/>
    </row>
    <row r="238" spans="2:17" x14ac:dyDescent="0.25">
      <c r="B238" s="86">
        <v>5</v>
      </c>
      <c r="C238" s="107" t="s">
        <v>59</v>
      </c>
      <c r="D238" s="108" t="s">
        <v>60</v>
      </c>
      <c r="E238" s="233"/>
      <c r="F238" s="182" t="s">
        <v>1519</v>
      </c>
      <c r="G238" s="186" t="s">
        <v>1661</v>
      </c>
      <c r="H238" s="55">
        <v>40</v>
      </c>
      <c r="I238" s="3">
        <v>3</v>
      </c>
      <c r="J238" s="69">
        <f t="shared" si="6"/>
        <v>7.4999999999999997E-2</v>
      </c>
      <c r="K238" s="207">
        <f>+I238+'ENERO 2026'!K238</f>
        <v>40</v>
      </c>
      <c r="L238" s="94">
        <f t="shared" si="7"/>
        <v>1</v>
      </c>
      <c r="N238"/>
      <c r="O238" s="8"/>
      <c r="P238"/>
      <c r="Q238" s="8"/>
    </row>
    <row r="239" spans="2:17" x14ac:dyDescent="0.25">
      <c r="B239" s="87">
        <v>8</v>
      </c>
      <c r="C239" s="109" t="s">
        <v>61</v>
      </c>
      <c r="D239" s="110" t="s">
        <v>62</v>
      </c>
      <c r="E239" s="234"/>
      <c r="F239" s="183" t="s">
        <v>1616</v>
      </c>
      <c r="G239" s="183" t="s">
        <v>1617</v>
      </c>
      <c r="H239" s="56">
        <v>40</v>
      </c>
      <c r="I239" s="97">
        <v>3</v>
      </c>
      <c r="J239" s="72">
        <f t="shared" si="6"/>
        <v>7.4999999999999997E-2</v>
      </c>
      <c r="K239" s="208">
        <f>+I239+'ENERO 2026'!K239</f>
        <v>37</v>
      </c>
      <c r="L239" s="96">
        <f t="shared" si="7"/>
        <v>0.92500000000000004</v>
      </c>
      <c r="N239"/>
      <c r="O239" s="8"/>
      <c r="P239"/>
      <c r="Q239" s="8"/>
    </row>
    <row r="240" spans="2:17" x14ac:dyDescent="0.25">
      <c r="B240" s="85">
        <v>3</v>
      </c>
      <c r="C240" s="105" t="s">
        <v>46</v>
      </c>
      <c r="D240" s="106" t="s">
        <v>47</v>
      </c>
      <c r="E240" s="226" t="s">
        <v>426</v>
      </c>
      <c r="F240" s="59" t="s">
        <v>48</v>
      </c>
      <c r="G240" s="59" t="s">
        <v>979</v>
      </c>
      <c r="H240" s="191">
        <v>50</v>
      </c>
      <c r="I240" s="191">
        <v>1</v>
      </c>
      <c r="J240" s="69">
        <f t="shared" si="6"/>
        <v>0.02</v>
      </c>
      <c r="K240" s="191">
        <f>+I240+'ENERO 2026'!K240</f>
        <v>50</v>
      </c>
      <c r="L240" s="94">
        <f t="shared" si="7"/>
        <v>1</v>
      </c>
      <c r="N240"/>
      <c r="O240" s="8"/>
      <c r="P240"/>
      <c r="Q240" s="8"/>
    </row>
    <row r="241" spans="1:17" x14ac:dyDescent="0.25">
      <c r="B241" s="86">
        <v>3</v>
      </c>
      <c r="C241" s="107" t="s">
        <v>98</v>
      </c>
      <c r="D241" s="108" t="s">
        <v>99</v>
      </c>
      <c r="E241" s="226"/>
      <c r="F241" s="61" t="s">
        <v>48</v>
      </c>
      <c r="G241" s="61" t="s">
        <v>429</v>
      </c>
      <c r="H241" s="193">
        <v>60</v>
      </c>
      <c r="I241" s="207">
        <v>5</v>
      </c>
      <c r="J241" s="69">
        <f t="shared" si="6"/>
        <v>8.3333333333333329E-2</v>
      </c>
      <c r="K241" s="207">
        <f>+I241+'ENERO 2026'!K241</f>
        <v>55</v>
      </c>
      <c r="L241" s="94">
        <f t="shared" si="7"/>
        <v>0.91666666666666663</v>
      </c>
      <c r="N241"/>
      <c r="O241" s="8"/>
      <c r="P241"/>
      <c r="Q241" s="8"/>
    </row>
    <row r="242" spans="1:17" x14ac:dyDescent="0.25">
      <c r="B242" s="86">
        <v>3</v>
      </c>
      <c r="C242" s="107" t="s">
        <v>49</v>
      </c>
      <c r="D242" s="108" t="s">
        <v>50</v>
      </c>
      <c r="E242" s="226"/>
      <c r="F242" s="61" t="s">
        <v>51</v>
      </c>
      <c r="G242" s="61" t="s">
        <v>431</v>
      </c>
      <c r="H242" s="207">
        <v>70</v>
      </c>
      <c r="I242" s="194">
        <v>9</v>
      </c>
      <c r="J242" s="69">
        <f t="shared" si="6"/>
        <v>0.12857142857142856</v>
      </c>
      <c r="K242" s="194">
        <f>+I242+'ENERO 2026'!K242</f>
        <v>60</v>
      </c>
      <c r="L242" s="94">
        <f t="shared" si="7"/>
        <v>0.8571428571428571</v>
      </c>
    </row>
    <row r="243" spans="1:17" s="16" customFormat="1" x14ac:dyDescent="0.25">
      <c r="B243" s="86">
        <v>3</v>
      </c>
      <c r="C243" s="107" t="s">
        <v>52</v>
      </c>
      <c r="D243" s="108" t="s">
        <v>53</v>
      </c>
      <c r="E243" s="226"/>
      <c r="F243" s="61" t="s">
        <v>54</v>
      </c>
      <c r="G243" s="61" t="s">
        <v>296</v>
      </c>
      <c r="H243" s="207">
        <v>60</v>
      </c>
      <c r="I243" s="207">
        <v>4</v>
      </c>
      <c r="J243" s="69">
        <f t="shared" si="6"/>
        <v>6.6666666666666666E-2</v>
      </c>
      <c r="K243" s="207">
        <f>+I243+'ENERO 2026'!K243</f>
        <v>55</v>
      </c>
      <c r="L243" s="94">
        <f t="shared" si="7"/>
        <v>0.91666666666666663</v>
      </c>
      <c r="O243"/>
      <c r="Q243"/>
    </row>
    <row r="244" spans="1:17" x14ac:dyDescent="0.25">
      <c r="B244" s="86">
        <v>5</v>
      </c>
      <c r="C244" s="107" t="s">
        <v>59</v>
      </c>
      <c r="D244" s="108" t="s">
        <v>60</v>
      </c>
      <c r="E244" s="226"/>
      <c r="F244" s="61" t="s">
        <v>54</v>
      </c>
      <c r="G244" s="61" t="s">
        <v>434</v>
      </c>
      <c r="H244" s="207">
        <v>60</v>
      </c>
      <c r="I244" s="207">
        <v>5</v>
      </c>
      <c r="J244" s="69">
        <f t="shared" si="6"/>
        <v>8.3333333333333329E-2</v>
      </c>
      <c r="K244" s="207">
        <f>+I244+'ENERO 2026'!K244</f>
        <v>54</v>
      </c>
      <c r="L244" s="94">
        <f t="shared" si="7"/>
        <v>0.9</v>
      </c>
    </row>
    <row r="245" spans="1:17" ht="14.45" customHeight="1" x14ac:dyDescent="0.25">
      <c r="B245" s="86">
        <v>8</v>
      </c>
      <c r="C245" s="107" t="s">
        <v>61</v>
      </c>
      <c r="D245" s="108" t="s">
        <v>62</v>
      </c>
      <c r="E245" s="226"/>
      <c r="F245" s="64" t="s">
        <v>63</v>
      </c>
      <c r="G245" s="64" t="s">
        <v>436</v>
      </c>
      <c r="H245" s="208">
        <v>60</v>
      </c>
      <c r="I245" s="208">
        <v>6</v>
      </c>
      <c r="J245" s="72">
        <f t="shared" si="6"/>
        <v>0.1</v>
      </c>
      <c r="K245" s="208">
        <f>+I245+'ENERO 2026'!K245</f>
        <v>56</v>
      </c>
      <c r="L245" s="96">
        <f t="shared" si="7"/>
        <v>0.93333333333333335</v>
      </c>
    </row>
    <row r="246" spans="1:17" ht="14.45" customHeight="1" x14ac:dyDescent="0.25">
      <c r="A246" s="5"/>
      <c r="B246" s="85">
        <v>3</v>
      </c>
      <c r="C246" s="105" t="s">
        <v>52</v>
      </c>
      <c r="D246" s="106" t="s">
        <v>53</v>
      </c>
      <c r="E246" s="227" t="s">
        <v>438</v>
      </c>
      <c r="F246" s="59" t="s">
        <v>1357</v>
      </c>
      <c r="G246" s="59" t="s">
        <v>447</v>
      </c>
      <c r="H246" s="181">
        <v>60</v>
      </c>
      <c r="I246" s="181">
        <v>5</v>
      </c>
      <c r="J246" s="69">
        <f t="shared" si="6"/>
        <v>8.3333333333333329E-2</v>
      </c>
      <c r="K246" s="191">
        <f>+I246+'ENERO 2026'!K246</f>
        <v>55</v>
      </c>
      <c r="L246" s="94">
        <f t="shared" si="7"/>
        <v>0.91666666666666663</v>
      </c>
    </row>
    <row r="247" spans="1:17" x14ac:dyDescent="0.25">
      <c r="A247" s="5"/>
      <c r="B247" s="86">
        <v>3</v>
      </c>
      <c r="C247" s="107" t="s">
        <v>55</v>
      </c>
      <c r="D247" s="108" t="s">
        <v>56</v>
      </c>
      <c r="E247" s="226"/>
      <c r="F247" s="61" t="s">
        <v>1657</v>
      </c>
      <c r="G247" s="61" t="s">
        <v>447</v>
      </c>
      <c r="H247" s="184">
        <v>60</v>
      </c>
      <c r="I247" s="185">
        <v>5</v>
      </c>
      <c r="J247" s="69">
        <f t="shared" si="6"/>
        <v>8.3333333333333329E-2</v>
      </c>
      <c r="K247" s="207">
        <f>+I247+'ENERO 2026'!K247</f>
        <v>55</v>
      </c>
      <c r="L247" s="94">
        <f t="shared" si="7"/>
        <v>0.91666666666666663</v>
      </c>
    </row>
    <row r="248" spans="1:17" x14ac:dyDescent="0.25">
      <c r="A248" s="5"/>
      <c r="B248" s="86">
        <v>4</v>
      </c>
      <c r="C248" s="107" t="s">
        <v>441</v>
      </c>
      <c r="D248" s="108" t="s">
        <v>442</v>
      </c>
      <c r="E248" s="226"/>
      <c r="F248" s="61" t="s">
        <v>1359</v>
      </c>
      <c r="G248" s="61" t="s">
        <v>447</v>
      </c>
      <c r="H248" s="185">
        <v>60</v>
      </c>
      <c r="I248" s="187">
        <v>5</v>
      </c>
      <c r="J248" s="69">
        <f t="shared" si="6"/>
        <v>8.3333333333333329E-2</v>
      </c>
      <c r="K248" s="194">
        <f>+I248+'ENERO 2026'!K248</f>
        <v>55</v>
      </c>
      <c r="L248" s="94">
        <f t="shared" si="7"/>
        <v>0.91666666666666663</v>
      </c>
    </row>
    <row r="249" spans="1:17" ht="14.45" customHeight="1" x14ac:dyDescent="0.25">
      <c r="A249" s="5"/>
      <c r="B249" s="86">
        <v>5</v>
      </c>
      <c r="C249" s="107" t="s">
        <v>57</v>
      </c>
      <c r="D249" s="108" t="s">
        <v>58</v>
      </c>
      <c r="E249" s="226"/>
      <c r="F249" s="61" t="s">
        <v>1658</v>
      </c>
      <c r="G249" s="61" t="s">
        <v>447</v>
      </c>
      <c r="H249" s="185">
        <v>60</v>
      </c>
      <c r="I249" s="185">
        <v>5</v>
      </c>
      <c r="J249" s="69">
        <f t="shared" si="6"/>
        <v>8.3333333333333329E-2</v>
      </c>
      <c r="K249" s="207">
        <f>+I249+'ENERO 2026'!K249</f>
        <v>55</v>
      </c>
      <c r="L249" s="94">
        <f t="shared" si="7"/>
        <v>0.91666666666666663</v>
      </c>
    </row>
    <row r="250" spans="1:17" ht="14.45" customHeight="1" x14ac:dyDescent="0.25">
      <c r="A250" s="5"/>
      <c r="B250" s="86">
        <v>5</v>
      </c>
      <c r="C250" s="107" t="s">
        <v>59</v>
      </c>
      <c r="D250" s="108" t="s">
        <v>60</v>
      </c>
      <c r="E250" s="226"/>
      <c r="F250" s="61" t="s">
        <v>1361</v>
      </c>
      <c r="G250" s="61" t="s">
        <v>447</v>
      </c>
      <c r="H250" s="185">
        <v>60</v>
      </c>
      <c r="I250" s="185">
        <v>5</v>
      </c>
      <c r="J250" s="69">
        <f t="shared" si="6"/>
        <v>8.3333333333333329E-2</v>
      </c>
      <c r="K250" s="207">
        <f>+I250+'ENERO 2026'!K250</f>
        <v>55</v>
      </c>
      <c r="L250" s="94">
        <f t="shared" si="7"/>
        <v>0.91666666666666663</v>
      </c>
    </row>
    <row r="251" spans="1:17" ht="14.45" customHeight="1" x14ac:dyDescent="0.25">
      <c r="A251" s="5"/>
      <c r="B251" s="87">
        <v>8</v>
      </c>
      <c r="C251" s="109" t="s">
        <v>61</v>
      </c>
      <c r="D251" s="110" t="s">
        <v>62</v>
      </c>
      <c r="E251" s="226"/>
      <c r="F251" s="64" t="s">
        <v>1659</v>
      </c>
      <c r="G251" s="64" t="s">
        <v>447</v>
      </c>
      <c r="H251" s="190">
        <v>60</v>
      </c>
      <c r="I251" s="190">
        <v>5</v>
      </c>
      <c r="J251" s="72">
        <f t="shared" si="6"/>
        <v>8.3333333333333329E-2</v>
      </c>
      <c r="K251" s="208">
        <f>+I251+'ENERO 2026'!K251</f>
        <v>55</v>
      </c>
      <c r="L251" s="96">
        <f t="shared" si="7"/>
        <v>0.91666666666666663</v>
      </c>
    </row>
    <row r="252" spans="1:17" x14ac:dyDescent="0.25">
      <c r="A252" s="5"/>
      <c r="B252" s="85">
        <v>3</v>
      </c>
      <c r="C252" s="105" t="s">
        <v>43</v>
      </c>
      <c r="D252" s="106" t="s">
        <v>44</v>
      </c>
      <c r="E252" s="226" t="s">
        <v>450</v>
      </c>
      <c r="F252" s="212" t="s">
        <v>1662</v>
      </c>
      <c r="G252" s="212" t="s">
        <v>1663</v>
      </c>
      <c r="H252" s="191">
        <v>45</v>
      </c>
      <c r="I252" s="89">
        <v>4</v>
      </c>
      <c r="J252" s="69">
        <f t="shared" si="6"/>
        <v>8.8888888888888892E-2</v>
      </c>
      <c r="K252" s="191">
        <f>+I252+'ENERO 2026'!K252</f>
        <v>42</v>
      </c>
      <c r="L252" s="94">
        <f t="shared" si="7"/>
        <v>0.93333333333333335</v>
      </c>
    </row>
    <row r="253" spans="1:17" x14ac:dyDescent="0.25">
      <c r="A253" s="5"/>
      <c r="B253" s="86">
        <v>3</v>
      </c>
      <c r="C253" s="107" t="s">
        <v>46</v>
      </c>
      <c r="D253" s="108" t="s">
        <v>47</v>
      </c>
      <c r="E253" s="226"/>
      <c r="F253" s="213" t="s">
        <v>1664</v>
      </c>
      <c r="G253" s="213" t="s">
        <v>1665</v>
      </c>
      <c r="H253" s="193">
        <v>45</v>
      </c>
      <c r="I253" s="3">
        <v>4</v>
      </c>
      <c r="J253" s="69">
        <f t="shared" si="6"/>
        <v>8.8888888888888892E-2</v>
      </c>
      <c r="K253" s="207">
        <f>+I253+'ENERO 2026'!K253</f>
        <v>42</v>
      </c>
      <c r="L253" s="94">
        <f t="shared" si="7"/>
        <v>0.93333333333333335</v>
      </c>
    </row>
    <row r="254" spans="1:17" ht="14.45" customHeight="1" x14ac:dyDescent="0.25">
      <c r="B254" s="86">
        <v>3</v>
      </c>
      <c r="C254" s="107" t="s">
        <v>49</v>
      </c>
      <c r="D254" s="108" t="s">
        <v>50</v>
      </c>
      <c r="E254" s="226"/>
      <c r="F254" s="215" t="s">
        <v>1666</v>
      </c>
      <c r="G254" s="215" t="s">
        <v>1667</v>
      </c>
      <c r="H254" s="207">
        <v>45</v>
      </c>
      <c r="I254" s="4">
        <v>4</v>
      </c>
      <c r="J254" s="69">
        <f t="shared" si="6"/>
        <v>8.8888888888888892E-2</v>
      </c>
      <c r="K254" s="194">
        <f>+I254+'ENERO 2026'!K254</f>
        <v>42</v>
      </c>
      <c r="L254" s="94">
        <f t="shared" si="7"/>
        <v>0.93333333333333335</v>
      </c>
    </row>
    <row r="255" spans="1:17" ht="14.45" customHeight="1" x14ac:dyDescent="0.25">
      <c r="B255" s="86">
        <v>3</v>
      </c>
      <c r="C255" s="107" t="s">
        <v>52</v>
      </c>
      <c r="D255" s="108" t="s">
        <v>53</v>
      </c>
      <c r="E255" s="226"/>
      <c r="F255" s="215" t="s">
        <v>1668</v>
      </c>
      <c r="G255" s="215" t="s">
        <v>1669</v>
      </c>
      <c r="H255" s="207">
        <v>45</v>
      </c>
      <c r="I255" s="3">
        <v>4</v>
      </c>
      <c r="J255" s="69">
        <f t="shared" si="6"/>
        <v>8.8888888888888892E-2</v>
      </c>
      <c r="K255" s="207">
        <f>+I255+'ENERO 2026'!K255</f>
        <v>42</v>
      </c>
      <c r="L255" s="94">
        <f t="shared" si="7"/>
        <v>0.93333333333333335</v>
      </c>
    </row>
    <row r="256" spans="1:17" x14ac:dyDescent="0.25">
      <c r="B256" s="86">
        <v>3</v>
      </c>
      <c r="C256" s="107" t="s">
        <v>55</v>
      </c>
      <c r="D256" s="108" t="s">
        <v>56</v>
      </c>
      <c r="E256" s="226"/>
      <c r="F256" s="215" t="s">
        <v>1670</v>
      </c>
      <c r="G256" s="215" t="s">
        <v>1667</v>
      </c>
      <c r="H256" s="207">
        <v>45</v>
      </c>
      <c r="I256" s="3">
        <v>4</v>
      </c>
      <c r="J256" s="69">
        <f t="shared" si="6"/>
        <v>8.8888888888888892E-2</v>
      </c>
      <c r="K256" s="207">
        <f>+I256+'ENERO 2026'!K256</f>
        <v>42</v>
      </c>
      <c r="L256" s="94">
        <f t="shared" si="7"/>
        <v>0.93333333333333335</v>
      </c>
    </row>
    <row r="257" spans="1:18" x14ac:dyDescent="0.25">
      <c r="B257" s="86">
        <v>5</v>
      </c>
      <c r="C257" s="107" t="s">
        <v>57</v>
      </c>
      <c r="D257" s="108" t="s">
        <v>58</v>
      </c>
      <c r="E257" s="226"/>
      <c r="F257" s="215" t="s">
        <v>1671</v>
      </c>
      <c r="G257" s="215" t="s">
        <v>1672</v>
      </c>
      <c r="H257" s="207">
        <v>45</v>
      </c>
      <c r="I257" s="3">
        <v>4</v>
      </c>
      <c r="J257" s="69">
        <f t="shared" si="6"/>
        <v>8.8888888888888892E-2</v>
      </c>
      <c r="K257" s="207">
        <f>+I257+'ENERO 2026'!K257</f>
        <v>42</v>
      </c>
      <c r="L257" s="94">
        <f t="shared" si="7"/>
        <v>0.93333333333333335</v>
      </c>
    </row>
    <row r="258" spans="1:18" s="6" customFormat="1" ht="14.45" customHeight="1" x14ac:dyDescent="0.25">
      <c r="A258" s="8"/>
      <c r="B258" s="86">
        <v>5</v>
      </c>
      <c r="C258" s="107" t="s">
        <v>59</v>
      </c>
      <c r="D258" s="108" t="s">
        <v>60</v>
      </c>
      <c r="E258" s="226"/>
      <c r="F258" s="215" t="s">
        <v>1673</v>
      </c>
      <c r="G258" s="215" t="s">
        <v>1674</v>
      </c>
      <c r="H258" s="207">
        <v>45</v>
      </c>
      <c r="I258" s="3">
        <v>3</v>
      </c>
      <c r="J258" s="69">
        <f t="shared" si="6"/>
        <v>6.6666666666666666E-2</v>
      </c>
      <c r="K258" s="207">
        <f>+I258+'ENERO 2026'!K258</f>
        <v>39</v>
      </c>
      <c r="L258" s="94">
        <f t="shared" si="7"/>
        <v>0.8666666666666667</v>
      </c>
      <c r="M258" s="8"/>
      <c r="N258" s="8"/>
      <c r="O258"/>
      <c r="P258" s="8"/>
      <c r="Q258"/>
      <c r="R258" s="8"/>
    </row>
    <row r="259" spans="1:18" s="6" customFormat="1" ht="14.45" customHeight="1" x14ac:dyDescent="0.25">
      <c r="A259" s="8"/>
      <c r="B259" s="86">
        <v>8</v>
      </c>
      <c r="C259" s="107" t="s">
        <v>61</v>
      </c>
      <c r="D259" s="108" t="s">
        <v>62</v>
      </c>
      <c r="E259" s="226"/>
      <c r="F259" s="217" t="s">
        <v>1675</v>
      </c>
      <c r="G259" s="217" t="s">
        <v>1676</v>
      </c>
      <c r="H259" s="208">
        <v>45</v>
      </c>
      <c r="I259" s="97">
        <v>3</v>
      </c>
      <c r="J259" s="72">
        <f t="shared" si="6"/>
        <v>6.6666666666666666E-2</v>
      </c>
      <c r="K259" s="208">
        <f>+I259+'ENERO 2026'!K259</f>
        <v>39</v>
      </c>
      <c r="L259" s="96">
        <f t="shared" si="7"/>
        <v>0.8666666666666667</v>
      </c>
      <c r="M259" s="8"/>
      <c r="N259" s="8"/>
      <c r="O259"/>
      <c r="P259" s="8"/>
      <c r="Q259"/>
      <c r="R259" s="8"/>
    </row>
    <row r="260" spans="1:18" x14ac:dyDescent="0.25">
      <c r="B260" s="162">
        <v>3</v>
      </c>
      <c r="C260" s="169" t="s">
        <v>43</v>
      </c>
      <c r="D260" s="170" t="s">
        <v>44</v>
      </c>
      <c r="E260" s="277" t="s">
        <v>466</v>
      </c>
      <c r="F260" s="180" t="s">
        <v>172</v>
      </c>
      <c r="G260" s="180" t="s">
        <v>172</v>
      </c>
      <c r="H260" s="191">
        <v>20</v>
      </c>
      <c r="I260" s="191"/>
      <c r="J260" s="69">
        <f t="shared" si="6"/>
        <v>0</v>
      </c>
      <c r="K260" s="191">
        <f>+I260+'ENERO 2026'!K260</f>
        <v>20</v>
      </c>
      <c r="L260" s="94">
        <f t="shared" si="7"/>
        <v>1</v>
      </c>
    </row>
    <row r="261" spans="1:18" x14ac:dyDescent="0.25">
      <c r="B261" s="163">
        <v>3</v>
      </c>
      <c r="C261" s="171" t="s">
        <v>46</v>
      </c>
      <c r="D261" s="172" t="s">
        <v>47</v>
      </c>
      <c r="E261" s="278"/>
      <c r="F261" s="182" t="s">
        <v>172</v>
      </c>
      <c r="G261" s="186" t="s">
        <v>172</v>
      </c>
      <c r="H261" s="193">
        <v>20</v>
      </c>
      <c r="I261" s="207"/>
      <c r="J261" s="69">
        <f t="shared" si="6"/>
        <v>0</v>
      </c>
      <c r="K261" s="207">
        <f>+I261+'ENERO 2026'!K261</f>
        <v>20</v>
      </c>
      <c r="L261" s="94">
        <f t="shared" si="7"/>
        <v>1</v>
      </c>
    </row>
    <row r="262" spans="1:18" x14ac:dyDescent="0.25">
      <c r="B262" s="163">
        <v>3</v>
      </c>
      <c r="C262" s="171" t="s">
        <v>98</v>
      </c>
      <c r="D262" s="172" t="s">
        <v>99</v>
      </c>
      <c r="E262" s="278"/>
      <c r="F262" s="182" t="s">
        <v>172</v>
      </c>
      <c r="G262" s="183" t="s">
        <v>172</v>
      </c>
      <c r="H262" s="207">
        <v>20</v>
      </c>
      <c r="I262" s="194"/>
      <c r="J262" s="69">
        <f t="shared" si="6"/>
        <v>0</v>
      </c>
      <c r="K262" s="194">
        <f>+I262+'ENERO 2026'!K262</f>
        <v>20</v>
      </c>
      <c r="L262" s="94">
        <f t="shared" si="7"/>
        <v>1</v>
      </c>
    </row>
    <row r="263" spans="1:18" x14ac:dyDescent="0.25">
      <c r="B263" s="163">
        <v>3</v>
      </c>
      <c r="C263" s="171" t="s">
        <v>49</v>
      </c>
      <c r="D263" s="172" t="s">
        <v>50</v>
      </c>
      <c r="E263" s="278"/>
      <c r="F263" s="182" t="s">
        <v>172</v>
      </c>
      <c r="G263" s="186" t="s">
        <v>172</v>
      </c>
      <c r="H263" s="207">
        <v>20</v>
      </c>
      <c r="I263" s="207"/>
      <c r="J263" s="69">
        <f t="shared" si="6"/>
        <v>0</v>
      </c>
      <c r="K263" s="207">
        <f>+I263+'ENERO 2026'!K263</f>
        <v>20</v>
      </c>
      <c r="L263" s="94">
        <f t="shared" si="7"/>
        <v>1</v>
      </c>
    </row>
    <row r="264" spans="1:18" x14ac:dyDescent="0.25">
      <c r="B264" s="163">
        <v>3</v>
      </c>
      <c r="C264" s="171" t="s">
        <v>52</v>
      </c>
      <c r="D264" s="172" t="s">
        <v>53</v>
      </c>
      <c r="E264" s="278"/>
      <c r="F264" s="182" t="s">
        <v>172</v>
      </c>
      <c r="G264" s="186" t="s">
        <v>172</v>
      </c>
      <c r="H264" s="207">
        <v>20</v>
      </c>
      <c r="I264" s="207"/>
      <c r="J264" s="69">
        <f t="shared" si="6"/>
        <v>0</v>
      </c>
      <c r="K264" s="207">
        <f>+I264+'ENERO 2026'!K264</f>
        <v>20</v>
      </c>
      <c r="L264" s="94">
        <f t="shared" si="7"/>
        <v>1</v>
      </c>
    </row>
    <row r="265" spans="1:18" x14ac:dyDescent="0.25">
      <c r="B265" s="163">
        <v>3</v>
      </c>
      <c r="C265" s="171" t="s">
        <v>55</v>
      </c>
      <c r="D265" s="172" t="s">
        <v>56</v>
      </c>
      <c r="E265" s="278"/>
      <c r="F265" s="182" t="s">
        <v>172</v>
      </c>
      <c r="G265" s="186" t="s">
        <v>172</v>
      </c>
      <c r="H265" s="207">
        <v>20</v>
      </c>
      <c r="I265" s="207"/>
      <c r="J265" s="69">
        <f t="shared" si="6"/>
        <v>0</v>
      </c>
      <c r="K265" s="207">
        <f>+I265+'ENERO 2026'!K265</f>
        <v>20</v>
      </c>
      <c r="L265" s="94">
        <f t="shared" si="7"/>
        <v>1</v>
      </c>
    </row>
    <row r="266" spans="1:18" x14ac:dyDescent="0.25">
      <c r="B266" s="163">
        <v>5</v>
      </c>
      <c r="C266" s="171" t="s">
        <v>57</v>
      </c>
      <c r="D266" s="172" t="s">
        <v>58</v>
      </c>
      <c r="E266" s="278"/>
      <c r="F266" s="201" t="s">
        <v>172</v>
      </c>
      <c r="G266" s="192" t="s">
        <v>172</v>
      </c>
      <c r="H266" s="207">
        <v>20</v>
      </c>
      <c r="I266" s="207"/>
      <c r="J266" s="69">
        <f t="shared" si="6"/>
        <v>0</v>
      </c>
      <c r="K266" s="207">
        <f>+I266+'ENERO 2026'!K266</f>
        <v>20</v>
      </c>
      <c r="L266" s="94">
        <f t="shared" si="7"/>
        <v>1</v>
      </c>
    </row>
    <row r="267" spans="1:18" x14ac:dyDescent="0.25">
      <c r="B267" s="163">
        <v>5</v>
      </c>
      <c r="C267" s="171" t="s">
        <v>59</v>
      </c>
      <c r="D267" s="172" t="s">
        <v>60</v>
      </c>
      <c r="E267" s="278"/>
      <c r="F267" s="182" t="s">
        <v>172</v>
      </c>
      <c r="G267" s="186" t="s">
        <v>172</v>
      </c>
      <c r="H267" s="202">
        <v>20</v>
      </c>
      <c r="I267" s="207"/>
      <c r="J267" s="69">
        <f t="shared" si="6"/>
        <v>0</v>
      </c>
      <c r="K267" s="207">
        <f>+I267+'ENERO 2026'!K267</f>
        <v>20</v>
      </c>
      <c r="L267" s="94">
        <f t="shared" si="7"/>
        <v>1</v>
      </c>
    </row>
    <row r="268" spans="1:18" x14ac:dyDescent="0.25">
      <c r="B268" s="164">
        <v>8</v>
      </c>
      <c r="C268" s="173" t="s">
        <v>61</v>
      </c>
      <c r="D268" s="174" t="s">
        <v>62</v>
      </c>
      <c r="E268" s="279"/>
      <c r="F268" s="205" t="s">
        <v>172</v>
      </c>
      <c r="G268" s="205" t="s">
        <v>172</v>
      </c>
      <c r="H268" s="208">
        <v>20</v>
      </c>
      <c r="I268" s="208"/>
      <c r="J268" s="72">
        <f t="shared" si="6"/>
        <v>0</v>
      </c>
      <c r="K268" s="208">
        <f>+I268+'ENERO 2026'!K268</f>
        <v>20</v>
      </c>
      <c r="L268" s="96">
        <f t="shared" si="7"/>
        <v>1</v>
      </c>
    </row>
    <row r="269" spans="1:18" x14ac:dyDescent="0.25">
      <c r="D269" s="18"/>
      <c r="E269" s="5"/>
      <c r="F269" s="14"/>
      <c r="G269" s="5"/>
      <c r="H269" s="240" t="str">
        <f>+CONCATENATE("TOTAL A ",D7)</f>
        <v>TOTAL A FEBRERO</v>
      </c>
      <c r="I269" s="241"/>
      <c r="J269" s="242"/>
      <c r="K269" s="240" t="s">
        <v>33</v>
      </c>
      <c r="L269" s="242"/>
    </row>
    <row r="270" spans="1:18" x14ac:dyDescent="0.25">
      <c r="D270" s="48"/>
      <c r="E270" s="54"/>
      <c r="F270" s="16"/>
      <c r="G270" s="54"/>
      <c r="H270" s="49">
        <f>+SUM(H13:H268)</f>
        <v>7740</v>
      </c>
      <c r="I270" s="50">
        <f>SUM(I13:I268)</f>
        <v>420</v>
      </c>
      <c r="J270" s="51">
        <f>IFERROR(I270/H270,0)</f>
        <v>5.4263565891472867E-2</v>
      </c>
      <c r="K270" s="50">
        <f>+SUM(K13:K268)</f>
        <v>7320</v>
      </c>
      <c r="L270" s="51">
        <f>IFERROR(K270/H270,0)</f>
        <v>0.94573643410852715</v>
      </c>
    </row>
    <row r="271" spans="1:18" x14ac:dyDescent="0.25">
      <c r="D271" s="48"/>
      <c r="E271" s="54"/>
      <c r="F271" s="16"/>
      <c r="G271" s="54"/>
      <c r="H271" s="118"/>
      <c r="I271" s="119"/>
      <c r="J271" s="120"/>
      <c r="K271" s="119"/>
      <c r="L271" s="120"/>
    </row>
    <row r="272" spans="1:18" ht="14.45" customHeight="1" x14ac:dyDescent="0.25">
      <c r="B272" s="271" t="s">
        <v>34</v>
      </c>
      <c r="C272" s="272"/>
      <c r="D272" s="276" t="s">
        <v>1254</v>
      </c>
      <c r="E272" s="276"/>
      <c r="F272" s="276"/>
      <c r="G272" s="276"/>
      <c r="H272" s="276"/>
      <c r="I272" s="276"/>
      <c r="J272" s="276"/>
      <c r="K272" s="276"/>
      <c r="L272" s="276"/>
    </row>
    <row r="273" spans="1:18" ht="14.45" customHeight="1" x14ac:dyDescent="0.25">
      <c r="B273" s="273"/>
      <c r="C273" s="274"/>
      <c r="D273" s="276" t="s">
        <v>1255</v>
      </c>
      <c r="E273" s="276"/>
      <c r="F273" s="276"/>
      <c r="G273" s="276"/>
      <c r="H273" s="276"/>
      <c r="I273" s="276"/>
      <c r="J273" s="276"/>
      <c r="K273" s="276"/>
      <c r="L273" s="276"/>
    </row>
    <row r="274" spans="1:18" ht="14.45" customHeight="1" x14ac:dyDescent="0.25">
      <c r="B274" s="273"/>
      <c r="C274" s="274"/>
      <c r="D274" s="276" t="s">
        <v>1256</v>
      </c>
      <c r="E274" s="276"/>
      <c r="F274" s="276"/>
      <c r="G274" s="276"/>
      <c r="H274" s="276"/>
      <c r="I274" s="276"/>
      <c r="J274" s="276"/>
      <c r="K274" s="276"/>
      <c r="L274" s="276"/>
    </row>
    <row r="275" spans="1:18" ht="26.25" customHeight="1" x14ac:dyDescent="0.25">
      <c r="B275" s="273"/>
      <c r="C275" s="274"/>
      <c r="D275" s="245" t="s">
        <v>1604</v>
      </c>
      <c r="E275" s="246"/>
      <c r="F275" s="246"/>
      <c r="G275" s="246"/>
      <c r="H275" s="246"/>
      <c r="I275" s="246"/>
      <c r="J275" s="246"/>
      <c r="K275" s="246"/>
      <c r="L275" s="247"/>
    </row>
    <row r="276" spans="1:18" ht="117" customHeight="1" x14ac:dyDescent="0.25">
      <c r="B276" s="273"/>
      <c r="C276" s="274"/>
      <c r="D276" s="275" t="s">
        <v>1655</v>
      </c>
      <c r="E276" s="275"/>
      <c r="F276" s="275"/>
      <c r="G276" s="275"/>
      <c r="H276" s="275"/>
      <c r="I276" s="275"/>
      <c r="J276" s="275"/>
      <c r="K276" s="275"/>
      <c r="L276" s="275"/>
    </row>
    <row r="277" spans="1:18" ht="36.6" customHeight="1" x14ac:dyDescent="0.25">
      <c r="B277" s="240"/>
      <c r="C277" s="242"/>
      <c r="D277" s="275" t="s">
        <v>1594</v>
      </c>
      <c r="E277" s="275"/>
      <c r="F277" s="275"/>
      <c r="G277" s="275"/>
      <c r="H277" s="275"/>
      <c r="I277" s="275"/>
      <c r="J277" s="275"/>
      <c r="K277" s="275"/>
      <c r="L277" s="275"/>
    </row>
    <row r="278" spans="1:18" ht="14.45" customHeight="1" x14ac:dyDescent="0.25">
      <c r="B278" s="248" t="s">
        <v>36</v>
      </c>
      <c r="C278" s="249"/>
      <c r="D278" s="249"/>
      <c r="E278" s="249"/>
      <c r="F278" s="249"/>
      <c r="G278" s="249"/>
      <c r="H278" s="249"/>
      <c r="I278" s="249"/>
      <c r="J278" s="249"/>
      <c r="K278" s="249"/>
      <c r="L278" s="250"/>
    </row>
    <row r="279" spans="1:18" x14ac:dyDescent="0.25">
      <c r="B279" s="251"/>
      <c r="C279" s="252"/>
      <c r="D279" s="252"/>
      <c r="E279" s="252"/>
      <c r="F279" s="252"/>
      <c r="G279" s="252"/>
      <c r="H279" s="252"/>
      <c r="I279" s="252"/>
      <c r="J279" s="252"/>
      <c r="K279" s="252"/>
      <c r="L279" s="253"/>
    </row>
    <row r="280" spans="1:18" x14ac:dyDescent="0.25">
      <c r="B280" s="254" t="s">
        <v>37</v>
      </c>
      <c r="C280" s="255"/>
      <c r="D280" s="255"/>
      <c r="E280" s="255"/>
      <c r="F280" s="255"/>
      <c r="G280" s="255"/>
      <c r="H280" s="255"/>
      <c r="I280" s="255"/>
      <c r="J280" s="255"/>
      <c r="K280" s="255"/>
      <c r="L280" s="256"/>
    </row>
    <row r="281" spans="1:18" ht="24.75" x14ac:dyDescent="0.3">
      <c r="B281" s="52" t="s">
        <v>38</v>
      </c>
      <c r="C281" s="121"/>
      <c r="D281" s="257" t="s">
        <v>35</v>
      </c>
      <c r="E281" s="258"/>
      <c r="F281" s="258"/>
      <c r="G281" s="258"/>
      <c r="H281" s="258"/>
      <c r="I281" s="258"/>
      <c r="J281" s="258"/>
      <c r="K281" s="258"/>
      <c r="L281" s="259"/>
    </row>
    <row r="282" spans="1:18" ht="24.75" x14ac:dyDescent="0.3">
      <c r="B282" s="52" t="s">
        <v>39</v>
      </c>
      <c r="C282" s="121"/>
      <c r="D282" s="260"/>
      <c r="E282" s="261"/>
      <c r="F282" s="261"/>
      <c r="G282" s="261"/>
      <c r="H282" s="261"/>
      <c r="I282" s="261"/>
      <c r="J282" s="261"/>
      <c r="K282" s="261"/>
      <c r="L282" s="262"/>
    </row>
    <row r="283" spans="1:18" ht="14.45" customHeight="1" x14ac:dyDescent="0.25">
      <c r="B283" s="263" t="s">
        <v>36</v>
      </c>
      <c r="C283" s="264"/>
      <c r="D283" s="264"/>
      <c r="E283" s="264"/>
      <c r="F283" s="264"/>
      <c r="G283" s="264"/>
      <c r="H283" s="264"/>
      <c r="I283" s="264"/>
      <c r="J283" s="264"/>
      <c r="K283" s="264"/>
      <c r="L283" s="265"/>
    </row>
    <row r="284" spans="1:18" s="6" customFormat="1" ht="14.45" hidden="1" customHeight="1" x14ac:dyDescent="0.25">
      <c r="A284" t="s">
        <v>0</v>
      </c>
      <c r="B284" s="266"/>
      <c r="C284" s="267"/>
      <c r="D284" s="267"/>
      <c r="E284" s="267"/>
      <c r="F284" s="267"/>
      <c r="G284" s="267"/>
      <c r="H284" s="267"/>
      <c r="I284" s="267"/>
      <c r="J284" s="267"/>
      <c r="K284" s="267"/>
      <c r="L284" s="268"/>
      <c r="M284" s="8"/>
      <c r="N284" s="8"/>
      <c r="O284"/>
      <c r="P284" s="8"/>
      <c r="Q284"/>
      <c r="R284" s="8"/>
    </row>
    <row r="285" spans="1:18" s="6" customFormat="1" ht="14.45" hidden="1" customHeight="1" x14ac:dyDescent="0.25">
      <c r="A285" t="s">
        <v>2</v>
      </c>
      <c r="B285" s="254" t="s">
        <v>40</v>
      </c>
      <c r="C285" s="255"/>
      <c r="D285" s="255"/>
      <c r="E285" s="255"/>
      <c r="F285" s="255"/>
      <c r="G285" s="255"/>
      <c r="H285" s="255"/>
      <c r="I285" s="255"/>
      <c r="J285" s="255"/>
      <c r="K285" s="255"/>
      <c r="L285" s="256"/>
      <c r="M285" s="8"/>
      <c r="N285" s="8"/>
      <c r="O285"/>
      <c r="P285" s="8"/>
      <c r="Q285"/>
      <c r="R285" s="8"/>
    </row>
    <row r="286" spans="1:18" s="6" customFormat="1" ht="14.45" hidden="1" customHeight="1" x14ac:dyDescent="0.3">
      <c r="A286" t="s">
        <v>6</v>
      </c>
      <c r="B286" s="52" t="s">
        <v>38</v>
      </c>
      <c r="C286" s="121"/>
      <c r="D286" s="257" t="s">
        <v>35</v>
      </c>
      <c r="E286" s="258"/>
      <c r="F286" s="258"/>
      <c r="G286" s="258"/>
      <c r="H286" s="258"/>
      <c r="I286" s="258"/>
      <c r="J286" s="258"/>
      <c r="K286" s="258"/>
      <c r="L286" s="259"/>
      <c r="M286" s="8"/>
      <c r="N286" s="8"/>
      <c r="O286"/>
      <c r="P286" s="8"/>
      <c r="Q286"/>
      <c r="R286" s="8"/>
    </row>
    <row r="287" spans="1:18" s="6" customFormat="1" ht="14.45" hidden="1" customHeight="1" x14ac:dyDescent="0.3">
      <c r="A287" t="s">
        <v>8</v>
      </c>
      <c r="B287" s="52" t="s">
        <v>39</v>
      </c>
      <c r="C287" s="121"/>
      <c r="D287" s="260"/>
      <c r="E287" s="261"/>
      <c r="F287" s="261"/>
      <c r="G287" s="261"/>
      <c r="H287" s="261"/>
      <c r="I287" s="261"/>
      <c r="J287" s="261"/>
      <c r="K287" s="261"/>
      <c r="L287" s="262"/>
      <c r="M287" s="8"/>
      <c r="N287" s="8"/>
      <c r="O287"/>
      <c r="P287" s="8"/>
      <c r="Q287"/>
      <c r="R287" s="8"/>
    </row>
    <row r="288" spans="1:18" s="6" customFormat="1" ht="14.45" hidden="1" customHeight="1" x14ac:dyDescent="0.25">
      <c r="A288" t="s">
        <v>9</v>
      </c>
      <c r="B288" s="53"/>
      <c r="C288" s="53"/>
      <c r="D288" s="18"/>
      <c r="E288" s="5"/>
      <c r="G288" s="5"/>
      <c r="H288" s="53"/>
      <c r="I288" s="122"/>
      <c r="M288" s="8"/>
      <c r="N288" s="8"/>
      <c r="O288"/>
      <c r="P288" s="8"/>
      <c r="Q288"/>
      <c r="R288" s="8"/>
    </row>
    <row r="289" spans="1:18" s="6" customFormat="1" ht="14.45" hidden="1" customHeight="1" x14ac:dyDescent="0.25">
      <c r="A289" t="s">
        <v>10</v>
      </c>
      <c r="B289" s="53"/>
      <c r="C289" s="53"/>
      <c r="D289" s="18"/>
      <c r="E289" s="5"/>
      <c r="G289" s="5"/>
      <c r="H289" s="53"/>
      <c r="I289" s="122"/>
      <c r="M289" s="8"/>
      <c r="N289" s="8"/>
      <c r="O289"/>
      <c r="P289" s="8"/>
      <c r="Q289"/>
      <c r="R289" s="8"/>
    </row>
    <row r="290" spans="1:18" s="6" customFormat="1" ht="14.45" hidden="1" customHeight="1" x14ac:dyDescent="0.25">
      <c r="A290" t="s">
        <v>11</v>
      </c>
      <c r="B290" s="269"/>
      <c r="C290" s="269"/>
      <c r="D290" s="269"/>
      <c r="E290" s="5"/>
      <c r="G290" s="5"/>
      <c r="H290" s="269"/>
      <c r="I290" s="269"/>
      <c r="J290" s="269"/>
      <c r="K290" s="269"/>
      <c r="M290" s="8"/>
      <c r="N290" s="8"/>
      <c r="O290"/>
      <c r="P290" s="8"/>
      <c r="Q290"/>
      <c r="R290" s="8"/>
    </row>
    <row r="291" spans="1:18" s="6" customFormat="1" ht="14.45" hidden="1" customHeight="1" x14ac:dyDescent="0.25">
      <c r="A291" t="s">
        <v>13</v>
      </c>
      <c r="B291" s="5" t="s">
        <v>41</v>
      </c>
      <c r="C291" s="270"/>
      <c r="D291" s="270"/>
      <c r="E291" s="5"/>
      <c r="G291" s="5"/>
      <c r="H291" s="5" t="s">
        <v>42</v>
      </c>
      <c r="I291" s="270" t="s">
        <v>222</v>
      </c>
      <c r="J291" s="270"/>
      <c r="K291" s="270"/>
      <c r="M291" s="8"/>
      <c r="N291" s="8"/>
      <c r="O291"/>
      <c r="P291" s="8"/>
      <c r="Q291"/>
      <c r="R291" s="8"/>
    </row>
    <row r="292" spans="1:18" s="6" customFormat="1" hidden="1" x14ac:dyDescent="0.25">
      <c r="A292" t="s">
        <v>14</v>
      </c>
      <c r="B292" s="54"/>
      <c r="C292" s="5"/>
      <c r="F292" s="7"/>
      <c r="M292" s="8"/>
      <c r="N292" s="8"/>
      <c r="O292"/>
      <c r="P292" s="8"/>
      <c r="Q292"/>
      <c r="R292" s="8"/>
    </row>
    <row r="293" spans="1:18" s="6" customFormat="1" hidden="1" x14ac:dyDescent="0.25">
      <c r="A293" t="s">
        <v>16</v>
      </c>
      <c r="B293" s="54"/>
      <c r="C293" s="5"/>
      <c r="F293" s="7"/>
      <c r="M293" s="8"/>
      <c r="N293" s="8"/>
      <c r="O293"/>
      <c r="P293" s="8"/>
      <c r="Q293"/>
      <c r="R293" s="8"/>
    </row>
    <row r="294" spans="1:18" s="6" customFormat="1" hidden="1" x14ac:dyDescent="0.25">
      <c r="A294" t="s">
        <v>17</v>
      </c>
      <c r="B294" s="54"/>
      <c r="C294" s="5"/>
      <c r="F294" s="7"/>
      <c r="M294" s="8"/>
      <c r="N294" s="8"/>
      <c r="O294"/>
      <c r="P294" s="8"/>
      <c r="Q294"/>
      <c r="R294" s="8"/>
    </row>
    <row r="295" spans="1:18" s="6" customFormat="1" hidden="1" x14ac:dyDescent="0.25">
      <c r="A295" t="s">
        <v>21</v>
      </c>
      <c r="B295" s="54"/>
      <c r="C295" s="5"/>
      <c r="F295" s="7"/>
      <c r="M295" s="8"/>
      <c r="N295" s="8"/>
      <c r="O295"/>
      <c r="P295" s="8"/>
      <c r="Q295"/>
      <c r="R295" s="8"/>
    </row>
    <row r="296" spans="1:18" s="6" customFormat="1" hidden="1" x14ac:dyDescent="0.25">
      <c r="A296" t="s">
        <v>31</v>
      </c>
      <c r="B296" s="54"/>
      <c r="C296" s="5"/>
      <c r="F296" s="7"/>
      <c r="M296" s="8"/>
      <c r="N296" s="8"/>
      <c r="O296"/>
      <c r="P296" s="8"/>
      <c r="Q296"/>
      <c r="R296" s="8"/>
    </row>
    <row r="297" spans="1:18" x14ac:dyDescent="0.25">
      <c r="B297" s="254" t="s">
        <v>40</v>
      </c>
      <c r="C297" s="255"/>
      <c r="D297" s="255"/>
      <c r="E297" s="255"/>
      <c r="F297" s="255"/>
      <c r="G297" s="255"/>
      <c r="H297" s="255"/>
      <c r="I297" s="255"/>
      <c r="J297" s="255"/>
      <c r="K297" s="255"/>
      <c r="L297" s="256"/>
    </row>
    <row r="298" spans="1:18" ht="24.75" x14ac:dyDescent="0.3">
      <c r="B298" s="52" t="s">
        <v>38</v>
      </c>
      <c r="C298" s="121"/>
      <c r="D298" s="257" t="s">
        <v>35</v>
      </c>
      <c r="E298" s="258"/>
      <c r="F298" s="258"/>
      <c r="G298" s="258"/>
      <c r="H298" s="258"/>
      <c r="I298" s="258"/>
      <c r="J298" s="258"/>
      <c r="K298" s="258"/>
      <c r="L298" s="259"/>
    </row>
    <row r="299" spans="1:18" ht="24.75" x14ac:dyDescent="0.3">
      <c r="B299" s="52" t="s">
        <v>39</v>
      </c>
      <c r="C299" s="121"/>
      <c r="D299" s="260"/>
      <c r="E299" s="261"/>
      <c r="F299" s="261"/>
      <c r="G299" s="261"/>
      <c r="H299" s="261"/>
      <c r="I299" s="261"/>
      <c r="J299" s="261"/>
      <c r="K299" s="261"/>
      <c r="L299" s="262"/>
    </row>
    <row r="300" spans="1:18" x14ac:dyDescent="0.25">
      <c r="B300" s="53"/>
      <c r="C300" s="53"/>
      <c r="D300" s="18"/>
      <c r="E300" s="5"/>
      <c r="F300" s="6"/>
      <c r="G300" s="5"/>
      <c r="H300" s="53"/>
      <c r="I300" s="122"/>
    </row>
    <row r="301" spans="1:18" x14ac:dyDescent="0.25">
      <c r="B301" s="53"/>
      <c r="C301" s="53"/>
      <c r="D301" s="18"/>
      <c r="E301" s="5"/>
      <c r="F301" s="6"/>
      <c r="G301" s="5"/>
      <c r="H301" s="53"/>
      <c r="I301" s="122"/>
    </row>
    <row r="302" spans="1:18" x14ac:dyDescent="0.25">
      <c r="B302" s="269"/>
      <c r="C302" s="269"/>
      <c r="D302" s="269"/>
      <c r="E302" s="5"/>
      <c r="F302" s="6"/>
      <c r="G302" s="5"/>
      <c r="H302" s="269"/>
      <c r="I302" s="269"/>
      <c r="J302" s="269"/>
      <c r="K302" s="269"/>
    </row>
    <row r="303" spans="1:18" ht="18" customHeight="1" x14ac:dyDescent="0.25">
      <c r="B303" s="5" t="s">
        <v>41</v>
      </c>
      <c r="C303" s="270"/>
      <c r="D303" s="270"/>
      <c r="E303" s="5"/>
      <c r="F303" s="6"/>
      <c r="G303" s="5"/>
      <c r="H303" s="5" t="s">
        <v>42</v>
      </c>
      <c r="I303" s="270" t="s">
        <v>222</v>
      </c>
      <c r="J303" s="270"/>
      <c r="K303" s="270"/>
    </row>
  </sheetData>
  <sheetProtection formatCells="0" formatColumns="0" formatRows="0" insertColumns="0" insertRows="0" insertHyperlinks="0" deleteColumns="0" deleteRows="0" sort="0" autoFilter="0" pivotTables="0"/>
  <autoFilter ref="B12:L270"/>
  <mergeCells count="64">
    <mergeCell ref="B278:L279"/>
    <mergeCell ref="B280:L280"/>
    <mergeCell ref="D281:L282"/>
    <mergeCell ref="B283:L284"/>
    <mergeCell ref="C303:D303"/>
    <mergeCell ref="I303:K303"/>
    <mergeCell ref="C291:D291"/>
    <mergeCell ref="I291:K291"/>
    <mergeCell ref="D298:L299"/>
    <mergeCell ref="B302:D302"/>
    <mergeCell ref="H302:K302"/>
    <mergeCell ref="B297:L297"/>
    <mergeCell ref="D286:L287"/>
    <mergeCell ref="B290:D290"/>
    <mergeCell ref="H290:K290"/>
    <mergeCell ref="B285:L285"/>
    <mergeCell ref="E246:E251"/>
    <mergeCell ref="E252:E259"/>
    <mergeCell ref="E260:E268"/>
    <mergeCell ref="H269:J269"/>
    <mergeCell ref="K269:L269"/>
    <mergeCell ref="B272:C277"/>
    <mergeCell ref="D272:L272"/>
    <mergeCell ref="D273:L273"/>
    <mergeCell ref="D274:L274"/>
    <mergeCell ref="D276:L276"/>
    <mergeCell ref="D275:L275"/>
    <mergeCell ref="D277:L277"/>
    <mergeCell ref="E240:E245"/>
    <mergeCell ref="E146:E156"/>
    <mergeCell ref="E157:E166"/>
    <mergeCell ref="E167:E176"/>
    <mergeCell ref="E177:E181"/>
    <mergeCell ref="E182:E190"/>
    <mergeCell ref="E191:E198"/>
    <mergeCell ref="E199:E206"/>
    <mergeCell ref="E207:E212"/>
    <mergeCell ref="E213:E221"/>
    <mergeCell ref="E222:E230"/>
    <mergeCell ref="E231:E239"/>
    <mergeCell ref="E134:E145"/>
    <mergeCell ref="E30:E38"/>
    <mergeCell ref="E39:E46"/>
    <mergeCell ref="E47:E55"/>
    <mergeCell ref="E56:E64"/>
    <mergeCell ref="E65:E73"/>
    <mergeCell ref="E74:E82"/>
    <mergeCell ref="E83:E91"/>
    <mergeCell ref="E92:E102"/>
    <mergeCell ref="E103:E113"/>
    <mergeCell ref="E114:E122"/>
    <mergeCell ref="E123:E133"/>
    <mergeCell ref="E21:E29"/>
    <mergeCell ref="B2:L2"/>
    <mergeCell ref="B3:D3"/>
    <mergeCell ref="F3:I3"/>
    <mergeCell ref="J3:L3"/>
    <mergeCell ref="B5:C5"/>
    <mergeCell ref="B7:C7"/>
    <mergeCell ref="B9:C9"/>
    <mergeCell ref="B11:H11"/>
    <mergeCell ref="I11:J11"/>
    <mergeCell ref="K11:L11"/>
    <mergeCell ref="E13:E20"/>
  </mergeCells>
  <conditionalFormatting sqref="L13:L268">
    <cfRule type="cellIs" dxfId="1" priority="1" operator="equal">
      <formula>1</formula>
    </cfRule>
    <cfRule type="cellIs" dxfId="0" priority="2" operator="greaterThan">
      <formula>1</formula>
    </cfRule>
  </conditionalFormatting>
  <dataValidations count="3">
    <dataValidation type="list" allowBlank="1" showInputMessage="1" showErrorMessage="1" sqref="D7">
      <formula1>$A$285:$A$296</formula1>
    </dataValidation>
    <dataValidation type="whole" allowBlank="1" showInputMessage="1" showErrorMessage="1" errorTitle="¡Error!" error="Introduzca un número válido." promptTitle="¡Atención!" prompt="Introduzca un número entre 0 y 366" sqref="H271 H13:H268">
      <formula1>0</formula1>
      <formula2>366</formula2>
    </dataValidation>
    <dataValidation type="whole" allowBlank="1" showInputMessage="1" showErrorMessage="1" errorTitle="¡Error!" error="Introduzca un número válido." promptTitle="¡Atención!" prompt="Introduzca un número entre 0 y 30" sqref="I13:I268">
      <formula1>0</formula1>
      <formula2>30</formula2>
    </dataValidation>
  </dataValidations>
  <hyperlinks>
    <hyperlink ref="G14" r:id="rId1" display="https://ecopetrol.sharepoint.com/:f:/s/ReportesMensualesCP0-9/IgCV9zI7BwC9R4_D4yEqs45JAYowSS2zJPfbfU9PSorLSmM?e=QH9A63"/>
    <hyperlink ref="G16" r:id="rId2"/>
    <hyperlink ref="G20" r:id="rId3"/>
    <hyperlink ref="G19" r:id="rId4"/>
    <hyperlink ref="G17" r:id="rId5" display="https://ecopetrol.sharepoint.com/sites/ACCESS/Documentos compartidos/Forms/AllItems.aspx?id=%2Fsites%2FACCESS%2FDocumentos%20compartidos%2FPLP%202024&amp;viewid=84208958%2Dec67%2D431a%2D9db0%2D33a6806f19c8"/>
    <hyperlink ref="G18" r:id="rId6" display="https://ecopetrol.sharepoint.com/sites/ACCESS/Documentos compartidos/Forms/AllItems.aspx?id=%2Fsites%2FACCESS%2FDocumentos%20compartidos%2FFrontera&amp;viewid=84208958%2Dec67%2D431a%2D9db0%2D33a6806f19c8"/>
    <hyperlink ref="G15" r:id="rId7" display="https://ecopetrol.sharepoint.com/sites/ACCESS/Documentos compartidos/Forms/AllItems.aspx?id=%2Fsites%2FACCESS%2FDocumentos%20compartidos%2FPLP%202024&amp;viewid=84208958%2Dec67%2D431a%2D9db0%2D33a6806f19c8"/>
    <hyperlink ref="G13" r:id="rId8" display="https://ecopetrol.sharepoint.com/sites/ACCESS/Documentos compartidos/Forms/AllItems.aspx?id=%2Fsites%2FACCESS%2FDocumentos%20compartidos%2FPLP%202024&amp;viewid=84208958%2Dec67%2D431a%2D9db0%2D33a6806f19c8"/>
    <hyperlink ref="G241" r:id="rId9" display="https://ecopetrol.sharepoint.com/:u:/r/sites/MonitoreoVRO/Documentos compartidos/Tableros/Tablero 2.2/2.2_Monitoreo_Prod_P50.pbix?csf=1&amp;web=1&amp;e=solEfC"/>
    <hyperlink ref="G243" r:id="rId10" display="https://ecopetrol.sharepoint.com/:u:/r/sites/MonitoreoVRO/Documentos compartidos/Tableros/Tablero 2.1/2.1_Monitoreo_Proyectos_VRO.pbix?csf=1&amp;web=1&amp;e=Rbxt9l"/>
    <hyperlink ref="G242" r:id="rId11" display="https://ecopetrol.sharepoint.com/:u:/r/sites/MonitoreoVRO/Documentos compartidos/Tableros/Tablero 2.6/2.61_SeguimientoProducci%C3%B3nChiak.pbix?csf=1&amp;web=1&amp;e=tyE96t"/>
    <hyperlink ref="G244" r:id="rId12" display="https://ecopetrol.sharepoint.com/:u:/r/sites/MonitoreoVRO/Documentos compartidos/Tableros/Tablero Calidad de agua/2.9_Seguimiento_Calidad_de_agua_VRO.pbix?csf=1&amp;web=1&amp;e=yzre4a"/>
    <hyperlink ref="G245" r:id="rId13" display="https://ecopetrol.sharepoint.com/:u:/r/sites/MonitoreoVRO/Documentos compartidos/Tableros/Tablero 2.3/2.3_Monitoreo_Secundaria_VRO.pbix?csf=1&amp;web=1&amp;e=7rDpbG"/>
    <hyperlink ref="G240" r:id="rId14" display="https://ecopetrol.sharepoint.com/:u:/r/sites/MonitoreoVRO/Documentos compartidos/Tableros/Tablero 1.1/PDI 2026+/1.1_Portafolio_VRO_PDI_2026+.pbix?csf=1&amp;web=1&amp;e=giUOvF"/>
    <hyperlink ref="G65" r:id="rId15" display="https://ecopetrol-my.sharepoint.com/personal/leidyla_alvarez_ecopetrol_com_co/_layouts/15/onedrive.aspx?CT=1753301353929&amp;OR=OWA%2DNT%2DMail&amp;CID=f0d9c407%2Deb9f%2Da793%2D9b08%2Df772d7c16d75&amp;e=5%3A542ff97d63c24e8eb4666730f5f20276&amp;sharingv2=true&amp;fromShare=true&amp;at=9&amp;id=%2Fpersonal%2Fleidyla%5Falvarez%5Fecopetrol%5Fcom%5Fco%2FDocuments%2FPORTAFOLIO%202026&amp;FolderCTID=0x0120006D961DA851F5B0408DBE3446422184B8&amp;view=0"/>
    <hyperlink ref="G66" r:id="rId16" display="https://ecopetrol.sharepoint.com/sites/SeguimientoIAChichimeneECP/Documentos%20compartidos/Forms/AllItems.aspx?id=%2Fsites%2FSeguimientoIAChichimeneECP%2FDocumentos%20compartidos%2F28%2E%20Molinos%20de%20Viento%2F2026%2F01%2E%20Enero&amp;viewid=72844968%2Df801%2D450d%2D81d2%2D32c578273e17&amp;newTargetListUrl=%2Fsites%2FSeguimientoIAChichimeneECP%2FDocumentos%20compartidos&amp;viewpath=%2Fsites%2FSeguimientoIAChichimeneECP%2FDocumentos%20compartidos%2FForms%2FAllItems%2Easpx"/>
    <hyperlink ref="G67" r:id="rId17" display="https://ecopetrol-my.sharepoint.com/personal/leidyla_alvarez_ecopetrol_com_co/_layouts/15/onedrive.aspx?CT=1753301353929&amp;OR=OWA%2DNT%2DMail&amp;CID=f0d9c407%2Deb9f%2Da793%2D9b08%2Df772d7c16d75&amp;e=5%3A542ff97d63c24e8eb4666730f5f20276&amp;sharingv2=true&amp;fromShare=true&amp;at=9&amp;id=%2Fpersonal%2Fleidyla%5Falvarez%5Fecopetrol%5Fcom%5Fco%2FDocuments%2FPORTAFOLIO%202026&amp;FolderCTID=0x0120006D961DA851F5B0408DBE3446422184B8&amp;view=0"/>
    <hyperlink ref="G71" r:id="rId18" display="https://ecopetrol.sharepoint.com/sites/SeguimientoIAChichimeneECP/Documentos%20compartidos/Forms/AllItems.aspx?id=%2Fsites%2FSeguimientoIAChichimeneECP%2FDocumentos%20compartidos%2F45%2E%20WorkOvers%20GCH%202024%2D2026%2D2027&amp;viewid=72844968%2Df801%2D450d%2D81d2%2D32c578273e17&amp;newTargetListUrl=%2Fsites%2FSeguimientoIAChichimeneECP%2FDocumentos%20compartidos&amp;viewpath=%2Fsites%2FSeguimientoIAChichimeneECP%2FDocumentos%20compartidos%2FForms%2FAllItems%2Easpx"/>
    <hyperlink ref="G72" r:id="rId19" display="https://ecopetrol.sharepoint.com/sites/SeguimientoIAChichimeneECP/Documentos%20compartidos/Forms/AllItems.aspx?id=%2Fsites%2FSeguimientoIAChichimeneECP%2FDocumentos%20compartidos%2F37%2E%20Seguimiento%20WO%20Plan%20de%20Choque&amp;viewid=72844968%2Df801%2D450d%2D81d2%2D32c578273e17&amp;newTargetListUrl=%2Fsites%2FSeguimientoIAChichimeneECP%2FDocumentos%20compartidos&amp;viewpath=%2Fsites%2FSeguimientoIAChichimeneECP%2FDocumentos%20compartidos%2FForms%2FAllItems%2Easpx"/>
    <hyperlink ref="G29" r:id="rId20"/>
    <hyperlink ref="G24" r:id="rId21" display="https://ecopetrol.sharepoint.com/:x:/s/IAAKACIAS/IQB6boyVL69mTLeGt-EF0rt2Ab_hrXF-GT85bbuPBE6sulI?email=karen.carrascal%40ecopetrol.com.co&amp;e=PvOjax_x000a__x000a_C:\Users\Meridian\Ecopetrol S.A\I&amp;A AKACIAS - Documentos\23. Intervenciones WO-WS\00. Campaña WO 2025-2026 (ON_OPT)\MOC OPT"/>
    <hyperlink ref="G26" r:id="rId22"/>
    <hyperlink ref="G28" r:id="rId23"/>
    <hyperlink ref="G27" r:id="rId24"/>
    <hyperlink ref="G215" r:id="rId25" display="https://ecopetrol.sharepoint.com/:f:/r/sites/SeguimientoIAChichimeneECP/Documentos compartidos/15. RWA/37. RWA Enero 2026?csf=1&amp;web=1&amp;e=WrKVaP"/>
    <hyperlink ref="G216" r:id="rId26" display="https://ecopetrol.sharepoint.com/:f:/r/sites/SeguimientoIAChichimeneECP/Documentos compartidos/15. RWA/37. RWA Enero 2026?csf=1&amp;web=1&amp;e=WrKVaP"/>
    <hyperlink ref="G217" r:id="rId27" display="https://ecopetrol.sharepoint.com/:f:/r/sites/SeguimientoIAChichimeneECP/Documentos compartidos/04. Pwf Chichimene?csf=1&amp;web=1&amp;e=5hmVGP"/>
    <hyperlink ref="G219" r:id="rId28" display="https://ecopetrol.sharepoint.com/:f:/r/sites/SeguimientoIAChichimeneECP/Documentos compartidos/20. Portafolio?csf=1&amp;web=1&amp;e=dCREkd"/>
    <hyperlink ref="G220" r:id="rId29" display="https://ecopetrol.sharepoint.com/:f:/r/sites/SeguimientoIAChichimeneECP/Documentos compartidos/02. Tablero 2.3?csf=1&amp;web=1&amp;e=IZdh1m"/>
    <hyperlink ref="G254" r:id="rId30" display="https://ecopetrol.sharepoint.com/:x:/s/GLC/IQDqVbWdvdyfS71wfdksnOLxATH0MFi4KlJ7nBlpzPXkk2Y?email=Luz.Valera%40ecopetrol.com.co&amp;e=E7j7r7"/>
    <hyperlink ref="G253" r:id="rId31" display="https://ecopetrol.sharepoint.com/:x:/s/GLC/IQDHblWJ9hjhQKutWBEzzRjuAfqvgI4xa_c48WrMEs_0qhg?email=Luz.Valera%40ecopetrol.com.co&amp;e=cCzkdN"/>
    <hyperlink ref="G255" r:id="rId32" display="https://ecopetrol.sharepoint.com/:x:/s/GLC/IQD7YHS_LUvIRKaTF6ksiihJAfedlezVgX0yImHQ2y6jQW4?email=Luz.Valera%40ecopetrol.com.co&amp;e=K0WSS7"/>
    <hyperlink ref="G257" r:id="rId33" display="https://ecopetrol.sharepoint.com/:x:/s/GLC/IQAz6HSiH1QIRpsf2yhHzFW7AVLzG4PqslEQIYDmSqSMglI?email=Luz.Valera%40ecopetrol.com.co&amp;e=BUaIBe"/>
    <hyperlink ref="G256" r:id="rId34" display="https://ecopetrol.sharepoint.com/:x:/s/GLC/IQDqVbWdvdyfS71wfdksnOLxATH0MFi4KlJ7nBlpzPXkk2Y?email=Luz.Valera%40ecopetrol.com.co&amp;e=E7j7r7"/>
  </hyperlinks>
  <pageMargins left="0.7" right="0.7" top="0.75" bottom="0.75" header="0.3" footer="0.3"/>
  <pageSetup scale="12" orientation="portrait" r:id="rId35"/>
  <drawing r:id="rId36"/>
  <legacyDrawing r:id="rId3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11</vt:i4>
      </vt:variant>
    </vt:vector>
  </HeadingPairs>
  <TitlesOfParts>
    <vt:vector size="22" baseType="lpstr">
      <vt:lpstr>ABRIL 2025</vt:lpstr>
      <vt:lpstr>MAYO 2025</vt:lpstr>
      <vt:lpstr>JUNIO 2025</vt:lpstr>
      <vt:lpstr>JULIO 2025</vt:lpstr>
      <vt:lpstr>AGOSTO 2025</vt:lpstr>
      <vt:lpstr>SEPTIEMBRE 2025</vt:lpstr>
      <vt:lpstr>OCTUBRE 2025</vt:lpstr>
      <vt:lpstr>NOVIEMBRE 2025 </vt:lpstr>
      <vt:lpstr>DICIEMBRE</vt:lpstr>
      <vt:lpstr>ENERO 2026</vt:lpstr>
      <vt:lpstr>FEBRERO 2026</vt:lpstr>
      <vt:lpstr>'ABRIL 2025'!Área_de_impresión</vt:lpstr>
      <vt:lpstr>'AGOSTO 2025'!Área_de_impresión</vt:lpstr>
      <vt:lpstr>DICIEMBRE!Área_de_impresión</vt:lpstr>
      <vt:lpstr>'ENERO 2026'!Área_de_impresión</vt:lpstr>
      <vt:lpstr>'FEBRERO 2026'!Área_de_impresión</vt:lpstr>
      <vt:lpstr>'JULIO 2025'!Área_de_impresión</vt:lpstr>
      <vt:lpstr>'JUNIO 2025'!Área_de_impresión</vt:lpstr>
      <vt:lpstr>'MAYO 2025'!Área_de_impresión</vt:lpstr>
      <vt:lpstr>'NOVIEMBRE 2025 '!Área_de_impresión</vt:lpstr>
      <vt:lpstr>'OCTUBRE 2025'!Área_de_impresión</vt:lpstr>
      <vt:lpstr>'SEPTIEMBRE 2025'!Área_de_impresión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Meridian 0873</dc:creator>
  <cp:lastModifiedBy>Jose Mateo Lopez Cifuentes</cp:lastModifiedBy>
  <dcterms:created xsi:type="dcterms:W3CDTF">2024-01-10T22:00:55Z</dcterms:created>
  <dcterms:modified xsi:type="dcterms:W3CDTF">2026-03-09T14:18:19Z</dcterms:modified>
</cp:coreProperties>
</file>