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ReportesEcopetrol\docs\Consolidados_febrero\"/>
    </mc:Choice>
  </mc:AlternateContent>
  <bookViews>
    <workbookView xWindow="0" yWindow="0" windowWidth="19200" windowHeight="6600" activeTab="1"/>
  </bookViews>
  <sheets>
    <sheet name="ENERO" sheetId="24" r:id="rId1"/>
    <sheet name="FEBRERO" sheetId="25" r:id="rId2"/>
  </sheets>
  <definedNames>
    <definedName name="_xlnm.Print_Area" localSheetId="0">ENERO!$A$1:$L$38</definedName>
    <definedName name="_xlnm.Print_Area" localSheetId="1">FEBRERO!$A$1:$L$38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4" l="1"/>
  <c r="G22" i="24"/>
  <c r="H22" i="25" l="1"/>
  <c r="G22" i="25"/>
  <c r="G21" i="25"/>
  <c r="I20" i="25"/>
  <c r="I19" i="25"/>
  <c r="I18" i="25"/>
  <c r="I17" i="25"/>
  <c r="I16" i="25"/>
  <c r="I15" i="25"/>
  <c r="I14" i="25"/>
  <c r="I13" i="25"/>
  <c r="I22" i="25" l="1"/>
  <c r="J20" i="24" l="1"/>
  <c r="J19" i="24"/>
  <c r="J18" i="24"/>
  <c r="J17" i="24"/>
  <c r="J16" i="24"/>
  <c r="J15" i="24"/>
  <c r="I20" i="24"/>
  <c r="I19" i="24"/>
  <c r="I18" i="24"/>
  <c r="I17" i="24"/>
  <c r="I16" i="24"/>
  <c r="I15" i="24"/>
  <c r="K17" i="24" l="1"/>
  <c r="J17" i="25"/>
  <c r="K17" i="25" s="1"/>
  <c r="K15" i="24"/>
  <c r="J15" i="25"/>
  <c r="K15" i="25" s="1"/>
  <c r="K19" i="24"/>
  <c r="J19" i="25"/>
  <c r="K19" i="25" s="1"/>
  <c r="K20" i="24"/>
  <c r="J20" i="25"/>
  <c r="K20" i="25" s="1"/>
  <c r="K16" i="24"/>
  <c r="J16" i="25"/>
  <c r="K16" i="25" s="1"/>
  <c r="K18" i="24"/>
  <c r="J18" i="25"/>
  <c r="K18" i="25" s="1"/>
  <c r="J14" i="24"/>
  <c r="I14" i="24"/>
  <c r="K14" i="24" l="1"/>
  <c r="J14" i="25"/>
  <c r="K14" i="25" s="1"/>
  <c r="G21" i="24"/>
  <c r="J13" i="24"/>
  <c r="I13" i="24"/>
  <c r="K13" i="24" l="1"/>
  <c r="J13" i="25"/>
  <c r="J22" i="24"/>
  <c r="K22" i="24" s="1"/>
  <c r="I22" i="24"/>
  <c r="J22" i="25" l="1"/>
  <c r="K22" i="25" s="1"/>
  <c r="K13" i="25"/>
</calcChain>
</file>

<file path=xl/comments1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3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3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3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3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J12" authorId="0" shapeId="0">
      <text>
        <r>
          <rPr>
            <sz val="9"/>
            <color indexed="81"/>
            <rFont val="Tahoma"/>
            <family val="2"/>
          </rPr>
          <t>Días acumulados del último reporte + Días del mes a reportar.</t>
        </r>
      </text>
    </comment>
    <comment ref="B37" authorId="0" shapeId="0">
      <text>
        <r>
          <rPr>
            <sz val="9"/>
            <color indexed="81"/>
            <rFont val="Tahoma"/>
            <family val="2"/>
          </rPr>
          <t>Firma de quién revisa</t>
        </r>
      </text>
    </comment>
    <comment ref="G37" authorId="0" shapeId="0">
      <text>
        <r>
          <rPr>
            <sz val="9"/>
            <color indexed="81"/>
            <rFont val="Tahoma"/>
            <family val="2"/>
          </rPr>
          <t>Firma del interventor</t>
        </r>
      </text>
    </comment>
    <comment ref="C38" authorId="0" shapeId="0">
      <text>
        <r>
          <rPr>
            <sz val="9"/>
            <color rgb="FF000000"/>
            <rFont val="Tahoma"/>
            <family val="2"/>
          </rPr>
          <t>Nombre completo de quién revisa</t>
        </r>
      </text>
    </comment>
    <comment ref="H38" authorId="0" shapeId="0">
      <text>
        <r>
          <rPr>
            <sz val="9"/>
            <color indexed="81"/>
            <rFont val="Tahoma"/>
            <family val="2"/>
          </rPr>
          <t>Nombre completo del interventor</t>
        </r>
      </text>
    </comment>
  </commentList>
</comments>
</file>

<file path=xl/sharedStrings.xml><?xml version="1.0" encoding="utf-8"?>
<sst xmlns="http://schemas.openxmlformats.org/spreadsheetml/2006/main" count="186" uniqueCount="69">
  <si>
    <t>MES</t>
  </si>
  <si>
    <t>REPORTE DE AVANCE</t>
  </si>
  <si>
    <t>ENERO</t>
  </si>
  <si>
    <t>Fecha: 29/06/2022</t>
  </si>
  <si>
    <t>Version: 01</t>
  </si>
  <si>
    <t>GP-F-23</t>
  </si>
  <si>
    <t>FEBRERO</t>
  </si>
  <si>
    <t>Código Orden de servicio</t>
  </si>
  <si>
    <t>MARZO</t>
  </si>
  <si>
    <t>ABRIL</t>
  </si>
  <si>
    <t>MAYO</t>
  </si>
  <si>
    <t>JUNIO</t>
  </si>
  <si>
    <t>Mes a reportar</t>
  </si>
  <si>
    <t>JULIO</t>
  </si>
  <si>
    <t>AGOSTO</t>
  </si>
  <si>
    <t>Fecha reporte</t>
  </si>
  <si>
    <t>SEPTIEMBRE</t>
  </si>
  <si>
    <t>OCTUBRE</t>
  </si>
  <si>
    <t>Clasificación del servicio</t>
  </si>
  <si>
    <t>Reporte mes por servicio</t>
  </si>
  <si>
    <t>Reporte acumulado por servicio</t>
  </si>
  <si>
    <t>NOVIEMBRE</t>
  </si>
  <si>
    <t>Ítem general</t>
  </si>
  <si>
    <t>ítem actividad</t>
  </si>
  <si>
    <t>Descripción de la actividad</t>
  </si>
  <si>
    <t>Soporte</t>
  </si>
  <si>
    <t>Medio de entrega</t>
  </si>
  <si>
    <t>Días contratados</t>
  </si>
  <si>
    <t>Días</t>
  </si>
  <si>
    <t>% avance</t>
  </si>
  <si>
    <t xml:space="preserve">Días </t>
  </si>
  <si>
    <t>DICIEMBRE</t>
  </si>
  <si>
    <t>TOTAL ACUMULADO</t>
  </si>
  <si>
    <t>Observaciones:</t>
  </si>
  <si>
    <t>Describa en este espacio su observación</t>
  </si>
  <si>
    <r>
      <t>¿Se presentó algún aspecto o situación que afecte la ejecución y calidad de los entregables? (</t>
    </r>
    <r>
      <rPr>
        <b/>
        <i/>
        <sz val="9"/>
        <color theme="1"/>
        <rFont val="Verdana"/>
        <family val="2"/>
      </rPr>
      <t>Marque con una X</t>
    </r>
    <r>
      <rPr>
        <b/>
        <sz val="9"/>
        <color theme="1"/>
        <rFont val="Verdana"/>
        <family val="2"/>
      </rPr>
      <t>)</t>
    </r>
  </si>
  <si>
    <t>PROFESIONAL</t>
  </si>
  <si>
    <t>SI</t>
  </si>
  <si>
    <t>NO</t>
  </si>
  <si>
    <t>INTERVENTOR O LIDER</t>
  </si>
  <si>
    <t>Revisa:</t>
  </si>
  <si>
    <t>Interventor:</t>
  </si>
  <si>
    <t>Digital</t>
  </si>
  <si>
    <t>3.3</t>
  </si>
  <si>
    <t>Realice el plan de desarrollo de campo y los pronósticos: realizando todos los pronósticos de escenarios de simulación para llevar a cabo la planificación del desarrollo de campo, esto incluye investigar y realizar análisis de sensibilidad e incertidumbre de los principales parámetros coincidentes de la historia y las incógnitas y su efecto en el pronóstico.</t>
  </si>
  <si>
    <t>3.4</t>
  </si>
  <si>
    <t xml:space="preserve">Construya un estudio de modelos conceptuales y modelos de laboratorio: para construir un modelo conceptual que investigue temas específicos. Problemas de conformance, aplicabilidad del polímero en un campo específico, investigar el efecto del espaciamiento de pozos y los tipos de patrones (5 puntos, 5 puntos invertidos, 7 puntos, unidad de línea) en proyectos EOR químicos. </t>
  </si>
  <si>
    <t>3.5</t>
  </si>
  <si>
    <t>Modelado sectorial cuando el modelo de simulación dinámica está disponible: modelado sectorial en el objetivo del estudio, modela adecuadamente y respeta las condiciones de frontera mediante el uso de límites de flujo o presión, realiza la planificación del desarrollo del campo, perforación de relleno, agotamiento primario, inyección de agua y térmica o química.</t>
  </si>
  <si>
    <t>3.6</t>
  </si>
  <si>
    <t>Generar Modelo analítico del yacimiento integrando la información disponible en un software específico</t>
  </si>
  <si>
    <t>Modelo Analítico - Perfiles de Producción - Informe del modelo</t>
  </si>
  <si>
    <t>3.13</t>
  </si>
  <si>
    <t>Generar base de datos de producción (OFM o la que se requiera)</t>
  </si>
  <si>
    <t>3.15</t>
  </si>
  <si>
    <t>Generar Balance de Materia por campo y/o por subunidad y/o por compartimiento</t>
  </si>
  <si>
    <t>3.16</t>
  </si>
  <si>
    <t>Análisis de Declinaciones por pozo y/o subunidad</t>
  </si>
  <si>
    <t>3.18</t>
  </si>
  <si>
    <t>Generar perfiles de Producción por pozos para pozos existente en escenarios Bajo, Medio y Alto</t>
  </si>
  <si>
    <t>Tabla integrada de campos evaluados</t>
  </si>
  <si>
    <t>Se han revisado la información de yacimientos de 8 campos  que se encuentran en revisión para proponer plan de acción ante la ANH o estrategia de desarrollo en ECP.</t>
  </si>
  <si>
    <t>-</t>
  </si>
  <si>
    <t>Modelo Dinámico
Perfiles de Producción
Informe</t>
  </si>
  <si>
    <t>Base de Datos</t>
  </si>
  <si>
    <t>Base de Datos - Perfiles Generados - Informe del análisis</t>
  </si>
  <si>
    <t>Base de Datos - Informe de la Evaluación</t>
  </si>
  <si>
    <t>Juan Carlos Morales</t>
  </si>
  <si>
    <t>Participación en los proyectos de devolución ANH- Proyecto APUS y Proyecto de Analítica- Integración datos de yacimientos.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</si>
</sst>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sz val="20"/>
      <color theme="1"/>
      <name val="Verdana"/>
      <family val="2"/>
    </font>
    <font>
      <sz val="9"/>
      <color theme="0" tint="-0.499984740745262"/>
      <name val="Verdana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  <font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164" fontId="4" fillId="0" borderId="8" xfId="1" applyNumberFormat="1" applyFont="1" applyBorder="1" applyAlignment="1" applyProtection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9" fontId="2" fillId="3" borderId="1" xfId="1" applyFont="1" applyFill="1" applyBorder="1" applyAlignment="1" applyProtection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9" fontId="2" fillId="3" borderId="18" xfId="1" applyFont="1" applyFill="1" applyBorder="1" applyAlignment="1" applyProtection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9" fontId="2" fillId="3" borderId="16" xfId="1" applyFont="1" applyFill="1" applyBorder="1" applyAlignment="1" applyProtection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3" fillId="0" borderId="12" xfId="0" applyFont="1" applyBorder="1"/>
    <xf numFmtId="0" fontId="4" fillId="4" borderId="2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4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10" fillId="0" borderId="15" xfId="0" applyFont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4" fillId="3" borderId="13" xfId="0" applyFont="1" applyFill="1" applyBorder="1" applyAlignment="1">
      <alignment horizontal="center" vertical="top" wrapText="1"/>
    </xf>
    <xf numFmtId="0" fontId="7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left" vertical="top" wrapText="1"/>
      <protection locked="0"/>
    </xf>
    <xf numFmtId="0" fontId="2" fillId="2" borderId="8" xfId="0" applyFont="1" applyFill="1" applyBorder="1" applyAlignment="1" applyProtection="1">
      <alignment horizontal="left" vertical="top"/>
      <protection locked="0"/>
    </xf>
  </cellXfs>
  <cellStyles count="2">
    <cellStyle name="Normal" xfId="0" builtinId="0"/>
    <cellStyle name="Porcentaje" xfId="1" builtinId="5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43839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2" name="Picture 17" descr="logo_meridian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07644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59531</xdr:colOff>
      <xdr:row>1</xdr:row>
      <xdr:rowOff>11907</xdr:rowOff>
    </xdr:from>
    <xdr:to>
      <xdr:col>3</xdr:col>
      <xdr:colOff>878680</xdr:colOff>
      <xdr:row>2</xdr:row>
      <xdr:rowOff>8854</xdr:rowOff>
    </xdr:to>
    <xdr:pic>
      <xdr:nvPicPr>
        <xdr:cNvPr id="3" name="Picture 17" descr="logo_meridian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" y="202407"/>
          <a:ext cx="2076449" cy="625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2"/>
  <sheetViews>
    <sheetView showGridLines="0" view="pageBreakPreview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4.453125" style="3" customWidth="1"/>
    <col min="2" max="2" width="10.36328125" style="2" customWidth="1"/>
    <col min="3" max="3" width="8.54296875" style="2" bestFit="1" customWidth="1"/>
    <col min="4" max="4" width="43.36328125" style="2" customWidth="1"/>
    <col min="5" max="5" width="14.08984375" style="2" bestFit="1" customWidth="1"/>
    <col min="6" max="6" width="13.453125" style="2" customWidth="1"/>
    <col min="7" max="7" width="13.6328125" style="2" customWidth="1"/>
    <col min="8" max="8" width="13.453125" style="2" customWidth="1"/>
    <col min="9" max="9" width="10.453125" style="2" customWidth="1"/>
    <col min="10" max="10" width="12.453125" style="2" customWidth="1"/>
    <col min="11" max="11" width="12.36328125" style="2" customWidth="1"/>
    <col min="12" max="12" width="6.6328125" style="3" customWidth="1"/>
    <col min="13" max="13" width="16.453125" style="3" customWidth="1"/>
    <col min="15" max="15" width="16.453125" style="3" customWidth="1"/>
    <col min="16" max="16" width="0" hidden="1" customWidth="1"/>
    <col min="17" max="17" width="16.453125" style="3" customWidth="1"/>
    <col min="18" max="16384" width="8.6328125" style="3"/>
  </cols>
  <sheetData>
    <row r="1" spans="2:16" x14ac:dyDescent="0.35">
      <c r="P1" t="s">
        <v>0</v>
      </c>
    </row>
    <row r="2" spans="2:16" ht="49.5" customHeight="1" x14ac:dyDescent="0.35">
      <c r="B2" s="63" t="s">
        <v>1</v>
      </c>
      <c r="C2" s="63"/>
      <c r="D2" s="63"/>
      <c r="E2" s="63"/>
      <c r="F2" s="63"/>
      <c r="G2" s="63"/>
      <c r="H2" s="63"/>
      <c r="I2" s="63"/>
      <c r="J2" s="63"/>
      <c r="K2" s="63"/>
      <c r="P2" t="s">
        <v>2</v>
      </c>
    </row>
    <row r="3" spans="2:16" ht="18.75" customHeight="1" x14ac:dyDescent="0.35">
      <c r="B3" s="64" t="s">
        <v>3</v>
      </c>
      <c r="C3" s="65"/>
      <c r="D3" s="65"/>
      <c r="E3" s="65" t="s">
        <v>4</v>
      </c>
      <c r="F3" s="65"/>
      <c r="G3" s="65"/>
      <c r="H3" s="65"/>
      <c r="I3" s="65" t="s">
        <v>5</v>
      </c>
      <c r="J3" s="65"/>
      <c r="K3" s="66"/>
    </row>
    <row r="4" spans="2:16" x14ac:dyDescent="0.35">
      <c r="B4" s="4"/>
      <c r="C4" s="5"/>
      <c r="K4" s="6"/>
      <c r="P4" t="s">
        <v>6</v>
      </c>
    </row>
    <row r="5" spans="2:16" s="11" customFormat="1" ht="27.65" customHeight="1" x14ac:dyDescent="0.35">
      <c r="B5" s="61" t="s">
        <v>7</v>
      </c>
      <c r="C5" s="61"/>
      <c r="D5" s="7">
        <v>1661981</v>
      </c>
      <c r="E5" s="8"/>
      <c r="F5" s="8"/>
      <c r="G5" s="9"/>
      <c r="H5" s="9"/>
      <c r="I5" s="9"/>
      <c r="J5" s="9"/>
      <c r="K5" s="10"/>
      <c r="N5"/>
      <c r="P5" t="s">
        <v>8</v>
      </c>
    </row>
    <row r="6" spans="2:16" s="11" customFormat="1" x14ac:dyDescent="0.35">
      <c r="B6" s="12"/>
      <c r="C6" s="9"/>
      <c r="D6" s="9"/>
      <c r="E6" s="9"/>
      <c r="F6" s="9"/>
      <c r="G6" s="9"/>
      <c r="H6" s="9"/>
      <c r="I6" s="9"/>
      <c r="J6" s="9"/>
      <c r="K6" s="10"/>
      <c r="N6"/>
      <c r="P6" t="s">
        <v>11</v>
      </c>
    </row>
    <row r="7" spans="2:16" s="11" customFormat="1" x14ac:dyDescent="0.35">
      <c r="B7" s="61" t="s">
        <v>12</v>
      </c>
      <c r="C7" s="61"/>
      <c r="D7" s="13" t="s">
        <v>2</v>
      </c>
      <c r="E7" s="14"/>
      <c r="F7" s="14"/>
      <c r="G7" s="9"/>
      <c r="H7" s="9"/>
      <c r="I7" s="9"/>
      <c r="J7" s="9"/>
      <c r="K7" s="10"/>
      <c r="N7"/>
      <c r="P7" t="s">
        <v>13</v>
      </c>
    </row>
    <row r="8" spans="2:16" s="11" customFormat="1" x14ac:dyDescent="0.35">
      <c r="B8" s="15"/>
      <c r="C8" s="16"/>
      <c r="D8" s="14"/>
      <c r="E8" s="14"/>
      <c r="F8" s="14"/>
      <c r="G8" s="9"/>
      <c r="H8" s="9"/>
      <c r="I8" s="9"/>
      <c r="J8" s="9"/>
      <c r="K8" s="10"/>
      <c r="N8"/>
      <c r="P8" t="s">
        <v>14</v>
      </c>
    </row>
    <row r="9" spans="2:16" s="11" customFormat="1" x14ac:dyDescent="0.35">
      <c r="B9" s="61" t="s">
        <v>15</v>
      </c>
      <c r="C9" s="61"/>
      <c r="D9" s="17">
        <v>46053</v>
      </c>
      <c r="E9" s="18"/>
      <c r="F9" s="18"/>
      <c r="G9" s="9"/>
      <c r="H9" s="9"/>
      <c r="I9" s="9"/>
      <c r="J9" s="9"/>
      <c r="K9" s="10"/>
      <c r="N9"/>
      <c r="P9" t="s">
        <v>16</v>
      </c>
    </row>
    <row r="10" spans="2:16" x14ac:dyDescent="0.35">
      <c r="B10" s="19"/>
      <c r="C10" s="20"/>
      <c r="K10" s="21"/>
      <c r="P10" t="s">
        <v>17</v>
      </c>
    </row>
    <row r="11" spans="2:16" ht="26.9" customHeight="1" x14ac:dyDescent="0.35">
      <c r="B11" s="49" t="s">
        <v>18</v>
      </c>
      <c r="C11" s="49"/>
      <c r="D11" s="49"/>
      <c r="E11" s="49"/>
      <c r="F11" s="49"/>
      <c r="G11" s="49"/>
      <c r="H11" s="61" t="s">
        <v>19</v>
      </c>
      <c r="I11" s="61"/>
      <c r="J11" s="61" t="s">
        <v>20</v>
      </c>
      <c r="K11" s="61"/>
      <c r="P11" t="s">
        <v>21</v>
      </c>
    </row>
    <row r="12" spans="2:16" ht="57.65" customHeight="1" x14ac:dyDescent="0.35">
      <c r="B12" s="22" t="s">
        <v>22</v>
      </c>
      <c r="C12" s="22" t="s">
        <v>23</v>
      </c>
      <c r="D12" s="22" t="s">
        <v>24</v>
      </c>
      <c r="E12" s="22" t="s">
        <v>25</v>
      </c>
      <c r="F12" s="22" t="s">
        <v>26</v>
      </c>
      <c r="G12" s="22" t="s">
        <v>27</v>
      </c>
      <c r="H12" s="22" t="s">
        <v>28</v>
      </c>
      <c r="I12" s="22" t="s">
        <v>29</v>
      </c>
      <c r="J12" s="22" t="s">
        <v>30</v>
      </c>
      <c r="K12" s="22" t="s">
        <v>29</v>
      </c>
      <c r="P12" t="s">
        <v>31</v>
      </c>
    </row>
    <row r="13" spans="2:16" x14ac:dyDescent="0.35">
      <c r="B13" s="23">
        <v>3</v>
      </c>
      <c r="C13" s="23" t="s">
        <v>43</v>
      </c>
      <c r="D13" s="24" t="s">
        <v>44</v>
      </c>
      <c r="E13" s="45" t="s">
        <v>60</v>
      </c>
      <c r="F13" s="23" t="s">
        <v>42</v>
      </c>
      <c r="G13" s="25">
        <v>105</v>
      </c>
      <c r="H13" s="25">
        <v>10</v>
      </c>
      <c r="I13" s="26">
        <f>IFERROR(H13/G13,0)</f>
        <v>9.5238095238095233E-2</v>
      </c>
      <c r="J13" s="25">
        <f>+H13</f>
        <v>10</v>
      </c>
      <c r="K13" s="26">
        <f>IFERROR(J13/G13,0)</f>
        <v>9.5238095238095233E-2</v>
      </c>
    </row>
    <row r="14" spans="2:16" x14ac:dyDescent="0.35">
      <c r="B14" s="27">
        <v>3</v>
      </c>
      <c r="C14" s="27" t="s">
        <v>45</v>
      </c>
      <c r="D14" s="28" t="s">
        <v>46</v>
      </c>
      <c r="E14" s="28" t="s">
        <v>62</v>
      </c>
      <c r="F14" s="29" t="s">
        <v>62</v>
      </c>
      <c r="G14" s="30">
        <v>5</v>
      </c>
      <c r="H14" s="30">
        <v>0</v>
      </c>
      <c r="I14" s="31">
        <f t="shared" ref="I14:I20" si="0">IFERROR(H14/G14,0)</f>
        <v>0</v>
      </c>
      <c r="J14" s="30">
        <f>+H14</f>
        <v>0</v>
      </c>
      <c r="K14" s="31">
        <f>IFERROR(J14/G14,0)</f>
        <v>0</v>
      </c>
    </row>
    <row r="15" spans="2:16" x14ac:dyDescent="0.35">
      <c r="B15" s="27">
        <v>3</v>
      </c>
      <c r="C15" s="27" t="s">
        <v>47</v>
      </c>
      <c r="D15" s="28" t="s">
        <v>48</v>
      </c>
      <c r="E15" s="28" t="s">
        <v>62</v>
      </c>
      <c r="F15" s="29" t="s">
        <v>62</v>
      </c>
      <c r="G15" s="30">
        <v>7</v>
      </c>
      <c r="H15" s="30">
        <v>0</v>
      </c>
      <c r="I15" s="31">
        <f t="shared" si="0"/>
        <v>0</v>
      </c>
      <c r="J15" s="30">
        <f t="shared" ref="J15:J20" si="1">+H15</f>
        <v>0</v>
      </c>
      <c r="K15" s="31">
        <f t="shared" ref="K15:K20" si="2">IFERROR(J15/G15,0)</f>
        <v>0</v>
      </c>
    </row>
    <row r="16" spans="2:16" x14ac:dyDescent="0.35">
      <c r="B16" s="27">
        <v>3</v>
      </c>
      <c r="C16" s="27" t="s">
        <v>49</v>
      </c>
      <c r="D16" s="28" t="s">
        <v>50</v>
      </c>
      <c r="E16" s="28" t="s">
        <v>51</v>
      </c>
      <c r="F16" s="29" t="s">
        <v>42</v>
      </c>
      <c r="G16" s="30">
        <v>45</v>
      </c>
      <c r="H16" s="30">
        <v>2</v>
      </c>
      <c r="I16" s="31">
        <f t="shared" si="0"/>
        <v>4.4444444444444446E-2</v>
      </c>
      <c r="J16" s="30">
        <f t="shared" si="1"/>
        <v>2</v>
      </c>
      <c r="K16" s="31">
        <f t="shared" si="2"/>
        <v>4.4444444444444446E-2</v>
      </c>
    </row>
    <row r="17" spans="1:16" x14ac:dyDescent="0.35">
      <c r="B17" s="27">
        <v>3</v>
      </c>
      <c r="C17" s="27" t="s">
        <v>52</v>
      </c>
      <c r="D17" s="28" t="s">
        <v>53</v>
      </c>
      <c r="E17" s="28" t="s">
        <v>62</v>
      </c>
      <c r="F17" s="29" t="s">
        <v>62</v>
      </c>
      <c r="G17" s="30">
        <v>10</v>
      </c>
      <c r="H17" s="30">
        <v>0</v>
      </c>
      <c r="I17" s="31">
        <f t="shared" si="0"/>
        <v>0</v>
      </c>
      <c r="J17" s="30">
        <f t="shared" si="1"/>
        <v>0</v>
      </c>
      <c r="K17" s="31">
        <f t="shared" si="2"/>
        <v>0</v>
      </c>
    </row>
    <row r="18" spans="1:16" x14ac:dyDescent="0.35">
      <c r="B18" s="27">
        <v>3</v>
      </c>
      <c r="C18" s="27" t="s">
        <v>54</v>
      </c>
      <c r="D18" s="28" t="s">
        <v>55</v>
      </c>
      <c r="E18" s="28" t="s">
        <v>62</v>
      </c>
      <c r="F18" s="29" t="s">
        <v>62</v>
      </c>
      <c r="G18" s="30">
        <v>10</v>
      </c>
      <c r="H18" s="30">
        <v>0</v>
      </c>
      <c r="I18" s="31">
        <f t="shared" si="0"/>
        <v>0</v>
      </c>
      <c r="J18" s="30">
        <f t="shared" si="1"/>
        <v>0</v>
      </c>
      <c r="K18" s="31">
        <f t="shared" si="2"/>
        <v>0</v>
      </c>
    </row>
    <row r="19" spans="1:16" x14ac:dyDescent="0.35">
      <c r="B19" s="27">
        <v>3</v>
      </c>
      <c r="C19" s="27" t="s">
        <v>56</v>
      </c>
      <c r="D19" s="28" t="s">
        <v>57</v>
      </c>
      <c r="E19" s="28" t="s">
        <v>62</v>
      </c>
      <c r="F19" s="29" t="s">
        <v>62</v>
      </c>
      <c r="G19" s="30">
        <v>10</v>
      </c>
      <c r="H19" s="30">
        <v>0</v>
      </c>
      <c r="I19" s="31">
        <f t="shared" si="0"/>
        <v>0</v>
      </c>
      <c r="J19" s="30">
        <f t="shared" si="1"/>
        <v>0</v>
      </c>
      <c r="K19" s="31">
        <f t="shared" si="2"/>
        <v>0</v>
      </c>
    </row>
    <row r="20" spans="1:16" x14ac:dyDescent="0.35">
      <c r="B20" s="32">
        <v>3</v>
      </c>
      <c r="C20" s="32" t="s">
        <v>58</v>
      </c>
      <c r="D20" s="33" t="s">
        <v>59</v>
      </c>
      <c r="E20" s="33" t="s">
        <v>62</v>
      </c>
      <c r="F20" s="34" t="s">
        <v>62</v>
      </c>
      <c r="G20" s="35">
        <v>30</v>
      </c>
      <c r="H20" s="35">
        <v>0</v>
      </c>
      <c r="I20" s="36">
        <f t="shared" si="0"/>
        <v>0</v>
      </c>
      <c r="J20" s="35">
        <f t="shared" si="1"/>
        <v>0</v>
      </c>
      <c r="K20" s="36">
        <f t="shared" si="2"/>
        <v>0</v>
      </c>
    </row>
    <row r="21" spans="1:16" x14ac:dyDescent="0.35">
      <c r="B21" s="9"/>
      <c r="C21" s="9"/>
      <c r="D21" s="9"/>
      <c r="E21" s="9"/>
      <c r="F21" s="16"/>
      <c r="G21" s="62" t="str">
        <f>+CONCATENATE("TOTAL A ",D7)</f>
        <v>TOTAL A ENERO</v>
      </c>
      <c r="H21" s="62"/>
      <c r="I21" s="62"/>
      <c r="J21" s="62" t="s">
        <v>32</v>
      </c>
      <c r="K21" s="62"/>
    </row>
    <row r="22" spans="1:16" s="11" customFormat="1" ht="16.5" customHeight="1" x14ac:dyDescent="0.35">
      <c r="B22" s="9"/>
      <c r="C22" s="9"/>
      <c r="G22" s="37">
        <f>+SUM(G13:G20)</f>
        <v>222</v>
      </c>
      <c r="H22" s="37">
        <f>+SUM(H13:H20)</f>
        <v>12</v>
      </c>
      <c r="I22" s="1">
        <f>IFERROR(H22/G22,0)</f>
        <v>5.4054054054054057E-2</v>
      </c>
      <c r="J22" s="38">
        <f>+SUM(J13:J20)</f>
        <v>12</v>
      </c>
      <c r="K22" s="1">
        <f>IFERROR(J22/G22,0)</f>
        <v>5.4054054054054057E-2</v>
      </c>
      <c r="N22"/>
      <c r="P22"/>
    </row>
    <row r="24" spans="1:16" ht="26" customHeight="1" x14ac:dyDescent="0.35">
      <c r="B24" s="49" t="s">
        <v>33</v>
      </c>
      <c r="C24" s="49"/>
      <c r="D24" s="50" t="s">
        <v>61</v>
      </c>
      <c r="E24" s="51"/>
      <c r="F24" s="51"/>
      <c r="G24" s="51"/>
      <c r="H24" s="51"/>
      <c r="I24" s="51"/>
      <c r="J24" s="51"/>
      <c r="K24" s="52"/>
    </row>
    <row r="25" spans="1:16" customFormat="1" ht="14.4" customHeight="1" x14ac:dyDescent="0.35">
      <c r="A25" s="39"/>
      <c r="B25" s="53" t="s">
        <v>35</v>
      </c>
      <c r="C25" s="54"/>
      <c r="D25" s="54"/>
      <c r="E25" s="54"/>
      <c r="F25" s="54"/>
      <c r="G25" s="54"/>
      <c r="H25" s="54"/>
      <c r="I25" s="54"/>
      <c r="J25" s="54"/>
      <c r="K25" s="55"/>
    </row>
    <row r="26" spans="1:16" customFormat="1" ht="20" customHeight="1" x14ac:dyDescent="0.35">
      <c r="A26" s="3"/>
      <c r="B26" s="56"/>
      <c r="C26" s="57"/>
      <c r="D26" s="57"/>
      <c r="E26" s="57"/>
      <c r="F26" s="57"/>
      <c r="G26" s="57"/>
      <c r="H26" s="57"/>
      <c r="I26" s="57"/>
      <c r="J26" s="57"/>
      <c r="K26" s="58"/>
    </row>
    <row r="27" spans="1:16" ht="19.399999999999999" customHeight="1" x14ac:dyDescent="0.35">
      <c r="B27" s="40" t="s">
        <v>36</v>
      </c>
      <c r="C27" s="41"/>
      <c r="D27" s="41"/>
      <c r="E27" s="41"/>
      <c r="F27" s="41"/>
      <c r="G27" s="41"/>
      <c r="H27" s="41"/>
      <c r="I27" s="41"/>
      <c r="J27" s="41"/>
      <c r="K27" s="42"/>
    </row>
    <row r="28" spans="1:16" ht="20.149999999999999" customHeight="1" x14ac:dyDescent="0.45">
      <c r="B28" s="43" t="s">
        <v>37</v>
      </c>
      <c r="C28" s="44"/>
      <c r="D28" s="59" t="s">
        <v>34</v>
      </c>
      <c r="E28" s="59"/>
      <c r="F28" s="59"/>
      <c r="G28" s="59"/>
      <c r="H28" s="59"/>
      <c r="I28" s="59"/>
      <c r="J28" s="59"/>
      <c r="K28" s="59"/>
    </row>
    <row r="29" spans="1:16" ht="20.149999999999999" customHeight="1" x14ac:dyDescent="0.45">
      <c r="B29" s="43" t="s">
        <v>38</v>
      </c>
      <c r="C29" s="44"/>
      <c r="D29" s="59"/>
      <c r="E29" s="59"/>
      <c r="F29" s="59"/>
      <c r="G29" s="59"/>
      <c r="H29" s="59"/>
      <c r="I29" s="59"/>
      <c r="J29" s="59"/>
      <c r="K29" s="59"/>
    </row>
    <row r="30" spans="1:16" x14ac:dyDescent="0.35">
      <c r="B30" s="60" t="s">
        <v>35</v>
      </c>
      <c r="C30" s="60"/>
      <c r="D30" s="60"/>
      <c r="E30" s="60"/>
      <c r="F30" s="60"/>
      <c r="G30" s="60"/>
      <c r="H30" s="60"/>
      <c r="I30" s="60"/>
      <c r="J30" s="60"/>
      <c r="K30" s="60"/>
    </row>
    <row r="31" spans="1:16" ht="15" customHeight="1" x14ac:dyDescent="0.35">
      <c r="B31" s="60"/>
      <c r="C31" s="60"/>
      <c r="D31" s="60"/>
      <c r="E31" s="60"/>
      <c r="F31" s="60"/>
      <c r="G31" s="60"/>
      <c r="H31" s="60"/>
      <c r="I31" s="60"/>
      <c r="J31" s="60"/>
      <c r="K31" s="60"/>
    </row>
    <row r="32" spans="1:16" x14ac:dyDescent="0.35">
      <c r="B32" s="40" t="s">
        <v>39</v>
      </c>
      <c r="C32" s="41"/>
      <c r="D32" s="41"/>
      <c r="E32" s="41"/>
      <c r="F32" s="41"/>
      <c r="G32" s="41"/>
      <c r="H32" s="41"/>
      <c r="I32" s="41"/>
      <c r="J32" s="41"/>
      <c r="K32" s="42"/>
    </row>
    <row r="33" spans="2:11" ht="20.149999999999999" customHeight="1" x14ac:dyDescent="0.45">
      <c r="B33" s="43" t="s">
        <v>37</v>
      </c>
      <c r="C33" s="44"/>
      <c r="D33" s="59" t="s">
        <v>34</v>
      </c>
      <c r="E33" s="59"/>
      <c r="F33" s="59"/>
      <c r="G33" s="59"/>
      <c r="H33" s="59"/>
      <c r="I33" s="59"/>
      <c r="J33" s="59"/>
      <c r="K33" s="59"/>
    </row>
    <row r="34" spans="2:11" ht="20.149999999999999" customHeight="1" x14ac:dyDescent="0.45">
      <c r="B34" s="43" t="s">
        <v>38</v>
      </c>
      <c r="C34" s="44"/>
      <c r="D34" s="59"/>
      <c r="E34" s="59"/>
      <c r="F34" s="59"/>
      <c r="G34" s="59"/>
      <c r="H34" s="59"/>
      <c r="I34" s="59"/>
      <c r="J34" s="59"/>
      <c r="K34" s="59"/>
    </row>
    <row r="37" spans="2:11" ht="19.5" customHeight="1" x14ac:dyDescent="0.35">
      <c r="B37" s="46"/>
      <c r="C37" s="46"/>
      <c r="D37" s="46"/>
      <c r="G37" s="46"/>
      <c r="H37" s="46"/>
      <c r="I37" s="46"/>
      <c r="J37" s="46"/>
    </row>
    <row r="38" spans="2:11" ht="23.9" customHeight="1" x14ac:dyDescent="0.35">
      <c r="B38" s="9" t="s">
        <v>40</v>
      </c>
      <c r="C38" s="47"/>
      <c r="D38" s="47"/>
      <c r="G38" s="9" t="s">
        <v>41</v>
      </c>
      <c r="H38" s="48" t="s">
        <v>67</v>
      </c>
      <c r="I38" s="48"/>
      <c r="J38" s="48"/>
    </row>
    <row r="70" spans="1:17" s="2" customFormat="1" hidden="1" x14ac:dyDescent="0.35">
      <c r="A70" t="s">
        <v>0</v>
      </c>
      <c r="B70" s="3"/>
      <c r="L70" s="3"/>
      <c r="M70" s="3"/>
      <c r="N70"/>
      <c r="O70" s="3"/>
      <c r="P70"/>
      <c r="Q70" s="3"/>
    </row>
    <row r="71" spans="1:17" s="2" customFormat="1" hidden="1" x14ac:dyDescent="0.35">
      <c r="A71" t="s">
        <v>2</v>
      </c>
      <c r="B71" s="3"/>
      <c r="L71" s="3"/>
      <c r="M71" s="3"/>
      <c r="N71"/>
      <c r="O71" s="3"/>
      <c r="P71"/>
      <c r="Q71" s="3"/>
    </row>
    <row r="72" spans="1:17" s="2" customFormat="1" hidden="1" x14ac:dyDescent="0.35">
      <c r="A72" t="s">
        <v>6</v>
      </c>
      <c r="B72" s="3"/>
      <c r="L72" s="3"/>
      <c r="M72" s="3"/>
      <c r="N72"/>
      <c r="O72" s="3"/>
      <c r="P72"/>
      <c r="Q72" s="3"/>
    </row>
    <row r="73" spans="1:17" s="2" customFormat="1" hidden="1" x14ac:dyDescent="0.35">
      <c r="A73" t="s">
        <v>8</v>
      </c>
      <c r="B73" s="11"/>
      <c r="L73" s="3"/>
      <c r="M73" s="3"/>
      <c r="N73"/>
      <c r="O73" s="3"/>
      <c r="P73"/>
      <c r="Q73" s="3"/>
    </row>
    <row r="74" spans="1:17" s="2" customFormat="1" hidden="1" x14ac:dyDescent="0.35">
      <c r="A74" t="s">
        <v>9</v>
      </c>
      <c r="B74" s="3"/>
      <c r="L74" s="3"/>
      <c r="M74" s="3"/>
      <c r="N74"/>
      <c r="O74" s="3"/>
      <c r="P74"/>
      <c r="Q74" s="3"/>
    </row>
    <row r="75" spans="1:17" s="2" customFormat="1" hidden="1" x14ac:dyDescent="0.35">
      <c r="A75" t="s">
        <v>10</v>
      </c>
      <c r="B75" s="11"/>
      <c r="L75" s="3"/>
      <c r="M75" s="3"/>
      <c r="N75"/>
      <c r="O75" s="3"/>
      <c r="P75"/>
      <c r="Q75" s="3"/>
    </row>
    <row r="76" spans="1:17" s="2" customFormat="1" hidden="1" x14ac:dyDescent="0.35">
      <c r="A76" t="s">
        <v>11</v>
      </c>
      <c r="B76" s="11"/>
      <c r="L76" s="3"/>
      <c r="M76" s="3"/>
      <c r="N76"/>
      <c r="O76" s="3"/>
      <c r="P76"/>
      <c r="Q76" s="3"/>
    </row>
    <row r="77" spans="1:17" s="2" customFormat="1" hidden="1" x14ac:dyDescent="0.35">
      <c r="A77" t="s">
        <v>13</v>
      </c>
      <c r="B77" s="11"/>
      <c r="L77" s="3"/>
      <c r="M77" s="3"/>
      <c r="N77"/>
      <c r="O77" s="3"/>
      <c r="P77"/>
      <c r="Q77" s="3"/>
    </row>
    <row r="78" spans="1:17" s="2" customFormat="1" hidden="1" x14ac:dyDescent="0.35">
      <c r="A78" t="s">
        <v>14</v>
      </c>
      <c r="B78" s="11"/>
      <c r="L78" s="3"/>
      <c r="M78" s="3"/>
      <c r="N78"/>
      <c r="O78" s="3"/>
      <c r="P78"/>
      <c r="Q78" s="3"/>
    </row>
    <row r="79" spans="1:17" s="2" customFormat="1" hidden="1" x14ac:dyDescent="0.35">
      <c r="A79" t="s">
        <v>16</v>
      </c>
      <c r="B79" s="11"/>
      <c r="L79" s="3"/>
      <c r="M79" s="3"/>
      <c r="N79"/>
      <c r="O79" s="3"/>
      <c r="P79"/>
      <c r="Q79" s="3"/>
    </row>
    <row r="80" spans="1:17" s="2" customFormat="1" hidden="1" x14ac:dyDescent="0.35">
      <c r="A80" t="s">
        <v>17</v>
      </c>
      <c r="B80" s="3"/>
      <c r="L80" s="3"/>
      <c r="M80" s="3"/>
      <c r="N80"/>
      <c r="O80" s="3"/>
      <c r="P80"/>
      <c r="Q80" s="3"/>
    </row>
    <row r="81" spans="1:17" s="2" customFormat="1" hidden="1" x14ac:dyDescent="0.35">
      <c r="A81" t="s">
        <v>21</v>
      </c>
      <c r="B81" s="3"/>
      <c r="L81" s="3"/>
      <c r="M81" s="3"/>
      <c r="N81"/>
      <c r="O81" s="3"/>
      <c r="P81"/>
      <c r="Q81" s="3"/>
    </row>
    <row r="82" spans="1:17" s="2" customFormat="1" hidden="1" x14ac:dyDescent="0.35">
      <c r="A82" t="s">
        <v>31</v>
      </c>
      <c r="B82" s="3"/>
      <c r="L82" s="3"/>
      <c r="M82" s="3"/>
      <c r="N82"/>
      <c r="O82" s="3"/>
      <c r="P82"/>
      <c r="Q82" s="3"/>
    </row>
  </sheetData>
  <sheetProtection formatCells="0" formatColumns="0" formatRows="0" insertColumns="0" insertRows="0" insertHyperlinks="0" deleteColumns="0" deleteRows="0" sort="0" autoFilter="0" pivotTables="0"/>
  <mergeCells count="22">
    <mergeCell ref="B7:C7"/>
    <mergeCell ref="B2:K2"/>
    <mergeCell ref="B3:D3"/>
    <mergeCell ref="E3:H3"/>
    <mergeCell ref="I3:K3"/>
    <mergeCell ref="B5:C5"/>
    <mergeCell ref="B9:C9"/>
    <mergeCell ref="B11:G11"/>
    <mergeCell ref="H11:I11"/>
    <mergeCell ref="J11:K11"/>
    <mergeCell ref="G21:I21"/>
    <mergeCell ref="J21:K21"/>
    <mergeCell ref="B37:D37"/>
    <mergeCell ref="G37:J37"/>
    <mergeCell ref="C38:D38"/>
    <mergeCell ref="H38:J38"/>
    <mergeCell ref="B24:C24"/>
    <mergeCell ref="D24:K24"/>
    <mergeCell ref="B25:K26"/>
    <mergeCell ref="D28:K29"/>
    <mergeCell ref="B30:K31"/>
    <mergeCell ref="D33:K34"/>
  </mergeCells>
  <conditionalFormatting sqref="G22">
    <cfRule type="cellIs" dxfId="1" priority="2" operator="greaterThan">
      <formula>350</formula>
    </cfRule>
  </conditionalFormatting>
  <dataValidations count="4">
    <dataValidation type="whole" allowBlank="1" showInputMessage="1" showErrorMessage="1" errorTitle="¡Error!" error="Introduzca un número válido." promptTitle="¡Atención!" prompt="Introduzca un número entre 0 y 30" sqref="H13:H20">
      <formula1>0</formula1>
      <formula2>30</formula2>
    </dataValidation>
    <dataValidation type="whole" allowBlank="1" showInputMessage="1" showErrorMessage="1" errorTitle="¡Error!" error="Introduzca un número válido." promptTitle="¡Atención!" prompt="Introduzca un número entre 0 y 366" sqref="G22 G13:G20">
      <formula1>0</formula1>
      <formula2>366</formula2>
    </dataValidation>
    <dataValidation type="list" allowBlank="1" showInputMessage="1" showErrorMessage="1" sqref="E7:F8 D8">
      <formula1>#REF!</formula1>
    </dataValidation>
    <dataValidation type="list" allowBlank="1" showInputMessage="1" showErrorMessage="1" sqref="D7">
      <formula1>$A$71:$A$82</formula1>
    </dataValidation>
  </dataValidations>
  <pageMargins left="0.7" right="0.7" top="0.75" bottom="0.75" header="0.3" footer="0.3"/>
  <pageSetup scale="38" orientation="portrait" r:id="rId1"/>
  <ignoredErrors>
    <ignoredError sqref="I22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2"/>
  <sheetViews>
    <sheetView showGridLines="0" tabSelected="1" view="pageBreakPreview" zoomScaleNormal="100" zoomScaleSheetLayoutView="100" workbookViewId="0">
      <selection activeCell="B2" sqref="B2:K2"/>
    </sheetView>
  </sheetViews>
  <sheetFormatPr baseColWidth="10" defaultColWidth="8.6328125" defaultRowHeight="14.5" x14ac:dyDescent="0.35"/>
  <cols>
    <col min="1" max="1" width="4.453125" style="3" customWidth="1"/>
    <col min="2" max="2" width="10.36328125" style="2" customWidth="1"/>
    <col min="3" max="3" width="8.54296875" style="2" bestFit="1" customWidth="1"/>
    <col min="4" max="4" width="43.36328125" style="2" customWidth="1"/>
    <col min="5" max="5" width="14.08984375" style="2" bestFit="1" customWidth="1"/>
    <col min="6" max="6" width="13.453125" style="2" customWidth="1"/>
    <col min="7" max="7" width="13.6328125" style="2" customWidth="1"/>
    <col min="8" max="8" width="13.453125" style="2" customWidth="1"/>
    <col min="9" max="9" width="10.453125" style="2" customWidth="1"/>
    <col min="10" max="10" width="12.453125" style="2" customWidth="1"/>
    <col min="11" max="11" width="12.36328125" style="2" customWidth="1"/>
    <col min="12" max="12" width="6.6328125" style="3" customWidth="1"/>
    <col min="13" max="13" width="16.453125" style="3" customWidth="1"/>
    <col min="15" max="15" width="16.453125" style="3" customWidth="1"/>
    <col min="16" max="16" width="0" hidden="1" customWidth="1"/>
    <col min="17" max="17" width="16.453125" style="3" customWidth="1"/>
    <col min="18" max="16384" width="8.6328125" style="3"/>
  </cols>
  <sheetData>
    <row r="1" spans="2:16" x14ac:dyDescent="0.35">
      <c r="P1" t="s">
        <v>0</v>
      </c>
    </row>
    <row r="2" spans="2:16" ht="49.5" customHeight="1" x14ac:dyDescent="0.35">
      <c r="B2" s="63" t="s">
        <v>1</v>
      </c>
      <c r="C2" s="63"/>
      <c r="D2" s="63"/>
      <c r="E2" s="63"/>
      <c r="F2" s="63"/>
      <c r="G2" s="63"/>
      <c r="H2" s="63"/>
      <c r="I2" s="63"/>
      <c r="J2" s="63"/>
      <c r="K2" s="63"/>
      <c r="P2" t="s">
        <v>2</v>
      </c>
    </row>
    <row r="3" spans="2:16" ht="18.75" customHeight="1" x14ac:dyDescent="0.35">
      <c r="B3" s="64" t="s">
        <v>3</v>
      </c>
      <c r="C3" s="65"/>
      <c r="D3" s="65"/>
      <c r="E3" s="65" t="s">
        <v>4</v>
      </c>
      <c r="F3" s="65"/>
      <c r="G3" s="65"/>
      <c r="H3" s="65"/>
      <c r="I3" s="65" t="s">
        <v>5</v>
      </c>
      <c r="J3" s="65"/>
      <c r="K3" s="66"/>
    </row>
    <row r="4" spans="2:16" x14ac:dyDescent="0.35">
      <c r="B4" s="4"/>
      <c r="C4" s="5"/>
      <c r="K4" s="6"/>
      <c r="P4" t="s">
        <v>6</v>
      </c>
    </row>
    <row r="5" spans="2:16" s="11" customFormat="1" ht="27.65" customHeight="1" x14ac:dyDescent="0.35">
      <c r="B5" s="61" t="s">
        <v>7</v>
      </c>
      <c r="C5" s="61"/>
      <c r="D5" s="7">
        <v>1661981</v>
      </c>
      <c r="E5" s="8"/>
      <c r="F5" s="8"/>
      <c r="G5" s="9"/>
      <c r="H5" s="9"/>
      <c r="I5" s="9"/>
      <c r="J5" s="9"/>
      <c r="K5" s="10"/>
      <c r="N5"/>
      <c r="P5" t="s">
        <v>8</v>
      </c>
    </row>
    <row r="6" spans="2:16" s="11" customFormat="1" x14ac:dyDescent="0.35">
      <c r="B6" s="12"/>
      <c r="C6" s="9"/>
      <c r="D6" s="9"/>
      <c r="E6" s="9"/>
      <c r="F6" s="9"/>
      <c r="G6" s="9"/>
      <c r="H6" s="9"/>
      <c r="I6" s="9"/>
      <c r="J6" s="9"/>
      <c r="K6" s="10"/>
      <c r="N6"/>
      <c r="P6" t="s">
        <v>11</v>
      </c>
    </row>
    <row r="7" spans="2:16" s="11" customFormat="1" x14ac:dyDescent="0.35">
      <c r="B7" s="61" t="s">
        <v>12</v>
      </c>
      <c r="C7" s="61"/>
      <c r="D7" s="13" t="s">
        <v>6</v>
      </c>
      <c r="E7" s="14"/>
      <c r="F7" s="14"/>
      <c r="G7" s="9"/>
      <c r="H7" s="9"/>
      <c r="I7" s="9"/>
      <c r="J7" s="9"/>
      <c r="K7" s="10"/>
      <c r="N7"/>
      <c r="P7" t="s">
        <v>13</v>
      </c>
    </row>
    <row r="8" spans="2:16" s="11" customFormat="1" x14ac:dyDescent="0.35">
      <c r="B8" s="15"/>
      <c r="C8" s="16"/>
      <c r="D8" s="14"/>
      <c r="E8" s="14"/>
      <c r="F8" s="14"/>
      <c r="G8" s="9"/>
      <c r="H8" s="9"/>
      <c r="I8" s="9"/>
      <c r="J8" s="9"/>
      <c r="K8" s="10"/>
      <c r="N8"/>
      <c r="P8" t="s">
        <v>14</v>
      </c>
    </row>
    <row r="9" spans="2:16" s="11" customFormat="1" x14ac:dyDescent="0.35">
      <c r="B9" s="61" t="s">
        <v>15</v>
      </c>
      <c r="C9" s="61"/>
      <c r="D9" s="17">
        <v>46081</v>
      </c>
      <c r="E9" s="18"/>
      <c r="F9" s="18"/>
      <c r="G9" s="9"/>
      <c r="H9" s="9"/>
      <c r="I9" s="9"/>
      <c r="J9" s="9"/>
      <c r="K9" s="10"/>
      <c r="N9"/>
      <c r="P9" t="s">
        <v>16</v>
      </c>
    </row>
    <row r="10" spans="2:16" x14ac:dyDescent="0.35">
      <c r="B10" s="19"/>
      <c r="C10" s="20"/>
      <c r="K10" s="21"/>
      <c r="P10" t="s">
        <v>17</v>
      </c>
    </row>
    <row r="11" spans="2:16" ht="26.9" customHeight="1" x14ac:dyDescent="0.35">
      <c r="B11" s="49" t="s">
        <v>18</v>
      </c>
      <c r="C11" s="49"/>
      <c r="D11" s="49"/>
      <c r="E11" s="49"/>
      <c r="F11" s="49"/>
      <c r="G11" s="49"/>
      <c r="H11" s="61" t="s">
        <v>19</v>
      </c>
      <c r="I11" s="61"/>
      <c r="J11" s="61" t="s">
        <v>20</v>
      </c>
      <c r="K11" s="61"/>
      <c r="P11" t="s">
        <v>21</v>
      </c>
    </row>
    <row r="12" spans="2:16" ht="57.65" customHeight="1" x14ac:dyDescent="0.35">
      <c r="B12" s="22" t="s">
        <v>22</v>
      </c>
      <c r="C12" s="22" t="s">
        <v>23</v>
      </c>
      <c r="D12" s="22" t="s">
        <v>24</v>
      </c>
      <c r="E12" s="22" t="s">
        <v>25</v>
      </c>
      <c r="F12" s="22" t="s">
        <v>26</v>
      </c>
      <c r="G12" s="22" t="s">
        <v>27</v>
      </c>
      <c r="H12" s="22" t="s">
        <v>28</v>
      </c>
      <c r="I12" s="22" t="s">
        <v>29</v>
      </c>
      <c r="J12" s="22" t="s">
        <v>30</v>
      </c>
      <c r="K12" s="22" t="s">
        <v>29</v>
      </c>
      <c r="P12" t="s">
        <v>31</v>
      </c>
    </row>
    <row r="13" spans="2:16" x14ac:dyDescent="0.35">
      <c r="B13" s="23">
        <v>3</v>
      </c>
      <c r="C13" s="23" t="s">
        <v>43</v>
      </c>
      <c r="D13" s="24" t="s">
        <v>44</v>
      </c>
      <c r="E13" s="45" t="s">
        <v>63</v>
      </c>
      <c r="F13" s="23" t="s">
        <v>42</v>
      </c>
      <c r="G13" s="25">
        <v>105</v>
      </c>
      <c r="H13" s="25">
        <v>11</v>
      </c>
      <c r="I13" s="26">
        <f>IFERROR(H13/G13,0)</f>
        <v>0.10476190476190476</v>
      </c>
      <c r="J13" s="25">
        <f>+H13+ENERO!J13</f>
        <v>21</v>
      </c>
      <c r="K13" s="26">
        <f>IFERROR(J13/G13,0)</f>
        <v>0.2</v>
      </c>
    </row>
    <row r="14" spans="2:16" x14ac:dyDescent="0.35">
      <c r="B14" s="27">
        <v>3</v>
      </c>
      <c r="C14" s="27" t="s">
        <v>45</v>
      </c>
      <c r="D14" s="28" t="s">
        <v>46</v>
      </c>
      <c r="E14" s="28" t="s">
        <v>62</v>
      </c>
      <c r="F14" s="29" t="s">
        <v>62</v>
      </c>
      <c r="G14" s="30">
        <v>5</v>
      </c>
      <c r="H14" s="30">
        <v>0</v>
      </c>
      <c r="I14" s="31">
        <f t="shared" ref="I14:I20" si="0">IFERROR(H14/G14,0)</f>
        <v>0</v>
      </c>
      <c r="J14" s="30">
        <f>+H14+ENERO!J14</f>
        <v>0</v>
      </c>
      <c r="K14" s="31">
        <f>IFERROR(J14/G14,0)</f>
        <v>0</v>
      </c>
    </row>
    <row r="15" spans="2:16" x14ac:dyDescent="0.35">
      <c r="B15" s="27">
        <v>3</v>
      </c>
      <c r="C15" s="27" t="s">
        <v>47</v>
      </c>
      <c r="D15" s="28" t="s">
        <v>48</v>
      </c>
      <c r="E15" s="28" t="s">
        <v>62</v>
      </c>
      <c r="F15" s="29" t="s">
        <v>62</v>
      </c>
      <c r="G15" s="30">
        <v>7</v>
      </c>
      <c r="H15" s="30">
        <v>0</v>
      </c>
      <c r="I15" s="31">
        <f t="shared" si="0"/>
        <v>0</v>
      </c>
      <c r="J15" s="30">
        <f>+H15+ENERO!J15</f>
        <v>0</v>
      </c>
      <c r="K15" s="31">
        <f t="shared" ref="K15:K20" si="1">IFERROR(J15/G15,0)</f>
        <v>0</v>
      </c>
    </row>
    <row r="16" spans="2:16" x14ac:dyDescent="0.35">
      <c r="B16" s="27">
        <v>3</v>
      </c>
      <c r="C16" s="27" t="s">
        <v>49</v>
      </c>
      <c r="D16" s="28" t="s">
        <v>50</v>
      </c>
      <c r="E16" s="28" t="s">
        <v>51</v>
      </c>
      <c r="F16" s="29" t="s">
        <v>42</v>
      </c>
      <c r="G16" s="30">
        <v>45</v>
      </c>
      <c r="H16" s="30">
        <v>5</v>
      </c>
      <c r="I16" s="31">
        <f t="shared" si="0"/>
        <v>0.1111111111111111</v>
      </c>
      <c r="J16" s="30">
        <f>+H16+ENERO!J16</f>
        <v>7</v>
      </c>
      <c r="K16" s="31">
        <f t="shared" si="1"/>
        <v>0.15555555555555556</v>
      </c>
    </row>
    <row r="17" spans="1:16" x14ac:dyDescent="0.35">
      <c r="B17" s="27">
        <v>3</v>
      </c>
      <c r="C17" s="27" t="s">
        <v>52</v>
      </c>
      <c r="D17" s="28" t="s">
        <v>53</v>
      </c>
      <c r="E17" s="28" t="s">
        <v>64</v>
      </c>
      <c r="F17" s="29" t="s">
        <v>42</v>
      </c>
      <c r="G17" s="30">
        <v>10</v>
      </c>
      <c r="H17" s="30">
        <v>2</v>
      </c>
      <c r="I17" s="31">
        <f t="shared" si="0"/>
        <v>0.2</v>
      </c>
      <c r="J17" s="30">
        <f>+H17+ENERO!J17</f>
        <v>2</v>
      </c>
      <c r="K17" s="31">
        <f t="shared" si="1"/>
        <v>0.2</v>
      </c>
    </row>
    <row r="18" spans="1:16" x14ac:dyDescent="0.35">
      <c r="B18" s="27">
        <v>3</v>
      </c>
      <c r="C18" s="27" t="s">
        <v>54</v>
      </c>
      <c r="D18" s="28" t="s">
        <v>55</v>
      </c>
      <c r="E18" s="28" t="s">
        <v>62</v>
      </c>
      <c r="F18" s="29" t="s">
        <v>62</v>
      </c>
      <c r="G18" s="30">
        <v>10</v>
      </c>
      <c r="H18" s="30">
        <v>0</v>
      </c>
      <c r="I18" s="31">
        <f t="shared" si="0"/>
        <v>0</v>
      </c>
      <c r="J18" s="30">
        <f>+H18+ENERO!J18</f>
        <v>0</v>
      </c>
      <c r="K18" s="31">
        <f t="shared" si="1"/>
        <v>0</v>
      </c>
    </row>
    <row r="19" spans="1:16" x14ac:dyDescent="0.35">
      <c r="B19" s="27">
        <v>3</v>
      </c>
      <c r="C19" s="27" t="s">
        <v>56</v>
      </c>
      <c r="D19" s="28" t="s">
        <v>57</v>
      </c>
      <c r="E19" s="28" t="s">
        <v>65</v>
      </c>
      <c r="F19" s="29" t="s">
        <v>42</v>
      </c>
      <c r="G19" s="30">
        <v>10</v>
      </c>
      <c r="H19" s="30">
        <v>2</v>
      </c>
      <c r="I19" s="31">
        <f t="shared" si="0"/>
        <v>0.2</v>
      </c>
      <c r="J19" s="30">
        <f>+H19+ENERO!J19</f>
        <v>2</v>
      </c>
      <c r="K19" s="31">
        <f t="shared" si="1"/>
        <v>0.2</v>
      </c>
    </row>
    <row r="20" spans="1:16" x14ac:dyDescent="0.35">
      <c r="B20" s="32">
        <v>3</v>
      </c>
      <c r="C20" s="32" t="s">
        <v>58</v>
      </c>
      <c r="D20" s="33" t="s">
        <v>59</v>
      </c>
      <c r="E20" s="33" t="s">
        <v>66</v>
      </c>
      <c r="F20" s="34" t="s">
        <v>42</v>
      </c>
      <c r="G20" s="35">
        <v>30</v>
      </c>
      <c r="H20" s="35">
        <v>10</v>
      </c>
      <c r="I20" s="36">
        <f t="shared" si="0"/>
        <v>0.33333333333333331</v>
      </c>
      <c r="J20" s="35">
        <f>+H20+ENERO!J20</f>
        <v>10</v>
      </c>
      <c r="K20" s="36">
        <f t="shared" si="1"/>
        <v>0.33333333333333331</v>
      </c>
    </row>
    <row r="21" spans="1:16" x14ac:dyDescent="0.35">
      <c r="B21" s="9"/>
      <c r="C21" s="9"/>
      <c r="D21" s="9"/>
      <c r="E21" s="9"/>
      <c r="F21" s="16"/>
      <c r="G21" s="62" t="str">
        <f>+CONCATENATE("TOTAL A ",D7)</f>
        <v>TOTAL A FEBRERO</v>
      </c>
      <c r="H21" s="62"/>
      <c r="I21" s="62"/>
      <c r="J21" s="62" t="s">
        <v>32</v>
      </c>
      <c r="K21" s="62"/>
    </row>
    <row r="22" spans="1:16" s="11" customFormat="1" ht="16.5" customHeight="1" x14ac:dyDescent="0.35">
      <c r="B22" s="9"/>
      <c r="C22" s="9"/>
      <c r="G22" s="37">
        <f>+SUM(G13:G20)</f>
        <v>222</v>
      </c>
      <c r="H22" s="37">
        <f>+SUM(H13:H20)</f>
        <v>30</v>
      </c>
      <c r="I22" s="1">
        <f>IFERROR(H22/G22,0)</f>
        <v>0.13513513513513514</v>
      </c>
      <c r="J22" s="38">
        <f>+SUM(J13:J20)</f>
        <v>42</v>
      </c>
      <c r="K22" s="1">
        <f>IFERROR(J22/G22,0)</f>
        <v>0.1891891891891892</v>
      </c>
      <c r="N22"/>
      <c r="P22"/>
    </row>
    <row r="24" spans="1:16" ht="26" customHeight="1" x14ac:dyDescent="0.35">
      <c r="B24" s="49" t="s">
        <v>33</v>
      </c>
      <c r="C24" s="49"/>
      <c r="D24" s="67" t="s">
        <v>68</v>
      </c>
      <c r="E24" s="68"/>
      <c r="F24" s="68"/>
      <c r="G24" s="68"/>
      <c r="H24" s="68"/>
      <c r="I24" s="68"/>
      <c r="J24" s="68"/>
      <c r="K24" s="68"/>
    </row>
    <row r="25" spans="1:16" customFormat="1" ht="14.4" customHeight="1" x14ac:dyDescent="0.35">
      <c r="A25" s="39"/>
      <c r="B25" s="53" t="s">
        <v>35</v>
      </c>
      <c r="C25" s="54"/>
      <c r="D25" s="54"/>
      <c r="E25" s="54"/>
      <c r="F25" s="54"/>
      <c r="G25" s="54"/>
      <c r="H25" s="54"/>
      <c r="I25" s="54"/>
      <c r="J25" s="54"/>
      <c r="K25" s="55"/>
    </row>
    <row r="26" spans="1:16" customFormat="1" ht="20" customHeight="1" x14ac:dyDescent="0.35">
      <c r="A26" s="3"/>
      <c r="B26" s="56"/>
      <c r="C26" s="57"/>
      <c r="D26" s="57"/>
      <c r="E26" s="57"/>
      <c r="F26" s="57"/>
      <c r="G26" s="57"/>
      <c r="H26" s="57"/>
      <c r="I26" s="57"/>
      <c r="J26" s="57"/>
      <c r="K26" s="58"/>
    </row>
    <row r="27" spans="1:16" ht="19.399999999999999" customHeight="1" x14ac:dyDescent="0.35">
      <c r="B27" s="40" t="s">
        <v>36</v>
      </c>
      <c r="C27" s="41"/>
      <c r="D27" s="41"/>
      <c r="E27" s="41"/>
      <c r="F27" s="41"/>
      <c r="G27" s="41"/>
      <c r="H27" s="41"/>
      <c r="I27" s="41"/>
      <c r="J27" s="41"/>
      <c r="K27" s="42"/>
    </row>
    <row r="28" spans="1:16" ht="20.149999999999999" customHeight="1" x14ac:dyDescent="0.45">
      <c r="B28" s="43" t="s">
        <v>37</v>
      </c>
      <c r="C28" s="44"/>
      <c r="D28" s="59" t="s">
        <v>34</v>
      </c>
      <c r="E28" s="59"/>
      <c r="F28" s="59"/>
      <c r="G28" s="59"/>
      <c r="H28" s="59"/>
      <c r="I28" s="59"/>
      <c r="J28" s="59"/>
      <c r="K28" s="59"/>
    </row>
    <row r="29" spans="1:16" ht="20.149999999999999" customHeight="1" x14ac:dyDescent="0.45">
      <c r="B29" s="43" t="s">
        <v>38</v>
      </c>
      <c r="C29" s="44"/>
      <c r="D29" s="59"/>
      <c r="E29" s="59"/>
      <c r="F29" s="59"/>
      <c r="G29" s="59"/>
      <c r="H29" s="59"/>
      <c r="I29" s="59"/>
      <c r="J29" s="59"/>
      <c r="K29" s="59"/>
    </row>
    <row r="30" spans="1:16" x14ac:dyDescent="0.35">
      <c r="B30" s="60" t="s">
        <v>35</v>
      </c>
      <c r="C30" s="60"/>
      <c r="D30" s="60"/>
      <c r="E30" s="60"/>
      <c r="F30" s="60"/>
      <c r="G30" s="60"/>
      <c r="H30" s="60"/>
      <c r="I30" s="60"/>
      <c r="J30" s="60"/>
      <c r="K30" s="60"/>
    </row>
    <row r="31" spans="1:16" ht="15" customHeight="1" x14ac:dyDescent="0.35">
      <c r="B31" s="60"/>
      <c r="C31" s="60"/>
      <c r="D31" s="60"/>
      <c r="E31" s="60"/>
      <c r="F31" s="60"/>
      <c r="G31" s="60"/>
      <c r="H31" s="60"/>
      <c r="I31" s="60"/>
      <c r="J31" s="60"/>
      <c r="K31" s="60"/>
    </row>
    <row r="32" spans="1:16" x14ac:dyDescent="0.35">
      <c r="B32" s="40" t="s">
        <v>39</v>
      </c>
      <c r="C32" s="41"/>
      <c r="D32" s="41"/>
      <c r="E32" s="41"/>
      <c r="F32" s="41"/>
      <c r="G32" s="41"/>
      <c r="H32" s="41"/>
      <c r="I32" s="41"/>
      <c r="J32" s="41"/>
      <c r="K32" s="42"/>
    </row>
    <row r="33" spans="2:11" ht="20.149999999999999" customHeight="1" x14ac:dyDescent="0.45">
      <c r="B33" s="43" t="s">
        <v>37</v>
      </c>
      <c r="C33" s="44"/>
      <c r="D33" s="59" t="s">
        <v>34</v>
      </c>
      <c r="E33" s="59"/>
      <c r="F33" s="59"/>
      <c r="G33" s="59"/>
      <c r="H33" s="59"/>
      <c r="I33" s="59"/>
      <c r="J33" s="59"/>
      <c r="K33" s="59"/>
    </row>
    <row r="34" spans="2:11" ht="20.149999999999999" customHeight="1" x14ac:dyDescent="0.45">
      <c r="B34" s="43" t="s">
        <v>38</v>
      </c>
      <c r="C34" s="44"/>
      <c r="D34" s="59"/>
      <c r="E34" s="59"/>
      <c r="F34" s="59"/>
      <c r="G34" s="59"/>
      <c r="H34" s="59"/>
      <c r="I34" s="59"/>
      <c r="J34" s="59"/>
      <c r="K34" s="59"/>
    </row>
    <row r="37" spans="2:11" ht="19.5" customHeight="1" x14ac:dyDescent="0.35">
      <c r="B37" s="46"/>
      <c r="C37" s="46"/>
      <c r="D37" s="46"/>
      <c r="G37" s="46"/>
      <c r="H37" s="46"/>
      <c r="I37" s="46"/>
      <c r="J37" s="46"/>
    </row>
    <row r="38" spans="2:11" ht="23.9" customHeight="1" x14ac:dyDescent="0.35">
      <c r="B38" s="9" t="s">
        <v>40</v>
      </c>
      <c r="C38" s="47"/>
      <c r="D38" s="47"/>
      <c r="G38" s="9" t="s">
        <v>41</v>
      </c>
      <c r="H38" s="48" t="s">
        <v>67</v>
      </c>
      <c r="I38" s="48"/>
      <c r="J38" s="48"/>
    </row>
    <row r="70" spans="1:17" s="2" customFormat="1" hidden="1" x14ac:dyDescent="0.35">
      <c r="A70" t="s">
        <v>0</v>
      </c>
      <c r="B70" s="3"/>
      <c r="L70" s="3"/>
      <c r="M70" s="3"/>
      <c r="N70"/>
      <c r="O70" s="3"/>
      <c r="P70"/>
      <c r="Q70" s="3"/>
    </row>
    <row r="71" spans="1:17" s="2" customFormat="1" hidden="1" x14ac:dyDescent="0.35">
      <c r="A71" t="s">
        <v>2</v>
      </c>
      <c r="B71" s="3"/>
      <c r="L71" s="3"/>
      <c r="M71" s="3"/>
      <c r="N71"/>
      <c r="O71" s="3"/>
      <c r="P71"/>
      <c r="Q71" s="3"/>
    </row>
    <row r="72" spans="1:17" s="2" customFormat="1" hidden="1" x14ac:dyDescent="0.35">
      <c r="A72" t="s">
        <v>6</v>
      </c>
      <c r="B72" s="3"/>
      <c r="L72" s="3"/>
      <c r="M72" s="3"/>
      <c r="N72"/>
      <c r="O72" s="3"/>
      <c r="P72"/>
      <c r="Q72" s="3"/>
    </row>
    <row r="73" spans="1:17" s="2" customFormat="1" hidden="1" x14ac:dyDescent="0.35">
      <c r="A73" t="s">
        <v>8</v>
      </c>
      <c r="B73" s="11"/>
      <c r="L73" s="3"/>
      <c r="M73" s="3"/>
      <c r="N73"/>
      <c r="O73" s="3"/>
      <c r="P73"/>
      <c r="Q73" s="3"/>
    </row>
    <row r="74" spans="1:17" s="2" customFormat="1" hidden="1" x14ac:dyDescent="0.35">
      <c r="A74" t="s">
        <v>9</v>
      </c>
      <c r="B74" s="3"/>
      <c r="L74" s="3"/>
      <c r="M74" s="3"/>
      <c r="N74"/>
      <c r="O74" s="3"/>
      <c r="P74"/>
      <c r="Q74" s="3"/>
    </row>
    <row r="75" spans="1:17" s="2" customFormat="1" hidden="1" x14ac:dyDescent="0.35">
      <c r="A75" t="s">
        <v>10</v>
      </c>
      <c r="B75" s="11"/>
      <c r="L75" s="3"/>
      <c r="M75" s="3"/>
      <c r="N75"/>
      <c r="O75" s="3"/>
      <c r="P75"/>
      <c r="Q75" s="3"/>
    </row>
    <row r="76" spans="1:17" s="2" customFormat="1" hidden="1" x14ac:dyDescent="0.35">
      <c r="A76" t="s">
        <v>11</v>
      </c>
      <c r="B76" s="11"/>
      <c r="L76" s="3"/>
      <c r="M76" s="3"/>
      <c r="N76"/>
      <c r="O76" s="3"/>
      <c r="P76"/>
      <c r="Q76" s="3"/>
    </row>
    <row r="77" spans="1:17" s="2" customFormat="1" hidden="1" x14ac:dyDescent="0.35">
      <c r="A77" t="s">
        <v>13</v>
      </c>
      <c r="B77" s="11"/>
      <c r="L77" s="3"/>
      <c r="M77" s="3"/>
      <c r="N77"/>
      <c r="O77" s="3"/>
      <c r="P77"/>
      <c r="Q77" s="3"/>
    </row>
    <row r="78" spans="1:17" s="2" customFormat="1" hidden="1" x14ac:dyDescent="0.35">
      <c r="A78" t="s">
        <v>14</v>
      </c>
      <c r="B78" s="11"/>
      <c r="L78" s="3"/>
      <c r="M78" s="3"/>
      <c r="N78"/>
      <c r="O78" s="3"/>
      <c r="P78"/>
      <c r="Q78" s="3"/>
    </row>
    <row r="79" spans="1:17" s="2" customFormat="1" hidden="1" x14ac:dyDescent="0.35">
      <c r="A79" t="s">
        <v>16</v>
      </c>
      <c r="B79" s="11"/>
      <c r="L79" s="3"/>
      <c r="M79" s="3"/>
      <c r="N79"/>
      <c r="O79" s="3"/>
      <c r="P79"/>
      <c r="Q79" s="3"/>
    </row>
    <row r="80" spans="1:17" s="2" customFormat="1" hidden="1" x14ac:dyDescent="0.35">
      <c r="A80" t="s">
        <v>17</v>
      </c>
      <c r="B80" s="3"/>
      <c r="L80" s="3"/>
      <c r="M80" s="3"/>
      <c r="N80"/>
      <c r="O80" s="3"/>
      <c r="P80"/>
      <c r="Q80" s="3"/>
    </row>
    <row r="81" spans="1:17" s="2" customFormat="1" hidden="1" x14ac:dyDescent="0.35">
      <c r="A81" t="s">
        <v>21</v>
      </c>
      <c r="B81" s="3"/>
      <c r="L81" s="3"/>
      <c r="M81" s="3"/>
      <c r="N81"/>
      <c r="O81" s="3"/>
      <c r="P81"/>
      <c r="Q81" s="3"/>
    </row>
    <row r="82" spans="1:17" s="2" customFormat="1" hidden="1" x14ac:dyDescent="0.35">
      <c r="A82" t="s">
        <v>31</v>
      </c>
      <c r="B82" s="3"/>
      <c r="L82" s="3"/>
      <c r="M82" s="3"/>
      <c r="N82"/>
      <c r="O82" s="3"/>
      <c r="P82"/>
      <c r="Q82" s="3"/>
    </row>
  </sheetData>
  <sheetProtection formatCells="0" formatColumns="0" formatRows="0" insertColumns="0" insertRows="0" insertHyperlinks="0" deleteColumns="0" deleteRows="0" sort="0" autoFilter="0" pivotTables="0"/>
  <mergeCells count="22">
    <mergeCell ref="B7:C7"/>
    <mergeCell ref="D24:K24"/>
    <mergeCell ref="B2:K2"/>
    <mergeCell ref="B3:D3"/>
    <mergeCell ref="E3:H3"/>
    <mergeCell ref="I3:K3"/>
    <mergeCell ref="B5:C5"/>
    <mergeCell ref="B9:C9"/>
    <mergeCell ref="B11:G11"/>
    <mergeCell ref="H11:I11"/>
    <mergeCell ref="J11:K11"/>
    <mergeCell ref="G21:I21"/>
    <mergeCell ref="J21:K21"/>
    <mergeCell ref="B37:D37"/>
    <mergeCell ref="G37:J37"/>
    <mergeCell ref="C38:D38"/>
    <mergeCell ref="H38:J38"/>
    <mergeCell ref="B24:C24"/>
    <mergeCell ref="B25:K26"/>
    <mergeCell ref="D28:K29"/>
    <mergeCell ref="B30:K31"/>
    <mergeCell ref="D33:K34"/>
  </mergeCells>
  <conditionalFormatting sqref="G22">
    <cfRule type="cellIs" dxfId="0" priority="1" operator="greaterThan">
      <formula>350</formula>
    </cfRule>
  </conditionalFormatting>
  <dataValidations count="4">
    <dataValidation type="list" allowBlank="1" showInputMessage="1" showErrorMessage="1" sqref="D7">
      <formula1>$A$71:$A$82</formula1>
    </dataValidation>
    <dataValidation type="list" allowBlank="1" showInputMessage="1" showErrorMessage="1" sqref="E7:F8 D8">
      <formula1>#REF!</formula1>
    </dataValidation>
    <dataValidation type="whole" allowBlank="1" showInputMessage="1" showErrorMessage="1" errorTitle="¡Error!" error="Introduzca un número válido." promptTitle="¡Atención!" prompt="Introduzca un número entre 0 y 366" sqref="G22 G13:G20">
      <formula1>0</formula1>
      <formula2>366</formula2>
    </dataValidation>
    <dataValidation type="whole" allowBlank="1" showInputMessage="1" showErrorMessage="1" errorTitle="¡Error!" error="Introduzca un número válido." promptTitle="¡Atención!" prompt="Introduzca un número entre 0 y 30" sqref="H13:H20">
      <formula1>0</formula1>
      <formula2>30</formula2>
    </dataValidation>
  </dataValidations>
  <pageMargins left="0.7" right="0.7" top="0.75" bottom="0.75" header="0.3" footer="0.3"/>
  <pageSetup scale="3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ENERO</vt:lpstr>
      <vt:lpstr>FEBRERO</vt:lpstr>
      <vt:lpstr>ENERO!Área_de_impresión</vt:lpstr>
      <vt:lpstr>FEBRERO!Área_de_impresión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Meridian 0873</dc:creator>
  <cp:lastModifiedBy>Jose Mateo Lopez Cifuentes</cp:lastModifiedBy>
  <dcterms:created xsi:type="dcterms:W3CDTF">2024-01-10T22:00:55Z</dcterms:created>
  <dcterms:modified xsi:type="dcterms:W3CDTF">2026-03-06T19:58:04Z</dcterms:modified>
</cp:coreProperties>
</file>