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xampp\htdocs\ReportesEcopetrol\docs\Consolidados_febrero\"/>
    </mc:Choice>
  </mc:AlternateContent>
  <bookViews>
    <workbookView xWindow="0" yWindow="0" windowWidth="19200" windowHeight="6600" activeTab="1"/>
  </bookViews>
  <sheets>
    <sheet name="ENERO 2026" sheetId="28" r:id="rId1"/>
    <sheet name="FEBRERO" sheetId="29" r:id="rId2"/>
  </sheets>
  <definedNames>
    <definedName name="_xlnm._FilterDatabase" localSheetId="0" hidden="1">'ENERO 2026'!$B$12:$M$63</definedName>
    <definedName name="_xlnm._FilterDatabase" localSheetId="1" hidden="1">FEBRERO!$B$12:$M$63</definedName>
    <definedName name="_xlnm.Print_Area" localSheetId="0">'ENERO 2026'!$A$1:$N$83</definedName>
    <definedName name="_xlnm.Print_Area" localSheetId="1">FEBRERO!$A$1:$N$83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5" i="28" l="1"/>
  <c r="L25" i="28"/>
  <c r="M25" i="28"/>
  <c r="K25" i="29" l="1"/>
  <c r="L25" i="29"/>
  <c r="M25" i="29" s="1"/>
  <c r="K26" i="29"/>
  <c r="K13" i="28" l="1"/>
  <c r="K14" i="28"/>
  <c r="K15" i="28"/>
  <c r="K16" i="28"/>
  <c r="K17" i="28"/>
  <c r="K18" i="28"/>
  <c r="K19" i="28"/>
  <c r="K20" i="28"/>
  <c r="K21" i="28"/>
  <c r="J63" i="29" l="1"/>
  <c r="I63" i="29"/>
  <c r="K61" i="29"/>
  <c r="K60" i="29"/>
  <c r="K59" i="29"/>
  <c r="K58" i="29"/>
  <c r="K57" i="29"/>
  <c r="K56" i="29"/>
  <c r="K55" i="29"/>
  <c r="K54" i="29"/>
  <c r="K53" i="29"/>
  <c r="K52" i="29"/>
  <c r="K51" i="29"/>
  <c r="K50" i="29"/>
  <c r="K49" i="29"/>
  <c r="K48" i="29"/>
  <c r="K47" i="29"/>
  <c r="K46" i="29"/>
  <c r="K45" i="29"/>
  <c r="K44" i="29"/>
  <c r="K43" i="29"/>
  <c r="K42" i="29"/>
  <c r="K41" i="29"/>
  <c r="K40" i="29"/>
  <c r="K39" i="29"/>
  <c r="K38" i="29"/>
  <c r="K37" i="29"/>
  <c r="K36" i="29"/>
  <c r="K35" i="29"/>
  <c r="K34" i="29"/>
  <c r="K33" i="29"/>
  <c r="K32" i="29"/>
  <c r="K31" i="29"/>
  <c r="K30" i="29"/>
  <c r="K29" i="29"/>
  <c r="K28" i="29"/>
  <c r="K27" i="29"/>
  <c r="K24" i="29"/>
  <c r="K23" i="29"/>
  <c r="K22" i="29"/>
  <c r="K21" i="29"/>
  <c r="K20" i="29"/>
  <c r="K19" i="29"/>
  <c r="K18" i="29"/>
  <c r="K17" i="29"/>
  <c r="K16" i="29"/>
  <c r="K15" i="29"/>
  <c r="K14" i="29"/>
  <c r="K13" i="29"/>
  <c r="K63" i="29" l="1"/>
  <c r="J63" i="28"/>
  <c r="I63" i="28"/>
  <c r="K63" i="28" l="1"/>
  <c r="K51" i="28"/>
  <c r="L33" i="28" l="1"/>
  <c r="L33" i="29" s="1"/>
  <c r="M33" i="29" s="1"/>
  <c r="L32" i="28"/>
  <c r="L32" i="29" s="1"/>
  <c r="M32" i="29" s="1"/>
  <c r="L31" i="28"/>
  <c r="L31" i="29" s="1"/>
  <c r="M31" i="29" s="1"/>
  <c r="L30" i="28"/>
  <c r="L30" i="29" s="1"/>
  <c r="M30" i="29" s="1"/>
  <c r="L29" i="28"/>
  <c r="L29" i="29" s="1"/>
  <c r="M29" i="29" s="1"/>
  <c r="L28" i="28"/>
  <c r="L28" i="29" s="1"/>
  <c r="M28" i="29" s="1"/>
  <c r="L61" i="28"/>
  <c r="L61" i="29" s="1"/>
  <c r="M61" i="29" s="1"/>
  <c r="L60" i="28"/>
  <c r="L60" i="29" s="1"/>
  <c r="M60" i="29" s="1"/>
  <c r="L59" i="28"/>
  <c r="L59" i="29" s="1"/>
  <c r="M59" i="29" s="1"/>
  <c r="L58" i="28"/>
  <c r="L58" i="29" s="1"/>
  <c r="M58" i="29" s="1"/>
  <c r="L57" i="28"/>
  <c r="L57" i="29" s="1"/>
  <c r="M57" i="29" s="1"/>
  <c r="L56" i="28"/>
  <c r="L56" i="29" s="1"/>
  <c r="M56" i="29" s="1"/>
  <c r="L55" i="28"/>
  <c r="L55" i="29" s="1"/>
  <c r="M55" i="29" s="1"/>
  <c r="L54" i="28"/>
  <c r="L54" i="29" s="1"/>
  <c r="M54" i="29" s="1"/>
  <c r="L53" i="28"/>
  <c r="L53" i="29" s="1"/>
  <c r="M53" i="29" s="1"/>
  <c r="L52" i="28"/>
  <c r="L52" i="29" s="1"/>
  <c r="M52" i="29" s="1"/>
  <c r="L39" i="28"/>
  <c r="L39" i="29" s="1"/>
  <c r="M39" i="29" s="1"/>
  <c r="L38" i="28"/>
  <c r="L38" i="29" s="1"/>
  <c r="M38" i="29" s="1"/>
  <c r="L37" i="28"/>
  <c r="L37" i="29" s="1"/>
  <c r="M37" i="29" s="1"/>
  <c r="L36" i="28"/>
  <c r="L36" i="29" s="1"/>
  <c r="M36" i="29" s="1"/>
  <c r="L35" i="28"/>
  <c r="L35" i="29" s="1"/>
  <c r="M35" i="29" s="1"/>
  <c r="L34" i="28"/>
  <c r="L34" i="29" s="1"/>
  <c r="M34" i="29" s="1"/>
  <c r="L21" i="28"/>
  <c r="L21" i="29" s="1"/>
  <c r="M21" i="29" s="1"/>
  <c r="L20" i="28"/>
  <c r="L20" i="29" s="1"/>
  <c r="M20" i="29" s="1"/>
  <c r="L19" i="28"/>
  <c r="L19" i="29" s="1"/>
  <c r="M19" i="29" s="1"/>
  <c r="L18" i="28"/>
  <c r="L18" i="29" s="1"/>
  <c r="M18" i="29" s="1"/>
  <c r="L17" i="28"/>
  <c r="L17" i="29" s="1"/>
  <c r="M17" i="29" s="1"/>
  <c r="L16" i="28"/>
  <c r="L16" i="29" s="1"/>
  <c r="M16" i="29" s="1"/>
  <c r="L15" i="28"/>
  <c r="L15" i="29" s="1"/>
  <c r="M15" i="29" s="1"/>
  <c r="L14" i="28"/>
  <c r="L14" i="29" s="1"/>
  <c r="M14" i="29" s="1"/>
  <c r="L13" i="28"/>
  <c r="L27" i="28"/>
  <c r="L27" i="29" s="1"/>
  <c r="M27" i="29" s="1"/>
  <c r="L26" i="28"/>
  <c r="L26" i="29" s="1"/>
  <c r="M26" i="29" s="1"/>
  <c r="L24" i="28"/>
  <c r="L24" i="29" s="1"/>
  <c r="M24" i="29" s="1"/>
  <c r="L23" i="28"/>
  <c r="L23" i="29" s="1"/>
  <c r="M23" i="29" s="1"/>
  <c r="L22" i="28"/>
  <c r="L22" i="29" s="1"/>
  <c r="M22" i="29" s="1"/>
  <c r="L51" i="28"/>
  <c r="L51" i="29" s="1"/>
  <c r="M51" i="29" s="1"/>
  <c r="L50" i="28"/>
  <c r="L50" i="29" s="1"/>
  <c r="M50" i="29" s="1"/>
  <c r="L49" i="28"/>
  <c r="L49" i="29" s="1"/>
  <c r="M49" i="29" s="1"/>
  <c r="L42" i="28"/>
  <c r="L42" i="29" s="1"/>
  <c r="M42" i="29" s="1"/>
  <c r="L41" i="28"/>
  <c r="L41" i="29" s="1"/>
  <c r="M41" i="29" s="1"/>
  <c r="L40" i="28"/>
  <c r="L40" i="29" s="1"/>
  <c r="M40" i="29" s="1"/>
  <c r="L45" i="28"/>
  <c r="L45" i="29" s="1"/>
  <c r="M45" i="29" s="1"/>
  <c r="L44" i="28"/>
  <c r="L44" i="29" s="1"/>
  <c r="M44" i="29" s="1"/>
  <c r="L43" i="28"/>
  <c r="L43" i="29" s="1"/>
  <c r="M43" i="29" s="1"/>
  <c r="L48" i="28"/>
  <c r="L48" i="29" s="1"/>
  <c r="M48" i="29" s="1"/>
  <c r="L47" i="28"/>
  <c r="L47" i="29" s="1"/>
  <c r="M47" i="29" s="1"/>
  <c r="L46" i="28"/>
  <c r="L46" i="29" s="1"/>
  <c r="M46" i="29" s="1"/>
  <c r="L13" i="29" l="1"/>
  <c r="L63" i="28"/>
  <c r="M63" i="28" s="1"/>
  <c r="K33" i="28"/>
  <c r="K32" i="28"/>
  <c r="K31" i="28"/>
  <c r="K30" i="28"/>
  <c r="K29" i="28"/>
  <c r="K28" i="28"/>
  <c r="K61" i="28"/>
  <c r="K60" i="28"/>
  <c r="K59" i="28"/>
  <c r="K58" i="28"/>
  <c r="K57" i="28"/>
  <c r="K56" i="28"/>
  <c r="K55" i="28"/>
  <c r="K54" i="28"/>
  <c r="K53" i="28"/>
  <c r="K52" i="28"/>
  <c r="K39" i="28"/>
  <c r="K38" i="28"/>
  <c r="K37" i="28"/>
  <c r="K36" i="28"/>
  <c r="K35" i="28"/>
  <c r="K34" i="28"/>
  <c r="K27" i="28"/>
  <c r="K26" i="28"/>
  <c r="K24" i="28"/>
  <c r="K23" i="28"/>
  <c r="K22" i="28"/>
  <c r="K50" i="28"/>
  <c r="K49" i="28"/>
  <c r="K42" i="28"/>
  <c r="K41" i="28"/>
  <c r="K40" i="28"/>
  <c r="K45" i="28"/>
  <c r="K44" i="28"/>
  <c r="K43" i="28"/>
  <c r="K48" i="28"/>
  <c r="K47" i="28"/>
  <c r="K46" i="28"/>
  <c r="M13" i="29" l="1"/>
  <c r="L63" i="29"/>
  <c r="M63" i="29" s="1"/>
  <c r="M46" i="28"/>
  <c r="M43" i="28" l="1"/>
  <c r="M44" i="28"/>
  <c r="M47" i="28"/>
  <c r="M48" i="28"/>
  <c r="M20" i="28" l="1"/>
  <c r="M35" i="28"/>
  <c r="M58" i="28"/>
  <c r="M37" i="28"/>
  <c r="M30" i="28"/>
  <c r="M31" i="28"/>
  <c r="M38" i="28"/>
  <c r="M45" i="28"/>
  <c r="M52" i="28"/>
  <c r="M61" i="28"/>
  <c r="M56" i="28"/>
  <c r="M53" i="28"/>
  <c r="M57" i="28"/>
  <c r="M36" i="28"/>
  <c r="M39" i="28"/>
  <c r="M55" i="28"/>
  <c r="M54" i="28"/>
  <c r="M21" i="28"/>
  <c r="M59" i="28"/>
  <c r="M29" i="28"/>
  <c r="M60" i="28"/>
  <c r="M32" i="28"/>
  <c r="M28" i="28"/>
  <c r="M34" i="28"/>
  <c r="M33" i="28"/>
  <c r="M40" i="28" l="1"/>
  <c r="M42" i="28"/>
  <c r="M41" i="28"/>
  <c r="M50" i="28"/>
  <c r="M15" i="28"/>
  <c r="M22" i="28"/>
  <c r="M51" i="28"/>
  <c r="M14" i="28"/>
  <c r="M16" i="28"/>
  <c r="M49" i="28"/>
  <c r="M19" i="28"/>
  <c r="M26" i="28"/>
  <c r="M23" i="28"/>
  <c r="M27" i="28"/>
  <c r="M18" i="28"/>
  <c r="M13" i="28"/>
  <c r="M24" i="28"/>
  <c r="M17" i="28"/>
</calcChain>
</file>

<file path=xl/comments1.xml><?xml version="1.0" encoding="utf-8"?>
<comments xmlns="http://schemas.openxmlformats.org/spreadsheetml/2006/main">
  <authors>
    <author>Autor</author>
  </authors>
  <commentList>
    <comment ref="L12" authorId="0" shapeId="0">
      <text>
        <r>
          <rPr>
            <sz val="9"/>
            <color indexed="81"/>
            <rFont val="Tahoma"/>
            <family val="2"/>
          </rPr>
          <t>Días acumulados del último reporte + Días del mes a reportar.</t>
        </r>
      </text>
    </comment>
    <comment ref="B82" authorId="0" shapeId="0">
      <text>
        <r>
          <rPr>
            <sz val="9"/>
            <color indexed="81"/>
            <rFont val="Tahoma"/>
            <family val="2"/>
          </rPr>
          <t>Firma de quién revisa</t>
        </r>
      </text>
    </comment>
    <comment ref="C83" authorId="0" shapeId="0">
      <text>
        <r>
          <rPr>
            <sz val="9"/>
            <color rgb="FF000000"/>
            <rFont val="Tahoma"/>
            <family val="2"/>
          </rPr>
          <t>Nombre completo de quién revisa</t>
        </r>
      </text>
    </comment>
    <comment ref="J83" authorId="0" shapeId="0">
      <text>
        <r>
          <rPr>
            <sz val="9"/>
            <color indexed="81"/>
            <rFont val="Tahoma"/>
            <family val="2"/>
          </rPr>
          <t>Nombre completo del interventor</t>
        </r>
      </text>
    </comment>
  </commentList>
</comments>
</file>

<file path=xl/comments2.xml><?xml version="1.0" encoding="utf-8"?>
<comments xmlns="http://schemas.openxmlformats.org/spreadsheetml/2006/main">
  <authors>
    <author>Autor</author>
  </authors>
  <commentList>
    <comment ref="L12" authorId="0" shapeId="0">
      <text>
        <r>
          <rPr>
            <sz val="9"/>
            <color indexed="81"/>
            <rFont val="Tahoma"/>
            <family val="2"/>
          </rPr>
          <t>Días acumulados del último reporte + Días del mes a reportar.</t>
        </r>
      </text>
    </comment>
    <comment ref="B82" authorId="0" shapeId="0">
      <text>
        <r>
          <rPr>
            <sz val="9"/>
            <color indexed="81"/>
            <rFont val="Tahoma"/>
            <family val="2"/>
          </rPr>
          <t>Firma de quién revisa</t>
        </r>
      </text>
    </comment>
    <comment ref="C83" authorId="0" shapeId="0">
      <text>
        <r>
          <rPr>
            <sz val="9"/>
            <color rgb="FF000000"/>
            <rFont val="Tahoma"/>
            <family val="2"/>
          </rPr>
          <t>Nombre completo de quién revisa</t>
        </r>
      </text>
    </comment>
    <comment ref="J83" authorId="0" shapeId="0">
      <text>
        <r>
          <rPr>
            <sz val="9"/>
            <color indexed="81"/>
            <rFont val="Tahoma"/>
            <family val="2"/>
          </rPr>
          <t>Nombre completo del interventor</t>
        </r>
      </text>
    </comment>
  </commentList>
</comments>
</file>

<file path=xl/sharedStrings.xml><?xml version="1.0" encoding="utf-8"?>
<sst xmlns="http://schemas.openxmlformats.org/spreadsheetml/2006/main" count="562" uniqueCount="187">
  <si>
    <t>MES</t>
  </si>
  <si>
    <t>REPORTE DE AVANCE</t>
  </si>
  <si>
    <t>ENERO</t>
  </si>
  <si>
    <t>Fecha: 29/06/2022</t>
  </si>
  <si>
    <t>Version: 01</t>
  </si>
  <si>
    <t>GP-F-23</t>
  </si>
  <si>
    <t>FEBRERO</t>
  </si>
  <si>
    <t>Código Orden de servicio</t>
  </si>
  <si>
    <t>MARZO</t>
  </si>
  <si>
    <t>ABRIL</t>
  </si>
  <si>
    <t>MAYO</t>
  </si>
  <si>
    <t>JUNIO</t>
  </si>
  <si>
    <t>Mes a reportar</t>
  </si>
  <si>
    <t>JULIO</t>
  </si>
  <si>
    <t>AGOSTO</t>
  </si>
  <si>
    <t>Fecha reporte</t>
  </si>
  <si>
    <t>SEPTIEMBRE</t>
  </si>
  <si>
    <t>OCTUBRE</t>
  </si>
  <si>
    <t>Clasificación del servicio</t>
  </si>
  <si>
    <t>Reporte mes por servicio</t>
  </si>
  <si>
    <t>Reporte acumulado por servicio</t>
  </si>
  <si>
    <t>NOVIEMBRE</t>
  </si>
  <si>
    <t>Ítem general</t>
  </si>
  <si>
    <t>ítem actividad</t>
  </si>
  <si>
    <t>Descripción de la actividad</t>
  </si>
  <si>
    <t>Soporte</t>
  </si>
  <si>
    <t>Medio de entrega</t>
  </si>
  <si>
    <t>Días</t>
  </si>
  <si>
    <t>% avance</t>
  </si>
  <si>
    <t xml:space="preserve">Días </t>
  </si>
  <si>
    <t>DICIEMBRE</t>
  </si>
  <si>
    <t>Digital</t>
  </si>
  <si>
    <t>TOTAL ACUMULADO</t>
  </si>
  <si>
    <t>Observaciones:</t>
  </si>
  <si>
    <t>Describa en este espacio su observación</t>
  </si>
  <si>
    <r>
      <t>¿Se presentó algún aspecto o situación que afecte la ejecución y calidad de los entregables? (</t>
    </r>
    <r>
      <rPr>
        <b/>
        <i/>
        <sz val="9"/>
        <color theme="1"/>
        <rFont val="Verdana"/>
        <family val="2"/>
      </rPr>
      <t>Marque con una X</t>
    </r>
    <r>
      <rPr>
        <b/>
        <sz val="9"/>
        <color theme="1"/>
        <rFont val="Verdana"/>
        <family val="2"/>
      </rPr>
      <t>)</t>
    </r>
  </si>
  <si>
    <t>PROFESIONAL</t>
  </si>
  <si>
    <t>SI</t>
  </si>
  <si>
    <t>NO</t>
  </si>
  <si>
    <t>INTERVENTOR O LIDER</t>
  </si>
  <si>
    <t>Revisa:</t>
  </si>
  <si>
    <t>3.13</t>
  </si>
  <si>
    <t>Generar base de datos de producción (OFM o la que se requiera)</t>
  </si>
  <si>
    <t>Base de Datos</t>
  </si>
  <si>
    <t>3.17</t>
  </si>
  <si>
    <t>Analizar data histórica de producción, productividad y daño por pozo</t>
  </si>
  <si>
    <t>Base de Datos - Informe de la Evaluación</t>
  </si>
  <si>
    <t>3.18</t>
  </si>
  <si>
    <t>5.1</t>
  </si>
  <si>
    <t>5.4</t>
  </si>
  <si>
    <t>Generar modelo de Pozos</t>
  </si>
  <si>
    <t>5.5</t>
  </si>
  <si>
    <t>5.6</t>
  </si>
  <si>
    <t>5.9</t>
  </si>
  <si>
    <t>8.2</t>
  </si>
  <si>
    <t>Carga de datos, procesamiento de datos, Análisis Estadístico descriptivo considerando hipótesis desde la teoría, y análisis descriptivo considerando hipótesis generadas desde la misma data (pasos 1, 2 y 3 teoría CRISP-DM).</t>
  </si>
  <si>
    <t>8.3</t>
  </si>
  <si>
    <t>Formulación matemática, razonamientos, seudocódigo, definiciones, supuestos, pruebas estadísticas, pruebas de generalización, etc.</t>
  </si>
  <si>
    <t>8.4</t>
  </si>
  <si>
    <t>8.5</t>
  </si>
  <si>
    <t>Código.</t>
  </si>
  <si>
    <t>8.6</t>
  </si>
  <si>
    <t>Días contratados Acta de Inicio</t>
  </si>
  <si>
    <t>Informe, con estadísticas descriptivas, histogramas, pruebas de ajuste, etc.</t>
  </si>
  <si>
    <t>Modelo poblado</t>
  </si>
  <si>
    <t>Información georeferenciada</t>
  </si>
  <si>
    <t>Profesional a cargo</t>
  </si>
  <si>
    <t>4.3</t>
  </si>
  <si>
    <t>Evaluación e interpretación de información de fluidos</t>
  </si>
  <si>
    <t>ETLWeb y EcoVisor PVT</t>
  </si>
  <si>
    <t>4.4</t>
  </si>
  <si>
    <t>Realizar QAQC de Datos de PVT y generar Base de Datos</t>
  </si>
  <si>
    <t>Solubilidad CO2 - Brine.xlsx</t>
  </si>
  <si>
    <t>4.8</t>
  </si>
  <si>
    <t>Construcción de modelos PVT: Caracterización de la fracción Cn+ a través de datos TBP, modelamiento Aceite Negro, Aceite Negro Extendido, Ecuaciones de Estado, modelos de variación de propiedades PVT /Composición con profundidad, modelos de crudo pesado y extra-pesado, modelos de precipitación de asfaltenos, parafinas, hidratos y emulsiones. Manejo de formatos para exportar modelos PVT con fines de cálculo de HIIP, simulación de yacimientos (aceite negro, composicional, crudo pesado y extra-pesado), ingeniería analítica de yacimientos y producción.</t>
  </si>
  <si>
    <t>CO2 - Water_Brine - DM.xlsx</t>
  </si>
  <si>
    <t>C:\Users\C102626W\Ecopetrol S.A\Juliana Giraldo Castro - JD\Ecopetrol 2026\Base de Datos</t>
  </si>
  <si>
    <t>C:\Users\C102626W\Ecopetrol S.A\Juliana Giraldo Castro - JD\Ecopetrol 2026\CCUS\Solubilidad</t>
  </si>
  <si>
    <t>C:\Users\C102626W\Ecopetrol S.A\Juliana Giraldo Castro - JD\Ecopetrol 2026\CPA y e-CPA\Solubilidad</t>
  </si>
  <si>
    <t>Informe trimestral sobre Análisis de caracterización avanzada de crudos</t>
  </si>
  <si>
    <t>Reporte trimestral /ecoVisor PVT</t>
  </si>
  <si>
    <t>Informe de evaluación de modelos PVT disponibles o construcción de modelos de fluidos según tipo de fluido, tablas PVT para usar en cálculo de HIIP, simulación de yacimientos, ingeniería analítica de yacimientos y producción</t>
  </si>
  <si>
    <t>Comparación de propiedades fluidos Loma Larga 10 vs muestras formación Honda</t>
  </si>
  <si>
    <t>Carga y revisión de reportes cargados a la base de datos ecoVisor PVT.</t>
  </si>
  <si>
    <t xml:space="preserve">Actualización presentación modelo de fluidos Palogrande, enfoque muestras y tablas PVT fm Honda - arenas intermedias. </t>
  </si>
  <si>
    <t>C:\Users\Usuario Meridian\OneDrive - Ecopetrol S.A\Camilo Santana\Ecopetrol 2026</t>
  </si>
  <si>
    <t xml:space="preserve">https://bogeswvgeop.red.ecopetrol.com.co/PvtEcovisor/
</t>
  </si>
  <si>
    <t>3.1</t>
  </si>
  <si>
    <t>Crear un modelo de simulación dinámica cuando esté disponible el modelo estático: identificación,  organización,  revisión y  análisis del modelo estático, fluido, roca, producción, terminación y datos de laboratorio que sean válidos y representativos del reservorio que se está investigando.  Realice el QA/QC del modelo estático y defina  la incertidumbre principal en los parámetros de comparación de modelo e parámetros de ajuste histórico, trabaje en estrecha colaboración con el geomodelador para el upscaling del modelo estático al modelo de simulación, ajustar el modelo con los datos de producción e inyección
y  realizar  el  ajuste  histórico.  Realizar  previsión  y  construir  plan  de desarrollo de campo</t>
  </si>
  <si>
    <t>3.4</t>
  </si>
  <si>
    <t>Construya un estudio de modelos conceptuales y modelos de laboratorio:  para  construir  un  modelo  conceptual  que  investigue temas  específicos.  Por  ejemplo:  tiempos  y  perfiles  de  ruptura  del trazador, meseta de relación WOR de depósitos de múltiples capas, para investigar la aplicación de nueva tecnología (basada en polímeros o basada en térmicas). Problemas de conformance, aplicabilidad del polímero en un campo específico, investigar el efecto del espaciamiento de  pozos  y  los  tipos  de  patrones  (5  puntos,  5 puntos  invertidos,  7 puntos,  unidad  de  línea)  en  proyectos  EOR  químicos.  Un  estudio conceptual para desarrollar una metodología práctica para tecnologías nuevas  y  actuales  basadas  en  datos  de  campo  y  de  laboratorio (metodología para modelar polímeros de preferencia cruzada, nano- surfactante).  Desarrollar  una  metodología  para  integrar  y  modelar pozos de múltiples segmentos y datos ILT.</t>
  </si>
  <si>
    <t xml:space="preserve">\\10.100.25.60\sya\CCUS\GALAN </t>
  </si>
  <si>
    <t>8.1</t>
  </si>
  <si>
    <t>Revisión bibliográfica de modelos / metodologías y sus aplicaciones existentes, así como refinación de objetivos si procede.</t>
  </si>
  <si>
    <t>Informe</t>
  </si>
  <si>
    <t>Construcción de modelo matemático utilizando las técnicas pertinentes de Ciencia de Datos (e.g. Programación Matemática / Optimización / Investigación de Operaciones, Modelamiento Probabilístico, Machine Learning, etc.), con dominio de conocimiento petrotecnico. Si el modelo es supervisado y no paramétrico, se debe generar el sustento y razonamiento respectivo, arquitectura, calibración de parámetros adecuado, pruebas de validación, generalización, desempeño, etc. La fase de modelamiento debe incluir el razonamiento del modelo y como se relaciona con los modelos petrotecnicos convencionales o actuales, en que difiere y cuál es su innovación en términos de analítica de datos. Lo anterior</t>
  </si>
  <si>
    <t>Análisis de resultados y análisis Estadístico - descriptivo de los resultados obtenidos, así como de las pruebas implementadas. Ejemplificación de la interpretación de resultados y auto-critica de los mismos. Mapeo de conclusiones, recomendaciones y validación de los objetivos con enfoque de valor. Es clave generar nociones para que los resultados puedan ser bien utilizados y/o asociados con otras metodologías. Si procede, se debe validar los resultados con los expertos o dolientes respectivos. Etapa 5 de la metodología CRISP- DM.</t>
  </si>
  <si>
    <t>Programación del modelo matemático en las herramientas que se considere más adecuada, e.g.  R, Python, SAS, C++, Java, Matlab, Visual, etc. Los scripts deben respetar los planteamientos y consideraciones contenidas en el informe, debe contener buenas prácticas de programación (e.g. comentarios, identación (anglicismo de “identation”), separación por métodos o funciones, etc. – el programa no necesariamente debe estar orientado a objetos y otros paradigmas, e.g. la programación funcional podría ser altamente recomendable).</t>
  </si>
  <si>
    <t>Diseño modelo de datos "satélite" para el modelo matemático o la metodología aplicada. Si es el caso, se debe implementar la base de datos, e.g. en SQL. Adicionalmente, si es el caso, revisión del flujo de información respecto a procesos y actividades, así como de posibles fuentes de error en las mediciones o captura de la data. También, de aplicar, un análisis del error acumulado que se pueda estar
generando antes de alimentar el modelo o metodología propuesta con la data.</t>
  </si>
  <si>
    <t>Generar  Modelo  Estático  del  yacimiento  integrando  la  información disponible.</t>
  </si>
  <si>
    <t>Modelo Estático - Informe de Modelo
- Cálculo de Volúmenes in Place</t>
  </si>
  <si>
    <t>Carga de información para poblar el modelo geocelular (direccionales, coordenadas,  surveys,  topes,  data  de  presión,  estados  mecánicos,
evento de pozos, etc.)</t>
  </si>
  <si>
    <t>Georeferenciación   de   Mapas,   pozos,   Imágenes   satélite,   etc.   y Definición de CRS (Cordinates Reference System)</t>
  </si>
  <si>
    <t>Calculo probabilístico de Volúmenes In situ.</t>
  </si>
  <si>
    <t>Calculo Volumétrico - Bases de Datos</t>
  </si>
  <si>
    <t>Caracterización  composicional  de  fluidos  de  hidrocarburos  mediante técnicas geoquímicas.</t>
  </si>
  <si>
    <t>Análisis geoquímicos de Fingerprinting</t>
  </si>
  <si>
    <t>Análisis e interpretación de imágenes de satélite</t>
  </si>
  <si>
    <t>Realizar caracterización Scal (interpretación)</t>
  </si>
  <si>
    <t>Generación de Modelos de Física de Rocas</t>
  </si>
  <si>
    <t>Carga de datos, procesamiento de datos, Análisis Estadístico descriptivo considerando hipótesis desde la teoría, y análisis
descriptivo considerando hipótesis generadas desde la misma data (pasos 1, 2 y 3 teoría CRISP-DM).</t>
  </si>
  <si>
    <t xml:space="preserve">Construcción de modelo matemático utilizando las técnicas pertinentes de Ciencia de Datos (e.g. Programación Matemática / Optimización / Investigación de Operaciones, Modelamiento Probabilístico, Machine Learning, etc.), con dominio de conocimiento petrotecnico. Si el modelo es supervisado y no paramétrico, se debe generar el sustento y razonamiento respectivo, arquitectura, calibración de parámetros adecuado, pruebas de validación, generalización, desempeño, etc. La fase de modelamiento debe incluir el razonamiento del modelo y como se relaciona con los modelos petrotecnicos convencionales o actuales, en que difiere y cuál es su innovación en términos de analítica de datos. </t>
  </si>
  <si>
    <t>Control de calidad del dato adquirido para valorar representatividad de la prueba en cuestión. De ser válidas, levantamiento de información de entrada para análisis e interpretación (registros de desviación, estado mecánico de cada pozo, caliper/bit size ("), espesor neto (pies TVD), porosidad  media  (phi),  Sw,  PVT,  producciones  asociadas,  corte  de agua, salinidades, mapa estructural, etc.</t>
  </si>
  <si>
    <t>Inventario - Informe de Representatividad (Preliminar)</t>
  </si>
  <si>
    <t>Generar  perfiles  de  Producción  por  pozos  para  pozos  existente  en escenarios Bajo, Medio y Alto</t>
  </si>
  <si>
    <t>Generar bases de datos de Eventos de</t>
  </si>
  <si>
    <t xml:space="preserve">Realizar el seguimiento de producción </t>
  </si>
  <si>
    <t>Construcción de modelo matemático utilizando las técnicas pertinentes de Ciencia de Datos (e.g. Programación Matemática / Optimización / Investigación de Operaciones, Modelamiento Probabilístico, Machine Learning, etc.), con dominio de conocimiento petrotecnico. Si el modelo es supervisado y no paramétrico, se debe generar el sustento y razonamiento respectivo, arquitectura, calibración de parámetros adecuado, pruebas de validación, generalización, desempeño, etc. La fase de modelamiento debe incluir el razonamiento del modelo y como se relaciona con los
modelos petrotecnicos convencionales o actuales, en que difiere y cuál es su innovación en términos de analítica de datos. Lo anterior</t>
  </si>
  <si>
    <t>Análisis de resultados y análisis Estadístico - descriptivo de los resultados obtenidos, así como de las pruebas implementadas. Ejemplificación de la interpretación de resultados y auto-critica de los mismos. Mapeo de conclusiones, recomendaciones y validación de los objetivos con enfoque de valor. Es clave generar nociones para que los resultados puedan ser bien utilizados y/o asociados con otras metodologías. Si procede, se debe validar los resultados con los
expertos o dolientes respectivos. Etapa 5 de la metodología CRISP- DM.</t>
  </si>
  <si>
    <t>Programación del modelo matemático en las herramientas que se considere más adecuada, e.g.  R, Python, SAS, C++, Java, Matlab, Visual, etc. Los scripts deben respetar los planteamientos y consideraciones contenidas en el informe, debe contener buenas prácticas de programación (e.g. comentarios, identación (anglicismo de “identation”), separación por métodos o funciones, etc. – el programa no necesariamente debe estar orientado a objetos y otros
paradigmas, e.g. la programación funcional podría ser altamente recomendable).</t>
  </si>
  <si>
    <t>Documento:
https://ecopetrol.sharepoint.com/:w:/s/vde/get/IQCJGX51Kg7mSpPiZhl1_-jCAb39voiLO1z7cqcxzk0aqys?email=jhonfr.gonzalez%40ecopetrol.com.co&amp;e=FLO6eU</t>
  </si>
  <si>
    <t>Carpeta:
https://ecopetrol.sharepoint.com/:u:/s/vde/get/IQCOq_mKpPMTT6rU8OdRuOlaAfLBNKQDI3-j9sz-QO90zLw?email=jhonfr.gonzalez%40ecopetrol.com.co&amp;e=H1thvC</t>
  </si>
  <si>
    <t>Codigo:
https://ecopetrol.sharepoint.com/:u:/s/vde/get/IQDB0O3kMc02RIGx7y_FEMvDATbak4CrloJVQgfgrhTqqWk?email=jhonfr.gonzalez%40ecopetrol.com.co&amp;e=cwWTuf</t>
  </si>
  <si>
    <t>Digital: https://teams.microsoft.com/l/team/19%3AakWiW_SGgm6r5QqnD3Z_PIjrA1AA1PWwgqy8IpC8XVo1%40thread.tacv2/conversations?groupId=743f1aac-014a-449a-a25c-71c2563e6417&amp;tenantId=a4305987-cf78-4f93-9d64-bf18af65397b</t>
  </si>
  <si>
    <t>Jesus David Arenas Navarro</t>
  </si>
  <si>
    <t>Jorge Felipe Alarcon Torres</t>
  </si>
  <si>
    <t>Oscar Ivan Jimenez Barandica</t>
  </si>
  <si>
    <t>Alejandra Arbelaez Londoño</t>
  </si>
  <si>
    <t>Camilo Andres Santana Otalora</t>
  </si>
  <si>
    <t>Nicolas Avendaño Vasquez</t>
  </si>
  <si>
    <t>Juan David Aristizabal Marulanda</t>
  </si>
  <si>
    <t>Yessica Del Carmen Mateus Tarazona</t>
  </si>
  <si>
    <t>Camila Fernanda Medina Sandoval</t>
  </si>
  <si>
    <t>Giovanni Martinez Leones</t>
  </si>
  <si>
    <t>Adelantar la evaluación de productividad en los activos</t>
  </si>
  <si>
    <t>Generar  los  análisis  asociados  a</t>
  </si>
  <si>
    <t>1.1</t>
  </si>
  <si>
    <t>1.15</t>
  </si>
  <si>
    <t>1.16</t>
  </si>
  <si>
    <t>1.17</t>
  </si>
  <si>
    <t>1.24</t>
  </si>
  <si>
    <t>1.25</t>
  </si>
  <si>
    <t>1.26</t>
  </si>
  <si>
    <t>2.5</t>
  </si>
  <si>
    <t>2.11</t>
  </si>
  <si>
    <t>Nivel contratado</t>
  </si>
  <si>
    <t>Junior</t>
  </si>
  <si>
    <t>Senior</t>
  </si>
  <si>
    <t>Básico</t>
  </si>
  <si>
    <t>-</t>
  </si>
  <si>
    <t>Jose Mario Martínez Londoño</t>
  </si>
  <si>
    <r>
      <t xml:space="preserve">4.3 4.4 4.8 Básico (CS):
</t>
    </r>
    <r>
      <rPr>
        <sz val="9"/>
        <color theme="1"/>
        <rFont val="Verdana"/>
        <family val="2"/>
      </rPr>
      <t>4.3. Se trabaja en el análisis del comportamiento der las diferentes muestras analizadas en el ICPET de Loma Larga-10, integrande caracterizaciones de fluidos de campos cercanos con la finalidad de encontrar tendencias para estas muestras. Se genera una presentación para análisis con equipo de campo. 
4.4. Se realiza la carga de dos reportes Assay III pendientes de Castilla y Tinamú. Se identifican oportunidades de carga y mejora de información cargada para dos pozos de Cebú y Dina T.
Se genera base de datos interna de todos los reportes disponibles de los campos Dina Cretáceo, Dina Terciario y Dina Norte. Se genera inventario de reportes Assay III de toda la zona del Huila.
4.8.Se genera una actualización del modelamiento de fluidos para el campo Palogrande, haciendo énfasis en las muestras de interés para el diseño de la toma de muestras para pruebas de desplazamiento de fluidos en núcleos en muestras de pozos perforados en el campo. 
De igual manera, se realiza un análisis de comportamiento de cromatografías de gas disponibles en Rio Ceibas, así como escenarios de gradientes composicionales en cada una de las arenas de estudio que fueron cañoneadas en el pozo Rio Ceibas-71</t>
    </r>
  </si>
  <si>
    <t>ETLWeb y EcoVisor PVT
C:\Users\C102626W\Ecopetrol S.A\Juliana Giraldo Castro - JD\Ecopetrol 2026\Base de Datos</t>
  </si>
  <si>
    <t>Posibles Actividades - Geomática.xlsx</t>
  </si>
  <si>
    <t>C:\Users\C102626W\Ecopetrol S.A\Juliana Giraldo Castro - 5. Rubiales\2026\Modelamiento\ASSAY III QAQC
C:\Users\C102626W\Ecopetrol S.A\Juliana Giraldo Castro - 5. Rubiales\2026\Modelamiento\Análisis info QF-RB-CASE
C:\Users\C102626W\Ecopetrol S.A\Juliana Giraldo Castro - 5. Rubiales\2026\Modelamiento\WinProp\Crudo Muerto</t>
  </si>
  <si>
    <t xml:space="preserve">EoS.xlsx
Analisis_Caño_Sur.xlsx
Eos Assay III RB-1319 - Castellanos.dat
Eos Assay III RB-1319 - Mod KF Satyro.dat
Eos Assay III RB-1572H - Castellanos.dat
Eos Assay III RB-1572H - Mod KF Satyro.dat
Eos Assay III RB-1572H - Soreide.dat
</t>
  </si>
  <si>
    <t>C:\Users\C102626W\Ecopetrol S.A\Juliana Giraldo Castro - 5. Rubiales\2026\Modelamiento</t>
  </si>
  <si>
    <t>Análisis Método Castellanos.xlsx</t>
  </si>
  <si>
    <t>https://ecopetrol.sharepoint.com/:u:/r/sites/vde/get/Analtica/0.%20SDPID/1_SDPID/12_Entregables/Oscar%20Ivan%20Jimenez%20Barandica/Meridian/2_Febrero/Llanito_Unificado.zip?csf=1&amp;web=1&amp;e=brV0rX</t>
  </si>
  <si>
    <t>https://ecopetrol.sharepoint.com/:x:/r/sites/vde/get/Analtica/0.%20SDPID/1_SDPID/12_Entregables/Oscar%20Ivan%20Jimenez%20Barandica/Meridian/2_Febrero/Comparacion%20prob.xlsx?d=wb276fba403c14550a923922320d0993f&amp;csf=1&amp;web=1&amp;e=l8h5MC</t>
  </si>
  <si>
    <t>https://ecopetrol.sharepoint.com/:u:/r/sites/vde/get/Analtica/0.%20SDPID/1_SDPID/12_Entregables/Oscar%20Ivan%20Jimenez%20Barandica/Meridian/2_Febrero/Llanito_proxy.ipynb?csf=1&amp;web=1&amp;e=Tgq9B4</t>
  </si>
  <si>
    <t>Documentación del modelo de datos (E.g. diagrama relacional), definiciones, diccionarios, relaciones.</t>
  </si>
  <si>
    <t xml:space="preserve">Se generaron el perfil incremental del piloto WAG del campo Galán, usando el formato ARPS enviado por el equipo de CCUS
Se creó documento donde se consigna las premisas de los perfiles del piloto WAG, incluyendo diferencias respecto al modelo del primer semestre del 2025
Se generó y envió por correo el perfil del piloto WAG iniciando en enero del 2029 y finalizando en enero del 2049
Por requerimiento del equipo de CCUS y de desarrollo del campo, se corrieron y se socializaron los siguientes escenarios de simulación:
Corrida WAG usando los mismos controles operativos de los pozos productores del caso base o NFA
Corrida evaluando un escenario WAG donde los dos pozos inyectan agua y gas al mismo tiempo
Corrida del piloto WAG usando una tasa de inyección de 1.1MMPCD de CO2
Corrida del piloto WAG usando una tasa de inyección de 0.6MMPCD de CO2
Corrida incluyendo reducción del SOR
Para el desarrollo de esta actividad se revisaron y socializaron los resultados de pruebas de laboratorio llevadas a cabo en febrero del 2024 y en diciembre del 2025
</t>
  </si>
  <si>
    <t xml:space="preserve">Actualmente se está trabajando en paralelo los siguientes casos
Optimización (usando CMOST) de intervalo cañoneado en los pozos inyectores 
Reciclo del CO2 en pozos Galn 75 y Galn 77
Expansión del Piloto WAG a los pozos se la zona central </t>
  </si>
  <si>
    <t>3.10</t>
  </si>
  <si>
    <t>5.10</t>
  </si>
  <si>
    <t>5.40</t>
  </si>
  <si>
    <t>5.50</t>
  </si>
  <si>
    <t>5.60</t>
  </si>
  <si>
    <t>5.90</t>
  </si>
  <si>
    <t>8.50</t>
  </si>
  <si>
    <t>Construcción de modelos PVT: Caracterización de …</t>
  </si>
  <si>
    <t>Construya un estudio de modelos conceptuales y modelos de laboratorio:  para  construir  un  modelo  conceptual  que  investigue temas  específicos.  Por  ejemplo:  tiempos  y  perfiles  de  ruptura  del trazador, meseta de relación WOR de depósitos de múltiples capas, para investigar la aplicación de nueva tecnología (basada en polímeros o basada en térmicas). Problemas de conformance, aplicabilidad del polímero en un campo específico, investigar el efecto del espaciamiento de  pozos  y  los  tipos  de  patrones  (5  puntos,  5 puntos  invertidos,  7 puntos,  unidad  de  línea)  en  proyectos  EOR  químicos.  Un  estudio conceptual para desarrollar una metodología práctica para tecnologías nuevas  y  actuales  basadas  en  datos  de  campo  y  de  laboratorio (metodología para modelar polímeros de preferencia cruzada, nano- surfactante).  Desarrollar  una  metodología  para  integrar  y  modelar
pozos de múltiples segmentos y datos ILT.</t>
  </si>
  <si>
    <t>Control de calidad del dato adquirido para valorar representatividad de la prueba en cuestión. De ser válidas, levantamiento de información de entrada para análisis e interpretación (registros de desviación, estado mecánico de cada pozo, caliper/bit size ("), espesor neto (pies TVD), porosidad  media  (phi),  Sw,  PVT,  producciones  asociadas,  corte  de
agua, salinidades, mapa estructural, etc.</t>
  </si>
  <si>
    <t>Adelantar   la   evaluación   e  de productividad en los activos</t>
  </si>
  <si>
    <t xml:space="preserve">Generar  los  análisis  asociados  a </t>
  </si>
  <si>
    <t>Informe y/o presentación</t>
  </si>
  <si>
    <r>
      <t xml:space="preserve">8.1 8.2 8.3 8.4 8.5 8.6 Junior (OJ): 
</t>
    </r>
    <r>
      <rPr>
        <sz val="9"/>
        <color theme="1"/>
        <rFont val="Verdana"/>
        <family val="2"/>
      </rPr>
      <t>* Realizar capacitación sobre el uso de la funcionalidad de cálculo de VPN por patrón en la Solución Digital de Planes de Desarrollo (SDPD).
* Recopilar desde la SDPD la información paramétrica correspondiente al Plan de Desarrollo 2025 del campo Llanito Unificado.
* Reestructurar la parametrización con el fin de ejecutar los diferentes escenarios de desarrollo del campo Llanito Unificado en una única corrida del modelo.
* Reestructurar la configuración de complejidad de las facilidades del campo Llanito Unificado, simplificando su parametrización sin afectar la calidad de los resultados, garantizando la replicabilidad con diferencias marginales o despreciables.
* Cargar y ejecutar los modelos determinístico y probabilístico asociados al Plan de Desarrollo 2025 del campo Llanito Unificado en la versión vigente de la SDPD.
* Comparar y analizar los resultados obtenidos en cada ejecución, identificando variaciones, impactos en los indicadores económicos y consistencia de los resultados.
* Identificar, documentar y realizar seguimiento a la corrección de los errores (bugs) detectados durante la ejecución del modelo del Plan de Desarrollo del campo Llanito Unificado.</t>
    </r>
  </si>
  <si>
    <r>
      <t xml:space="preserve">8.1 8.2 8.3 8.4 8.5 8.6 Junior (OJ): 
</t>
    </r>
    <r>
      <rPr>
        <sz val="9"/>
        <color theme="1"/>
        <rFont val="Verdana"/>
        <family val="2"/>
      </rPr>
      <t>* Configuración de equipo e instalación de dependencias de la Solución Digital de Planes de Desarrollo.
* Corrección de errores que se presentaron duranta la instalación de dependencias del item 1.
* Elaboración de documento instructivo para la configuración y corrección de errores al instalar la Solución Digital de Planes de Desarrollo
* Actualización parcial de la clase checkpoint_panel.py para la integración de escenarios de desarrollo generados con el modelo proxy económico
* Recopilar de la Solución Digital de Planes de desarrollo la información paramétrica del plan de desarrollo del activo casabe del año 2024
* Cargue y ejecución del modelo correspondiente al Plan de Desarrollo del año 2024 del activo Casabe en la versión actual de la Solución Digital de Planes de Desarrollo</t>
    </r>
  </si>
  <si>
    <r>
      <t xml:space="preserve">4.3 4.4 4.8 Básico (CS):
</t>
    </r>
    <r>
      <rPr>
        <sz val="9"/>
        <color theme="1"/>
        <rFont val="Verdana"/>
        <family val="2"/>
      </rPr>
      <t>4.3. Se trabaja en el análisis del comportamiento der las diferentes muestras analizadas en el ICPET de Loma Larga-10, se realiza sesión con el laboratorio para entender los comportamientos anómalos que se evidenciaron en los resultados experimentales y que son indicativo de que cada una de las zonas muestreadas tienen fluidos diferentes. Se trabaja en integrar información de cromatografías de campos cercanos de formación Honda para un análisis más completo con campo.
4.4. Retomando actividades del año 2025, se realiza la revisión de reportes cargados a la base de datos para aquellos que presentaban algún error en las herramientas de almacenamiento del reporte original, corrección de errores de carga. 
4.8. Para dar soporte para pruebas de desplazamiento en núcleos tomados en el pozo Palogrande-64, se trabaja en una actualización de la presentación del modelo de fluidos del campo Palogrande, haciendo énfasis en las muestras tomadas en las arenas intermedias de la formación Honda y las tablas PVT generadas en 2025.
Vo.Bo. Recibido vía correo electrónico 30/01/2026.</t>
    </r>
  </si>
  <si>
    <r>
      <rPr>
        <b/>
        <sz val="9"/>
        <color theme="1"/>
        <rFont val="Verdana"/>
        <family val="2"/>
      </rPr>
      <t>4.3 4.4 4.8 Básico (NA):</t>
    </r>
    <r>
      <rPr>
        <sz val="9"/>
        <color theme="1"/>
        <rFont val="Verdana"/>
        <family val="2"/>
      </rPr>
      <t xml:space="preserve">
Se interpreta información de pruebas de producción del pozo Loro-16ST formación Villeta N. Se realizan prueba de escritorio de información PVT cargada en el año 2025. Se actualizan las tablas de información PVT que se comparten anualmente con la ANH. Se calculan datos de densidad y viscosidad para el sistema de fluidos del campo Pachaquiaro a 200°F y 215°F entregados al equipo PVT VEX. Se genera un set de tablas PVT que representa el comportamiento volumétrico del sistema de fluidos del campo Loro formación Villeta N. Se construye una presentación del modelo de fluidos del campo Capachos-Andina.</t>
    </r>
  </si>
  <si>
    <r>
      <rPr>
        <b/>
        <sz val="9"/>
        <color theme="1"/>
        <rFont val="Verdana"/>
        <family val="2"/>
      </rPr>
      <t xml:space="preserve">4.3 4.4 4.8 Básico (NA):
</t>
    </r>
    <r>
      <rPr>
        <sz val="9"/>
        <color theme="1"/>
        <rFont val="Verdana"/>
        <family val="2"/>
      </rPr>
      <t>Se consolidó y entregó al equipo de desarrollo el documento resumen del trabajo para la construcción del modelo PVT del campo Pachaquiaro. Se actualizaron propiedades PVT para reportes ANH del campo Suria mediante trabajo conjunto con Reservas y sesiones de respuesta a requerimientos. Se realizaron sesiones de Well Review para validar consistencia entre datos PVT y pruebas iniciales/históricos de producción de los campos Andina, Capachos y Capachos Sur. Se alineó el enfoque metodológico del modelo (variación composicional vs. black oil) y se definió trabajar bajo esquema black oil en el modelo de fluidos de los campos Andina, Capachos y Capachos Sur. Se generaron en WinProp las composiciones de inicialización de los campos Andina, Capachos y Capachos Sur como insumo para integración del modelo. Se inventarió y organizó la información Assay III del Putumayo y se compartieron los Assay III del Área Sur. Se cerró el soporte PVT al equipo de desarrollo del modelo dinámico de Villeta N en Loro, entregando slides para presentación ejecutiva y reuniones con socio. Se desarrolló la primera versión de un código específico de recombinación de pozos commingled para el sistema de fluidos del campo Suria. Se incorporaron condicionales al código para identificar campo por UWI y asignar automáticamente el modelo de fluidos correspondiente. Se generaron sensibilidades de viscosidad de crudo vivo para Kimera usando la EoS Suria–Pachaquiaro T2, variando Rs y temperatura según solicitudes.</t>
    </r>
  </si>
  <si>
    <r>
      <t xml:space="preserve">4.3 4.4 4.8 Junior (JDAM): 
</t>
    </r>
    <r>
      <rPr>
        <sz val="9"/>
        <color theme="1"/>
        <rFont val="Verdana"/>
        <family val="2"/>
      </rPr>
      <t xml:space="preserve">* Se gestionaron y aprobaron de manera satisfactoria los accesos a los diferentes servicios, plataformas y herramientas tecnológicas necesarias para el desarrollo de las actividades operativas y técnicas. Entre los accesos habilitados se incluyen Puesto Digital, los servicios de comunicación institucional (Correo electrónico y Microsoft Teams), la conexión remota segura mediante VPN, así como las aplicaciones especializadas CMG, Petrel, TNavigator, Sahara y Ecosearch, garantizando así la disponibilidad de los recursos tecnológicos requeridos para el correcto desempeño de las funciones asignadas.
* Se realiza la revisión de la base de datos ecoVisor PVT, incluyendo la carga de la información faltante previamente asignada y correspondiente al periodo 2025, así como la ejecución de pruebas de escritorio orientadas a la validación y aseguramiento de la calidad de los datos almacenados. Estas actividades permiten verificar la correcta funcionalidad, consistencia e integridad de la información, así como la identificación de posibles incidencias tanto en la herramienta de visualización (ecoVisor PVT) como en el módulo de carga de datos (PVT – Reportes de Laboratorio).
* Comparación Modelos de Solubilidad en Salmuera e Información Experimental CoreLab e UNAL Sede Medellín para Galán. Un estudio de Solubilidad utilizando agua destilada, salmuera tipo Galán (50000 ppm) y CO2 fue diseñado y realizado por CoreLab y la UNAL en un amplio rango de presiones y temperatura de yacimiento (140ºF). Una vez la información experimental fue enviada por los laboratorios externos, se procedió a compararla con los diferentes modelos de Solubilidad con los que cuenta la compañía dentro de su Software corporativo ecoPVT+.
* Cálculo Solubilidad de CO2 en un acuífero perteneciente al Valle Medio del Magdalena utilizando las energías calculadas por Dinámica Molecular y la ecuación de estado avanzada e-CPA. Se utilizaron las energías de asociación encontradas por dinámica molecular y los volúmenes de asociación reportados en literatura para un sistema CO2-Salmuera (50.000 ppm de NaCl) a 5 presiones diferentes (945, 1945, 3008, 4020, 4990 psia) y temperatura de 140ºF. </t>
    </r>
  </si>
  <si>
    <r>
      <t xml:space="preserve">4.3 4.4 4.8 Junior (JDAM): 
</t>
    </r>
    <r>
      <rPr>
        <sz val="9"/>
        <color theme="1"/>
        <rFont val="Verdana"/>
        <family val="2"/>
      </rPr>
      <t xml:space="preserve">Carga de los reportes PVT y de caracterización de hidrocarburos en la plataforma ETLWeb PVT incorporando la información correspondiente al reporte Quifa-325H Assay III. Pruebas de escritorio sobre los reportes PVT y de caracterización de hidrocarburos correspondientes a los pozos Lorito-A1, Capachos Sur-1, Chichimene-175 y Tejón-1.
Revisión técnica de los requerimientos asociados a las plataformas ETLWeb PVT y ecoVisor PVT correspondientes al periodo 2026. El objetivo es evaluar su viabilidad, consistencia funcional y alineación con las necesidades operativas y de gestión de datos.
Construcción Modelo de Fluidos Crudo Muerto para los campos Rubiales, Quifa y Caño Sur usando 5 diferentes Assay´s III representativos: La construcción del modelo incluyó la integración y análisis de la información composicional, la caracterización de los cortes y las fracciones pesadas y la validación de propiedades fisicoquímicas. 
Construcción Modelo de Fluidos Crudo Muerto para los campos Rubiales, Quifa y Caño Sur usando los Assay,s III de Rb-1572H y Rb-1319 y diferentes aproximaciones para la caracterización de la Fracción pesada (Mod KF/Satyro, Castellanos y Soreide): La construcción del modelo incluyó la implementación y evaluación de tres enfoques metodológicos para la caracterización de la fracción pesada, considerando la representación composicional, ajuste de propiedades de la fracción pesada y consistencia termodinámica del sistema. 
Construcción Modelo de Fluidos Crudo Muerto para los campos Rubiales, Quifa y Caño Sur usando los Assay,s III de Rb-1572H y Rb-1319, 2 aproximaciones para la caracterización de la Fracción pesada y 6 diferentes correlaciones para el cálculo de las Propiedades Críticas y Factor Acéntrico: El desarrollo del modelo incluyó la implementación de dos enfoques metodológicos para la caracterización de la fracción pesada, así como la evaluación de seis correlaciones para la estimación de las propiedades críticas y el factor acéntrico de los pseudocomponentes generados. 
Revisión de la Información Experimental de los Assay´s III de Crudos Pesados y Extrapesados reportados en el trabajo de grado de Maria Catalina Sanchez enfocados a la tendencia de SG y Tb: Se realizó la revisión técnica de la información experimental correspondiente a los Assay’s III de crudos pesados y extrapesados reportados en el trabajo de grado de María Catalina Sánchez, enfocada en el análisis de las tendencias de gravedad específica (SG) y temperatura de ebullición (Tb). 
Análisis Correlación "New Method Castellanos" para el cálculo de SG a partir de Tbi para los fluidos de la Tesis "Extended Distillation and Property Correlations for Heavy Oil" y los campos Rubiales, Quifa y CASE: Se realizó el análisis de la correlación “New Method Castellanos” para la estimación de la gravedad específica (SG) a partir de la temperatura de ebullición inicial (Tbi), utilizando los fluidos reportados en la tesis “Extended Distillation and Property Correlations for Heavy Oil”, así como los correspondientes a los campos Rubiales, Quifa y Caño Sur (CASE). 
Comparación Ajuste de Parámetros para la correlación “New Method Castellanos” en Excel y software corporativo ecoPVT+: Se realizó la comparación del ajuste de parámetros de la correlación “New Method Castellanos” mediante su implementación en Excel y en el software corporativo ecoPVT+, con el objetivo de evaluar la consistencia y reproducibilidad de los resultados. </t>
    </r>
  </si>
  <si>
    <t>Se solicitaron y se aprobaron correctamente el acceso a los siguientes servicios: 
o	Puesto Digital
o	Correo, Teams
o	VPN
o	CMG
o	Petrel
o	Tnavigator
o	Sahara
o	Ecosearch
o	Acceso a carpeta compartida \\10.100.25.60\sya\CCUS\GALAN 
Se realizó reunión de verificación de hallazgos y conclusiones del trabajo finalizado en diciembre del 2025
Se solicitó correr un caso de simulación actualizando los controles operativos más recientes y disponibles de los pozos Galn 80, 123, 124 y 133. Para el desarrollo de esta actividad, se realizaron reuniones con el equipo de la gerencia del activo, quienes suministraron los datos de BHP más recientes de los pozos. Se corrió simulación y se socializaron los resultados con el equipo de CCUS
Se solicitó recopilar las reservas aprobadas para los pozos Galn-80, 123, 124 y 133. Para el desarrollo de esta actividad se solicitó dicha información al equipo de desarrollo del campo. Una vez compilados los datos, se socializaron con el equipo de CCUS
Se solicitó correr el caso optimo definido por CMOST (Dic 2025) sin variar la tasa de inyección de gas, una vez se obtuvieron los resultados, estos fueron socializados en con el equipo CCUS
Se solicitó realizar una corrida para evaluar el impacto en la producción acumulada de aceite al reducir la presurización del modelo. Se sigue trabajando en esta actividad.
Actualmente se realiza construcción de estudio de análisis se incertidumbre en CMOST</t>
  </si>
  <si>
    <t xml:space="preserve">Análisis y resultados del cumplimiento y ejecución del plan MMV en campo llanito unificado, para las fases: línea base, inyección y estabilización. 
Construcción de requerimientos técnicos que aseguren la integridad de los pozos de la iniciativa WAG en Galán. 
Construcción de requerimientos técnicos que aseguren las prefactibilidades necesarias para reducir incertidumbre antes de la ejecución del proyecto piloto WAG en el campo Galán. 
Creación de células de trabajo en equipos de teams para planeación de iniciativa WAG en el campo Galán. 
O15Seguimiento al plan MMV etapa post inyección. </t>
  </si>
  <si>
    <t xml:space="preserve">Construcción del plan de trabajo de la célula de Yacimiento Y productividad. 
Construcción de plan de trabajo y priorización de actividades de la célula de Integridad. 
Análisis de informes técnicos de resultados de calidad de agua, con el objetivo de demostrar la evaluación de diagnósticos realizados en el campo Llanito Unificado (2019-2024)
Definición de parámetros de calidad de agua, vista proyecto WAG en el campo Galán, para búsqueda de nuevas tecnologías en el mercado.
Construcción de matriz de ponderación para evaluación de nuevas metodologías para mejorar la calidad de Agua del campo Galán.
Análisis de fallas de los pozos productores de interés para el proyecto de Inyección de CO2 en el campo Galán.
Gestión ante los diferentes equipos ejecutores de las mediciones del plan MMV del proyecto WAG ciclo coroto del campo llanito Unificado para la entrega y consolidación de resultados. 
Participación en reuniones de seguimiento al proyecto WAG de ciclo corto.
Programación de reuniones de seguimiento y gestiona miento de actividades de células de trabajo.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</si>
</sst>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1" x14ac:knownFonts="1">
    <font>
      <sz val="11"/>
      <color theme="1"/>
      <name val="Calibri"/>
      <family val="2"/>
      <scheme val="minor"/>
    </font>
    <font>
      <sz val="11"/>
      <color theme="1"/>
      <name val="Calibri"/>
      <family val="2"/>
      <scheme val="minor"/>
    </font>
    <font>
      <sz val="9"/>
      <color theme="1"/>
      <name val="Verdana"/>
      <family val="2"/>
    </font>
    <font>
      <sz val="9"/>
      <color theme="1"/>
      <name val="Calibri"/>
      <family val="2"/>
      <scheme val="minor"/>
    </font>
    <font>
      <b/>
      <sz val="9"/>
      <color theme="1"/>
      <name val="Verdana"/>
      <family val="2"/>
    </font>
    <font>
      <b/>
      <i/>
      <sz val="9"/>
      <color theme="1"/>
      <name val="Verdana"/>
      <family val="2"/>
    </font>
    <font>
      <sz val="20"/>
      <color theme="1"/>
      <name val="Verdana"/>
      <family val="2"/>
    </font>
    <font>
      <sz val="9"/>
      <color theme="0" tint="-0.499984740745262"/>
      <name val="Verdana"/>
      <family val="2"/>
    </font>
    <font>
      <sz val="9"/>
      <color indexed="81"/>
      <name val="Tahoma"/>
      <family val="2"/>
    </font>
    <font>
      <sz val="9"/>
      <color rgb="FF000000"/>
      <name val="Tahoma"/>
      <family val="2"/>
    </font>
    <font>
      <sz val="9"/>
      <color rgb="FF000000"/>
      <name val="Verdana"/>
      <family val="2"/>
    </font>
  </fonts>
  <fills count="5">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0" tint="-0.14999847407452621"/>
        <bgColor indexed="64"/>
      </patternFill>
    </fill>
  </fills>
  <borders count="3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
      <left/>
      <right/>
      <top/>
      <bottom style="thin">
        <color indexed="64"/>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diagonal/>
    </border>
    <border>
      <left style="thin">
        <color indexed="64"/>
      </left>
      <right style="hair">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thin">
        <color indexed="64"/>
      </left>
      <right/>
      <top style="thin">
        <color indexed="64"/>
      </top>
      <bottom style="hair">
        <color indexed="64"/>
      </bottom>
      <diagonal/>
    </border>
    <border>
      <left style="thin">
        <color indexed="64"/>
      </left>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146">
    <xf numFmtId="0" fontId="0" fillId="0" borderId="0" xfId="0"/>
    <xf numFmtId="0" fontId="2" fillId="0" borderId="0" xfId="0" applyFont="1"/>
    <xf numFmtId="0" fontId="3" fillId="0" borderId="0" xfId="0" applyFont="1"/>
    <xf numFmtId="0" fontId="2" fillId="0" borderId="5" xfId="0" applyFont="1" applyBorder="1"/>
    <xf numFmtId="0" fontId="2" fillId="0" borderId="0" xfId="0" applyFont="1" applyAlignment="1">
      <alignment vertical="center"/>
    </xf>
    <xf numFmtId="0" fontId="3" fillId="0" borderId="0" xfId="0" applyFont="1" applyAlignment="1">
      <alignment vertical="center"/>
    </xf>
    <xf numFmtId="49" fontId="4" fillId="2" borderId="7" xfId="0" applyNumberFormat="1" applyFont="1" applyFill="1" applyBorder="1" applyAlignment="1">
      <alignment horizontal="center" vertical="center"/>
    </xf>
    <xf numFmtId="14" fontId="4" fillId="2" borderId="7" xfId="0" applyNumberFormat="1" applyFont="1" applyFill="1" applyBorder="1" applyAlignment="1">
      <alignment horizontal="center" vertical="center"/>
    </xf>
    <xf numFmtId="0" fontId="0" fillId="0" borderId="0" xfId="0" applyAlignment="1">
      <alignment vertical="center"/>
    </xf>
    <xf numFmtId="164" fontId="4" fillId="0" borderId="7" xfId="1" applyNumberFormat="1" applyFont="1" applyBorder="1" applyAlignment="1" applyProtection="1">
      <alignment horizontal="center" vertical="center"/>
    </xf>
    <xf numFmtId="0" fontId="4" fillId="4" borderId="1" xfId="0" applyFont="1" applyFill="1" applyBorder="1" applyAlignment="1">
      <alignment vertical="center"/>
    </xf>
    <xf numFmtId="0" fontId="4" fillId="4" borderId="0" xfId="0" applyFont="1" applyFill="1" applyAlignment="1">
      <alignment vertical="center"/>
    </xf>
    <xf numFmtId="0" fontId="4" fillId="4" borderId="3" xfId="0" applyFont="1" applyFill="1" applyBorder="1" applyAlignment="1">
      <alignment vertical="center"/>
    </xf>
    <xf numFmtId="0" fontId="2" fillId="0" borderId="7" xfId="0" applyFont="1" applyBorder="1" applyAlignment="1">
      <alignment horizontal="center" vertical="center"/>
    </xf>
    <xf numFmtId="0" fontId="6" fillId="0" borderId="7" xfId="0" applyFont="1" applyBorder="1" applyAlignment="1">
      <alignment horizontal="center"/>
    </xf>
    <xf numFmtId="0" fontId="4" fillId="0" borderId="0" xfId="0" applyFont="1" applyAlignment="1">
      <alignment horizontal="center" vertical="center"/>
    </xf>
    <xf numFmtId="164" fontId="4" fillId="0" borderId="0" xfId="1" applyNumberFormat="1" applyFont="1" applyBorder="1" applyAlignment="1" applyProtection="1">
      <alignment horizontal="center" vertical="center"/>
    </xf>
    <xf numFmtId="1" fontId="4" fillId="0" borderId="0" xfId="0" applyNumberFormat="1" applyFont="1" applyAlignment="1">
      <alignment horizontal="center" vertical="center"/>
    </xf>
    <xf numFmtId="0" fontId="2" fillId="0" borderId="4" xfId="0" applyFont="1" applyBorder="1"/>
    <xf numFmtId="0" fontId="2" fillId="0" borderId="6" xfId="0" applyFont="1" applyBorder="1"/>
    <xf numFmtId="0" fontId="2" fillId="0" borderId="8" xfId="0" applyFont="1" applyBorder="1" applyAlignment="1">
      <alignment vertical="center"/>
    </xf>
    <xf numFmtId="0" fontId="2" fillId="0" borderId="9" xfId="0" applyFont="1" applyBorder="1" applyAlignment="1">
      <alignment vertical="center"/>
    </xf>
    <xf numFmtId="49" fontId="4" fillId="0" borderId="0" xfId="0" applyNumberFormat="1" applyFont="1" applyAlignment="1">
      <alignment horizontal="center" vertical="center"/>
    </xf>
    <xf numFmtId="14" fontId="4" fillId="0" borderId="0" xfId="0" applyNumberFormat="1" applyFont="1" applyAlignment="1">
      <alignment horizontal="center" vertical="center"/>
    </xf>
    <xf numFmtId="0" fontId="2" fillId="0" borderId="9" xfId="0" applyFont="1" applyBorder="1"/>
    <xf numFmtId="0" fontId="2" fillId="0" borderId="8" xfId="0" applyFont="1" applyBorder="1"/>
    <xf numFmtId="0" fontId="3" fillId="0" borderId="0" xfId="0" applyFont="1" applyAlignment="1">
      <alignment wrapText="1"/>
    </xf>
    <xf numFmtId="0" fontId="0" fillId="0" borderId="0" xfId="0" applyAlignment="1">
      <alignment wrapText="1"/>
    </xf>
    <xf numFmtId="0" fontId="3" fillId="0" borderId="0" xfId="0" applyFont="1" applyAlignment="1">
      <alignment vertical="center" wrapText="1"/>
    </xf>
    <xf numFmtId="0" fontId="3" fillId="0" borderId="0" xfId="0" applyFont="1" applyAlignment="1">
      <alignment horizontal="left" vertical="center" wrapText="1"/>
    </xf>
    <xf numFmtId="0" fontId="0" fillId="0" borderId="0" xfId="0" applyAlignment="1">
      <alignment horizontal="left" wrapText="1"/>
    </xf>
    <xf numFmtId="0" fontId="2" fillId="0" borderId="9" xfId="0" applyFont="1" applyBorder="1" applyAlignment="1">
      <alignment horizontal="center" vertical="center"/>
    </xf>
    <xf numFmtId="0" fontId="2" fillId="0" borderId="16" xfId="0" applyFont="1" applyBorder="1" applyAlignment="1">
      <alignment horizontal="center" vertical="center"/>
    </xf>
    <xf numFmtId="0" fontId="2" fillId="0" borderId="17" xfId="0" applyFont="1" applyBorder="1" applyAlignment="1">
      <alignment horizontal="center" vertical="center"/>
    </xf>
    <xf numFmtId="0" fontId="2" fillId="0" borderId="20" xfId="0" applyFont="1" applyBorder="1" applyAlignment="1">
      <alignment horizontal="left" vertical="center"/>
    </xf>
    <xf numFmtId="0" fontId="2" fillId="3" borderId="20" xfId="0" applyFont="1" applyFill="1" applyBorder="1" applyAlignment="1">
      <alignment horizontal="center" vertical="center"/>
    </xf>
    <xf numFmtId="0" fontId="2" fillId="0" borderId="20" xfId="0" applyFont="1" applyBorder="1" applyAlignment="1">
      <alignment horizontal="center" vertical="center"/>
    </xf>
    <xf numFmtId="9" fontId="2" fillId="0" borderId="20" xfId="1" applyFont="1" applyBorder="1" applyAlignment="1" applyProtection="1">
      <alignment horizontal="center" vertical="center"/>
    </xf>
    <xf numFmtId="1" fontId="2" fillId="0" borderId="20" xfId="0" applyNumberFormat="1" applyFont="1" applyBorder="1" applyAlignment="1">
      <alignment horizontal="center" vertical="center"/>
    </xf>
    <xf numFmtId="0" fontId="2" fillId="0" borderId="13" xfId="0" applyFont="1" applyBorder="1" applyAlignment="1">
      <alignment horizontal="center" vertical="center"/>
    </xf>
    <xf numFmtId="0" fontId="2" fillId="0" borderId="11" xfId="0" applyFont="1" applyBorder="1" applyAlignment="1">
      <alignment horizontal="center" vertical="center"/>
    </xf>
    <xf numFmtId="0" fontId="2" fillId="0" borderId="18" xfId="0" applyFont="1" applyBorder="1" applyAlignment="1">
      <alignment horizontal="left" vertical="center"/>
    </xf>
    <xf numFmtId="0" fontId="2" fillId="3" borderId="18" xfId="0" applyFont="1" applyFill="1" applyBorder="1" applyAlignment="1">
      <alignment horizontal="center" vertical="center"/>
    </xf>
    <xf numFmtId="0" fontId="2" fillId="0" borderId="18" xfId="0" applyFont="1" applyBorder="1" applyAlignment="1">
      <alignment horizontal="center" vertical="center"/>
    </xf>
    <xf numFmtId="9" fontId="2" fillId="0" borderId="18" xfId="1" applyFont="1" applyBorder="1" applyAlignment="1" applyProtection="1">
      <alignment horizontal="center" vertical="center"/>
    </xf>
    <xf numFmtId="1" fontId="2" fillId="0" borderId="18" xfId="0" applyNumberFormat="1" applyFont="1" applyBorder="1" applyAlignment="1">
      <alignment horizontal="center" vertical="center"/>
    </xf>
    <xf numFmtId="0" fontId="2" fillId="0" borderId="14" xfId="0" applyFont="1" applyBorder="1" applyAlignment="1">
      <alignment horizontal="center" vertical="center"/>
    </xf>
    <xf numFmtId="0" fontId="2" fillId="0" borderId="15" xfId="0" applyFont="1" applyBorder="1" applyAlignment="1">
      <alignment horizontal="center" vertical="center"/>
    </xf>
    <xf numFmtId="0" fontId="2" fillId="0" borderId="19" xfId="0" applyFont="1" applyBorder="1" applyAlignment="1">
      <alignment horizontal="left" vertical="center"/>
    </xf>
    <xf numFmtId="0" fontId="2" fillId="3" borderId="19" xfId="0" applyFont="1" applyFill="1" applyBorder="1" applyAlignment="1">
      <alignment horizontal="center" vertical="center"/>
    </xf>
    <xf numFmtId="0" fontId="2" fillId="0" borderId="19" xfId="0" applyFont="1" applyBorder="1" applyAlignment="1">
      <alignment horizontal="center" vertical="center"/>
    </xf>
    <xf numFmtId="9" fontId="2" fillId="0" borderId="19" xfId="1" applyFont="1" applyBorder="1" applyAlignment="1" applyProtection="1">
      <alignment horizontal="center" vertical="center"/>
    </xf>
    <xf numFmtId="1" fontId="2" fillId="0" borderId="19" xfId="0" applyNumberFormat="1" applyFont="1" applyBorder="1" applyAlignment="1">
      <alignment horizontal="center" vertical="center"/>
    </xf>
    <xf numFmtId="9" fontId="2" fillId="0" borderId="20" xfId="1" applyFont="1" applyFill="1" applyBorder="1" applyAlignment="1" applyProtection="1">
      <alignment horizontal="center" vertical="center"/>
    </xf>
    <xf numFmtId="9" fontId="2" fillId="0" borderId="18" xfId="1" applyFont="1" applyFill="1" applyBorder="1" applyAlignment="1" applyProtection="1">
      <alignment horizontal="center" vertical="center"/>
    </xf>
    <xf numFmtId="9" fontId="2" fillId="0" borderId="19" xfId="1" applyFont="1" applyFill="1" applyBorder="1" applyAlignment="1" applyProtection="1">
      <alignment horizontal="center" vertical="center"/>
    </xf>
    <xf numFmtId="0" fontId="10" fillId="0" borderId="26" xfId="0" applyFont="1" applyBorder="1" applyAlignment="1">
      <alignment horizontal="left" vertical="center"/>
    </xf>
    <xf numFmtId="0" fontId="10" fillId="0" borderId="27" xfId="0" applyFont="1" applyBorder="1" applyAlignment="1">
      <alignment horizontal="left" vertical="center"/>
    </xf>
    <xf numFmtId="0" fontId="10" fillId="0" borderId="28" xfId="0" applyFont="1" applyBorder="1" applyAlignment="1">
      <alignment horizontal="left" vertical="center"/>
    </xf>
    <xf numFmtId="0" fontId="2" fillId="2" borderId="7" xfId="0" applyFont="1" applyFill="1" applyBorder="1" applyAlignment="1">
      <alignment horizontal="center" vertical="center" wrapText="1"/>
    </xf>
    <xf numFmtId="0" fontId="2" fillId="0" borderId="0" xfId="0" applyFont="1" applyAlignment="1">
      <alignment horizontal="center" vertical="center"/>
    </xf>
    <xf numFmtId="0" fontId="4" fillId="2" borderId="7" xfId="0" applyFont="1" applyFill="1" applyBorder="1" applyAlignment="1">
      <alignment horizontal="center" vertical="center"/>
    </xf>
    <xf numFmtId="0" fontId="4" fillId="0" borderId="7" xfId="0" applyFont="1" applyBorder="1" applyAlignment="1">
      <alignment horizontal="center" vertical="center"/>
    </xf>
    <xf numFmtId="0" fontId="10" fillId="0" borderId="22" xfId="0" applyFont="1" applyBorder="1" applyAlignment="1">
      <alignment horizontal="left" vertical="center"/>
    </xf>
    <xf numFmtId="0" fontId="10" fillId="0" borderId="23" xfId="0" applyFont="1" applyBorder="1" applyAlignment="1">
      <alignment horizontal="left" vertical="center"/>
    </xf>
    <xf numFmtId="0" fontId="10" fillId="0" borderId="24" xfId="0" applyFont="1" applyBorder="1" applyAlignment="1">
      <alignment horizontal="left" vertical="center"/>
    </xf>
    <xf numFmtId="0" fontId="2" fillId="0" borderId="29" xfId="0" applyFont="1" applyBorder="1" applyAlignment="1">
      <alignment horizontal="center" vertical="center"/>
    </xf>
    <xf numFmtId="0" fontId="2" fillId="0" borderId="30" xfId="0" applyFont="1" applyBorder="1" applyAlignment="1">
      <alignment horizontal="center" vertical="center"/>
    </xf>
    <xf numFmtId="0" fontId="2" fillId="0" borderId="7" xfId="0" applyFont="1" applyBorder="1" applyAlignment="1">
      <alignment horizontal="left" vertical="center"/>
    </xf>
    <xf numFmtId="0" fontId="10" fillId="0" borderId="3" xfId="0" applyFont="1" applyBorder="1" applyAlignment="1">
      <alignment horizontal="left" vertical="center"/>
    </xf>
    <xf numFmtId="0" fontId="2" fillId="3" borderId="7" xfId="0" applyFont="1" applyFill="1" applyBorder="1" applyAlignment="1">
      <alignment horizontal="center" vertical="center"/>
    </xf>
    <xf numFmtId="9" fontId="2" fillId="0" borderId="7" xfId="1" applyFont="1" applyBorder="1" applyAlignment="1" applyProtection="1">
      <alignment horizontal="center" vertical="center"/>
    </xf>
    <xf numFmtId="0" fontId="10" fillId="0" borderId="20" xfId="0" applyFont="1" applyBorder="1" applyAlignment="1">
      <alignment horizontal="left" vertical="center"/>
    </xf>
    <xf numFmtId="0" fontId="10" fillId="0" borderId="18" xfId="0" applyFont="1" applyBorder="1" applyAlignment="1">
      <alignment horizontal="left" vertical="center"/>
    </xf>
    <xf numFmtId="0" fontId="10" fillId="0" borderId="19" xfId="0" applyFont="1" applyBorder="1" applyAlignment="1">
      <alignment horizontal="left" vertical="center"/>
    </xf>
    <xf numFmtId="0" fontId="4" fillId="0" borderId="2" xfId="0" applyFont="1" applyBorder="1" applyAlignment="1">
      <alignment horizontal="center" vertical="center"/>
    </xf>
    <xf numFmtId="0" fontId="2" fillId="0" borderId="22" xfId="0" applyFont="1" applyBorder="1" applyAlignment="1">
      <alignment horizontal="left" vertical="center"/>
    </xf>
    <xf numFmtId="0" fontId="2" fillId="0" borderId="23" xfId="0" applyFont="1" applyBorder="1" applyAlignment="1">
      <alignment horizontal="left" vertical="center"/>
    </xf>
    <xf numFmtId="0" fontId="2" fillId="0" borderId="24" xfId="0" applyFont="1" applyBorder="1" applyAlignment="1">
      <alignment horizontal="left" vertical="center"/>
    </xf>
    <xf numFmtId="0" fontId="2" fillId="0" borderId="3" xfId="0" applyFont="1" applyBorder="1" applyAlignment="1">
      <alignment horizontal="left" vertical="center"/>
    </xf>
    <xf numFmtId="0" fontId="2" fillId="0" borderId="0" xfId="0" applyFont="1" applyAlignment="1">
      <alignment horizontal="center"/>
    </xf>
    <xf numFmtId="0" fontId="2" fillId="0" borderId="13" xfId="0" applyFont="1" applyBorder="1" applyAlignment="1">
      <alignment horizontal="left" vertical="center"/>
    </xf>
    <xf numFmtId="0" fontId="10" fillId="0" borderId="7" xfId="0" applyFont="1" applyBorder="1" applyAlignment="1">
      <alignment horizontal="center" vertical="center" wrapText="1"/>
    </xf>
    <xf numFmtId="0" fontId="10" fillId="0" borderId="31" xfId="0" applyFont="1" applyBorder="1" applyAlignment="1">
      <alignment horizontal="left" vertical="center"/>
    </xf>
    <xf numFmtId="0" fontId="10" fillId="0" borderId="32" xfId="0" applyFont="1" applyBorder="1" applyAlignment="1">
      <alignment horizontal="left" vertical="center"/>
    </xf>
    <xf numFmtId="0" fontId="10" fillId="0" borderId="22" xfId="0" applyFont="1" applyBorder="1" applyAlignment="1">
      <alignment vertical="center"/>
    </xf>
    <xf numFmtId="0" fontId="10" fillId="0" borderId="23" xfId="0" applyFont="1" applyBorder="1" applyAlignment="1">
      <alignment vertical="center"/>
    </xf>
    <xf numFmtId="0" fontId="10" fillId="0" borderId="24" xfId="0" applyFont="1" applyBorder="1" applyAlignment="1">
      <alignment vertical="center"/>
    </xf>
    <xf numFmtId="0" fontId="10" fillId="0" borderId="18" xfId="0" applyFont="1" applyBorder="1" applyAlignment="1" applyProtection="1">
      <alignment vertical="center"/>
      <protection locked="0"/>
    </xf>
    <xf numFmtId="0" fontId="10" fillId="0" borderId="19" xfId="0" applyFont="1" applyBorder="1" applyAlignment="1" applyProtection="1">
      <alignment vertical="center"/>
      <protection locked="0"/>
    </xf>
    <xf numFmtId="0" fontId="10" fillId="0" borderId="20" xfId="0" applyFont="1" applyBorder="1" applyAlignment="1">
      <alignment vertical="center"/>
    </xf>
    <xf numFmtId="0" fontId="10" fillId="0" borderId="18" xfId="0" applyFont="1" applyBorder="1" applyAlignment="1">
      <alignment vertical="center"/>
    </xf>
    <xf numFmtId="0" fontId="10" fillId="0" borderId="19" xfId="0" applyFont="1" applyBorder="1" applyAlignment="1">
      <alignment vertical="center"/>
    </xf>
    <xf numFmtId="0" fontId="10" fillId="0" borderId="26" xfId="0" applyFont="1" applyBorder="1" applyAlignment="1">
      <alignment vertical="center"/>
    </xf>
    <xf numFmtId="0" fontId="10" fillId="0" borderId="27" xfId="0" applyFont="1" applyBorder="1" applyAlignment="1">
      <alignment vertical="center"/>
    </xf>
    <xf numFmtId="0" fontId="10" fillId="0" borderId="28" xfId="0" applyFont="1" applyBorder="1" applyAlignment="1">
      <alignment vertical="center"/>
    </xf>
    <xf numFmtId="0" fontId="10" fillId="0" borderId="31" xfId="0" applyFont="1" applyBorder="1" applyAlignment="1">
      <alignment vertical="center"/>
    </xf>
    <xf numFmtId="0" fontId="10" fillId="0" borderId="32" xfId="0" applyFont="1" applyBorder="1" applyAlignment="1">
      <alignment vertical="center"/>
    </xf>
    <xf numFmtId="0" fontId="10" fillId="0" borderId="3" xfId="0" applyFont="1" applyBorder="1" applyAlignment="1">
      <alignment vertical="center"/>
    </xf>
    <xf numFmtId="0" fontId="2" fillId="0" borderId="20" xfId="0" applyFont="1" applyBorder="1" applyAlignment="1" applyProtection="1">
      <alignment horizontal="left" vertical="center"/>
      <protection locked="0"/>
    </xf>
    <xf numFmtId="0" fontId="2" fillId="0" borderId="18" xfId="0" applyFont="1" applyBorder="1" applyAlignment="1" applyProtection="1">
      <alignment horizontal="left" vertical="center"/>
      <protection locked="0"/>
    </xf>
    <xf numFmtId="0" fontId="2" fillId="0" borderId="33" xfId="0" applyFont="1" applyBorder="1" applyAlignment="1" applyProtection="1">
      <alignment horizontal="left" vertical="center"/>
      <protection locked="0"/>
    </xf>
    <xf numFmtId="0" fontId="2" fillId="0" borderId="19" xfId="0" applyFont="1" applyBorder="1" applyAlignment="1" applyProtection="1">
      <alignment horizontal="left" vertical="center"/>
      <protection locked="0"/>
    </xf>
    <xf numFmtId="0" fontId="2" fillId="0" borderId="33" xfId="0" applyFont="1" applyBorder="1" applyAlignment="1">
      <alignment horizontal="left" vertical="center"/>
    </xf>
    <xf numFmtId="9" fontId="2" fillId="0" borderId="18" xfId="1" applyFont="1" applyBorder="1" applyAlignment="1">
      <alignment horizontal="center" vertical="center"/>
    </xf>
    <xf numFmtId="0" fontId="10" fillId="0" borderId="12" xfId="0" applyFont="1" applyBorder="1" applyAlignment="1">
      <alignment horizontal="center" vertical="center" wrapText="1"/>
    </xf>
    <xf numFmtId="0" fontId="10" fillId="0" borderId="25" xfId="0" applyFont="1" applyBorder="1" applyAlignment="1">
      <alignment horizontal="center" vertical="center" wrapText="1"/>
    </xf>
    <xf numFmtId="0" fontId="10" fillId="0" borderId="21" xfId="0" applyFont="1" applyBorder="1" applyAlignment="1">
      <alignment horizontal="center" vertical="center" wrapText="1"/>
    </xf>
    <xf numFmtId="0" fontId="10" fillId="0" borderId="12" xfId="0" applyFont="1" applyFill="1" applyBorder="1" applyAlignment="1">
      <alignment horizontal="center" vertical="center" wrapText="1"/>
    </xf>
    <xf numFmtId="0" fontId="10" fillId="0" borderId="21" xfId="0" applyFont="1" applyFill="1" applyBorder="1" applyAlignment="1">
      <alignment horizontal="center" vertical="center" wrapText="1"/>
    </xf>
    <xf numFmtId="0" fontId="10" fillId="0" borderId="25" xfId="0" applyFont="1" applyFill="1" applyBorder="1" applyAlignment="1">
      <alignment horizontal="center" vertical="center" wrapText="1"/>
    </xf>
    <xf numFmtId="0" fontId="7" fillId="0" borderId="7" xfId="0" applyFont="1" applyBorder="1" applyAlignment="1">
      <alignment horizontal="left" vertical="top"/>
    </xf>
    <xf numFmtId="0" fontId="2" fillId="0" borderId="10" xfId="0" applyFont="1" applyBorder="1" applyAlignment="1">
      <alignment horizontal="center"/>
    </xf>
    <xf numFmtId="0" fontId="2" fillId="0" borderId="5" xfId="0" applyFont="1" applyBorder="1" applyAlignment="1">
      <alignment horizontal="center" vertical="center"/>
    </xf>
    <xf numFmtId="0" fontId="2" fillId="0" borderId="0" xfId="0" applyFont="1" applyAlignment="1">
      <alignment horizontal="center" vertical="center" wrapText="1"/>
    </xf>
    <xf numFmtId="0" fontId="2" fillId="0" borderId="0" xfId="0" applyFont="1" applyAlignment="1">
      <alignment horizontal="center" vertical="center"/>
    </xf>
    <xf numFmtId="0" fontId="4" fillId="0" borderId="7" xfId="0" applyFont="1" applyBorder="1" applyAlignment="1">
      <alignment horizontal="center" vertical="center"/>
    </xf>
    <xf numFmtId="0" fontId="2" fillId="2" borderId="4"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4" fillId="2" borderId="1" xfId="0" applyFont="1" applyFill="1" applyBorder="1" applyAlignment="1">
      <alignment horizontal="left" vertical="top" wrapText="1"/>
    </xf>
    <xf numFmtId="0" fontId="4" fillId="2" borderId="2" xfId="0" applyFont="1" applyFill="1" applyBorder="1" applyAlignment="1">
      <alignment horizontal="left" vertical="top" wrapText="1"/>
    </xf>
    <xf numFmtId="0" fontId="4" fillId="2" borderId="3" xfId="0" applyFont="1" applyFill="1" applyBorder="1" applyAlignment="1">
      <alignment horizontal="left" vertical="top" wrapText="1"/>
    </xf>
    <xf numFmtId="0" fontId="2" fillId="2" borderId="1" xfId="0" applyFont="1" applyFill="1" applyBorder="1" applyAlignment="1">
      <alignment horizontal="left" vertical="top" wrapText="1"/>
    </xf>
    <xf numFmtId="0" fontId="2" fillId="2" borderId="2" xfId="0" applyFont="1" applyFill="1" applyBorder="1" applyAlignment="1">
      <alignment horizontal="left" vertical="top" wrapText="1"/>
    </xf>
    <xf numFmtId="0" fontId="4" fillId="3" borderId="7" xfId="0" applyFont="1" applyFill="1" applyBorder="1" applyAlignment="1">
      <alignment horizontal="center" vertical="center"/>
    </xf>
    <xf numFmtId="0" fontId="4" fillId="2" borderId="7" xfId="0" applyFont="1" applyFill="1" applyBorder="1" applyAlignment="1">
      <alignment horizontal="center" vertical="center"/>
    </xf>
    <xf numFmtId="0" fontId="4" fillId="2" borderId="25" xfId="0" applyFont="1" applyFill="1" applyBorder="1" applyAlignment="1">
      <alignment horizontal="center" vertical="center"/>
    </xf>
    <xf numFmtId="0" fontId="4" fillId="0" borderId="12" xfId="0" applyFont="1" applyBorder="1" applyAlignment="1">
      <alignment horizontal="center" vertical="center"/>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2" fillId="2" borderId="7" xfId="0" applyFont="1" applyFill="1" applyBorder="1" applyAlignment="1">
      <alignment horizontal="center" vertical="center"/>
    </xf>
    <xf numFmtId="0" fontId="4" fillId="3" borderId="4" xfId="0" applyFont="1" applyFill="1" applyBorder="1" applyAlignment="1">
      <alignment horizontal="center" vertical="center"/>
    </xf>
    <xf numFmtId="0" fontId="4" fillId="3" borderId="5" xfId="0" applyFont="1" applyFill="1" applyBorder="1" applyAlignment="1">
      <alignment horizontal="center" vertical="center"/>
    </xf>
    <xf numFmtId="0" fontId="4" fillId="3" borderId="6" xfId="0" applyFont="1" applyFill="1" applyBorder="1" applyAlignment="1">
      <alignment horizontal="center" vertical="center"/>
    </xf>
    <xf numFmtId="0" fontId="4" fillId="3" borderId="34" xfId="0" applyFont="1" applyFill="1" applyBorder="1" applyAlignment="1">
      <alignment horizontal="center" vertical="center"/>
    </xf>
    <xf numFmtId="0" fontId="4" fillId="3" borderId="10" xfId="0" applyFont="1" applyFill="1" applyBorder="1" applyAlignment="1">
      <alignment horizontal="center" vertical="center"/>
    </xf>
    <xf numFmtId="0" fontId="4" fillId="3" borderId="35" xfId="0" applyFont="1" applyFill="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0" borderId="34" xfId="0" applyFont="1" applyBorder="1" applyAlignment="1">
      <alignment horizontal="center" vertical="center"/>
    </xf>
    <xf numFmtId="0" fontId="4" fillId="0" borderId="10" xfId="0" applyFont="1" applyBorder="1" applyAlignment="1">
      <alignment horizontal="center" vertical="center"/>
    </xf>
    <xf numFmtId="0" fontId="4" fillId="0" borderId="35" xfId="0" applyFont="1" applyBorder="1" applyAlignment="1">
      <alignment horizontal="center" vertical="center"/>
    </xf>
  </cellXfs>
  <cellStyles count="2">
    <cellStyle name="Normal" xfId="0" builtinId="0"/>
    <cellStyle name="Porcentaje" xfId="1" builtinId="5"/>
  </cellStyles>
  <dxfs count="6">
    <dxf>
      <fill>
        <patternFill>
          <bgColor rgb="FFFF0000"/>
        </patternFill>
      </fill>
    </dxf>
    <dxf>
      <font>
        <b val="0"/>
        <i val="0"/>
        <color auto="1"/>
      </font>
      <fill>
        <patternFill>
          <bgColor theme="9" tint="0.79998168889431442"/>
        </patternFill>
      </fill>
    </dxf>
    <dxf>
      <fill>
        <patternFill>
          <bgColor rgb="FFFF0000"/>
        </patternFill>
      </fill>
    </dxf>
    <dxf>
      <font>
        <b val="0"/>
        <i val="0"/>
        <color auto="1"/>
      </font>
      <fill>
        <patternFill>
          <bgColor theme="9" tint="0.79998168889431442"/>
        </patternFill>
      </fill>
    </dxf>
    <dxf>
      <fill>
        <patternFill>
          <bgColor rgb="FFFF0000"/>
        </patternFill>
      </fill>
    </dxf>
    <dxf>
      <font>
        <b val="0"/>
        <i val="0"/>
        <color auto="1"/>
      </font>
      <fill>
        <patternFill>
          <bgColor theme="9"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1</xdr:col>
      <xdr:colOff>59531</xdr:colOff>
      <xdr:row>1</xdr:row>
      <xdr:rowOff>11907</xdr:rowOff>
    </xdr:from>
    <xdr:to>
      <xdr:col>3</xdr:col>
      <xdr:colOff>878680</xdr:colOff>
      <xdr:row>2</xdr:row>
      <xdr:rowOff>8854</xdr:rowOff>
    </xdr:to>
    <xdr:pic>
      <xdr:nvPicPr>
        <xdr:cNvPr id="2" name="Picture 17" descr="logo_meridian">
          <a:extLst>
            <a:ext uri="{FF2B5EF4-FFF2-40B4-BE49-F238E27FC236}">
              <a16:creationId xmlns:a16="http://schemas.microsoft.com/office/drawing/2014/main" xmlns="" id="{F9B80ED5-F718-411A-A788-AA9C68F70A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31006" y="240507"/>
          <a:ext cx="2171699" cy="6446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59531</xdr:colOff>
      <xdr:row>1</xdr:row>
      <xdr:rowOff>11907</xdr:rowOff>
    </xdr:from>
    <xdr:to>
      <xdr:col>3</xdr:col>
      <xdr:colOff>878680</xdr:colOff>
      <xdr:row>2</xdr:row>
      <xdr:rowOff>8854</xdr:rowOff>
    </xdr:to>
    <xdr:pic>
      <xdr:nvPicPr>
        <xdr:cNvPr id="3" name="Picture 17" descr="logo_meridian">
          <a:extLst>
            <a:ext uri="{FF2B5EF4-FFF2-40B4-BE49-F238E27FC236}">
              <a16:creationId xmlns:a16="http://schemas.microsoft.com/office/drawing/2014/main" xmlns="" id="{D92980AB-DAE3-4696-92E4-50EE1C3EFA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31006" y="240507"/>
          <a:ext cx="2171699" cy="6446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59531</xdr:colOff>
      <xdr:row>1</xdr:row>
      <xdr:rowOff>11907</xdr:rowOff>
    </xdr:from>
    <xdr:to>
      <xdr:col>3</xdr:col>
      <xdr:colOff>878680</xdr:colOff>
      <xdr:row>2</xdr:row>
      <xdr:rowOff>8854</xdr:rowOff>
    </xdr:to>
    <xdr:pic>
      <xdr:nvPicPr>
        <xdr:cNvPr id="2" name="Picture 17" descr="logo_meridian">
          <a:extLst>
            <a:ext uri="{FF2B5EF4-FFF2-40B4-BE49-F238E27FC236}">
              <a16:creationId xmlns:a16="http://schemas.microsoft.com/office/drawing/2014/main" xmlns="" id="{F9B80ED5-F718-411A-A788-AA9C68F70A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31006" y="240507"/>
          <a:ext cx="2343149" cy="6446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59531</xdr:colOff>
      <xdr:row>1</xdr:row>
      <xdr:rowOff>11907</xdr:rowOff>
    </xdr:from>
    <xdr:to>
      <xdr:col>3</xdr:col>
      <xdr:colOff>878680</xdr:colOff>
      <xdr:row>2</xdr:row>
      <xdr:rowOff>8854</xdr:rowOff>
    </xdr:to>
    <xdr:pic>
      <xdr:nvPicPr>
        <xdr:cNvPr id="3" name="Picture 17" descr="logo_meridian">
          <a:extLst>
            <a:ext uri="{FF2B5EF4-FFF2-40B4-BE49-F238E27FC236}">
              <a16:creationId xmlns:a16="http://schemas.microsoft.com/office/drawing/2014/main" xmlns="" id="{D92980AB-DAE3-4696-92E4-50EE1C3EFA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31006" y="240507"/>
          <a:ext cx="2343149" cy="6446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hyperlink" Target="https://ecopetrol.sharepoint.com/:u:/r/sites/vde/get/Analtica/0.%20SDPID/1_SDPID/12_Entregables/Oscar%20Ivan%20Jimenez%20Barandica/Meridian/2_Febrero/Llanito_proxy.ipynb?csf=1&amp;web=1&amp;e=Tgq9B4" TargetMode="External"/><Relationship Id="rId7" Type="http://schemas.openxmlformats.org/officeDocument/2006/relationships/comments" Target="../comments2.xml"/><Relationship Id="rId2" Type="http://schemas.openxmlformats.org/officeDocument/2006/relationships/hyperlink" Target="https://ecopetrol.sharepoint.com/:u:/r/sites/vde/get/Analtica/0.%20SDPID/1_SDPID/12_Entregables/Oscar%20Ivan%20Jimenez%20Barandica/Meridian/2_Febrero/Llanito_Unificado.zip?csf=1&amp;web=1&amp;e=brV0rX" TargetMode="External"/><Relationship Id="rId1" Type="http://schemas.openxmlformats.org/officeDocument/2006/relationships/hyperlink" Target="https://ecopetrol.sharepoint.com/:x:/r/sites/vde/get/Analtica/0.%20SDPID/1_SDPID/12_Entregables/Oscar%20Ivan%20Jimenez%20Barandica/Meridian/2_Febrero/Comparacion%20prob.xlsx?d=wb276fba403c14550a923922320d0993f&amp;csf=1&amp;web=1&amp;e=l8h5MC" TargetMode="External"/><Relationship Id="rId6" Type="http://schemas.openxmlformats.org/officeDocument/2006/relationships/vmlDrawing" Target="../drawings/vmlDrawing2.vm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S127"/>
  <sheetViews>
    <sheetView showGridLines="0" view="pageBreakPreview" zoomScale="85" zoomScaleNormal="80" zoomScaleSheetLayoutView="85" workbookViewId="0">
      <selection activeCell="B2" sqref="B2:M2"/>
    </sheetView>
  </sheetViews>
  <sheetFormatPr baseColWidth="10" defaultColWidth="8.6328125" defaultRowHeight="14.5" x14ac:dyDescent="0.35"/>
  <cols>
    <col min="1" max="1" width="5.54296875" style="2" customWidth="1"/>
    <col min="2" max="2" width="10.08984375" style="1" customWidth="1"/>
    <col min="3" max="3" width="12.6328125" style="1" bestFit="1" customWidth="1"/>
    <col min="4" max="4" width="43.08984375" style="1" customWidth="1"/>
    <col min="5" max="6" width="19.90625" style="1" customWidth="1"/>
    <col min="7" max="7" width="14.08984375" style="1" bestFit="1" customWidth="1"/>
    <col min="8" max="8" width="13.453125" style="1" customWidth="1"/>
    <col min="9" max="9" width="13.6328125" style="1" customWidth="1"/>
    <col min="10" max="10" width="13.453125" style="1" customWidth="1"/>
    <col min="11" max="11" width="10.453125" style="1" customWidth="1"/>
    <col min="12" max="12" width="12.453125" style="1" customWidth="1"/>
    <col min="13" max="13" width="12.36328125" style="1" customWidth="1"/>
    <col min="14" max="14" width="5.54296875" style="2" customWidth="1"/>
    <col min="15" max="15" width="16.453125" style="2" customWidth="1"/>
    <col min="17" max="17" width="16.453125" style="2" customWidth="1"/>
    <col min="18" max="18" width="0" hidden="1" customWidth="1"/>
    <col min="19" max="19" width="16.453125" style="2" customWidth="1"/>
    <col min="20" max="16384" width="8.6328125" style="2"/>
  </cols>
  <sheetData>
    <row r="1" spans="2:18" ht="18" customHeight="1" x14ac:dyDescent="0.35">
      <c r="R1" t="s">
        <v>0</v>
      </c>
    </row>
    <row r="2" spans="2:18" ht="51" customHeight="1" x14ac:dyDescent="0.35">
      <c r="B2" s="129" t="s">
        <v>1</v>
      </c>
      <c r="C2" s="129"/>
      <c r="D2" s="129"/>
      <c r="E2" s="129"/>
      <c r="F2" s="129"/>
      <c r="G2" s="129"/>
      <c r="H2" s="129"/>
      <c r="I2" s="129"/>
      <c r="J2" s="129"/>
      <c r="K2" s="129"/>
      <c r="L2" s="129"/>
      <c r="M2" s="129"/>
      <c r="R2" t="s">
        <v>2</v>
      </c>
    </row>
    <row r="3" spans="2:18" x14ac:dyDescent="0.35">
      <c r="B3" s="130" t="s">
        <v>3</v>
      </c>
      <c r="C3" s="131"/>
      <c r="D3" s="131"/>
      <c r="E3" s="75"/>
      <c r="F3" s="75"/>
      <c r="G3" s="131" t="s">
        <v>4</v>
      </c>
      <c r="H3" s="131"/>
      <c r="I3" s="131"/>
      <c r="J3" s="131"/>
      <c r="K3" s="131" t="s">
        <v>5</v>
      </c>
      <c r="L3" s="131"/>
      <c r="M3" s="132"/>
    </row>
    <row r="4" spans="2:18" x14ac:dyDescent="0.35">
      <c r="B4" s="18"/>
      <c r="C4" s="3"/>
      <c r="M4" s="19"/>
      <c r="R4" t="s">
        <v>6</v>
      </c>
    </row>
    <row r="5" spans="2:18" s="5" customFormat="1" x14ac:dyDescent="0.35">
      <c r="B5" s="133" t="s">
        <v>7</v>
      </c>
      <c r="C5" s="133"/>
      <c r="D5" s="61">
        <v>90598918</v>
      </c>
      <c r="E5"/>
      <c r="F5"/>
      <c r="G5" s="15"/>
      <c r="H5" s="15"/>
      <c r="I5" s="15"/>
      <c r="K5" s="4"/>
      <c r="L5" s="4"/>
      <c r="M5" s="20"/>
      <c r="P5"/>
      <c r="R5" t="s">
        <v>8</v>
      </c>
    </row>
    <row r="6" spans="2:18" s="5" customFormat="1" x14ac:dyDescent="0.35">
      <c r="B6" s="21"/>
      <c r="C6" s="4"/>
      <c r="D6" s="4"/>
      <c r="E6"/>
      <c r="F6"/>
      <c r="G6" s="4"/>
      <c r="H6" s="4"/>
      <c r="I6" s="4"/>
      <c r="J6" s="4"/>
      <c r="K6" s="4"/>
      <c r="L6" s="4"/>
      <c r="M6" s="20"/>
      <c r="P6"/>
      <c r="R6" t="s">
        <v>11</v>
      </c>
    </row>
    <row r="7" spans="2:18" s="5" customFormat="1" x14ac:dyDescent="0.35">
      <c r="B7" s="133" t="s">
        <v>12</v>
      </c>
      <c r="C7" s="133"/>
      <c r="D7" s="6" t="s">
        <v>2</v>
      </c>
      <c r="E7"/>
      <c r="F7"/>
      <c r="G7" s="22"/>
      <c r="H7" s="22"/>
      <c r="I7" s="22"/>
      <c r="J7" s="4"/>
      <c r="K7" s="4"/>
      <c r="L7" s="4"/>
      <c r="M7" s="20"/>
      <c r="P7"/>
      <c r="R7" t="s">
        <v>13</v>
      </c>
    </row>
    <row r="8" spans="2:18" s="5" customFormat="1" x14ac:dyDescent="0.35">
      <c r="B8" s="31"/>
      <c r="C8" s="60"/>
      <c r="D8" s="22"/>
      <c r="E8"/>
      <c r="F8"/>
      <c r="G8" s="22"/>
      <c r="H8" s="22"/>
      <c r="I8" s="22"/>
      <c r="J8" s="4"/>
      <c r="K8" s="4"/>
      <c r="L8" s="4"/>
      <c r="M8" s="20"/>
      <c r="P8"/>
      <c r="R8" t="s">
        <v>14</v>
      </c>
    </row>
    <row r="9" spans="2:18" s="5" customFormat="1" x14ac:dyDescent="0.35">
      <c r="B9" s="133" t="s">
        <v>15</v>
      </c>
      <c r="C9" s="133"/>
      <c r="D9" s="7">
        <v>46053</v>
      </c>
      <c r="E9"/>
      <c r="F9"/>
      <c r="G9" s="23"/>
      <c r="H9" s="23"/>
      <c r="I9" s="23"/>
      <c r="J9" s="4"/>
      <c r="K9" s="4"/>
      <c r="L9" s="4"/>
      <c r="M9" s="20"/>
      <c r="P9"/>
      <c r="R9" t="s">
        <v>16</v>
      </c>
    </row>
    <row r="10" spans="2:18" x14ac:dyDescent="0.35">
      <c r="B10" s="24"/>
      <c r="M10" s="25"/>
      <c r="R10" t="s">
        <v>17</v>
      </c>
    </row>
    <row r="11" spans="2:18" x14ac:dyDescent="0.35">
      <c r="B11" s="133" t="s">
        <v>18</v>
      </c>
      <c r="C11" s="133"/>
      <c r="D11" s="133"/>
      <c r="E11" s="133"/>
      <c r="F11" s="133"/>
      <c r="G11" s="133"/>
      <c r="H11" s="133"/>
      <c r="I11" s="133"/>
      <c r="J11" s="133" t="s">
        <v>19</v>
      </c>
      <c r="K11" s="133"/>
      <c r="L11" s="133" t="s">
        <v>20</v>
      </c>
      <c r="M11" s="133"/>
      <c r="R11" t="s">
        <v>21</v>
      </c>
    </row>
    <row r="12" spans="2:18" s="26" customFormat="1" ht="42.65" customHeight="1" x14ac:dyDescent="0.35">
      <c r="B12" s="59" t="s">
        <v>22</v>
      </c>
      <c r="C12" s="59" t="s">
        <v>23</v>
      </c>
      <c r="D12" s="59" t="s">
        <v>24</v>
      </c>
      <c r="E12" s="59" t="s">
        <v>66</v>
      </c>
      <c r="F12" s="59" t="s">
        <v>145</v>
      </c>
      <c r="G12" s="59" t="s">
        <v>25</v>
      </c>
      <c r="H12" s="59" t="s">
        <v>26</v>
      </c>
      <c r="I12" s="59" t="s">
        <v>62</v>
      </c>
      <c r="J12" s="59" t="s">
        <v>27</v>
      </c>
      <c r="K12" s="59" t="s">
        <v>28</v>
      </c>
      <c r="L12" s="59" t="s">
        <v>29</v>
      </c>
      <c r="M12" s="59" t="s">
        <v>28</v>
      </c>
      <c r="P12" s="27"/>
      <c r="R12" s="27" t="s">
        <v>30</v>
      </c>
    </row>
    <row r="13" spans="2:18" ht="13.75" customHeight="1" x14ac:dyDescent="0.35">
      <c r="B13" s="32">
        <v>1</v>
      </c>
      <c r="C13" s="33" t="s">
        <v>136</v>
      </c>
      <c r="D13" s="34" t="s">
        <v>99</v>
      </c>
      <c r="E13" s="105" t="s">
        <v>124</v>
      </c>
      <c r="F13" s="105" t="s">
        <v>146</v>
      </c>
      <c r="G13" s="63" t="s">
        <v>100</v>
      </c>
      <c r="H13" s="76" t="s">
        <v>31</v>
      </c>
      <c r="I13" s="36">
        <v>25</v>
      </c>
      <c r="J13" s="35">
        <v>3</v>
      </c>
      <c r="K13" s="37">
        <f t="shared" ref="K13:K46" si="0">IFERROR(J13/I13,0)</f>
        <v>0.12</v>
      </c>
      <c r="L13" s="35">
        <f t="shared" ref="L13:L46" si="1">J13</f>
        <v>3</v>
      </c>
      <c r="M13" s="37">
        <f t="shared" ref="M13:M26" si="2">IFERROR(L13/I13,0)</f>
        <v>0.12</v>
      </c>
    </row>
    <row r="14" spans="2:18" s="5" customFormat="1" x14ac:dyDescent="0.35">
      <c r="B14" s="39">
        <v>1</v>
      </c>
      <c r="C14" s="40" t="s">
        <v>137</v>
      </c>
      <c r="D14" s="41" t="s">
        <v>101</v>
      </c>
      <c r="E14" s="107"/>
      <c r="F14" s="107"/>
      <c r="G14" s="64" t="s">
        <v>64</v>
      </c>
      <c r="H14" s="77" t="s">
        <v>31</v>
      </c>
      <c r="I14" s="43">
        <v>25</v>
      </c>
      <c r="J14" s="42">
        <v>3</v>
      </c>
      <c r="K14" s="44">
        <f t="shared" si="0"/>
        <v>0.12</v>
      </c>
      <c r="L14" s="42">
        <f t="shared" si="1"/>
        <v>3</v>
      </c>
      <c r="M14" s="44">
        <f t="shared" si="2"/>
        <v>0.12</v>
      </c>
      <c r="P14" s="8"/>
      <c r="R14" s="8"/>
    </row>
    <row r="15" spans="2:18" x14ac:dyDescent="0.35">
      <c r="B15" s="39">
        <v>1</v>
      </c>
      <c r="C15" s="40" t="s">
        <v>138</v>
      </c>
      <c r="D15" s="41" t="s">
        <v>102</v>
      </c>
      <c r="E15" s="107"/>
      <c r="F15" s="107"/>
      <c r="G15" s="64" t="s">
        <v>65</v>
      </c>
      <c r="H15" s="77" t="s">
        <v>31</v>
      </c>
      <c r="I15" s="43">
        <v>25</v>
      </c>
      <c r="J15" s="42">
        <v>3</v>
      </c>
      <c r="K15" s="44">
        <f t="shared" si="0"/>
        <v>0.12</v>
      </c>
      <c r="L15" s="42">
        <f t="shared" si="1"/>
        <v>3</v>
      </c>
      <c r="M15" s="44">
        <f t="shared" si="2"/>
        <v>0.12</v>
      </c>
    </row>
    <row r="16" spans="2:18" x14ac:dyDescent="0.35">
      <c r="B16" s="39">
        <v>1</v>
      </c>
      <c r="C16" s="40" t="s">
        <v>139</v>
      </c>
      <c r="D16" s="41" t="s">
        <v>103</v>
      </c>
      <c r="E16" s="107"/>
      <c r="F16" s="107"/>
      <c r="G16" s="64" t="s">
        <v>104</v>
      </c>
      <c r="H16" s="77" t="s">
        <v>31</v>
      </c>
      <c r="I16" s="43">
        <v>25</v>
      </c>
      <c r="J16" s="42">
        <v>3</v>
      </c>
      <c r="K16" s="44">
        <f t="shared" si="0"/>
        <v>0.12</v>
      </c>
      <c r="L16" s="42">
        <f t="shared" si="1"/>
        <v>3</v>
      </c>
      <c r="M16" s="44">
        <f t="shared" si="2"/>
        <v>0.12</v>
      </c>
    </row>
    <row r="17" spans="2:18" x14ac:dyDescent="0.35">
      <c r="B17" s="39">
        <v>1</v>
      </c>
      <c r="C17" s="40" t="s">
        <v>140</v>
      </c>
      <c r="D17" s="41" t="s">
        <v>105</v>
      </c>
      <c r="E17" s="107"/>
      <c r="F17" s="107"/>
      <c r="G17" s="64" t="s">
        <v>149</v>
      </c>
      <c r="H17" s="77" t="s">
        <v>149</v>
      </c>
      <c r="I17" s="43">
        <v>25</v>
      </c>
      <c r="J17" s="42">
        <v>0</v>
      </c>
      <c r="K17" s="44">
        <f t="shared" si="0"/>
        <v>0</v>
      </c>
      <c r="L17" s="42">
        <f t="shared" si="1"/>
        <v>0</v>
      </c>
      <c r="M17" s="44">
        <f t="shared" si="2"/>
        <v>0</v>
      </c>
    </row>
    <row r="18" spans="2:18" x14ac:dyDescent="0.35">
      <c r="B18" s="39">
        <v>1</v>
      </c>
      <c r="C18" s="40" t="s">
        <v>141</v>
      </c>
      <c r="D18" s="41" t="s">
        <v>106</v>
      </c>
      <c r="E18" s="107"/>
      <c r="F18" s="107"/>
      <c r="G18" s="64" t="s">
        <v>149</v>
      </c>
      <c r="H18" s="77" t="s">
        <v>149</v>
      </c>
      <c r="I18" s="43">
        <v>25</v>
      </c>
      <c r="J18" s="42">
        <v>0</v>
      </c>
      <c r="K18" s="44">
        <f t="shared" si="0"/>
        <v>0</v>
      </c>
      <c r="L18" s="42">
        <f t="shared" si="1"/>
        <v>0</v>
      </c>
      <c r="M18" s="44">
        <f t="shared" si="2"/>
        <v>0</v>
      </c>
    </row>
    <row r="19" spans="2:18" x14ac:dyDescent="0.35">
      <c r="B19" s="39">
        <v>1</v>
      </c>
      <c r="C19" s="40" t="s">
        <v>142</v>
      </c>
      <c r="D19" s="41" t="s">
        <v>107</v>
      </c>
      <c r="E19" s="107"/>
      <c r="F19" s="107"/>
      <c r="G19" s="64" t="s">
        <v>149</v>
      </c>
      <c r="H19" s="77" t="s">
        <v>149</v>
      </c>
      <c r="I19" s="43">
        <v>25</v>
      </c>
      <c r="J19" s="42">
        <v>0</v>
      </c>
      <c r="K19" s="44">
        <f t="shared" si="0"/>
        <v>0</v>
      </c>
      <c r="L19" s="42">
        <f t="shared" si="1"/>
        <v>0</v>
      </c>
      <c r="M19" s="44">
        <f t="shared" si="2"/>
        <v>0</v>
      </c>
    </row>
    <row r="20" spans="2:18" ht="15" customHeight="1" x14ac:dyDescent="0.35">
      <c r="B20" s="39">
        <v>2</v>
      </c>
      <c r="C20" s="40" t="s">
        <v>143</v>
      </c>
      <c r="D20" s="41" t="s">
        <v>108</v>
      </c>
      <c r="E20" s="107"/>
      <c r="F20" s="107"/>
      <c r="G20" s="64" t="s">
        <v>94</v>
      </c>
      <c r="H20" s="77" t="s">
        <v>31</v>
      </c>
      <c r="I20" s="43">
        <v>25</v>
      </c>
      <c r="J20" s="42">
        <v>3</v>
      </c>
      <c r="K20" s="44">
        <f t="shared" si="0"/>
        <v>0.12</v>
      </c>
      <c r="L20" s="42">
        <f t="shared" si="1"/>
        <v>3</v>
      </c>
      <c r="M20" s="44">
        <f t="shared" si="2"/>
        <v>0.12</v>
      </c>
    </row>
    <row r="21" spans="2:18" x14ac:dyDescent="0.35">
      <c r="B21" s="46">
        <v>2</v>
      </c>
      <c r="C21" s="47" t="s">
        <v>144</v>
      </c>
      <c r="D21" s="48" t="s">
        <v>109</v>
      </c>
      <c r="E21" s="106"/>
      <c r="F21" s="106"/>
      <c r="G21" s="65" t="s">
        <v>149</v>
      </c>
      <c r="H21" s="78" t="s">
        <v>149</v>
      </c>
      <c r="I21" s="49">
        <v>25</v>
      </c>
      <c r="J21" s="49">
        <v>0</v>
      </c>
      <c r="K21" s="51">
        <f t="shared" si="0"/>
        <v>0</v>
      </c>
      <c r="L21" s="49">
        <f t="shared" si="1"/>
        <v>0</v>
      </c>
      <c r="M21" s="55">
        <f t="shared" si="2"/>
        <v>0</v>
      </c>
    </row>
    <row r="22" spans="2:18" x14ac:dyDescent="0.35">
      <c r="B22" s="32">
        <v>8</v>
      </c>
      <c r="C22" s="33" t="s">
        <v>92</v>
      </c>
      <c r="D22" s="34" t="s">
        <v>93</v>
      </c>
      <c r="E22" s="108" t="s">
        <v>125</v>
      </c>
      <c r="F22" s="105" t="s">
        <v>146</v>
      </c>
      <c r="G22" s="63" t="s">
        <v>94</v>
      </c>
      <c r="H22" s="76" t="s">
        <v>31</v>
      </c>
      <c r="I22" s="36">
        <v>37</v>
      </c>
      <c r="J22" s="35">
        <v>2</v>
      </c>
      <c r="K22" s="37">
        <f t="shared" si="0"/>
        <v>5.4054054054054057E-2</v>
      </c>
      <c r="L22" s="35">
        <f t="shared" si="1"/>
        <v>2</v>
      </c>
      <c r="M22" s="37">
        <f t="shared" si="2"/>
        <v>5.4054054054054057E-2</v>
      </c>
    </row>
    <row r="23" spans="2:18" x14ac:dyDescent="0.35">
      <c r="B23" s="39">
        <v>8</v>
      </c>
      <c r="C23" s="40" t="s">
        <v>54</v>
      </c>
      <c r="D23" s="41" t="s">
        <v>110</v>
      </c>
      <c r="E23" s="109"/>
      <c r="F23" s="107"/>
      <c r="G23" s="64" t="s">
        <v>63</v>
      </c>
      <c r="H23" s="77" t="s">
        <v>31</v>
      </c>
      <c r="I23" s="43">
        <v>37</v>
      </c>
      <c r="J23" s="42">
        <v>3</v>
      </c>
      <c r="K23" s="44">
        <f t="shared" si="0"/>
        <v>8.1081081081081086E-2</v>
      </c>
      <c r="L23" s="42">
        <f t="shared" si="1"/>
        <v>3</v>
      </c>
      <c r="M23" s="44">
        <f t="shared" si="2"/>
        <v>8.1081081081081086E-2</v>
      </c>
    </row>
    <row r="24" spans="2:18" x14ac:dyDescent="0.35">
      <c r="B24" s="39">
        <v>8</v>
      </c>
      <c r="C24" s="40" t="s">
        <v>56</v>
      </c>
      <c r="D24" s="41" t="s">
        <v>117</v>
      </c>
      <c r="E24" s="109"/>
      <c r="F24" s="107"/>
      <c r="G24" s="64" t="s">
        <v>57</v>
      </c>
      <c r="H24" s="77" t="s">
        <v>31</v>
      </c>
      <c r="I24" s="43">
        <v>37</v>
      </c>
      <c r="J24" s="42">
        <v>2</v>
      </c>
      <c r="K24" s="44">
        <f t="shared" si="0"/>
        <v>5.4054054054054057E-2</v>
      </c>
      <c r="L24" s="42">
        <f t="shared" si="1"/>
        <v>2</v>
      </c>
      <c r="M24" s="44">
        <f t="shared" si="2"/>
        <v>5.4054054054054057E-2</v>
      </c>
    </row>
    <row r="25" spans="2:18" x14ac:dyDescent="0.35">
      <c r="B25" s="39">
        <v>8</v>
      </c>
      <c r="C25" s="40" t="s">
        <v>58</v>
      </c>
      <c r="D25" s="41" t="s">
        <v>118</v>
      </c>
      <c r="E25" s="109"/>
      <c r="F25" s="107"/>
      <c r="G25" s="64" t="s">
        <v>176</v>
      </c>
      <c r="H25" s="77" t="s">
        <v>31</v>
      </c>
      <c r="I25" s="43">
        <v>38</v>
      </c>
      <c r="J25" s="42">
        <v>2</v>
      </c>
      <c r="K25" s="44">
        <f t="shared" ref="K25" si="3">IFERROR(J25/I25,0)</f>
        <v>5.2631578947368418E-2</v>
      </c>
      <c r="L25" s="42">
        <f t="shared" ref="L25" si="4">J25</f>
        <v>2</v>
      </c>
      <c r="M25" s="44">
        <f t="shared" ref="M25" si="5">IFERROR(L25/I25,0)</f>
        <v>5.2631578947368418E-2</v>
      </c>
    </row>
    <row r="26" spans="2:18" x14ac:dyDescent="0.35">
      <c r="B26" s="39">
        <v>8</v>
      </c>
      <c r="C26" s="40" t="s">
        <v>59</v>
      </c>
      <c r="D26" s="41" t="s">
        <v>119</v>
      </c>
      <c r="E26" s="109"/>
      <c r="F26" s="107"/>
      <c r="G26" s="64" t="s">
        <v>60</v>
      </c>
      <c r="H26" s="77" t="s">
        <v>31</v>
      </c>
      <c r="I26" s="43">
        <v>38</v>
      </c>
      <c r="J26" s="42">
        <v>3</v>
      </c>
      <c r="K26" s="44">
        <f t="shared" si="0"/>
        <v>7.8947368421052627E-2</v>
      </c>
      <c r="L26" s="42">
        <f t="shared" si="1"/>
        <v>3</v>
      </c>
      <c r="M26" s="44">
        <f t="shared" si="2"/>
        <v>7.8947368421052627E-2</v>
      </c>
    </row>
    <row r="27" spans="2:18" x14ac:dyDescent="0.35">
      <c r="B27" s="46">
        <v>8</v>
      </c>
      <c r="C27" s="47" t="s">
        <v>61</v>
      </c>
      <c r="D27" s="48" t="s">
        <v>98</v>
      </c>
      <c r="E27" s="110"/>
      <c r="F27" s="106"/>
      <c r="G27" s="65" t="s">
        <v>161</v>
      </c>
      <c r="H27" s="78" t="s">
        <v>31</v>
      </c>
      <c r="I27" s="50">
        <v>38</v>
      </c>
      <c r="J27" s="49">
        <v>3</v>
      </c>
      <c r="K27" s="51">
        <f t="shared" si="0"/>
        <v>7.8947368421052627E-2</v>
      </c>
      <c r="L27" s="49">
        <f t="shared" si="1"/>
        <v>3</v>
      </c>
      <c r="M27" s="51">
        <f t="shared" ref="M27" si="6">IFERROR(L27/I27,0)</f>
        <v>7.8947368421052627E-2</v>
      </c>
    </row>
    <row r="28" spans="2:18" x14ac:dyDescent="0.35">
      <c r="B28" s="32">
        <v>8</v>
      </c>
      <c r="C28" s="33" t="s">
        <v>92</v>
      </c>
      <c r="D28" s="34" t="s">
        <v>93</v>
      </c>
      <c r="E28" s="105" t="s">
        <v>126</v>
      </c>
      <c r="F28" s="105" t="s">
        <v>146</v>
      </c>
      <c r="G28" s="72" t="s">
        <v>94</v>
      </c>
      <c r="H28" s="76" t="s">
        <v>120</v>
      </c>
      <c r="I28" s="36">
        <v>30</v>
      </c>
      <c r="J28" s="35">
        <v>5</v>
      </c>
      <c r="K28" s="37">
        <f t="shared" si="0"/>
        <v>0.16666666666666666</v>
      </c>
      <c r="L28" s="38">
        <f t="shared" si="1"/>
        <v>5</v>
      </c>
      <c r="M28" s="53">
        <f t="shared" ref="M28:M34" si="7">IFERROR(L28/I28,0)</f>
        <v>0.16666666666666666</v>
      </c>
    </row>
    <row r="29" spans="2:18" x14ac:dyDescent="0.35">
      <c r="B29" s="39">
        <v>8</v>
      </c>
      <c r="C29" s="40" t="s">
        <v>54</v>
      </c>
      <c r="D29" s="41" t="s">
        <v>110</v>
      </c>
      <c r="E29" s="107"/>
      <c r="F29" s="107"/>
      <c r="G29" s="73" t="s">
        <v>63</v>
      </c>
      <c r="H29" s="77" t="s">
        <v>121</v>
      </c>
      <c r="I29" s="43">
        <v>30</v>
      </c>
      <c r="J29" s="42">
        <v>5</v>
      </c>
      <c r="K29" s="44">
        <f t="shared" si="0"/>
        <v>0.16666666666666666</v>
      </c>
      <c r="L29" s="45">
        <f t="shared" si="1"/>
        <v>5</v>
      </c>
      <c r="M29" s="54">
        <f t="shared" si="7"/>
        <v>0.16666666666666666</v>
      </c>
    </row>
    <row r="30" spans="2:18" s="5" customFormat="1" x14ac:dyDescent="0.35">
      <c r="B30" s="39">
        <v>8</v>
      </c>
      <c r="C30" s="40" t="s">
        <v>56</v>
      </c>
      <c r="D30" s="41" t="s">
        <v>117</v>
      </c>
      <c r="E30" s="107"/>
      <c r="F30" s="107"/>
      <c r="G30" s="73" t="s">
        <v>57</v>
      </c>
      <c r="H30" s="77" t="s">
        <v>122</v>
      </c>
      <c r="I30" s="43">
        <v>60</v>
      </c>
      <c r="J30" s="42">
        <v>5</v>
      </c>
      <c r="K30" s="44">
        <f t="shared" si="0"/>
        <v>8.3333333333333329E-2</v>
      </c>
      <c r="L30" s="45">
        <f t="shared" si="1"/>
        <v>5</v>
      </c>
      <c r="M30" s="54">
        <f t="shared" si="7"/>
        <v>8.3333333333333329E-2</v>
      </c>
      <c r="P30" s="8"/>
      <c r="R30" s="8"/>
    </row>
    <row r="31" spans="2:18" x14ac:dyDescent="0.35">
      <c r="B31" s="39">
        <v>8</v>
      </c>
      <c r="C31" s="40" t="s">
        <v>58</v>
      </c>
      <c r="D31" s="41" t="s">
        <v>118</v>
      </c>
      <c r="E31" s="107"/>
      <c r="F31" s="107"/>
      <c r="G31" s="73" t="s">
        <v>149</v>
      </c>
      <c r="H31" s="77" t="s">
        <v>149</v>
      </c>
      <c r="I31" s="43">
        <v>30</v>
      </c>
      <c r="J31" s="42">
        <v>0</v>
      </c>
      <c r="K31" s="44">
        <f t="shared" si="0"/>
        <v>0</v>
      </c>
      <c r="L31" s="45">
        <f t="shared" si="1"/>
        <v>0</v>
      </c>
      <c r="M31" s="54">
        <f t="shared" si="7"/>
        <v>0</v>
      </c>
    </row>
    <row r="32" spans="2:18" x14ac:dyDescent="0.35">
      <c r="B32" s="39">
        <v>8</v>
      </c>
      <c r="C32" s="40" t="s">
        <v>59</v>
      </c>
      <c r="D32" s="41" t="s">
        <v>119</v>
      </c>
      <c r="E32" s="107"/>
      <c r="F32" s="107"/>
      <c r="G32" s="73" t="s">
        <v>149</v>
      </c>
      <c r="H32" s="77" t="s">
        <v>149</v>
      </c>
      <c r="I32" s="43">
        <v>45</v>
      </c>
      <c r="J32" s="42">
        <v>0</v>
      </c>
      <c r="K32" s="44">
        <f t="shared" si="0"/>
        <v>0</v>
      </c>
      <c r="L32" s="45">
        <f t="shared" si="1"/>
        <v>0</v>
      </c>
      <c r="M32" s="54">
        <f t="shared" si="7"/>
        <v>0</v>
      </c>
    </row>
    <row r="33" spans="2:18" x14ac:dyDescent="0.35">
      <c r="B33" s="46">
        <v>8</v>
      </c>
      <c r="C33" s="47" t="s">
        <v>61</v>
      </c>
      <c r="D33" s="48" t="s">
        <v>98</v>
      </c>
      <c r="E33" s="106"/>
      <c r="F33" s="106"/>
      <c r="G33" s="74" t="s">
        <v>149</v>
      </c>
      <c r="H33" s="78" t="s">
        <v>149</v>
      </c>
      <c r="I33" s="50">
        <v>30</v>
      </c>
      <c r="J33" s="49">
        <v>0</v>
      </c>
      <c r="K33" s="51">
        <f t="shared" si="0"/>
        <v>0</v>
      </c>
      <c r="L33" s="52">
        <f t="shared" si="1"/>
        <v>0</v>
      </c>
      <c r="M33" s="55">
        <f t="shared" si="7"/>
        <v>0</v>
      </c>
    </row>
    <row r="34" spans="2:18" ht="14.4" customHeight="1" x14ac:dyDescent="0.35">
      <c r="B34" s="32">
        <v>8</v>
      </c>
      <c r="C34" s="33" t="s">
        <v>92</v>
      </c>
      <c r="D34" s="34" t="s">
        <v>93</v>
      </c>
      <c r="E34" s="105" t="s">
        <v>127</v>
      </c>
      <c r="F34" s="105" t="s">
        <v>147</v>
      </c>
      <c r="G34" s="72" t="s">
        <v>94</v>
      </c>
      <c r="H34" s="76" t="s">
        <v>31</v>
      </c>
      <c r="I34" s="35">
        <v>45</v>
      </c>
      <c r="J34" s="35">
        <v>8</v>
      </c>
      <c r="K34" s="37">
        <f t="shared" si="0"/>
        <v>0.17777777777777778</v>
      </c>
      <c r="L34" s="35">
        <f t="shared" si="1"/>
        <v>8</v>
      </c>
      <c r="M34" s="53">
        <f t="shared" si="7"/>
        <v>0.17777777777777778</v>
      </c>
    </row>
    <row r="35" spans="2:18" x14ac:dyDescent="0.35">
      <c r="B35" s="39">
        <v>8</v>
      </c>
      <c r="C35" s="40" t="s">
        <v>54</v>
      </c>
      <c r="D35" s="41" t="s">
        <v>110</v>
      </c>
      <c r="E35" s="107"/>
      <c r="F35" s="107"/>
      <c r="G35" s="73" t="s">
        <v>149</v>
      </c>
      <c r="H35" s="81" t="s">
        <v>149</v>
      </c>
      <c r="I35" s="43">
        <v>40</v>
      </c>
      <c r="J35" s="42">
        <v>0</v>
      </c>
      <c r="K35" s="44">
        <f t="shared" si="0"/>
        <v>0</v>
      </c>
      <c r="L35" s="42">
        <f t="shared" si="1"/>
        <v>0</v>
      </c>
      <c r="M35" s="43">
        <f t="shared" ref="M35:M36" si="8">IFERROR(L35/I35,0)</f>
        <v>0</v>
      </c>
    </row>
    <row r="36" spans="2:18" s="5" customFormat="1" x14ac:dyDescent="0.35">
      <c r="B36" s="39">
        <v>8</v>
      </c>
      <c r="C36" s="40" t="s">
        <v>56</v>
      </c>
      <c r="D36" s="41" t="s">
        <v>117</v>
      </c>
      <c r="E36" s="107"/>
      <c r="F36" s="107"/>
      <c r="G36" s="64" t="s">
        <v>57</v>
      </c>
      <c r="H36" s="81" t="s">
        <v>31</v>
      </c>
      <c r="I36" s="43">
        <v>40</v>
      </c>
      <c r="J36" s="42">
        <v>7</v>
      </c>
      <c r="K36" s="44">
        <f t="shared" si="0"/>
        <v>0.17499999999999999</v>
      </c>
      <c r="L36" s="42">
        <f t="shared" si="1"/>
        <v>7</v>
      </c>
      <c r="M36" s="104">
        <f t="shared" si="8"/>
        <v>0.17499999999999999</v>
      </c>
      <c r="P36" s="8"/>
      <c r="R36" s="8"/>
    </row>
    <row r="37" spans="2:18" x14ac:dyDescent="0.35">
      <c r="B37" s="39">
        <v>8</v>
      </c>
      <c r="C37" s="40" t="s">
        <v>58</v>
      </c>
      <c r="D37" s="41" t="s">
        <v>118</v>
      </c>
      <c r="E37" s="107"/>
      <c r="F37" s="107"/>
      <c r="G37" s="64" t="s">
        <v>149</v>
      </c>
      <c r="H37" s="81" t="s">
        <v>149</v>
      </c>
      <c r="I37" s="43">
        <v>40</v>
      </c>
      <c r="J37" s="42">
        <v>0</v>
      </c>
      <c r="K37" s="44">
        <f t="shared" si="0"/>
        <v>0</v>
      </c>
      <c r="L37" s="42">
        <f t="shared" si="1"/>
        <v>0</v>
      </c>
      <c r="M37" s="43">
        <f t="shared" ref="M37:M45" si="9">IFERROR(L37/I37,0)</f>
        <v>0</v>
      </c>
    </row>
    <row r="38" spans="2:18" x14ac:dyDescent="0.35">
      <c r="B38" s="39">
        <v>8</v>
      </c>
      <c r="C38" s="40" t="s">
        <v>59</v>
      </c>
      <c r="D38" s="41" t="s">
        <v>119</v>
      </c>
      <c r="E38" s="107"/>
      <c r="F38" s="107"/>
      <c r="G38" s="73" t="s">
        <v>149</v>
      </c>
      <c r="H38" s="77" t="s">
        <v>149</v>
      </c>
      <c r="I38" s="45">
        <v>40</v>
      </c>
      <c r="J38" s="42">
        <v>0</v>
      </c>
      <c r="K38" s="44">
        <f t="shared" si="0"/>
        <v>0</v>
      </c>
      <c r="L38" s="45">
        <f t="shared" si="1"/>
        <v>0</v>
      </c>
      <c r="M38" s="54">
        <f t="shared" si="9"/>
        <v>0</v>
      </c>
    </row>
    <row r="39" spans="2:18" x14ac:dyDescent="0.35">
      <c r="B39" s="46">
        <v>8</v>
      </c>
      <c r="C39" s="47" t="s">
        <v>61</v>
      </c>
      <c r="D39" s="48" t="s">
        <v>98</v>
      </c>
      <c r="E39" s="106"/>
      <c r="F39" s="106"/>
      <c r="G39" s="74" t="s">
        <v>149</v>
      </c>
      <c r="H39" s="78" t="s">
        <v>149</v>
      </c>
      <c r="I39" s="52">
        <v>20</v>
      </c>
      <c r="J39" s="49">
        <v>0</v>
      </c>
      <c r="K39" s="51">
        <f t="shared" si="0"/>
        <v>0</v>
      </c>
      <c r="L39" s="52">
        <f t="shared" si="1"/>
        <v>0</v>
      </c>
      <c r="M39" s="55">
        <f t="shared" si="9"/>
        <v>0</v>
      </c>
    </row>
    <row r="40" spans="2:18" x14ac:dyDescent="0.35">
      <c r="B40" s="32">
        <v>4</v>
      </c>
      <c r="C40" s="33" t="s">
        <v>67</v>
      </c>
      <c r="D40" s="34" t="s">
        <v>68</v>
      </c>
      <c r="E40" s="105" t="s">
        <v>128</v>
      </c>
      <c r="F40" s="105" t="s">
        <v>148</v>
      </c>
      <c r="G40" s="56" t="s">
        <v>82</v>
      </c>
      <c r="H40" s="34" t="s">
        <v>85</v>
      </c>
      <c r="I40" s="36">
        <v>75</v>
      </c>
      <c r="J40" s="35">
        <v>5</v>
      </c>
      <c r="K40" s="37">
        <f t="shared" si="0"/>
        <v>6.6666666666666666E-2</v>
      </c>
      <c r="L40" s="35">
        <f t="shared" si="1"/>
        <v>5</v>
      </c>
      <c r="M40" s="37">
        <f t="shared" si="9"/>
        <v>6.6666666666666666E-2</v>
      </c>
    </row>
    <row r="41" spans="2:18" x14ac:dyDescent="0.35">
      <c r="B41" s="39">
        <v>4</v>
      </c>
      <c r="C41" s="40" t="s">
        <v>70</v>
      </c>
      <c r="D41" s="41" t="s">
        <v>71</v>
      </c>
      <c r="E41" s="107"/>
      <c r="F41" s="107"/>
      <c r="G41" s="57" t="s">
        <v>83</v>
      </c>
      <c r="H41" s="41" t="s">
        <v>86</v>
      </c>
      <c r="I41" s="43">
        <v>75</v>
      </c>
      <c r="J41" s="42">
        <v>5</v>
      </c>
      <c r="K41" s="44">
        <f t="shared" si="0"/>
        <v>6.6666666666666666E-2</v>
      </c>
      <c r="L41" s="42">
        <f t="shared" si="1"/>
        <v>5</v>
      </c>
      <c r="M41" s="44">
        <f t="shared" si="9"/>
        <v>6.6666666666666666E-2</v>
      </c>
    </row>
    <row r="42" spans="2:18" x14ac:dyDescent="0.35">
      <c r="B42" s="46">
        <v>4</v>
      </c>
      <c r="C42" s="47" t="s">
        <v>73</v>
      </c>
      <c r="D42" s="48" t="s">
        <v>171</v>
      </c>
      <c r="E42" s="106"/>
      <c r="F42" s="106"/>
      <c r="G42" s="58" t="s">
        <v>84</v>
      </c>
      <c r="H42" s="48" t="s">
        <v>85</v>
      </c>
      <c r="I42" s="50">
        <v>75</v>
      </c>
      <c r="J42" s="49">
        <v>5</v>
      </c>
      <c r="K42" s="51">
        <f t="shared" si="0"/>
        <v>6.6666666666666666E-2</v>
      </c>
      <c r="L42" s="49">
        <f t="shared" si="1"/>
        <v>5</v>
      </c>
      <c r="M42" s="51">
        <f t="shared" si="9"/>
        <v>6.6666666666666666E-2</v>
      </c>
    </row>
    <row r="43" spans="2:18" ht="14.4" customHeight="1" x14ac:dyDescent="0.35">
      <c r="B43" s="32">
        <v>4</v>
      </c>
      <c r="C43" s="33" t="s">
        <v>67</v>
      </c>
      <c r="D43" s="34" t="s">
        <v>68</v>
      </c>
      <c r="E43" s="105" t="s">
        <v>129</v>
      </c>
      <c r="F43" s="105" t="s">
        <v>148</v>
      </c>
      <c r="G43" s="63" t="s">
        <v>79</v>
      </c>
      <c r="H43" s="76" t="s">
        <v>31</v>
      </c>
      <c r="I43" s="36">
        <v>75</v>
      </c>
      <c r="J43" s="36">
        <v>5</v>
      </c>
      <c r="K43" s="37">
        <f t="shared" si="0"/>
        <v>6.6666666666666666E-2</v>
      </c>
      <c r="L43" s="38">
        <f t="shared" si="1"/>
        <v>5</v>
      </c>
      <c r="M43" s="37">
        <f t="shared" si="9"/>
        <v>6.6666666666666666E-2</v>
      </c>
    </row>
    <row r="44" spans="2:18" s="5" customFormat="1" x14ac:dyDescent="0.35">
      <c r="B44" s="39">
        <v>4</v>
      </c>
      <c r="C44" s="40" t="s">
        <v>70</v>
      </c>
      <c r="D44" s="41" t="s">
        <v>71</v>
      </c>
      <c r="E44" s="107"/>
      <c r="F44" s="107"/>
      <c r="G44" s="64" t="s">
        <v>80</v>
      </c>
      <c r="H44" s="77" t="s">
        <v>31</v>
      </c>
      <c r="I44" s="43">
        <v>75</v>
      </c>
      <c r="J44" s="43">
        <v>5</v>
      </c>
      <c r="K44" s="44">
        <f t="shared" si="0"/>
        <v>6.6666666666666666E-2</v>
      </c>
      <c r="L44" s="45">
        <f t="shared" si="1"/>
        <v>5</v>
      </c>
      <c r="M44" s="44">
        <f t="shared" si="9"/>
        <v>6.6666666666666666E-2</v>
      </c>
      <c r="P44" s="8"/>
      <c r="R44" s="8"/>
    </row>
    <row r="45" spans="2:18" ht="15" customHeight="1" x14ac:dyDescent="0.35">
      <c r="B45" s="46">
        <v>4</v>
      </c>
      <c r="C45" s="47" t="s">
        <v>73</v>
      </c>
      <c r="D45" s="48" t="s">
        <v>171</v>
      </c>
      <c r="E45" s="106"/>
      <c r="F45" s="106"/>
      <c r="G45" s="65" t="s">
        <v>81</v>
      </c>
      <c r="H45" s="78" t="s">
        <v>31</v>
      </c>
      <c r="I45" s="50">
        <v>75</v>
      </c>
      <c r="J45" s="50">
        <v>5</v>
      </c>
      <c r="K45" s="51">
        <f t="shared" si="0"/>
        <v>6.6666666666666666E-2</v>
      </c>
      <c r="L45" s="52">
        <f t="shared" si="1"/>
        <v>5</v>
      </c>
      <c r="M45" s="51">
        <f t="shared" si="9"/>
        <v>6.6666666666666666E-2</v>
      </c>
    </row>
    <row r="46" spans="2:18" x14ac:dyDescent="0.35">
      <c r="B46" s="32">
        <v>4</v>
      </c>
      <c r="C46" s="33" t="s">
        <v>67</v>
      </c>
      <c r="D46" s="34" t="s">
        <v>68</v>
      </c>
      <c r="E46" s="105" t="s">
        <v>130</v>
      </c>
      <c r="F46" s="105" t="s">
        <v>146</v>
      </c>
      <c r="G46" s="63" t="s">
        <v>69</v>
      </c>
      <c r="H46" s="76" t="s">
        <v>76</v>
      </c>
      <c r="I46" s="36">
        <v>75</v>
      </c>
      <c r="J46" s="36">
        <v>5</v>
      </c>
      <c r="K46" s="37">
        <f t="shared" si="0"/>
        <v>6.6666666666666666E-2</v>
      </c>
      <c r="L46" s="38">
        <f t="shared" si="1"/>
        <v>5</v>
      </c>
      <c r="M46" s="37">
        <f t="shared" ref="M46:M48" si="10">IFERROR(L46/I46,0)</f>
        <v>6.6666666666666666E-2</v>
      </c>
    </row>
    <row r="47" spans="2:18" x14ac:dyDescent="0.35">
      <c r="B47" s="39">
        <v>4</v>
      </c>
      <c r="C47" s="40" t="s">
        <v>70</v>
      </c>
      <c r="D47" s="41" t="s">
        <v>71</v>
      </c>
      <c r="E47" s="107"/>
      <c r="F47" s="107"/>
      <c r="G47" s="64" t="s">
        <v>72</v>
      </c>
      <c r="H47" s="77" t="s">
        <v>77</v>
      </c>
      <c r="I47" s="43">
        <v>75</v>
      </c>
      <c r="J47" s="43">
        <v>5</v>
      </c>
      <c r="K47" s="44">
        <f t="shared" ref="K47:K61" si="11">IFERROR(J47/I47,0)</f>
        <v>6.6666666666666666E-2</v>
      </c>
      <c r="L47" s="45">
        <f t="shared" ref="L47:L61" si="12">J47</f>
        <v>5</v>
      </c>
      <c r="M47" s="44">
        <f t="shared" si="10"/>
        <v>6.6666666666666666E-2</v>
      </c>
    </row>
    <row r="48" spans="2:18" x14ac:dyDescent="0.35">
      <c r="B48" s="46">
        <v>4</v>
      </c>
      <c r="C48" s="47" t="s">
        <v>73</v>
      </c>
      <c r="D48" s="48" t="s">
        <v>171</v>
      </c>
      <c r="E48" s="106"/>
      <c r="F48" s="106"/>
      <c r="G48" s="65" t="s">
        <v>75</v>
      </c>
      <c r="H48" s="78" t="s">
        <v>78</v>
      </c>
      <c r="I48" s="50">
        <v>75</v>
      </c>
      <c r="J48" s="50">
        <v>5</v>
      </c>
      <c r="K48" s="51">
        <f t="shared" si="11"/>
        <v>6.6666666666666666E-2</v>
      </c>
      <c r="L48" s="52">
        <f t="shared" si="12"/>
        <v>5</v>
      </c>
      <c r="M48" s="51">
        <f t="shared" si="10"/>
        <v>6.6666666666666666E-2</v>
      </c>
    </row>
    <row r="49" spans="2:18" s="5" customFormat="1" x14ac:dyDescent="0.35">
      <c r="B49" s="32">
        <v>3</v>
      </c>
      <c r="C49" s="33" t="s">
        <v>87</v>
      </c>
      <c r="D49" s="34" t="s">
        <v>88</v>
      </c>
      <c r="E49" s="105" t="s">
        <v>131</v>
      </c>
      <c r="F49" s="105" t="s">
        <v>147</v>
      </c>
      <c r="G49" s="83" t="s">
        <v>149</v>
      </c>
      <c r="H49" s="34" t="s">
        <v>149</v>
      </c>
      <c r="I49" s="36">
        <v>90</v>
      </c>
      <c r="J49" s="35">
        <v>0</v>
      </c>
      <c r="K49" s="37">
        <f t="shared" si="11"/>
        <v>0</v>
      </c>
      <c r="L49" s="35">
        <f t="shared" si="12"/>
        <v>0</v>
      </c>
      <c r="M49" s="37">
        <f t="shared" ref="M49:M51" si="13">IFERROR(L49/I49,0)</f>
        <v>0</v>
      </c>
      <c r="P49" s="8"/>
      <c r="R49" s="8"/>
    </row>
    <row r="50" spans="2:18" x14ac:dyDescent="0.35">
      <c r="B50" s="46">
        <v>3</v>
      </c>
      <c r="C50" s="47" t="s">
        <v>89</v>
      </c>
      <c r="D50" s="48" t="s">
        <v>172</v>
      </c>
      <c r="E50" s="106"/>
      <c r="F50" s="106"/>
      <c r="G50" s="84" t="s">
        <v>184</v>
      </c>
      <c r="H50" s="48" t="s">
        <v>91</v>
      </c>
      <c r="I50" s="50">
        <v>90</v>
      </c>
      <c r="J50" s="49">
        <v>15</v>
      </c>
      <c r="K50" s="51">
        <f t="shared" si="11"/>
        <v>0.16666666666666666</v>
      </c>
      <c r="L50" s="49">
        <f t="shared" si="12"/>
        <v>15</v>
      </c>
      <c r="M50" s="51">
        <f t="shared" si="13"/>
        <v>0.16666666666666666</v>
      </c>
    </row>
    <row r="51" spans="2:18" ht="23" x14ac:dyDescent="0.35">
      <c r="B51" s="66">
        <v>3</v>
      </c>
      <c r="C51" s="67" t="s">
        <v>89</v>
      </c>
      <c r="D51" s="68" t="s">
        <v>172</v>
      </c>
      <c r="E51" s="82" t="s">
        <v>132</v>
      </c>
      <c r="F51" s="82" t="s">
        <v>147</v>
      </c>
      <c r="G51" s="69" t="s">
        <v>185</v>
      </c>
      <c r="H51" s="79" t="s">
        <v>123</v>
      </c>
      <c r="I51" s="13">
        <v>225</v>
      </c>
      <c r="J51" s="70">
        <v>15</v>
      </c>
      <c r="K51" s="71">
        <f t="shared" si="11"/>
        <v>6.6666666666666666E-2</v>
      </c>
      <c r="L51" s="70">
        <f t="shared" si="12"/>
        <v>15</v>
      </c>
      <c r="M51" s="71">
        <f t="shared" si="13"/>
        <v>6.6666666666666666E-2</v>
      </c>
    </row>
    <row r="52" spans="2:18" ht="14.4" customHeight="1" x14ac:dyDescent="0.35">
      <c r="B52" s="32">
        <v>3</v>
      </c>
      <c r="C52" s="33" t="s">
        <v>87</v>
      </c>
      <c r="D52" s="34" t="s">
        <v>173</v>
      </c>
      <c r="E52" s="105" t="s">
        <v>133</v>
      </c>
      <c r="F52" s="105" t="s">
        <v>146</v>
      </c>
      <c r="G52" s="63" t="s">
        <v>113</v>
      </c>
      <c r="H52" s="76" t="s">
        <v>31</v>
      </c>
      <c r="I52" s="38">
        <v>23</v>
      </c>
      <c r="J52" s="35">
        <v>1</v>
      </c>
      <c r="K52" s="37">
        <f t="shared" si="11"/>
        <v>4.3478260869565216E-2</v>
      </c>
      <c r="L52" s="38">
        <f t="shared" si="12"/>
        <v>1</v>
      </c>
      <c r="M52" s="53">
        <f t="shared" ref="M52:M57" si="14">IFERROR(L52/I52,0)</f>
        <v>4.3478260869565216E-2</v>
      </c>
    </row>
    <row r="53" spans="2:18" x14ac:dyDescent="0.35">
      <c r="B53" s="39">
        <v>3</v>
      </c>
      <c r="C53" s="40" t="s">
        <v>41</v>
      </c>
      <c r="D53" s="41" t="s">
        <v>42</v>
      </c>
      <c r="E53" s="107"/>
      <c r="F53" s="107"/>
      <c r="G53" s="64" t="s">
        <v>43</v>
      </c>
      <c r="H53" s="77" t="s">
        <v>31</v>
      </c>
      <c r="I53" s="45">
        <v>23</v>
      </c>
      <c r="J53" s="42">
        <v>1</v>
      </c>
      <c r="K53" s="44">
        <f t="shared" si="11"/>
        <v>4.3478260869565216E-2</v>
      </c>
      <c r="L53" s="45">
        <f t="shared" si="12"/>
        <v>1</v>
      </c>
      <c r="M53" s="54">
        <f t="shared" si="14"/>
        <v>4.3478260869565216E-2</v>
      </c>
    </row>
    <row r="54" spans="2:18" s="5" customFormat="1" x14ac:dyDescent="0.35">
      <c r="B54" s="39">
        <v>3</v>
      </c>
      <c r="C54" s="40" t="s">
        <v>44</v>
      </c>
      <c r="D54" s="41" t="s">
        <v>45</v>
      </c>
      <c r="E54" s="107"/>
      <c r="F54" s="107"/>
      <c r="G54" s="64" t="s">
        <v>46</v>
      </c>
      <c r="H54" s="77" t="s">
        <v>31</v>
      </c>
      <c r="I54" s="45">
        <v>23</v>
      </c>
      <c r="J54" s="42">
        <v>1</v>
      </c>
      <c r="K54" s="44">
        <f t="shared" si="11"/>
        <v>4.3478260869565216E-2</v>
      </c>
      <c r="L54" s="45">
        <f t="shared" si="12"/>
        <v>1</v>
      </c>
      <c r="M54" s="54">
        <f t="shared" si="14"/>
        <v>4.3478260869565216E-2</v>
      </c>
      <c r="P54" s="8"/>
      <c r="R54" s="8"/>
    </row>
    <row r="55" spans="2:18" x14ac:dyDescent="0.35">
      <c r="B55" s="39">
        <v>3</v>
      </c>
      <c r="C55" s="40" t="s">
        <v>47</v>
      </c>
      <c r="D55" s="41" t="s">
        <v>114</v>
      </c>
      <c r="E55" s="107"/>
      <c r="F55" s="107"/>
      <c r="G55" s="64" t="s">
        <v>46</v>
      </c>
      <c r="H55" s="77" t="s">
        <v>31</v>
      </c>
      <c r="I55" s="45">
        <v>23</v>
      </c>
      <c r="J55" s="42">
        <v>2</v>
      </c>
      <c r="K55" s="44">
        <f t="shared" si="11"/>
        <v>8.6956521739130432E-2</v>
      </c>
      <c r="L55" s="45">
        <f t="shared" si="12"/>
        <v>2</v>
      </c>
      <c r="M55" s="54">
        <f t="shared" si="14"/>
        <v>8.6956521739130432E-2</v>
      </c>
    </row>
    <row r="56" spans="2:18" x14ac:dyDescent="0.35">
      <c r="B56" s="39">
        <v>5</v>
      </c>
      <c r="C56" s="40" t="s">
        <v>48</v>
      </c>
      <c r="D56" s="41" t="s">
        <v>115</v>
      </c>
      <c r="E56" s="107"/>
      <c r="F56" s="107"/>
      <c r="G56" s="64" t="s">
        <v>43</v>
      </c>
      <c r="H56" s="77" t="s">
        <v>31</v>
      </c>
      <c r="I56" s="45">
        <v>23</v>
      </c>
      <c r="J56" s="42">
        <v>2</v>
      </c>
      <c r="K56" s="44">
        <f t="shared" si="11"/>
        <v>8.6956521739130432E-2</v>
      </c>
      <c r="L56" s="45">
        <f t="shared" si="12"/>
        <v>2</v>
      </c>
      <c r="M56" s="54">
        <f t="shared" si="14"/>
        <v>8.6956521739130432E-2</v>
      </c>
    </row>
    <row r="57" spans="2:18" x14ac:dyDescent="0.35">
      <c r="B57" s="39">
        <v>5</v>
      </c>
      <c r="C57" s="40" t="s">
        <v>49</v>
      </c>
      <c r="D57" s="41" t="s">
        <v>50</v>
      </c>
      <c r="E57" s="107"/>
      <c r="F57" s="107"/>
      <c r="G57" s="64" t="s">
        <v>46</v>
      </c>
      <c r="H57" s="77" t="s">
        <v>31</v>
      </c>
      <c r="I57" s="45">
        <v>22</v>
      </c>
      <c r="J57" s="42">
        <v>1</v>
      </c>
      <c r="K57" s="44">
        <f t="shared" si="11"/>
        <v>4.5454545454545456E-2</v>
      </c>
      <c r="L57" s="45">
        <f t="shared" si="12"/>
        <v>1</v>
      </c>
      <c r="M57" s="54">
        <f t="shared" si="14"/>
        <v>4.5454545454545456E-2</v>
      </c>
    </row>
    <row r="58" spans="2:18" x14ac:dyDescent="0.35">
      <c r="B58" s="39">
        <v>5</v>
      </c>
      <c r="C58" s="40" t="s">
        <v>51</v>
      </c>
      <c r="D58" s="41" t="s">
        <v>174</v>
      </c>
      <c r="E58" s="107"/>
      <c r="F58" s="107"/>
      <c r="G58" s="64" t="s">
        <v>46</v>
      </c>
      <c r="H58" s="77" t="s">
        <v>31</v>
      </c>
      <c r="I58" s="45">
        <v>22</v>
      </c>
      <c r="J58" s="42">
        <v>2</v>
      </c>
      <c r="K58" s="44">
        <f t="shared" si="11"/>
        <v>9.0909090909090912E-2</v>
      </c>
      <c r="L58" s="45">
        <f t="shared" si="12"/>
        <v>2</v>
      </c>
      <c r="M58" s="54">
        <f>IFERROR(L58/I58,0)</f>
        <v>9.0909090909090912E-2</v>
      </c>
    </row>
    <row r="59" spans="2:18" x14ac:dyDescent="0.35">
      <c r="B59" s="39">
        <v>5</v>
      </c>
      <c r="C59" s="40" t="s">
        <v>52</v>
      </c>
      <c r="D59" s="41" t="s">
        <v>175</v>
      </c>
      <c r="E59" s="107"/>
      <c r="F59" s="107"/>
      <c r="G59" s="64" t="s">
        <v>46</v>
      </c>
      <c r="H59" s="77" t="s">
        <v>31</v>
      </c>
      <c r="I59" s="45">
        <v>22</v>
      </c>
      <c r="J59" s="42">
        <v>2</v>
      </c>
      <c r="K59" s="44">
        <f t="shared" si="11"/>
        <v>9.0909090909090912E-2</v>
      </c>
      <c r="L59" s="45">
        <f t="shared" si="12"/>
        <v>2</v>
      </c>
      <c r="M59" s="54">
        <f>IFERROR(L59/I59,0)</f>
        <v>9.0909090909090912E-2</v>
      </c>
    </row>
    <row r="60" spans="2:18" x14ac:dyDescent="0.35">
      <c r="B60" s="39">
        <v>5</v>
      </c>
      <c r="C60" s="40" t="s">
        <v>53</v>
      </c>
      <c r="D60" s="41" t="s">
        <v>116</v>
      </c>
      <c r="E60" s="107"/>
      <c r="F60" s="107"/>
      <c r="G60" s="64" t="s">
        <v>46</v>
      </c>
      <c r="H60" s="77" t="s">
        <v>31</v>
      </c>
      <c r="I60" s="45">
        <v>22</v>
      </c>
      <c r="J60" s="42">
        <v>2</v>
      </c>
      <c r="K60" s="44">
        <f t="shared" si="11"/>
        <v>9.0909090909090912E-2</v>
      </c>
      <c r="L60" s="45">
        <f t="shared" si="12"/>
        <v>2</v>
      </c>
      <c r="M60" s="54">
        <f>IFERROR(L60/I60,0)</f>
        <v>9.0909090909090912E-2</v>
      </c>
    </row>
    <row r="61" spans="2:18" x14ac:dyDescent="0.35">
      <c r="B61" s="46">
        <v>8</v>
      </c>
      <c r="C61" s="47" t="s">
        <v>59</v>
      </c>
      <c r="D61" s="48" t="s">
        <v>119</v>
      </c>
      <c r="E61" s="106"/>
      <c r="F61" s="106"/>
      <c r="G61" s="65" t="s">
        <v>60</v>
      </c>
      <c r="H61" s="78" t="s">
        <v>31</v>
      </c>
      <c r="I61" s="52">
        <v>22</v>
      </c>
      <c r="J61" s="49">
        <v>1</v>
      </c>
      <c r="K61" s="51">
        <f t="shared" si="11"/>
        <v>4.5454545454545456E-2</v>
      </c>
      <c r="L61" s="52">
        <f t="shared" si="12"/>
        <v>1</v>
      </c>
      <c r="M61" s="55">
        <f t="shared" ref="M61" si="15">IFERROR(L61/I61,0)</f>
        <v>4.5454545454545456E-2</v>
      </c>
    </row>
    <row r="62" spans="2:18" s="5" customFormat="1" x14ac:dyDescent="0.35">
      <c r="B62" s="4"/>
      <c r="C62" s="4"/>
      <c r="D62" s="4"/>
      <c r="E62" s="4"/>
      <c r="F62" s="4"/>
      <c r="G62" s="4"/>
      <c r="H62" s="60"/>
      <c r="I62" s="127" t="s">
        <v>32</v>
      </c>
      <c r="J62" s="127"/>
      <c r="K62" s="127"/>
      <c r="L62" s="128"/>
      <c r="M62" s="127"/>
      <c r="P62"/>
      <c r="R62"/>
    </row>
    <row r="63" spans="2:18" s="5" customFormat="1" x14ac:dyDescent="0.35">
      <c r="B63" s="4"/>
      <c r="C63" s="4"/>
      <c r="I63" s="62">
        <f>+SUM(I13:I61)</f>
        <v>2205</v>
      </c>
      <c r="J63" s="62">
        <f>+SUM(J13:J61)</f>
        <v>150</v>
      </c>
      <c r="K63" s="9">
        <f>IFERROR(J63/I63,0)</f>
        <v>6.8027210884353748E-2</v>
      </c>
      <c r="L63" s="62">
        <f>+SUM(L13:L61)</f>
        <v>150</v>
      </c>
      <c r="M63" s="9">
        <f>IFERROR(L63/I63,0)</f>
        <v>6.8027210884353748E-2</v>
      </c>
      <c r="P63"/>
      <c r="R63"/>
    </row>
    <row r="64" spans="2:18" s="5" customFormat="1" x14ac:dyDescent="0.35">
      <c r="B64" s="4"/>
      <c r="C64" s="4"/>
      <c r="J64" s="15"/>
      <c r="K64" s="16"/>
      <c r="L64" s="17"/>
      <c r="M64" s="16"/>
      <c r="P64"/>
      <c r="R64"/>
    </row>
    <row r="65" spans="2:18" s="5" customFormat="1" x14ac:dyDescent="0.35">
      <c r="B65" s="4"/>
      <c r="C65" s="4"/>
      <c r="J65" s="15"/>
      <c r="K65" s="16"/>
      <c r="L65" s="17"/>
      <c r="M65" s="16"/>
      <c r="P65"/>
      <c r="R65"/>
    </row>
    <row r="66" spans="2:18" s="28" customFormat="1" ht="161.4" customHeight="1" x14ac:dyDescent="0.35">
      <c r="B66" s="117" t="s">
        <v>33</v>
      </c>
      <c r="C66" s="118"/>
      <c r="D66" s="121" t="s">
        <v>182</v>
      </c>
      <c r="E66" s="122"/>
      <c r="F66" s="122"/>
      <c r="G66" s="122"/>
      <c r="H66" s="122"/>
      <c r="I66" s="122"/>
      <c r="J66" s="122"/>
      <c r="K66" s="122"/>
      <c r="L66" s="122"/>
      <c r="M66" s="123"/>
      <c r="P66" s="27"/>
      <c r="R66" s="27"/>
    </row>
    <row r="67" spans="2:18" s="28" customFormat="1" ht="59.4" customHeight="1" x14ac:dyDescent="0.35">
      <c r="B67" s="119"/>
      <c r="C67" s="120"/>
      <c r="D67" s="124" t="s">
        <v>180</v>
      </c>
      <c r="E67" s="125"/>
      <c r="F67" s="125"/>
      <c r="G67" s="122"/>
      <c r="H67" s="122"/>
      <c r="I67" s="122"/>
      <c r="J67" s="122"/>
      <c r="K67" s="122"/>
      <c r="L67" s="122"/>
      <c r="M67" s="123"/>
      <c r="P67" s="27"/>
      <c r="R67" s="27"/>
    </row>
    <row r="68" spans="2:18" s="28" customFormat="1" ht="105" customHeight="1" x14ac:dyDescent="0.35">
      <c r="B68" s="119"/>
      <c r="C68" s="120"/>
      <c r="D68" s="121" t="s">
        <v>179</v>
      </c>
      <c r="E68" s="122"/>
      <c r="F68" s="122"/>
      <c r="G68" s="122"/>
      <c r="H68" s="122"/>
      <c r="I68" s="122"/>
      <c r="J68" s="122"/>
      <c r="K68" s="122"/>
      <c r="L68" s="122"/>
      <c r="M68" s="123"/>
      <c r="P68" s="27"/>
      <c r="R68" s="27"/>
    </row>
    <row r="69" spans="2:18" s="29" customFormat="1" ht="81.650000000000006" customHeight="1" x14ac:dyDescent="0.35">
      <c r="B69" s="119"/>
      <c r="C69" s="120"/>
      <c r="D69" s="121" t="s">
        <v>178</v>
      </c>
      <c r="E69" s="122"/>
      <c r="F69" s="122"/>
      <c r="G69" s="122"/>
      <c r="H69" s="122"/>
      <c r="I69" s="122"/>
      <c r="J69" s="122"/>
      <c r="K69" s="122"/>
      <c r="L69" s="122"/>
      <c r="M69" s="123"/>
      <c r="P69" s="30"/>
      <c r="R69" s="30"/>
    </row>
    <row r="70" spans="2:18" x14ac:dyDescent="0.35">
      <c r="B70" s="126" t="s">
        <v>35</v>
      </c>
      <c r="C70" s="126"/>
      <c r="D70" s="126"/>
      <c r="E70" s="126"/>
      <c r="F70" s="126"/>
      <c r="G70" s="126"/>
      <c r="H70" s="126"/>
      <c r="I70" s="126"/>
      <c r="J70" s="126"/>
      <c r="K70" s="126"/>
      <c r="L70" s="126"/>
      <c r="M70" s="126"/>
    </row>
    <row r="71" spans="2:18" x14ac:dyDescent="0.35">
      <c r="B71" s="126"/>
      <c r="C71" s="126"/>
      <c r="D71" s="126"/>
      <c r="E71" s="126"/>
      <c r="F71" s="126"/>
      <c r="G71" s="126"/>
      <c r="H71" s="126"/>
      <c r="I71" s="126"/>
      <c r="J71" s="126"/>
      <c r="K71" s="126"/>
      <c r="L71" s="126"/>
      <c r="M71" s="126"/>
    </row>
    <row r="72" spans="2:18" x14ac:dyDescent="0.35">
      <c r="B72" s="10" t="s">
        <v>36</v>
      </c>
      <c r="C72" s="11"/>
      <c r="D72" s="11"/>
      <c r="E72" s="11"/>
      <c r="F72" s="11"/>
      <c r="G72" s="11"/>
      <c r="H72" s="11"/>
      <c r="I72" s="11"/>
      <c r="J72" s="11"/>
      <c r="K72" s="11"/>
      <c r="L72" s="11"/>
      <c r="M72" s="12"/>
    </row>
    <row r="73" spans="2:18" ht="24.5" x14ac:dyDescent="0.45">
      <c r="B73" s="13" t="s">
        <v>37</v>
      </c>
      <c r="C73" s="14"/>
      <c r="D73" s="111" t="s">
        <v>34</v>
      </c>
      <c r="E73" s="111"/>
      <c r="F73" s="111"/>
      <c r="G73" s="111"/>
      <c r="H73" s="111"/>
      <c r="I73" s="111"/>
      <c r="J73" s="111"/>
      <c r="K73" s="111"/>
      <c r="L73" s="111"/>
      <c r="M73" s="111"/>
    </row>
    <row r="74" spans="2:18" ht="24.5" x14ac:dyDescent="0.45">
      <c r="B74" s="13" t="s">
        <v>38</v>
      </c>
      <c r="C74" s="14"/>
      <c r="D74" s="111"/>
      <c r="E74" s="111"/>
      <c r="F74" s="111"/>
      <c r="G74" s="111"/>
      <c r="H74" s="111"/>
      <c r="I74" s="111"/>
      <c r="J74" s="111"/>
      <c r="K74" s="111"/>
      <c r="L74" s="111"/>
      <c r="M74" s="111"/>
    </row>
    <row r="75" spans="2:18" x14ac:dyDescent="0.35">
      <c r="B75" s="116" t="s">
        <v>35</v>
      </c>
      <c r="C75" s="116"/>
      <c r="D75" s="116"/>
      <c r="E75" s="116"/>
      <c r="F75" s="116"/>
      <c r="G75" s="116"/>
      <c r="H75" s="116"/>
      <c r="I75" s="116"/>
      <c r="J75" s="116"/>
      <c r="K75" s="116"/>
      <c r="L75" s="116"/>
      <c r="M75" s="116"/>
    </row>
    <row r="76" spans="2:18" x14ac:dyDescent="0.35">
      <c r="B76" s="116"/>
      <c r="C76" s="116"/>
      <c r="D76" s="116"/>
      <c r="E76" s="116"/>
      <c r="F76" s="116"/>
      <c r="G76" s="116"/>
      <c r="H76" s="116"/>
      <c r="I76" s="116"/>
      <c r="J76" s="116"/>
      <c r="K76" s="116"/>
      <c r="L76" s="116"/>
      <c r="M76" s="116"/>
    </row>
    <row r="77" spans="2:18" x14ac:dyDescent="0.35">
      <c r="B77" s="10" t="s">
        <v>39</v>
      </c>
      <c r="C77" s="11"/>
      <c r="D77" s="11"/>
      <c r="E77" s="11"/>
      <c r="F77" s="11"/>
      <c r="G77" s="11"/>
      <c r="H77" s="11"/>
      <c r="I77" s="11"/>
      <c r="J77" s="11"/>
      <c r="K77" s="11"/>
      <c r="L77" s="11"/>
      <c r="M77" s="12"/>
    </row>
    <row r="78" spans="2:18" ht="24.5" x14ac:dyDescent="0.45">
      <c r="B78" s="13" t="s">
        <v>37</v>
      </c>
      <c r="C78" s="14"/>
      <c r="D78" s="111" t="s">
        <v>34</v>
      </c>
      <c r="E78" s="111"/>
      <c r="F78" s="111"/>
      <c r="G78" s="111"/>
      <c r="H78" s="111"/>
      <c r="I78" s="111"/>
      <c r="J78" s="111"/>
      <c r="K78" s="111"/>
      <c r="L78" s="111"/>
      <c r="M78" s="111"/>
    </row>
    <row r="79" spans="2:18" ht="24.5" x14ac:dyDescent="0.45">
      <c r="B79" s="13" t="s">
        <v>38</v>
      </c>
      <c r="C79" s="14"/>
      <c r="D79" s="111"/>
      <c r="E79" s="111"/>
      <c r="F79" s="111"/>
      <c r="G79" s="111"/>
      <c r="H79" s="111"/>
      <c r="I79" s="111"/>
      <c r="J79" s="111"/>
      <c r="K79" s="111"/>
      <c r="L79" s="111"/>
      <c r="M79" s="111"/>
    </row>
    <row r="82" spans="2:12" x14ac:dyDescent="0.35">
      <c r="B82" s="112"/>
      <c r="C82" s="112"/>
      <c r="D82" s="112"/>
      <c r="E82" s="80"/>
      <c r="F82" s="80"/>
      <c r="J82" s="112"/>
      <c r="K82" s="112"/>
      <c r="L82" s="112"/>
    </row>
    <row r="83" spans="2:12" ht="19.25" customHeight="1" x14ac:dyDescent="0.35">
      <c r="B83" s="4" t="s">
        <v>40</v>
      </c>
      <c r="C83" s="113"/>
      <c r="D83" s="113"/>
      <c r="E83" s="60"/>
      <c r="F83" s="60"/>
      <c r="J83" s="114" t="s">
        <v>150</v>
      </c>
      <c r="K83" s="115"/>
      <c r="L83" s="115"/>
    </row>
    <row r="110" spans="1:19" s="1" customFormat="1" x14ac:dyDescent="0.35">
      <c r="A110" t="s">
        <v>0</v>
      </c>
      <c r="N110" s="2"/>
      <c r="O110" s="2"/>
      <c r="P110"/>
      <c r="Q110" s="2"/>
      <c r="R110"/>
      <c r="S110" s="2"/>
    </row>
    <row r="111" spans="1:19" s="1" customFormat="1" x14ac:dyDescent="0.35">
      <c r="A111" t="s">
        <v>2</v>
      </c>
      <c r="N111" s="2"/>
      <c r="O111" s="2"/>
      <c r="P111"/>
      <c r="Q111" s="2"/>
      <c r="R111"/>
      <c r="S111" s="2"/>
    </row>
    <row r="112" spans="1:19" s="1" customFormat="1" x14ac:dyDescent="0.35">
      <c r="A112" t="s">
        <v>6</v>
      </c>
      <c r="N112" s="2"/>
      <c r="O112" s="2"/>
      <c r="P112"/>
      <c r="Q112" s="2"/>
      <c r="R112"/>
      <c r="S112" s="2"/>
    </row>
    <row r="113" spans="1:19" s="1" customFormat="1" x14ac:dyDescent="0.35">
      <c r="A113" t="s">
        <v>8</v>
      </c>
      <c r="N113" s="2"/>
      <c r="O113" s="2"/>
      <c r="P113"/>
      <c r="Q113" s="2"/>
      <c r="R113"/>
      <c r="S113" s="2"/>
    </row>
    <row r="114" spans="1:19" s="1" customFormat="1" x14ac:dyDescent="0.35">
      <c r="A114" t="s">
        <v>9</v>
      </c>
      <c r="N114" s="2"/>
      <c r="O114" s="2"/>
      <c r="P114"/>
      <c r="Q114" s="2"/>
      <c r="R114"/>
      <c r="S114" s="2"/>
    </row>
    <row r="115" spans="1:19" s="1" customFormat="1" x14ac:dyDescent="0.35">
      <c r="A115" t="s">
        <v>10</v>
      </c>
      <c r="B115" s="2"/>
      <c r="N115" s="2"/>
      <c r="O115" s="2"/>
      <c r="P115"/>
      <c r="Q115" s="2"/>
      <c r="R115"/>
      <c r="S115" s="2"/>
    </row>
    <row r="116" spans="1:19" s="1" customFormat="1" x14ac:dyDescent="0.35">
      <c r="A116" t="s">
        <v>11</v>
      </c>
      <c r="B116" s="2"/>
      <c r="N116" s="2"/>
      <c r="O116" s="2"/>
      <c r="P116"/>
      <c r="Q116" s="2"/>
      <c r="R116"/>
      <c r="S116" s="2"/>
    </row>
    <row r="117" spans="1:19" s="1" customFormat="1" x14ac:dyDescent="0.35">
      <c r="A117" t="s">
        <v>13</v>
      </c>
      <c r="B117" s="2"/>
      <c r="N117" s="2"/>
      <c r="O117" s="2"/>
      <c r="P117"/>
      <c r="Q117" s="2"/>
      <c r="R117"/>
      <c r="S117" s="2"/>
    </row>
    <row r="118" spans="1:19" s="1" customFormat="1" x14ac:dyDescent="0.35">
      <c r="A118" t="s">
        <v>14</v>
      </c>
      <c r="B118" s="5"/>
      <c r="N118" s="2"/>
      <c r="O118" s="2"/>
      <c r="P118"/>
      <c r="Q118" s="2"/>
      <c r="R118"/>
      <c r="S118" s="2"/>
    </row>
    <row r="119" spans="1:19" s="1" customFormat="1" x14ac:dyDescent="0.35">
      <c r="A119" t="s">
        <v>16</v>
      </c>
      <c r="B119" s="2"/>
      <c r="N119" s="2"/>
      <c r="O119" s="2"/>
      <c r="P119"/>
      <c r="Q119" s="2"/>
      <c r="R119"/>
      <c r="S119" s="2"/>
    </row>
    <row r="120" spans="1:19" s="1" customFormat="1" x14ac:dyDescent="0.35">
      <c r="A120" t="s">
        <v>17</v>
      </c>
      <c r="B120" s="5"/>
      <c r="N120" s="2"/>
      <c r="O120" s="2"/>
      <c r="P120"/>
      <c r="Q120" s="2"/>
      <c r="R120"/>
      <c r="S120" s="2"/>
    </row>
    <row r="121" spans="1:19" s="1" customFormat="1" x14ac:dyDescent="0.35">
      <c r="A121" t="s">
        <v>21</v>
      </c>
      <c r="B121" s="5"/>
      <c r="N121" s="2"/>
      <c r="O121" s="2"/>
      <c r="P121"/>
      <c r="Q121" s="2"/>
      <c r="R121"/>
      <c r="S121" s="2"/>
    </row>
    <row r="122" spans="1:19" s="1" customFormat="1" x14ac:dyDescent="0.35">
      <c r="A122" t="s">
        <v>30</v>
      </c>
      <c r="B122" s="5"/>
      <c r="N122" s="2"/>
      <c r="O122" s="2"/>
      <c r="P122"/>
      <c r="Q122" s="2"/>
      <c r="R122"/>
      <c r="S122" s="2"/>
    </row>
    <row r="123" spans="1:19" x14ac:dyDescent="0.35">
      <c r="B123" s="5"/>
    </row>
    <row r="124" spans="1:19" x14ac:dyDescent="0.35">
      <c r="B124" s="5"/>
    </row>
    <row r="125" spans="1:19" s="1" customFormat="1" x14ac:dyDescent="0.35">
      <c r="B125" s="2"/>
      <c r="N125" s="2"/>
      <c r="O125" s="2"/>
      <c r="P125"/>
      <c r="Q125" s="2"/>
      <c r="R125"/>
    </row>
    <row r="126" spans="1:19" s="1" customFormat="1" x14ac:dyDescent="0.35">
      <c r="B126" s="2"/>
      <c r="N126" s="2"/>
      <c r="O126" s="2"/>
      <c r="P126"/>
      <c r="Q126" s="2"/>
      <c r="R126"/>
    </row>
    <row r="127" spans="1:19" s="1" customFormat="1" x14ac:dyDescent="0.35">
      <c r="B127" s="2"/>
      <c r="N127" s="2"/>
      <c r="O127" s="2"/>
      <c r="P127"/>
      <c r="Q127" s="2"/>
      <c r="R127"/>
    </row>
  </sheetData>
  <sheetProtection formatCells="0" formatColumns="0" formatRows="0" insertColumns="0" insertRows="0" insertHyperlinks="0" deleteColumns="0" deleteRows="0" sort="0" autoFilter="0" pivotTables="0"/>
  <autoFilter ref="B12:M63"/>
  <mergeCells count="42">
    <mergeCell ref="I62:M62"/>
    <mergeCell ref="B2:M2"/>
    <mergeCell ref="B3:D3"/>
    <mergeCell ref="G3:J3"/>
    <mergeCell ref="K3:M3"/>
    <mergeCell ref="B5:C5"/>
    <mergeCell ref="B7:C7"/>
    <mergeCell ref="B9:C9"/>
    <mergeCell ref="B11:I11"/>
    <mergeCell ref="J11:K11"/>
    <mergeCell ref="L11:M11"/>
    <mergeCell ref="F13:F21"/>
    <mergeCell ref="F34:F39"/>
    <mergeCell ref="F52:F61"/>
    <mergeCell ref="F28:F33"/>
    <mergeCell ref="E13:E21"/>
    <mergeCell ref="B75:M76"/>
    <mergeCell ref="B66:C69"/>
    <mergeCell ref="D66:M66"/>
    <mergeCell ref="D67:M67"/>
    <mergeCell ref="D68:M68"/>
    <mergeCell ref="D69:M69"/>
    <mergeCell ref="B70:M71"/>
    <mergeCell ref="D73:M74"/>
    <mergeCell ref="D78:M79"/>
    <mergeCell ref="B82:D82"/>
    <mergeCell ref="J82:L82"/>
    <mergeCell ref="C83:D83"/>
    <mergeCell ref="J83:L83"/>
    <mergeCell ref="F49:F50"/>
    <mergeCell ref="F22:F27"/>
    <mergeCell ref="E52:E61"/>
    <mergeCell ref="E34:E39"/>
    <mergeCell ref="E40:E42"/>
    <mergeCell ref="E43:E45"/>
    <mergeCell ref="E46:E48"/>
    <mergeCell ref="E49:E50"/>
    <mergeCell ref="E22:E27"/>
    <mergeCell ref="E28:E33"/>
    <mergeCell ref="F46:F48"/>
    <mergeCell ref="F43:F45"/>
    <mergeCell ref="F40:F42"/>
  </mergeCells>
  <conditionalFormatting sqref="M13:M34">
    <cfRule type="cellIs" dxfId="5" priority="1" operator="equal">
      <formula>1</formula>
    </cfRule>
    <cfRule type="cellIs" dxfId="4" priority="2" operator="greaterThan">
      <formula>1</formula>
    </cfRule>
  </conditionalFormatting>
  <conditionalFormatting sqref="M38:M61">
    <cfRule type="cellIs" dxfId="3" priority="5" operator="equal">
      <formula>1</formula>
    </cfRule>
    <cfRule type="cellIs" dxfId="2" priority="6" operator="greaterThan">
      <formula>1</formula>
    </cfRule>
  </conditionalFormatting>
  <dataValidations count="3">
    <dataValidation type="list" allowBlank="1" showInputMessage="1" showErrorMessage="1" sqref="D7">
      <formula1>$A$111:$A$122</formula1>
    </dataValidation>
    <dataValidation type="whole" allowBlank="1" showInputMessage="1" showErrorMessage="1" errorTitle="¡Error!" error="Introduzca un número válido." promptTitle="¡Atención!" prompt="Introduzca un número entre 0 y 366" sqref="I28:J61 J20:J23 I13:I27">
      <formula1>0</formula1>
      <formula2>366</formula2>
    </dataValidation>
    <dataValidation type="whole" allowBlank="1" showInputMessage="1" showErrorMessage="1" errorTitle="¡Error!" error="Introduzca un número válido." promptTitle="¡Atención!" prompt="Introduzca un número entre 0 y 30" sqref="J13:J19 J24:J27">
      <formula1>0</formula1>
      <formula2>30</formula2>
    </dataValidation>
  </dataValidations>
  <pageMargins left="0.7" right="0.7" top="0.75" bottom="0.75" header="0.3" footer="0.3"/>
  <pageSetup scale="10" orientation="portrait"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S127"/>
  <sheetViews>
    <sheetView showGridLines="0" tabSelected="1" view="pageBreakPreview" zoomScale="80" zoomScaleNormal="80" zoomScaleSheetLayoutView="80" workbookViewId="0">
      <selection activeCell="B2" sqref="B2:M2"/>
    </sheetView>
  </sheetViews>
  <sheetFormatPr baseColWidth="10" defaultColWidth="8.6328125" defaultRowHeight="14.5" x14ac:dyDescent="0.35"/>
  <cols>
    <col min="1" max="1" width="5.54296875" style="2" customWidth="1"/>
    <col min="2" max="2" width="10.08984375" style="1" customWidth="1"/>
    <col min="3" max="3" width="12.6328125" style="1" bestFit="1" customWidth="1"/>
    <col min="4" max="4" width="43.08984375" style="1" customWidth="1"/>
    <col min="5" max="6" width="19.90625" style="1" customWidth="1"/>
    <col min="7" max="7" width="14.08984375" style="1" bestFit="1" customWidth="1"/>
    <col min="8" max="8" width="13.453125" style="1" customWidth="1"/>
    <col min="9" max="9" width="13.6328125" style="1" customWidth="1"/>
    <col min="10" max="10" width="13.453125" style="1" customWidth="1"/>
    <col min="11" max="11" width="10.453125" style="1" customWidth="1"/>
    <col min="12" max="12" width="12.453125" style="1" customWidth="1"/>
    <col min="13" max="13" width="12.36328125" style="1" customWidth="1"/>
    <col min="14" max="14" width="5.54296875" style="2" customWidth="1"/>
    <col min="15" max="15" width="16.453125" style="2" customWidth="1"/>
    <col min="17" max="17" width="16.453125" style="2" customWidth="1"/>
    <col min="18" max="18" width="0" hidden="1" customWidth="1"/>
    <col min="19" max="19" width="16.453125" style="2" customWidth="1"/>
    <col min="20" max="16384" width="8.6328125" style="2"/>
  </cols>
  <sheetData>
    <row r="1" spans="2:18" ht="18" customHeight="1" x14ac:dyDescent="0.35">
      <c r="R1" t="s">
        <v>0</v>
      </c>
    </row>
    <row r="2" spans="2:18" ht="51" customHeight="1" x14ac:dyDescent="0.35">
      <c r="B2" s="129" t="s">
        <v>1</v>
      </c>
      <c r="C2" s="129"/>
      <c r="D2" s="129"/>
      <c r="E2" s="129"/>
      <c r="F2" s="129"/>
      <c r="G2" s="129"/>
      <c r="H2" s="129"/>
      <c r="I2" s="129"/>
      <c r="J2" s="129"/>
      <c r="K2" s="129"/>
      <c r="L2" s="129"/>
      <c r="M2" s="129"/>
      <c r="R2" t="s">
        <v>2</v>
      </c>
    </row>
    <row r="3" spans="2:18" x14ac:dyDescent="0.35">
      <c r="B3" s="130" t="s">
        <v>3</v>
      </c>
      <c r="C3" s="131"/>
      <c r="D3" s="131"/>
      <c r="E3" s="75"/>
      <c r="F3" s="75"/>
      <c r="G3" s="131" t="s">
        <v>4</v>
      </c>
      <c r="H3" s="131"/>
      <c r="I3" s="131"/>
      <c r="J3" s="131"/>
      <c r="K3" s="131" t="s">
        <v>5</v>
      </c>
      <c r="L3" s="131"/>
      <c r="M3" s="132"/>
    </row>
    <row r="4" spans="2:18" x14ac:dyDescent="0.35">
      <c r="B4" s="18"/>
      <c r="C4" s="3"/>
      <c r="M4" s="19"/>
      <c r="R4" t="s">
        <v>6</v>
      </c>
    </row>
    <row r="5" spans="2:18" s="5" customFormat="1" x14ac:dyDescent="0.35">
      <c r="B5" s="133" t="s">
        <v>7</v>
      </c>
      <c r="C5" s="133"/>
      <c r="D5" s="61">
        <v>90598918</v>
      </c>
      <c r="E5"/>
      <c r="F5"/>
      <c r="G5" s="15"/>
      <c r="H5" s="15"/>
      <c r="I5" s="15"/>
      <c r="K5" s="4"/>
      <c r="L5" s="4"/>
      <c r="M5" s="20"/>
      <c r="P5"/>
      <c r="R5" t="s">
        <v>8</v>
      </c>
    </row>
    <row r="6" spans="2:18" s="5" customFormat="1" x14ac:dyDescent="0.35">
      <c r="B6" s="21"/>
      <c r="C6" s="4"/>
      <c r="D6" s="4"/>
      <c r="E6"/>
      <c r="F6"/>
      <c r="G6" s="4"/>
      <c r="H6" s="4"/>
      <c r="I6" s="4"/>
      <c r="J6" s="4"/>
      <c r="K6" s="4"/>
      <c r="L6" s="4"/>
      <c r="M6" s="20"/>
      <c r="P6"/>
      <c r="R6" t="s">
        <v>11</v>
      </c>
    </row>
    <row r="7" spans="2:18" s="5" customFormat="1" x14ac:dyDescent="0.35">
      <c r="B7" s="133" t="s">
        <v>12</v>
      </c>
      <c r="C7" s="133"/>
      <c r="D7" s="6" t="s">
        <v>6</v>
      </c>
      <c r="E7"/>
      <c r="F7"/>
      <c r="G7" s="22"/>
      <c r="H7" s="22"/>
      <c r="I7" s="22"/>
      <c r="J7" s="4"/>
      <c r="K7" s="4"/>
      <c r="L7" s="4"/>
      <c r="M7" s="20"/>
      <c r="P7"/>
      <c r="R7" t="s">
        <v>13</v>
      </c>
    </row>
    <row r="8" spans="2:18" s="5" customFormat="1" x14ac:dyDescent="0.35">
      <c r="B8" s="31"/>
      <c r="C8" s="60"/>
      <c r="D8" s="22"/>
      <c r="E8"/>
      <c r="F8"/>
      <c r="G8" s="22"/>
      <c r="H8" s="22"/>
      <c r="I8" s="22"/>
      <c r="J8" s="4"/>
      <c r="K8" s="4"/>
      <c r="L8" s="4"/>
      <c r="M8" s="20"/>
      <c r="P8"/>
      <c r="R8" t="s">
        <v>14</v>
      </c>
    </row>
    <row r="9" spans="2:18" s="5" customFormat="1" x14ac:dyDescent="0.35">
      <c r="B9" s="133" t="s">
        <v>15</v>
      </c>
      <c r="C9" s="133"/>
      <c r="D9" s="7">
        <v>46081</v>
      </c>
      <c r="E9"/>
      <c r="F9"/>
      <c r="G9" s="23"/>
      <c r="H9" s="23"/>
      <c r="I9" s="23"/>
      <c r="J9" s="4"/>
      <c r="K9" s="4"/>
      <c r="L9" s="4"/>
      <c r="M9" s="20"/>
      <c r="P9"/>
      <c r="R9" t="s">
        <v>16</v>
      </c>
    </row>
    <row r="10" spans="2:18" x14ac:dyDescent="0.35">
      <c r="B10" s="24"/>
      <c r="M10" s="25"/>
      <c r="R10" t="s">
        <v>17</v>
      </c>
    </row>
    <row r="11" spans="2:18" x14ac:dyDescent="0.35">
      <c r="B11" s="133" t="s">
        <v>18</v>
      </c>
      <c r="C11" s="133"/>
      <c r="D11" s="133"/>
      <c r="E11" s="133"/>
      <c r="F11" s="133"/>
      <c r="G11" s="133"/>
      <c r="H11" s="133"/>
      <c r="I11" s="133"/>
      <c r="J11" s="133" t="s">
        <v>19</v>
      </c>
      <c r="K11" s="133"/>
      <c r="L11" s="133" t="s">
        <v>20</v>
      </c>
      <c r="M11" s="133"/>
      <c r="R11" t="s">
        <v>21</v>
      </c>
    </row>
    <row r="12" spans="2:18" s="26" customFormat="1" ht="42.65" customHeight="1" x14ac:dyDescent="0.35">
      <c r="B12" s="59" t="s">
        <v>22</v>
      </c>
      <c r="C12" s="59" t="s">
        <v>23</v>
      </c>
      <c r="D12" s="59" t="s">
        <v>24</v>
      </c>
      <c r="E12" s="59" t="s">
        <v>66</v>
      </c>
      <c r="F12" s="59" t="s">
        <v>145</v>
      </c>
      <c r="G12" s="59" t="s">
        <v>25</v>
      </c>
      <c r="H12" s="59" t="s">
        <v>26</v>
      </c>
      <c r="I12" s="59" t="s">
        <v>62</v>
      </c>
      <c r="J12" s="59" t="s">
        <v>27</v>
      </c>
      <c r="K12" s="59" t="s">
        <v>28</v>
      </c>
      <c r="L12" s="59" t="s">
        <v>29</v>
      </c>
      <c r="M12" s="59" t="s">
        <v>28</v>
      </c>
      <c r="P12" s="27"/>
      <c r="R12" s="27" t="s">
        <v>30</v>
      </c>
    </row>
    <row r="13" spans="2:18" ht="22.5" customHeight="1" x14ac:dyDescent="0.35">
      <c r="B13" s="32">
        <v>1</v>
      </c>
      <c r="C13" s="33" t="s">
        <v>136</v>
      </c>
      <c r="D13" s="34" t="s">
        <v>99</v>
      </c>
      <c r="E13" s="105" t="s">
        <v>124</v>
      </c>
      <c r="F13" s="105" t="s">
        <v>146</v>
      </c>
      <c r="G13" s="85" t="s">
        <v>100</v>
      </c>
      <c r="H13" s="76" t="s">
        <v>31</v>
      </c>
      <c r="I13" s="36">
        <v>25</v>
      </c>
      <c r="J13" s="35">
        <v>6</v>
      </c>
      <c r="K13" s="37">
        <f t="shared" ref="K13:K61" si="0">IFERROR(J13/I13,0)</f>
        <v>0.24</v>
      </c>
      <c r="L13" s="35">
        <f>+'ENERO 2026'!L13+J13</f>
        <v>9</v>
      </c>
      <c r="M13" s="37">
        <f t="shared" ref="M13:M57" si="1">IFERROR(L13/I13,0)</f>
        <v>0.36</v>
      </c>
    </row>
    <row r="14" spans="2:18" s="5" customFormat="1" x14ac:dyDescent="0.35">
      <c r="B14" s="39">
        <v>1</v>
      </c>
      <c r="C14" s="40" t="s">
        <v>137</v>
      </c>
      <c r="D14" s="41" t="s">
        <v>101</v>
      </c>
      <c r="E14" s="107"/>
      <c r="F14" s="107"/>
      <c r="G14" s="86" t="s">
        <v>64</v>
      </c>
      <c r="H14" s="77" t="s">
        <v>31</v>
      </c>
      <c r="I14" s="43">
        <v>25</v>
      </c>
      <c r="J14" s="42">
        <v>6</v>
      </c>
      <c r="K14" s="44">
        <f t="shared" si="0"/>
        <v>0.24</v>
      </c>
      <c r="L14" s="42">
        <f>+'ENERO 2026'!L14+J14</f>
        <v>9</v>
      </c>
      <c r="M14" s="44">
        <f t="shared" si="1"/>
        <v>0.36</v>
      </c>
      <c r="P14" s="8"/>
      <c r="R14" s="8"/>
    </row>
    <row r="15" spans="2:18" x14ac:dyDescent="0.35">
      <c r="B15" s="39">
        <v>1</v>
      </c>
      <c r="C15" s="40" t="s">
        <v>138</v>
      </c>
      <c r="D15" s="41" t="s">
        <v>102</v>
      </c>
      <c r="E15" s="107"/>
      <c r="F15" s="107"/>
      <c r="G15" s="86" t="s">
        <v>65</v>
      </c>
      <c r="H15" s="77" t="s">
        <v>31</v>
      </c>
      <c r="I15" s="43">
        <v>25</v>
      </c>
      <c r="J15" s="42">
        <v>6</v>
      </c>
      <c r="K15" s="44">
        <f t="shared" si="0"/>
        <v>0.24</v>
      </c>
      <c r="L15" s="42">
        <f>+'ENERO 2026'!L15+J15</f>
        <v>9</v>
      </c>
      <c r="M15" s="44">
        <f t="shared" si="1"/>
        <v>0.36</v>
      </c>
    </row>
    <row r="16" spans="2:18" x14ac:dyDescent="0.35">
      <c r="B16" s="39">
        <v>1</v>
      </c>
      <c r="C16" s="40" t="s">
        <v>139</v>
      </c>
      <c r="D16" s="41" t="s">
        <v>103</v>
      </c>
      <c r="E16" s="107"/>
      <c r="F16" s="107"/>
      <c r="G16" s="86" t="s">
        <v>104</v>
      </c>
      <c r="H16" s="77" t="s">
        <v>31</v>
      </c>
      <c r="I16" s="43">
        <v>25</v>
      </c>
      <c r="J16" s="42">
        <v>6</v>
      </c>
      <c r="K16" s="44">
        <f t="shared" si="0"/>
        <v>0.24</v>
      </c>
      <c r="L16" s="42">
        <f>+'ENERO 2026'!L16+J16</f>
        <v>9</v>
      </c>
      <c r="M16" s="44">
        <f t="shared" si="1"/>
        <v>0.36</v>
      </c>
    </row>
    <row r="17" spans="2:18" x14ac:dyDescent="0.35">
      <c r="B17" s="39">
        <v>1</v>
      </c>
      <c r="C17" s="40" t="s">
        <v>140</v>
      </c>
      <c r="D17" s="41" t="s">
        <v>105</v>
      </c>
      <c r="E17" s="107"/>
      <c r="F17" s="107"/>
      <c r="G17" s="86" t="s">
        <v>149</v>
      </c>
      <c r="H17" s="77" t="s">
        <v>149</v>
      </c>
      <c r="I17" s="43">
        <v>25</v>
      </c>
      <c r="J17" s="42">
        <v>0</v>
      </c>
      <c r="K17" s="44">
        <f t="shared" si="0"/>
        <v>0</v>
      </c>
      <c r="L17" s="42">
        <f>+'ENERO 2026'!L17+J17</f>
        <v>0</v>
      </c>
      <c r="M17" s="44">
        <f t="shared" si="1"/>
        <v>0</v>
      </c>
    </row>
    <row r="18" spans="2:18" x14ac:dyDescent="0.35">
      <c r="B18" s="39">
        <v>1</v>
      </c>
      <c r="C18" s="40" t="s">
        <v>141</v>
      </c>
      <c r="D18" s="41" t="s">
        <v>106</v>
      </c>
      <c r="E18" s="107"/>
      <c r="F18" s="107"/>
      <c r="G18" s="86" t="s">
        <v>149</v>
      </c>
      <c r="H18" s="77" t="s">
        <v>149</v>
      </c>
      <c r="I18" s="43">
        <v>25</v>
      </c>
      <c r="J18" s="42">
        <v>0</v>
      </c>
      <c r="K18" s="44">
        <f t="shared" si="0"/>
        <v>0</v>
      </c>
      <c r="L18" s="42">
        <f>+'ENERO 2026'!L18+J18</f>
        <v>0</v>
      </c>
      <c r="M18" s="44">
        <f t="shared" si="1"/>
        <v>0</v>
      </c>
    </row>
    <row r="19" spans="2:18" x14ac:dyDescent="0.35">
      <c r="B19" s="39">
        <v>1</v>
      </c>
      <c r="C19" s="40" t="s">
        <v>142</v>
      </c>
      <c r="D19" s="41" t="s">
        <v>107</v>
      </c>
      <c r="E19" s="107"/>
      <c r="F19" s="107"/>
      <c r="G19" s="86" t="s">
        <v>149</v>
      </c>
      <c r="H19" s="77" t="s">
        <v>149</v>
      </c>
      <c r="I19" s="43">
        <v>25</v>
      </c>
      <c r="J19" s="42">
        <v>0</v>
      </c>
      <c r="K19" s="44">
        <f t="shared" si="0"/>
        <v>0</v>
      </c>
      <c r="L19" s="42">
        <f>+'ENERO 2026'!L19+J19</f>
        <v>0</v>
      </c>
      <c r="M19" s="44">
        <f t="shared" si="1"/>
        <v>0</v>
      </c>
    </row>
    <row r="20" spans="2:18" ht="15" customHeight="1" x14ac:dyDescent="0.35">
      <c r="B20" s="39">
        <v>2</v>
      </c>
      <c r="C20" s="40" t="s">
        <v>143</v>
      </c>
      <c r="D20" s="41" t="s">
        <v>108</v>
      </c>
      <c r="E20" s="107"/>
      <c r="F20" s="107"/>
      <c r="G20" s="86" t="s">
        <v>94</v>
      </c>
      <c r="H20" s="77" t="s">
        <v>31</v>
      </c>
      <c r="I20" s="43">
        <v>25</v>
      </c>
      <c r="J20" s="42">
        <v>6</v>
      </c>
      <c r="K20" s="44">
        <f t="shared" si="0"/>
        <v>0.24</v>
      </c>
      <c r="L20" s="42">
        <f>+'ENERO 2026'!L20+J20</f>
        <v>9</v>
      </c>
      <c r="M20" s="44">
        <f t="shared" si="1"/>
        <v>0.36</v>
      </c>
    </row>
    <row r="21" spans="2:18" x14ac:dyDescent="0.35">
      <c r="B21" s="46">
        <v>2</v>
      </c>
      <c r="C21" s="47" t="s">
        <v>144</v>
      </c>
      <c r="D21" s="48" t="s">
        <v>109</v>
      </c>
      <c r="E21" s="106"/>
      <c r="F21" s="106"/>
      <c r="G21" s="87" t="s">
        <v>149</v>
      </c>
      <c r="H21" s="78" t="s">
        <v>149</v>
      </c>
      <c r="I21" s="49">
        <v>25</v>
      </c>
      <c r="J21" s="49">
        <v>0</v>
      </c>
      <c r="K21" s="51">
        <f t="shared" si="0"/>
        <v>0</v>
      </c>
      <c r="L21" s="49">
        <f>+'ENERO 2026'!L21+J21</f>
        <v>0</v>
      </c>
      <c r="M21" s="55">
        <f t="shared" si="1"/>
        <v>0</v>
      </c>
    </row>
    <row r="22" spans="2:18" x14ac:dyDescent="0.35">
      <c r="B22" s="32">
        <v>8</v>
      </c>
      <c r="C22" s="33" t="s">
        <v>92</v>
      </c>
      <c r="D22" s="34" t="s">
        <v>93</v>
      </c>
      <c r="E22" s="108" t="s">
        <v>125</v>
      </c>
      <c r="F22" s="105" t="s">
        <v>146</v>
      </c>
      <c r="G22" s="85" t="s">
        <v>94</v>
      </c>
      <c r="H22" s="76" t="s">
        <v>31</v>
      </c>
      <c r="I22" s="36">
        <v>37</v>
      </c>
      <c r="J22" s="35">
        <v>5</v>
      </c>
      <c r="K22" s="37">
        <f t="shared" si="0"/>
        <v>0.13513513513513514</v>
      </c>
      <c r="L22" s="35">
        <f>+'ENERO 2026'!L22+J22</f>
        <v>7</v>
      </c>
      <c r="M22" s="37">
        <f t="shared" si="1"/>
        <v>0.1891891891891892</v>
      </c>
    </row>
    <row r="23" spans="2:18" x14ac:dyDescent="0.35">
      <c r="B23" s="39">
        <v>8</v>
      </c>
      <c r="C23" s="40" t="s">
        <v>54</v>
      </c>
      <c r="D23" s="41" t="s">
        <v>55</v>
      </c>
      <c r="E23" s="109"/>
      <c r="F23" s="107"/>
      <c r="G23" s="86" t="s">
        <v>63</v>
      </c>
      <c r="H23" s="77" t="s">
        <v>31</v>
      </c>
      <c r="I23" s="43">
        <v>37</v>
      </c>
      <c r="J23" s="42">
        <v>5</v>
      </c>
      <c r="K23" s="44">
        <f t="shared" si="0"/>
        <v>0.13513513513513514</v>
      </c>
      <c r="L23" s="42">
        <f>+'ENERO 2026'!L23+J23</f>
        <v>8</v>
      </c>
      <c r="M23" s="44">
        <f t="shared" si="1"/>
        <v>0.21621621621621623</v>
      </c>
    </row>
    <row r="24" spans="2:18" x14ac:dyDescent="0.35">
      <c r="B24" s="39">
        <v>8</v>
      </c>
      <c r="C24" s="40" t="s">
        <v>56</v>
      </c>
      <c r="D24" s="41" t="s">
        <v>95</v>
      </c>
      <c r="E24" s="109"/>
      <c r="F24" s="107"/>
      <c r="G24" s="86" t="s">
        <v>57</v>
      </c>
      <c r="H24" s="77" t="s">
        <v>31</v>
      </c>
      <c r="I24" s="43">
        <v>37</v>
      </c>
      <c r="J24" s="42">
        <v>5</v>
      </c>
      <c r="K24" s="44">
        <f t="shared" si="0"/>
        <v>0.13513513513513514</v>
      </c>
      <c r="L24" s="42">
        <f>+'ENERO 2026'!L24+J24</f>
        <v>7</v>
      </c>
      <c r="M24" s="44">
        <f t="shared" si="1"/>
        <v>0.1891891891891892</v>
      </c>
    </row>
    <row r="25" spans="2:18" x14ac:dyDescent="0.35">
      <c r="B25" s="39">
        <v>8</v>
      </c>
      <c r="C25" s="40" t="s">
        <v>58</v>
      </c>
      <c r="D25" s="41" t="s">
        <v>118</v>
      </c>
      <c r="E25" s="109"/>
      <c r="F25" s="107"/>
      <c r="G25" s="86" t="s">
        <v>176</v>
      </c>
      <c r="H25" s="77" t="s">
        <v>31</v>
      </c>
      <c r="I25" s="43">
        <v>38</v>
      </c>
      <c r="J25" s="42">
        <v>5</v>
      </c>
      <c r="K25" s="44">
        <f t="shared" ref="K25:K26" si="2">IFERROR(J25/I25,0)</f>
        <v>0.13157894736842105</v>
      </c>
      <c r="L25" s="42">
        <f>+'ENERO 2026'!L25+J25</f>
        <v>7</v>
      </c>
      <c r="M25" s="44">
        <f t="shared" ref="M25:M26" si="3">IFERROR(L25/I25,0)</f>
        <v>0.18421052631578946</v>
      </c>
    </row>
    <row r="26" spans="2:18" x14ac:dyDescent="0.35">
      <c r="B26" s="39">
        <v>8</v>
      </c>
      <c r="C26" s="40" t="s">
        <v>59</v>
      </c>
      <c r="D26" s="41" t="s">
        <v>97</v>
      </c>
      <c r="E26" s="109"/>
      <c r="F26" s="107"/>
      <c r="G26" s="86" t="s">
        <v>60</v>
      </c>
      <c r="H26" s="77" t="s">
        <v>31</v>
      </c>
      <c r="I26" s="43">
        <v>38</v>
      </c>
      <c r="J26" s="42">
        <v>5</v>
      </c>
      <c r="K26" s="44">
        <f t="shared" si="2"/>
        <v>0.13157894736842105</v>
      </c>
      <c r="L26" s="42">
        <f>+'ENERO 2026'!L26+J26</f>
        <v>8</v>
      </c>
      <c r="M26" s="44">
        <f t="shared" si="3"/>
        <v>0.21052631578947367</v>
      </c>
    </row>
    <row r="27" spans="2:18" x14ac:dyDescent="0.35">
      <c r="B27" s="46">
        <v>8</v>
      </c>
      <c r="C27" s="47" t="s">
        <v>61</v>
      </c>
      <c r="D27" s="48" t="s">
        <v>98</v>
      </c>
      <c r="E27" s="110"/>
      <c r="F27" s="106"/>
      <c r="G27" s="87" t="s">
        <v>161</v>
      </c>
      <c r="H27" s="78" t="s">
        <v>31</v>
      </c>
      <c r="I27" s="50">
        <v>38</v>
      </c>
      <c r="J27" s="49">
        <v>5</v>
      </c>
      <c r="K27" s="51">
        <f t="shared" si="0"/>
        <v>0.13157894736842105</v>
      </c>
      <c r="L27" s="49">
        <f>+'ENERO 2026'!L27+J27</f>
        <v>8</v>
      </c>
      <c r="M27" s="51">
        <f t="shared" si="1"/>
        <v>0.21052631578947367</v>
      </c>
    </row>
    <row r="28" spans="2:18" x14ac:dyDescent="0.35">
      <c r="B28" s="32">
        <v>8</v>
      </c>
      <c r="C28" s="33" t="s">
        <v>92</v>
      </c>
      <c r="D28" s="34" t="s">
        <v>93</v>
      </c>
      <c r="E28" s="105" t="s">
        <v>126</v>
      </c>
      <c r="F28" s="105" t="s">
        <v>146</v>
      </c>
      <c r="G28" s="88" t="s">
        <v>149</v>
      </c>
      <c r="H28" s="99" t="s">
        <v>149</v>
      </c>
      <c r="I28" s="38">
        <v>30</v>
      </c>
      <c r="J28" s="35">
        <v>0</v>
      </c>
      <c r="K28" s="37">
        <f t="shared" si="0"/>
        <v>0</v>
      </c>
      <c r="L28" s="38">
        <f>+'ENERO 2026'!L28+J28</f>
        <v>5</v>
      </c>
      <c r="M28" s="53">
        <f t="shared" si="1"/>
        <v>0.16666666666666666</v>
      </c>
    </row>
    <row r="29" spans="2:18" x14ac:dyDescent="0.35">
      <c r="B29" s="39">
        <v>8</v>
      </c>
      <c r="C29" s="40" t="s">
        <v>54</v>
      </c>
      <c r="D29" s="41" t="s">
        <v>110</v>
      </c>
      <c r="E29" s="107"/>
      <c r="F29" s="107"/>
      <c r="G29" s="86" t="s">
        <v>158</v>
      </c>
      <c r="H29" s="100" t="s">
        <v>31</v>
      </c>
      <c r="I29" s="45">
        <v>30</v>
      </c>
      <c r="J29" s="42">
        <v>10</v>
      </c>
      <c r="K29" s="44">
        <f t="shared" si="0"/>
        <v>0.33333333333333331</v>
      </c>
      <c r="L29" s="45">
        <f>+'ENERO 2026'!L29+J29</f>
        <v>15</v>
      </c>
      <c r="M29" s="54">
        <f t="shared" si="1"/>
        <v>0.5</v>
      </c>
    </row>
    <row r="30" spans="2:18" s="5" customFormat="1" x14ac:dyDescent="0.35">
      <c r="B30" s="39">
        <v>8</v>
      </c>
      <c r="C30" s="40" t="s">
        <v>56</v>
      </c>
      <c r="D30" s="41" t="s">
        <v>117</v>
      </c>
      <c r="E30" s="107"/>
      <c r="F30" s="107"/>
      <c r="G30" s="86" t="s">
        <v>149</v>
      </c>
      <c r="H30" s="101" t="s">
        <v>149</v>
      </c>
      <c r="I30" s="45">
        <v>60</v>
      </c>
      <c r="J30" s="42">
        <v>0</v>
      </c>
      <c r="K30" s="44">
        <f t="shared" si="0"/>
        <v>0</v>
      </c>
      <c r="L30" s="45">
        <f>+'ENERO 2026'!L30+J30</f>
        <v>5</v>
      </c>
      <c r="M30" s="54">
        <f t="shared" si="1"/>
        <v>8.3333333333333329E-2</v>
      </c>
      <c r="P30" s="8"/>
      <c r="R30" s="8"/>
    </row>
    <row r="31" spans="2:18" x14ac:dyDescent="0.35">
      <c r="B31" s="39">
        <v>8</v>
      </c>
      <c r="C31" s="40" t="s">
        <v>58</v>
      </c>
      <c r="D31" s="41" t="s">
        <v>118</v>
      </c>
      <c r="E31" s="107"/>
      <c r="F31" s="107"/>
      <c r="G31" s="86" t="s">
        <v>159</v>
      </c>
      <c r="H31" s="100" t="s">
        <v>31</v>
      </c>
      <c r="I31" s="45">
        <v>30</v>
      </c>
      <c r="J31" s="42">
        <v>10</v>
      </c>
      <c r="K31" s="44">
        <f t="shared" si="0"/>
        <v>0.33333333333333331</v>
      </c>
      <c r="L31" s="45">
        <f>+'ENERO 2026'!L31+J31</f>
        <v>10</v>
      </c>
      <c r="M31" s="54">
        <f t="shared" si="1"/>
        <v>0.33333333333333331</v>
      </c>
    </row>
    <row r="32" spans="2:18" x14ac:dyDescent="0.35">
      <c r="B32" s="39">
        <v>8</v>
      </c>
      <c r="C32" s="40" t="s">
        <v>59</v>
      </c>
      <c r="D32" s="41" t="s">
        <v>119</v>
      </c>
      <c r="E32" s="107"/>
      <c r="F32" s="107"/>
      <c r="G32" s="86" t="s">
        <v>160</v>
      </c>
      <c r="H32" s="100" t="s">
        <v>31</v>
      </c>
      <c r="I32" s="45">
        <v>45</v>
      </c>
      <c r="J32" s="42">
        <v>10</v>
      </c>
      <c r="K32" s="44">
        <f t="shared" si="0"/>
        <v>0.22222222222222221</v>
      </c>
      <c r="L32" s="45">
        <f>+'ENERO 2026'!L32+J32</f>
        <v>10</v>
      </c>
      <c r="M32" s="54">
        <f t="shared" si="1"/>
        <v>0.22222222222222221</v>
      </c>
    </row>
    <row r="33" spans="2:18" x14ac:dyDescent="0.35">
      <c r="B33" s="46">
        <v>8</v>
      </c>
      <c r="C33" s="47" t="s">
        <v>61</v>
      </c>
      <c r="D33" s="48" t="s">
        <v>98</v>
      </c>
      <c r="E33" s="106"/>
      <c r="F33" s="106"/>
      <c r="G33" s="89" t="s">
        <v>149</v>
      </c>
      <c r="H33" s="102" t="s">
        <v>149</v>
      </c>
      <c r="I33" s="52">
        <v>30</v>
      </c>
      <c r="J33" s="49">
        <v>0</v>
      </c>
      <c r="K33" s="51">
        <f t="shared" si="0"/>
        <v>0</v>
      </c>
      <c r="L33" s="52">
        <f>+'ENERO 2026'!L33+J33</f>
        <v>0</v>
      </c>
      <c r="M33" s="55">
        <f t="shared" si="1"/>
        <v>0</v>
      </c>
    </row>
    <row r="34" spans="2:18" ht="14.4" customHeight="1" x14ac:dyDescent="0.35">
      <c r="B34" s="32">
        <v>8</v>
      </c>
      <c r="C34" s="33" t="s">
        <v>92</v>
      </c>
      <c r="D34" s="34" t="s">
        <v>93</v>
      </c>
      <c r="E34" s="105" t="s">
        <v>127</v>
      </c>
      <c r="F34" s="105" t="s">
        <v>147</v>
      </c>
      <c r="G34" s="90" t="s">
        <v>94</v>
      </c>
      <c r="H34" s="76" t="s">
        <v>31</v>
      </c>
      <c r="I34" s="35">
        <v>45</v>
      </c>
      <c r="J34" s="35">
        <v>8</v>
      </c>
      <c r="K34" s="37">
        <f t="shared" si="0"/>
        <v>0.17777777777777778</v>
      </c>
      <c r="L34" s="35">
        <f>+'ENERO 2026'!L34+J34</f>
        <v>16</v>
      </c>
      <c r="M34" s="53">
        <f t="shared" si="1"/>
        <v>0.35555555555555557</v>
      </c>
    </row>
    <row r="35" spans="2:18" x14ac:dyDescent="0.35">
      <c r="B35" s="39">
        <v>8</v>
      </c>
      <c r="C35" s="40" t="s">
        <v>54</v>
      </c>
      <c r="D35" s="41" t="s">
        <v>110</v>
      </c>
      <c r="E35" s="107"/>
      <c r="F35" s="107"/>
      <c r="G35" s="91" t="s">
        <v>149</v>
      </c>
      <c r="H35" s="81" t="s">
        <v>149</v>
      </c>
      <c r="I35" s="43">
        <v>40</v>
      </c>
      <c r="J35" s="42">
        <v>0</v>
      </c>
      <c r="K35" s="44">
        <f t="shared" si="0"/>
        <v>0</v>
      </c>
      <c r="L35" s="42">
        <f>+'ENERO 2026'!L35+J35</f>
        <v>0</v>
      </c>
      <c r="M35" s="44">
        <f t="shared" si="1"/>
        <v>0</v>
      </c>
    </row>
    <row r="36" spans="2:18" s="5" customFormat="1" x14ac:dyDescent="0.35">
      <c r="B36" s="39">
        <v>8</v>
      </c>
      <c r="C36" s="40" t="s">
        <v>56</v>
      </c>
      <c r="D36" s="41" t="s">
        <v>111</v>
      </c>
      <c r="E36" s="107"/>
      <c r="F36" s="107"/>
      <c r="G36" s="86" t="s">
        <v>57</v>
      </c>
      <c r="H36" s="81" t="s">
        <v>31</v>
      </c>
      <c r="I36" s="43">
        <v>40</v>
      </c>
      <c r="J36" s="42">
        <v>8</v>
      </c>
      <c r="K36" s="44">
        <f t="shared" si="0"/>
        <v>0.2</v>
      </c>
      <c r="L36" s="42">
        <f>+'ENERO 2026'!L36+J36</f>
        <v>15</v>
      </c>
      <c r="M36" s="44">
        <f t="shared" si="1"/>
        <v>0.375</v>
      </c>
      <c r="P36" s="8"/>
      <c r="R36" s="8"/>
    </row>
    <row r="37" spans="2:18" x14ac:dyDescent="0.35">
      <c r="B37" s="39">
        <v>8</v>
      </c>
      <c r="C37" s="40" t="s">
        <v>58</v>
      </c>
      <c r="D37" s="41" t="s">
        <v>96</v>
      </c>
      <c r="E37" s="107"/>
      <c r="F37" s="107"/>
      <c r="G37" s="86" t="s">
        <v>149</v>
      </c>
      <c r="H37" s="81" t="s">
        <v>149</v>
      </c>
      <c r="I37" s="43">
        <v>40</v>
      </c>
      <c r="J37" s="42">
        <v>0</v>
      </c>
      <c r="K37" s="44">
        <f t="shared" si="0"/>
        <v>0</v>
      </c>
      <c r="L37" s="42">
        <f>+'ENERO 2026'!L37+J37</f>
        <v>0</v>
      </c>
      <c r="M37" s="44">
        <f t="shared" si="1"/>
        <v>0</v>
      </c>
    </row>
    <row r="38" spans="2:18" x14ac:dyDescent="0.35">
      <c r="B38" s="39">
        <v>8</v>
      </c>
      <c r="C38" s="40" t="s">
        <v>59</v>
      </c>
      <c r="D38" s="41" t="s">
        <v>97</v>
      </c>
      <c r="E38" s="107"/>
      <c r="F38" s="107"/>
      <c r="G38" s="91" t="s">
        <v>60</v>
      </c>
      <c r="H38" s="77" t="s">
        <v>31</v>
      </c>
      <c r="I38" s="45">
        <v>40</v>
      </c>
      <c r="J38" s="42">
        <v>6</v>
      </c>
      <c r="K38" s="44">
        <f t="shared" si="0"/>
        <v>0.15</v>
      </c>
      <c r="L38" s="45">
        <f>+'ENERO 2026'!L38+J38</f>
        <v>6</v>
      </c>
      <c r="M38" s="54">
        <f t="shared" si="1"/>
        <v>0.15</v>
      </c>
    </row>
    <row r="39" spans="2:18" x14ac:dyDescent="0.35">
      <c r="B39" s="46">
        <v>8</v>
      </c>
      <c r="C39" s="47" t="s">
        <v>61</v>
      </c>
      <c r="D39" s="48" t="s">
        <v>98</v>
      </c>
      <c r="E39" s="106"/>
      <c r="F39" s="106"/>
      <c r="G39" s="92" t="s">
        <v>161</v>
      </c>
      <c r="H39" s="78" t="s">
        <v>31</v>
      </c>
      <c r="I39" s="52">
        <v>20</v>
      </c>
      <c r="J39" s="49">
        <v>8</v>
      </c>
      <c r="K39" s="51">
        <f t="shared" si="0"/>
        <v>0.4</v>
      </c>
      <c r="L39" s="52">
        <f>+'ENERO 2026'!L39+J39</f>
        <v>8</v>
      </c>
      <c r="M39" s="55">
        <f t="shared" si="1"/>
        <v>0.4</v>
      </c>
    </row>
    <row r="40" spans="2:18" x14ac:dyDescent="0.35">
      <c r="B40" s="32">
        <v>4</v>
      </c>
      <c r="C40" s="33" t="s">
        <v>67</v>
      </c>
      <c r="D40" s="34" t="s">
        <v>68</v>
      </c>
      <c r="E40" s="105" t="s">
        <v>128</v>
      </c>
      <c r="F40" s="105" t="s">
        <v>148</v>
      </c>
      <c r="G40" s="93" t="s">
        <v>82</v>
      </c>
      <c r="H40" s="34" t="s">
        <v>85</v>
      </c>
      <c r="I40" s="36">
        <v>75</v>
      </c>
      <c r="J40" s="35">
        <v>10</v>
      </c>
      <c r="K40" s="37">
        <f t="shared" si="0"/>
        <v>0.13333333333333333</v>
      </c>
      <c r="L40" s="35">
        <f>+'ENERO 2026'!L40+J40</f>
        <v>15</v>
      </c>
      <c r="M40" s="37">
        <f t="shared" si="1"/>
        <v>0.2</v>
      </c>
    </row>
    <row r="41" spans="2:18" x14ac:dyDescent="0.35">
      <c r="B41" s="39">
        <v>4</v>
      </c>
      <c r="C41" s="40" t="s">
        <v>70</v>
      </c>
      <c r="D41" s="41" t="s">
        <v>71</v>
      </c>
      <c r="E41" s="107"/>
      <c r="F41" s="107"/>
      <c r="G41" s="94" t="s">
        <v>83</v>
      </c>
      <c r="H41" s="41" t="s">
        <v>86</v>
      </c>
      <c r="I41" s="43">
        <v>75</v>
      </c>
      <c r="J41" s="42">
        <v>10</v>
      </c>
      <c r="K41" s="44">
        <f t="shared" si="0"/>
        <v>0.13333333333333333</v>
      </c>
      <c r="L41" s="42">
        <f>+'ENERO 2026'!L41+J41</f>
        <v>15</v>
      </c>
      <c r="M41" s="44">
        <f t="shared" si="1"/>
        <v>0.2</v>
      </c>
    </row>
    <row r="42" spans="2:18" x14ac:dyDescent="0.35">
      <c r="B42" s="46">
        <v>4</v>
      </c>
      <c r="C42" s="47" t="s">
        <v>73</v>
      </c>
      <c r="D42" s="48" t="s">
        <v>74</v>
      </c>
      <c r="E42" s="106"/>
      <c r="F42" s="106"/>
      <c r="G42" s="95" t="s">
        <v>84</v>
      </c>
      <c r="H42" s="48" t="s">
        <v>85</v>
      </c>
      <c r="I42" s="50">
        <v>75</v>
      </c>
      <c r="J42" s="49">
        <v>10</v>
      </c>
      <c r="K42" s="51">
        <f t="shared" si="0"/>
        <v>0.13333333333333333</v>
      </c>
      <c r="L42" s="49">
        <f>+'ENERO 2026'!L42+J42</f>
        <v>15</v>
      </c>
      <c r="M42" s="51">
        <f t="shared" si="1"/>
        <v>0.2</v>
      </c>
    </row>
    <row r="43" spans="2:18" ht="14.4" customHeight="1" x14ac:dyDescent="0.35">
      <c r="B43" s="32">
        <v>4</v>
      </c>
      <c r="C43" s="33" t="s">
        <v>67</v>
      </c>
      <c r="D43" s="34" t="s">
        <v>68</v>
      </c>
      <c r="E43" s="105" t="s">
        <v>129</v>
      </c>
      <c r="F43" s="105" t="s">
        <v>148</v>
      </c>
      <c r="G43" s="85" t="s">
        <v>79</v>
      </c>
      <c r="H43" s="76" t="s">
        <v>31</v>
      </c>
      <c r="I43" s="36">
        <v>75</v>
      </c>
      <c r="J43" s="36">
        <v>10</v>
      </c>
      <c r="K43" s="37">
        <f t="shared" si="0"/>
        <v>0.13333333333333333</v>
      </c>
      <c r="L43" s="38">
        <f>+'ENERO 2026'!L43+J43</f>
        <v>15</v>
      </c>
      <c r="M43" s="37">
        <f t="shared" si="1"/>
        <v>0.2</v>
      </c>
    </row>
    <row r="44" spans="2:18" s="5" customFormat="1" x14ac:dyDescent="0.35">
      <c r="B44" s="39">
        <v>4</v>
      </c>
      <c r="C44" s="40" t="s">
        <v>70</v>
      </c>
      <c r="D44" s="41" t="s">
        <v>71</v>
      </c>
      <c r="E44" s="107"/>
      <c r="F44" s="107"/>
      <c r="G44" s="86" t="s">
        <v>80</v>
      </c>
      <c r="H44" s="77" t="s">
        <v>31</v>
      </c>
      <c r="I44" s="43">
        <v>75</v>
      </c>
      <c r="J44" s="43">
        <v>10</v>
      </c>
      <c r="K44" s="44">
        <f t="shared" si="0"/>
        <v>0.13333333333333333</v>
      </c>
      <c r="L44" s="45">
        <f>+'ENERO 2026'!L44+J44</f>
        <v>15</v>
      </c>
      <c r="M44" s="44">
        <f t="shared" si="1"/>
        <v>0.2</v>
      </c>
      <c r="P44" s="8"/>
      <c r="R44" s="8"/>
    </row>
    <row r="45" spans="2:18" ht="15" customHeight="1" x14ac:dyDescent="0.35">
      <c r="B45" s="46">
        <v>4</v>
      </c>
      <c r="C45" s="47" t="s">
        <v>73</v>
      </c>
      <c r="D45" s="48" t="s">
        <v>74</v>
      </c>
      <c r="E45" s="106"/>
      <c r="F45" s="106"/>
      <c r="G45" s="87" t="s">
        <v>81</v>
      </c>
      <c r="H45" s="78" t="s">
        <v>31</v>
      </c>
      <c r="I45" s="50">
        <v>75</v>
      </c>
      <c r="J45" s="50">
        <v>10</v>
      </c>
      <c r="K45" s="51">
        <f t="shared" si="0"/>
        <v>0.13333333333333333</v>
      </c>
      <c r="L45" s="52">
        <f>+'ENERO 2026'!L45+J45</f>
        <v>15</v>
      </c>
      <c r="M45" s="51">
        <f t="shared" si="1"/>
        <v>0.2</v>
      </c>
    </row>
    <row r="46" spans="2:18" x14ac:dyDescent="0.35">
      <c r="B46" s="32">
        <v>4</v>
      </c>
      <c r="C46" s="33" t="s">
        <v>67</v>
      </c>
      <c r="D46" s="34" t="s">
        <v>68</v>
      </c>
      <c r="E46" s="105" t="s">
        <v>130</v>
      </c>
      <c r="F46" s="105" t="s">
        <v>146</v>
      </c>
      <c r="G46" s="91" t="s">
        <v>152</v>
      </c>
      <c r="H46" s="103" t="s">
        <v>153</v>
      </c>
      <c r="I46" s="36">
        <v>75</v>
      </c>
      <c r="J46" s="36">
        <v>10</v>
      </c>
      <c r="K46" s="37">
        <f t="shared" si="0"/>
        <v>0.13333333333333333</v>
      </c>
      <c r="L46" s="38">
        <f>+'ENERO 2026'!L46+J46</f>
        <v>15</v>
      </c>
      <c r="M46" s="37">
        <f t="shared" si="1"/>
        <v>0.2</v>
      </c>
    </row>
    <row r="47" spans="2:18" x14ac:dyDescent="0.35">
      <c r="B47" s="39">
        <v>4</v>
      </c>
      <c r="C47" s="40" t="s">
        <v>70</v>
      </c>
      <c r="D47" s="41" t="s">
        <v>71</v>
      </c>
      <c r="E47" s="107"/>
      <c r="F47" s="107"/>
      <c r="G47" s="91" t="s">
        <v>154</v>
      </c>
      <c r="H47" s="103" t="s">
        <v>155</v>
      </c>
      <c r="I47" s="43">
        <v>75</v>
      </c>
      <c r="J47" s="43">
        <v>10</v>
      </c>
      <c r="K47" s="44">
        <f t="shared" si="0"/>
        <v>0.13333333333333333</v>
      </c>
      <c r="L47" s="45">
        <f>+'ENERO 2026'!L47+J47</f>
        <v>15</v>
      </c>
      <c r="M47" s="44">
        <f t="shared" si="1"/>
        <v>0.2</v>
      </c>
    </row>
    <row r="48" spans="2:18" x14ac:dyDescent="0.35">
      <c r="B48" s="46">
        <v>4</v>
      </c>
      <c r="C48" s="47" t="s">
        <v>73</v>
      </c>
      <c r="D48" s="48" t="s">
        <v>74</v>
      </c>
      <c r="E48" s="106"/>
      <c r="F48" s="106"/>
      <c r="G48" s="91" t="s">
        <v>156</v>
      </c>
      <c r="H48" s="103" t="s">
        <v>157</v>
      </c>
      <c r="I48" s="50">
        <v>75</v>
      </c>
      <c r="J48" s="50">
        <v>10</v>
      </c>
      <c r="K48" s="51">
        <f t="shared" si="0"/>
        <v>0.13333333333333333</v>
      </c>
      <c r="L48" s="52">
        <f>+'ENERO 2026'!L48+J48</f>
        <v>15</v>
      </c>
      <c r="M48" s="51">
        <f t="shared" si="1"/>
        <v>0.2</v>
      </c>
    </row>
    <row r="49" spans="2:18" s="5" customFormat="1" x14ac:dyDescent="0.35">
      <c r="B49" s="32">
        <v>3</v>
      </c>
      <c r="C49" s="33" t="s">
        <v>87</v>
      </c>
      <c r="D49" s="34" t="s">
        <v>88</v>
      </c>
      <c r="E49" s="105" t="s">
        <v>131</v>
      </c>
      <c r="F49" s="105" t="s">
        <v>147</v>
      </c>
      <c r="G49" s="96" t="s">
        <v>162</v>
      </c>
      <c r="H49" s="34" t="s">
        <v>31</v>
      </c>
      <c r="I49" s="36">
        <v>90</v>
      </c>
      <c r="J49" s="35">
        <v>15</v>
      </c>
      <c r="K49" s="37">
        <f t="shared" si="0"/>
        <v>0.16666666666666666</v>
      </c>
      <c r="L49" s="35">
        <f>+'ENERO 2026'!L49+J49</f>
        <v>15</v>
      </c>
      <c r="M49" s="37">
        <f t="shared" si="1"/>
        <v>0.16666666666666666</v>
      </c>
      <c r="P49" s="8"/>
      <c r="R49" s="8"/>
    </row>
    <row r="50" spans="2:18" x14ac:dyDescent="0.35">
      <c r="B50" s="46">
        <v>3</v>
      </c>
      <c r="C50" s="47" t="s">
        <v>89</v>
      </c>
      <c r="D50" s="48" t="s">
        <v>90</v>
      </c>
      <c r="E50" s="106"/>
      <c r="F50" s="106"/>
      <c r="G50" s="97" t="s">
        <v>163</v>
      </c>
      <c r="H50" s="48" t="s">
        <v>31</v>
      </c>
      <c r="I50" s="50">
        <v>90</v>
      </c>
      <c r="J50" s="49">
        <v>15</v>
      </c>
      <c r="K50" s="51">
        <f t="shared" si="0"/>
        <v>0.16666666666666666</v>
      </c>
      <c r="L50" s="49">
        <f>+'ENERO 2026'!L50+J50</f>
        <v>30</v>
      </c>
      <c r="M50" s="51">
        <f t="shared" si="1"/>
        <v>0.33333333333333331</v>
      </c>
    </row>
    <row r="51" spans="2:18" ht="23" x14ac:dyDescent="0.35">
      <c r="B51" s="66">
        <v>3</v>
      </c>
      <c r="C51" s="67" t="s">
        <v>89</v>
      </c>
      <c r="D51" s="68" t="s">
        <v>90</v>
      </c>
      <c r="E51" s="82" t="s">
        <v>132</v>
      </c>
      <c r="F51" s="82" t="s">
        <v>147</v>
      </c>
      <c r="G51" s="98" t="s">
        <v>186</v>
      </c>
      <c r="H51" s="79" t="s">
        <v>31</v>
      </c>
      <c r="I51" s="13">
        <v>225</v>
      </c>
      <c r="J51" s="70">
        <v>30</v>
      </c>
      <c r="K51" s="71">
        <f t="shared" si="0"/>
        <v>0.13333333333333333</v>
      </c>
      <c r="L51" s="70">
        <f>+'ENERO 2026'!L51+J51</f>
        <v>45</v>
      </c>
      <c r="M51" s="71">
        <f t="shared" si="1"/>
        <v>0.2</v>
      </c>
    </row>
    <row r="52" spans="2:18" ht="14.4" customHeight="1" x14ac:dyDescent="0.35">
      <c r="B52" s="32">
        <v>3</v>
      </c>
      <c r="C52" s="33" t="s">
        <v>164</v>
      </c>
      <c r="D52" s="34" t="s">
        <v>112</v>
      </c>
      <c r="E52" s="105" t="s">
        <v>133</v>
      </c>
      <c r="F52" s="105" t="s">
        <v>146</v>
      </c>
      <c r="G52" s="85" t="s">
        <v>113</v>
      </c>
      <c r="H52" s="76" t="s">
        <v>31</v>
      </c>
      <c r="I52" s="38">
        <v>23</v>
      </c>
      <c r="J52" s="35">
        <v>3</v>
      </c>
      <c r="K52" s="37">
        <f t="shared" si="0"/>
        <v>0.13043478260869565</v>
      </c>
      <c r="L52" s="38">
        <f>+'ENERO 2026'!L52+J52</f>
        <v>4</v>
      </c>
      <c r="M52" s="53">
        <f t="shared" si="1"/>
        <v>0.17391304347826086</v>
      </c>
    </row>
    <row r="53" spans="2:18" x14ac:dyDescent="0.35">
      <c r="B53" s="39">
        <v>3</v>
      </c>
      <c r="C53" s="40" t="s">
        <v>41</v>
      </c>
      <c r="D53" s="41" t="s">
        <v>42</v>
      </c>
      <c r="E53" s="107"/>
      <c r="F53" s="107"/>
      <c r="G53" s="86" t="s">
        <v>43</v>
      </c>
      <c r="H53" s="77" t="s">
        <v>31</v>
      </c>
      <c r="I53" s="45">
        <v>23</v>
      </c>
      <c r="J53" s="42">
        <v>3</v>
      </c>
      <c r="K53" s="44">
        <f t="shared" si="0"/>
        <v>0.13043478260869565</v>
      </c>
      <c r="L53" s="45">
        <f>+'ENERO 2026'!L53+J53</f>
        <v>4</v>
      </c>
      <c r="M53" s="54">
        <f t="shared" si="1"/>
        <v>0.17391304347826086</v>
      </c>
    </row>
    <row r="54" spans="2:18" s="5" customFormat="1" x14ac:dyDescent="0.35">
      <c r="B54" s="39">
        <v>3</v>
      </c>
      <c r="C54" s="40" t="s">
        <v>44</v>
      </c>
      <c r="D54" s="41" t="s">
        <v>45</v>
      </c>
      <c r="E54" s="107"/>
      <c r="F54" s="107"/>
      <c r="G54" s="86" t="s">
        <v>46</v>
      </c>
      <c r="H54" s="77" t="s">
        <v>31</v>
      </c>
      <c r="I54" s="45">
        <v>23</v>
      </c>
      <c r="J54" s="42">
        <v>3</v>
      </c>
      <c r="K54" s="44">
        <f t="shared" si="0"/>
        <v>0.13043478260869565</v>
      </c>
      <c r="L54" s="45">
        <f>+'ENERO 2026'!L54+J54</f>
        <v>4</v>
      </c>
      <c r="M54" s="54">
        <f t="shared" si="1"/>
        <v>0.17391304347826086</v>
      </c>
      <c r="P54" s="8"/>
      <c r="R54" s="8"/>
    </row>
    <row r="55" spans="2:18" x14ac:dyDescent="0.35">
      <c r="B55" s="39">
        <v>3</v>
      </c>
      <c r="C55" s="40" t="s">
        <v>47</v>
      </c>
      <c r="D55" s="41" t="s">
        <v>114</v>
      </c>
      <c r="E55" s="107"/>
      <c r="F55" s="107"/>
      <c r="G55" s="86" t="s">
        <v>46</v>
      </c>
      <c r="H55" s="77" t="s">
        <v>31</v>
      </c>
      <c r="I55" s="45">
        <v>23</v>
      </c>
      <c r="J55" s="42">
        <v>3</v>
      </c>
      <c r="K55" s="44">
        <f t="shared" si="0"/>
        <v>0.13043478260869565</v>
      </c>
      <c r="L55" s="45">
        <f>+'ENERO 2026'!L55+J55</f>
        <v>5</v>
      </c>
      <c r="M55" s="54">
        <f t="shared" si="1"/>
        <v>0.21739130434782608</v>
      </c>
    </row>
    <row r="56" spans="2:18" x14ac:dyDescent="0.35">
      <c r="B56" s="39">
        <v>5</v>
      </c>
      <c r="C56" s="40" t="s">
        <v>165</v>
      </c>
      <c r="D56" s="41" t="s">
        <v>115</v>
      </c>
      <c r="E56" s="107"/>
      <c r="F56" s="107"/>
      <c r="G56" s="86" t="s">
        <v>43</v>
      </c>
      <c r="H56" s="77" t="s">
        <v>31</v>
      </c>
      <c r="I56" s="45">
        <v>23</v>
      </c>
      <c r="J56" s="42">
        <v>3</v>
      </c>
      <c r="K56" s="44">
        <f t="shared" si="0"/>
        <v>0.13043478260869565</v>
      </c>
      <c r="L56" s="45">
        <f>+'ENERO 2026'!L56+J56</f>
        <v>5</v>
      </c>
      <c r="M56" s="54">
        <f t="shared" si="1"/>
        <v>0.21739130434782608</v>
      </c>
    </row>
    <row r="57" spans="2:18" x14ac:dyDescent="0.35">
      <c r="B57" s="39">
        <v>5</v>
      </c>
      <c r="C57" s="40" t="s">
        <v>166</v>
      </c>
      <c r="D57" s="41" t="s">
        <v>50</v>
      </c>
      <c r="E57" s="107"/>
      <c r="F57" s="107"/>
      <c r="G57" s="86" t="s">
        <v>46</v>
      </c>
      <c r="H57" s="77" t="s">
        <v>31</v>
      </c>
      <c r="I57" s="45">
        <v>22</v>
      </c>
      <c r="J57" s="42">
        <v>3</v>
      </c>
      <c r="K57" s="44">
        <f t="shared" si="0"/>
        <v>0.13636363636363635</v>
      </c>
      <c r="L57" s="45">
        <f>+'ENERO 2026'!L57+J57</f>
        <v>4</v>
      </c>
      <c r="M57" s="54">
        <f t="shared" si="1"/>
        <v>0.18181818181818182</v>
      </c>
    </row>
    <row r="58" spans="2:18" x14ac:dyDescent="0.35">
      <c r="B58" s="39">
        <v>5</v>
      </c>
      <c r="C58" s="40" t="s">
        <v>167</v>
      </c>
      <c r="D58" s="41" t="s">
        <v>134</v>
      </c>
      <c r="E58" s="107"/>
      <c r="F58" s="107"/>
      <c r="G58" s="86" t="s">
        <v>46</v>
      </c>
      <c r="H58" s="77" t="s">
        <v>31</v>
      </c>
      <c r="I58" s="45">
        <v>22</v>
      </c>
      <c r="J58" s="42">
        <v>3</v>
      </c>
      <c r="K58" s="44">
        <f t="shared" si="0"/>
        <v>0.13636363636363635</v>
      </c>
      <c r="L58" s="45">
        <f>+'ENERO 2026'!L58+J58</f>
        <v>5</v>
      </c>
      <c r="M58" s="54">
        <f>IFERROR(L58/I58,0)</f>
        <v>0.22727272727272727</v>
      </c>
    </row>
    <row r="59" spans="2:18" x14ac:dyDescent="0.35">
      <c r="B59" s="39">
        <v>5</v>
      </c>
      <c r="C59" s="40" t="s">
        <v>168</v>
      </c>
      <c r="D59" s="41" t="s">
        <v>135</v>
      </c>
      <c r="E59" s="107"/>
      <c r="F59" s="107"/>
      <c r="G59" s="86" t="s">
        <v>46</v>
      </c>
      <c r="H59" s="77" t="s">
        <v>31</v>
      </c>
      <c r="I59" s="45">
        <v>22</v>
      </c>
      <c r="J59" s="42">
        <v>3</v>
      </c>
      <c r="K59" s="44">
        <f t="shared" si="0"/>
        <v>0.13636363636363635</v>
      </c>
      <c r="L59" s="45">
        <f>+'ENERO 2026'!L59+J59</f>
        <v>5</v>
      </c>
      <c r="M59" s="54">
        <f>IFERROR(L59/I59,0)</f>
        <v>0.22727272727272727</v>
      </c>
    </row>
    <row r="60" spans="2:18" x14ac:dyDescent="0.35">
      <c r="B60" s="39">
        <v>5</v>
      </c>
      <c r="C60" s="40" t="s">
        <v>169</v>
      </c>
      <c r="D60" s="41" t="s">
        <v>116</v>
      </c>
      <c r="E60" s="107"/>
      <c r="F60" s="107"/>
      <c r="G60" s="86" t="s">
        <v>46</v>
      </c>
      <c r="H60" s="77" t="s">
        <v>31</v>
      </c>
      <c r="I60" s="45">
        <v>22</v>
      </c>
      <c r="J60" s="42">
        <v>3</v>
      </c>
      <c r="K60" s="44">
        <f t="shared" si="0"/>
        <v>0.13636363636363635</v>
      </c>
      <c r="L60" s="45">
        <f>+'ENERO 2026'!L60+J60</f>
        <v>5</v>
      </c>
      <c r="M60" s="54">
        <f>IFERROR(L60/I60,0)</f>
        <v>0.22727272727272727</v>
      </c>
    </row>
    <row r="61" spans="2:18" x14ac:dyDescent="0.35">
      <c r="B61" s="46">
        <v>8</v>
      </c>
      <c r="C61" s="47" t="s">
        <v>170</v>
      </c>
      <c r="D61" s="48" t="s">
        <v>97</v>
      </c>
      <c r="E61" s="106"/>
      <c r="F61" s="106"/>
      <c r="G61" s="87" t="s">
        <v>60</v>
      </c>
      <c r="H61" s="78" t="s">
        <v>31</v>
      </c>
      <c r="I61" s="52">
        <v>22</v>
      </c>
      <c r="J61" s="49">
        <v>3</v>
      </c>
      <c r="K61" s="51">
        <f t="shared" si="0"/>
        <v>0.13636363636363635</v>
      </c>
      <c r="L61" s="52">
        <f>+'ENERO 2026'!L61+J61</f>
        <v>4</v>
      </c>
      <c r="M61" s="55">
        <f t="shared" ref="M61" si="4">IFERROR(L61/I61,0)</f>
        <v>0.18181818181818182</v>
      </c>
    </row>
    <row r="62" spans="2:18" s="5" customFormat="1" x14ac:dyDescent="0.35">
      <c r="B62" s="4"/>
      <c r="C62" s="4"/>
      <c r="D62" s="4"/>
      <c r="E62" s="4"/>
      <c r="F62" s="4"/>
      <c r="G62" s="4"/>
      <c r="H62" s="60"/>
      <c r="I62" s="127" t="s">
        <v>32</v>
      </c>
      <c r="J62" s="127"/>
      <c r="K62" s="127"/>
      <c r="L62" s="128"/>
      <c r="M62" s="127"/>
      <c r="P62"/>
      <c r="R62"/>
    </row>
    <row r="63" spans="2:18" s="5" customFormat="1" x14ac:dyDescent="0.35">
      <c r="B63" s="4"/>
      <c r="C63" s="4"/>
      <c r="I63" s="62">
        <f>+SUM(I13:I61)</f>
        <v>2205</v>
      </c>
      <c r="J63" s="62">
        <f>+SUM(J13:J61)</f>
        <v>300</v>
      </c>
      <c r="K63" s="9">
        <f>IFERROR(J63/I63,0)</f>
        <v>0.1360544217687075</v>
      </c>
      <c r="L63" s="62">
        <f>+SUM(L13:L61)</f>
        <v>450</v>
      </c>
      <c r="M63" s="9">
        <f>IFERROR(L63/I63,0)</f>
        <v>0.20408163265306123</v>
      </c>
      <c r="P63"/>
      <c r="R63"/>
    </row>
    <row r="64" spans="2:18" s="5" customFormat="1" x14ac:dyDescent="0.35">
      <c r="B64" s="4"/>
      <c r="C64" s="4"/>
      <c r="J64" s="15"/>
      <c r="K64" s="16"/>
      <c r="L64" s="17"/>
      <c r="M64" s="16"/>
      <c r="P64"/>
      <c r="R64"/>
    </row>
    <row r="65" spans="2:18" s="5" customFormat="1" x14ac:dyDescent="0.35">
      <c r="B65" s="4"/>
      <c r="C65" s="4"/>
      <c r="J65" s="15"/>
      <c r="K65" s="16"/>
      <c r="L65" s="17"/>
      <c r="M65" s="16"/>
      <c r="P65"/>
      <c r="R65"/>
    </row>
    <row r="66" spans="2:18" s="28" customFormat="1" ht="240" customHeight="1" x14ac:dyDescent="0.35">
      <c r="B66" s="117" t="s">
        <v>33</v>
      </c>
      <c r="C66" s="118"/>
      <c r="D66" s="121" t="s">
        <v>183</v>
      </c>
      <c r="E66" s="122"/>
      <c r="F66" s="122"/>
      <c r="G66" s="122"/>
      <c r="H66" s="122"/>
      <c r="I66" s="122"/>
      <c r="J66" s="122"/>
      <c r="K66" s="122"/>
      <c r="L66" s="122"/>
      <c r="M66" s="123"/>
      <c r="P66" s="27"/>
      <c r="R66" s="27"/>
    </row>
    <row r="67" spans="2:18" s="28" customFormat="1" ht="104.4" customHeight="1" x14ac:dyDescent="0.35">
      <c r="B67" s="119"/>
      <c r="C67" s="120"/>
      <c r="D67" s="124" t="s">
        <v>181</v>
      </c>
      <c r="E67" s="125"/>
      <c r="F67" s="125"/>
      <c r="G67" s="122"/>
      <c r="H67" s="122"/>
      <c r="I67" s="122"/>
      <c r="J67" s="122"/>
      <c r="K67" s="122"/>
      <c r="L67" s="122"/>
      <c r="M67" s="123"/>
      <c r="P67" s="27"/>
      <c r="R67" s="27"/>
    </row>
    <row r="68" spans="2:18" s="28" customFormat="1" ht="107.25" customHeight="1" x14ac:dyDescent="0.35">
      <c r="B68" s="119"/>
      <c r="C68" s="120"/>
      <c r="D68" s="121" t="s">
        <v>151</v>
      </c>
      <c r="E68" s="122"/>
      <c r="F68" s="122"/>
      <c r="G68" s="122"/>
      <c r="H68" s="122"/>
      <c r="I68" s="122"/>
      <c r="J68" s="122"/>
      <c r="K68" s="122"/>
      <c r="L68" s="122"/>
      <c r="M68" s="123"/>
      <c r="P68" s="27"/>
      <c r="R68" s="27"/>
    </row>
    <row r="69" spans="2:18" s="29" customFormat="1" ht="108" customHeight="1" x14ac:dyDescent="0.35">
      <c r="B69" s="119"/>
      <c r="C69" s="120"/>
      <c r="D69" s="121" t="s">
        <v>177</v>
      </c>
      <c r="E69" s="122"/>
      <c r="F69" s="122"/>
      <c r="G69" s="122"/>
      <c r="H69" s="122"/>
      <c r="I69" s="122"/>
      <c r="J69" s="122"/>
      <c r="K69" s="122"/>
      <c r="L69" s="122"/>
      <c r="M69" s="123"/>
      <c r="P69" s="30"/>
      <c r="R69" s="30"/>
    </row>
    <row r="70" spans="2:18" x14ac:dyDescent="0.35">
      <c r="B70" s="134" t="s">
        <v>35</v>
      </c>
      <c r="C70" s="135"/>
      <c r="D70" s="135"/>
      <c r="E70" s="135"/>
      <c r="F70" s="135"/>
      <c r="G70" s="135"/>
      <c r="H70" s="135"/>
      <c r="I70" s="135"/>
      <c r="J70" s="135"/>
      <c r="K70" s="135"/>
      <c r="L70" s="135"/>
      <c r="M70" s="136"/>
    </row>
    <row r="71" spans="2:18" x14ac:dyDescent="0.35">
      <c r="B71" s="137"/>
      <c r="C71" s="138"/>
      <c r="D71" s="138"/>
      <c r="E71" s="138"/>
      <c r="F71" s="138"/>
      <c r="G71" s="138"/>
      <c r="H71" s="138"/>
      <c r="I71" s="138"/>
      <c r="J71" s="138"/>
      <c r="K71" s="138"/>
      <c r="L71" s="138"/>
      <c r="M71" s="139"/>
    </row>
    <row r="72" spans="2:18" x14ac:dyDescent="0.35">
      <c r="B72" s="10" t="s">
        <v>36</v>
      </c>
      <c r="C72" s="11"/>
      <c r="D72" s="11"/>
      <c r="E72" s="11"/>
      <c r="F72" s="11"/>
      <c r="G72" s="11"/>
      <c r="H72" s="11"/>
      <c r="I72" s="11"/>
      <c r="J72" s="11"/>
      <c r="K72" s="11"/>
      <c r="L72" s="11"/>
      <c r="M72" s="12"/>
    </row>
    <row r="73" spans="2:18" ht="24.5" x14ac:dyDescent="0.45">
      <c r="B73" s="13" t="s">
        <v>37</v>
      </c>
      <c r="C73" s="14"/>
      <c r="D73" s="111" t="s">
        <v>34</v>
      </c>
      <c r="E73" s="111"/>
      <c r="F73" s="111"/>
      <c r="G73" s="111"/>
      <c r="H73" s="111"/>
      <c r="I73" s="111"/>
      <c r="J73" s="111"/>
      <c r="K73" s="111"/>
      <c r="L73" s="111"/>
      <c r="M73" s="111"/>
    </row>
    <row r="74" spans="2:18" ht="24.5" x14ac:dyDescent="0.45">
      <c r="B74" s="13" t="s">
        <v>38</v>
      </c>
      <c r="C74" s="14"/>
      <c r="D74" s="111"/>
      <c r="E74" s="111"/>
      <c r="F74" s="111"/>
      <c r="G74" s="111"/>
      <c r="H74" s="111"/>
      <c r="I74" s="111"/>
      <c r="J74" s="111"/>
      <c r="K74" s="111"/>
      <c r="L74" s="111"/>
      <c r="M74" s="111"/>
    </row>
    <row r="75" spans="2:18" x14ac:dyDescent="0.35">
      <c r="B75" s="140" t="s">
        <v>35</v>
      </c>
      <c r="C75" s="141"/>
      <c r="D75" s="141"/>
      <c r="E75" s="141"/>
      <c r="F75" s="141"/>
      <c r="G75" s="141"/>
      <c r="H75" s="141"/>
      <c r="I75" s="141"/>
      <c r="J75" s="141"/>
      <c r="K75" s="141"/>
      <c r="L75" s="141"/>
      <c r="M75" s="142"/>
    </row>
    <row r="76" spans="2:18" x14ac:dyDescent="0.35">
      <c r="B76" s="143"/>
      <c r="C76" s="144"/>
      <c r="D76" s="144"/>
      <c r="E76" s="144"/>
      <c r="F76" s="144"/>
      <c r="G76" s="144"/>
      <c r="H76" s="144"/>
      <c r="I76" s="144"/>
      <c r="J76" s="144"/>
      <c r="K76" s="144"/>
      <c r="L76" s="144"/>
      <c r="M76" s="145"/>
    </row>
    <row r="77" spans="2:18" x14ac:dyDescent="0.35">
      <c r="B77" s="10" t="s">
        <v>39</v>
      </c>
      <c r="C77" s="11"/>
      <c r="D77" s="11"/>
      <c r="E77" s="11"/>
      <c r="F77" s="11"/>
      <c r="G77" s="11"/>
      <c r="H77" s="11"/>
      <c r="I77" s="11"/>
      <c r="J77" s="11"/>
      <c r="K77" s="11"/>
      <c r="L77" s="11"/>
      <c r="M77" s="12"/>
    </row>
    <row r="78" spans="2:18" ht="24.5" x14ac:dyDescent="0.45">
      <c r="B78" s="13" t="s">
        <v>37</v>
      </c>
      <c r="C78" s="14"/>
      <c r="D78" s="111" t="s">
        <v>34</v>
      </c>
      <c r="E78" s="111"/>
      <c r="F78" s="111"/>
      <c r="G78" s="111"/>
      <c r="H78" s="111"/>
      <c r="I78" s="111"/>
      <c r="J78" s="111"/>
      <c r="K78" s="111"/>
      <c r="L78" s="111"/>
      <c r="M78" s="111"/>
    </row>
    <row r="79" spans="2:18" ht="24.5" x14ac:dyDescent="0.45">
      <c r="B79" s="13" t="s">
        <v>38</v>
      </c>
      <c r="C79" s="14"/>
      <c r="D79" s="111"/>
      <c r="E79" s="111"/>
      <c r="F79" s="111"/>
      <c r="G79" s="111"/>
      <c r="H79" s="111"/>
      <c r="I79" s="111"/>
      <c r="J79" s="111"/>
      <c r="K79" s="111"/>
      <c r="L79" s="111"/>
      <c r="M79" s="111"/>
    </row>
    <row r="82" spans="1:19" s="1" customFormat="1" x14ac:dyDescent="0.35">
      <c r="A82" s="2"/>
      <c r="B82" s="112"/>
      <c r="C82" s="112"/>
      <c r="D82" s="112"/>
      <c r="E82" s="80"/>
      <c r="F82" s="80"/>
      <c r="J82" s="112"/>
      <c r="K82" s="112"/>
      <c r="L82" s="112"/>
      <c r="N82" s="2"/>
      <c r="O82" s="2"/>
      <c r="P82"/>
      <c r="Q82" s="2"/>
      <c r="R82"/>
      <c r="S82" s="2"/>
    </row>
    <row r="83" spans="1:19" s="1" customFormat="1" ht="19.25" customHeight="1" x14ac:dyDescent="0.35">
      <c r="A83" s="2"/>
      <c r="B83" s="4" t="s">
        <v>40</v>
      </c>
      <c r="C83" s="113"/>
      <c r="D83" s="113"/>
      <c r="E83" s="60"/>
      <c r="F83" s="60"/>
      <c r="J83" s="114" t="s">
        <v>150</v>
      </c>
      <c r="K83" s="115"/>
      <c r="L83" s="115"/>
      <c r="N83" s="2"/>
      <c r="O83" s="2"/>
      <c r="P83"/>
      <c r="Q83" s="2"/>
      <c r="R83"/>
      <c r="S83" s="2"/>
    </row>
    <row r="110" spans="1:19" s="1" customFormat="1" x14ac:dyDescent="0.35">
      <c r="A110" t="s">
        <v>0</v>
      </c>
      <c r="N110" s="2"/>
      <c r="O110" s="2"/>
      <c r="P110"/>
      <c r="Q110" s="2"/>
      <c r="R110"/>
      <c r="S110" s="2"/>
    </row>
    <row r="111" spans="1:19" s="1" customFormat="1" x14ac:dyDescent="0.35">
      <c r="A111" t="s">
        <v>2</v>
      </c>
      <c r="N111" s="2"/>
      <c r="O111" s="2"/>
      <c r="P111"/>
      <c r="Q111" s="2"/>
      <c r="R111"/>
      <c r="S111" s="2"/>
    </row>
    <row r="112" spans="1:19" s="1" customFormat="1" x14ac:dyDescent="0.35">
      <c r="A112" t="s">
        <v>6</v>
      </c>
      <c r="N112" s="2"/>
      <c r="O112" s="2"/>
      <c r="P112"/>
      <c r="Q112" s="2"/>
      <c r="R112"/>
      <c r="S112" s="2"/>
    </row>
    <row r="113" spans="1:19" s="1" customFormat="1" x14ac:dyDescent="0.35">
      <c r="A113" t="s">
        <v>8</v>
      </c>
      <c r="N113" s="2"/>
      <c r="O113" s="2"/>
      <c r="P113"/>
      <c r="Q113" s="2"/>
      <c r="R113"/>
      <c r="S113" s="2"/>
    </row>
    <row r="114" spans="1:19" s="1" customFormat="1" x14ac:dyDescent="0.35">
      <c r="A114" t="s">
        <v>9</v>
      </c>
      <c r="N114" s="2"/>
      <c r="O114" s="2"/>
      <c r="P114"/>
      <c r="Q114" s="2"/>
      <c r="R114"/>
      <c r="S114" s="2"/>
    </row>
    <row r="115" spans="1:19" s="1" customFormat="1" x14ac:dyDescent="0.35">
      <c r="A115" t="s">
        <v>10</v>
      </c>
      <c r="B115" s="2"/>
      <c r="N115" s="2"/>
      <c r="O115" s="2"/>
      <c r="P115"/>
      <c r="Q115" s="2"/>
      <c r="R115"/>
      <c r="S115" s="2"/>
    </row>
    <row r="116" spans="1:19" s="1" customFormat="1" x14ac:dyDescent="0.35">
      <c r="A116" t="s">
        <v>11</v>
      </c>
      <c r="B116" s="2"/>
      <c r="N116" s="2"/>
      <c r="O116" s="2"/>
      <c r="P116"/>
      <c r="Q116" s="2"/>
      <c r="R116"/>
      <c r="S116" s="2"/>
    </row>
    <row r="117" spans="1:19" s="1" customFormat="1" x14ac:dyDescent="0.35">
      <c r="A117" t="s">
        <v>13</v>
      </c>
      <c r="B117" s="2"/>
      <c r="N117" s="2"/>
      <c r="O117" s="2"/>
      <c r="P117"/>
      <c r="Q117" s="2"/>
      <c r="R117"/>
      <c r="S117" s="2"/>
    </row>
    <row r="118" spans="1:19" s="1" customFormat="1" x14ac:dyDescent="0.35">
      <c r="A118" t="s">
        <v>14</v>
      </c>
      <c r="B118" s="5"/>
      <c r="N118" s="2"/>
      <c r="O118" s="2"/>
      <c r="P118"/>
      <c r="Q118" s="2"/>
      <c r="R118"/>
      <c r="S118" s="2"/>
    </row>
    <row r="119" spans="1:19" s="1" customFormat="1" x14ac:dyDescent="0.35">
      <c r="A119" t="s">
        <v>16</v>
      </c>
      <c r="B119" s="2"/>
      <c r="N119" s="2"/>
      <c r="O119" s="2"/>
      <c r="P119"/>
      <c r="Q119" s="2"/>
      <c r="R119"/>
      <c r="S119" s="2"/>
    </row>
    <row r="120" spans="1:19" s="1" customFormat="1" x14ac:dyDescent="0.35">
      <c r="A120" t="s">
        <v>17</v>
      </c>
      <c r="B120" s="5"/>
      <c r="N120" s="2"/>
      <c r="O120" s="2"/>
      <c r="P120"/>
      <c r="Q120" s="2"/>
      <c r="R120"/>
      <c r="S120" s="2"/>
    </row>
    <row r="121" spans="1:19" s="1" customFormat="1" x14ac:dyDescent="0.35">
      <c r="A121" t="s">
        <v>21</v>
      </c>
      <c r="B121" s="5"/>
      <c r="N121" s="2"/>
      <c r="O121" s="2"/>
      <c r="P121"/>
      <c r="Q121" s="2"/>
      <c r="R121"/>
      <c r="S121" s="2"/>
    </row>
    <row r="122" spans="1:19" s="1" customFormat="1" x14ac:dyDescent="0.35">
      <c r="A122" t="s">
        <v>30</v>
      </c>
      <c r="B122" s="5"/>
      <c r="N122" s="2"/>
      <c r="O122" s="2"/>
      <c r="P122"/>
      <c r="Q122" s="2"/>
      <c r="R122"/>
      <c r="S122" s="2"/>
    </row>
    <row r="123" spans="1:19" x14ac:dyDescent="0.35">
      <c r="B123" s="5"/>
    </row>
    <row r="124" spans="1:19" x14ac:dyDescent="0.35">
      <c r="B124" s="5"/>
    </row>
    <row r="125" spans="1:19" s="1" customFormat="1" x14ac:dyDescent="0.35">
      <c r="B125" s="2"/>
      <c r="N125" s="2"/>
      <c r="O125" s="2"/>
      <c r="P125"/>
      <c r="Q125" s="2"/>
      <c r="R125"/>
    </row>
    <row r="126" spans="1:19" s="1" customFormat="1" x14ac:dyDescent="0.35">
      <c r="B126" s="2"/>
      <c r="N126" s="2"/>
      <c r="O126" s="2"/>
      <c r="P126"/>
      <c r="Q126" s="2"/>
      <c r="R126"/>
    </row>
    <row r="127" spans="1:19" s="1" customFormat="1" x14ac:dyDescent="0.35">
      <c r="B127" s="2"/>
      <c r="N127" s="2"/>
      <c r="O127" s="2"/>
      <c r="P127"/>
      <c r="Q127" s="2"/>
      <c r="R127"/>
    </row>
  </sheetData>
  <sheetProtection formatCells="0" formatColumns="0" formatRows="0" insertColumns="0" insertRows="0" insertHyperlinks="0" deleteColumns="0" deleteRows="0" sort="0" autoFilter="0" pivotTables="0"/>
  <autoFilter ref="B12:M63"/>
  <mergeCells count="42">
    <mergeCell ref="B7:C7"/>
    <mergeCell ref="B2:M2"/>
    <mergeCell ref="B3:D3"/>
    <mergeCell ref="G3:J3"/>
    <mergeCell ref="K3:M3"/>
    <mergeCell ref="B5:C5"/>
    <mergeCell ref="B9:C9"/>
    <mergeCell ref="B11:I11"/>
    <mergeCell ref="J11:K11"/>
    <mergeCell ref="L11:M11"/>
    <mergeCell ref="E13:E21"/>
    <mergeCell ref="F13:F21"/>
    <mergeCell ref="E22:E27"/>
    <mergeCell ref="F22:F27"/>
    <mergeCell ref="E28:E33"/>
    <mergeCell ref="F28:F33"/>
    <mergeCell ref="E34:E39"/>
    <mergeCell ref="F34:F39"/>
    <mergeCell ref="E40:E42"/>
    <mergeCell ref="F40:F42"/>
    <mergeCell ref="E43:E45"/>
    <mergeCell ref="F43:F45"/>
    <mergeCell ref="E46:E48"/>
    <mergeCell ref="F46:F48"/>
    <mergeCell ref="E49:E50"/>
    <mergeCell ref="F49:F50"/>
    <mergeCell ref="E52:E61"/>
    <mergeCell ref="F52:F61"/>
    <mergeCell ref="I62:M62"/>
    <mergeCell ref="B66:C69"/>
    <mergeCell ref="D66:M66"/>
    <mergeCell ref="D67:M67"/>
    <mergeCell ref="D68:M68"/>
    <mergeCell ref="D69:M69"/>
    <mergeCell ref="C83:D83"/>
    <mergeCell ref="J83:L83"/>
    <mergeCell ref="B70:M71"/>
    <mergeCell ref="D73:M74"/>
    <mergeCell ref="B75:M76"/>
    <mergeCell ref="D78:M79"/>
    <mergeCell ref="B82:D82"/>
    <mergeCell ref="J82:L82"/>
  </mergeCells>
  <conditionalFormatting sqref="M13:M61">
    <cfRule type="cellIs" dxfId="1" priority="1" operator="equal">
      <formula>1</formula>
    </cfRule>
    <cfRule type="cellIs" dxfId="0" priority="2" operator="greaterThan">
      <formula>1</formula>
    </cfRule>
  </conditionalFormatting>
  <dataValidations count="3">
    <dataValidation type="whole" allowBlank="1" showInputMessage="1" showErrorMessage="1" errorTitle="¡Error!" error="Introduzca un número válido." promptTitle="¡Atención!" prompt="Introduzca un número entre 0 y 30" sqref="J13:J19 J24:J27">
      <formula1>0</formula1>
      <formula2>30</formula2>
    </dataValidation>
    <dataValidation type="whole" allowBlank="1" showInputMessage="1" showErrorMessage="1" errorTitle="¡Error!" error="Introduzca un número válido." promptTitle="¡Atención!" prompt="Introduzca un número entre 0 y 366" sqref="I28:J61 J20:J23 I13:I27">
      <formula1>0</formula1>
      <formula2>366</formula2>
    </dataValidation>
    <dataValidation type="list" allowBlank="1" showInputMessage="1" showErrorMessage="1" sqref="D7">
      <formula1>$A$111:$A$122</formula1>
    </dataValidation>
  </dataValidations>
  <hyperlinks>
    <hyperlink ref="G31" r:id="rId1"/>
    <hyperlink ref="G29" r:id="rId2"/>
    <hyperlink ref="G32" r:id="rId3"/>
  </hyperlinks>
  <pageMargins left="0.7" right="0.7" top="0.75" bottom="0.75" header="0.3" footer="0.3"/>
  <pageSetup scale="10" orientation="portrait" r:id="rId4"/>
  <drawing r:id="rId5"/>
  <legacy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ENERO 2026</vt:lpstr>
      <vt:lpstr>FEBRERO</vt:lpstr>
      <vt:lpstr>'ENERO 2026'!Área_de_impresión</vt:lpstr>
      <vt:lpstr>FEBRERO!Área_de_impresión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 Meridian 0873</dc:creator>
  <cp:lastModifiedBy>Jose Mateo Lopez Cifuentes</cp:lastModifiedBy>
  <dcterms:created xsi:type="dcterms:W3CDTF">2024-01-10T22:00:55Z</dcterms:created>
  <dcterms:modified xsi:type="dcterms:W3CDTF">2026-03-06T20:03:05Z</dcterms:modified>
</cp:coreProperties>
</file>