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xampp\htdocs\ReportesEcopetrol\docs\Consolidados_febrero\"/>
    </mc:Choice>
  </mc:AlternateContent>
  <bookViews>
    <workbookView xWindow="0" yWindow="0" windowWidth="19200" windowHeight="6600" activeTab="1"/>
  </bookViews>
  <sheets>
    <sheet name="ENERO" sheetId="34" r:id="rId1"/>
    <sheet name="FEBRERO" sheetId="35" r:id="rId2"/>
  </sheets>
  <definedNames>
    <definedName name="_xlnm._FilterDatabase" localSheetId="0" hidden="1">ENERO!$B$12:$L$155</definedName>
    <definedName name="_xlnm._FilterDatabase" localSheetId="1" hidden="1">FEBRERO!$B$12:$L$155</definedName>
    <definedName name="_xlnm.Print_Area" localSheetId="0">ENERO!$A$1:$M$183</definedName>
    <definedName name="_xlnm.Print_Area" localSheetId="1">FEBRERO!$A$1:$M$184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9" i="35" l="1"/>
  <c r="J50" i="35"/>
  <c r="J51" i="35"/>
  <c r="J52" i="35"/>
  <c r="J53" i="35"/>
  <c r="J54" i="35"/>
  <c r="I155" i="35" l="1"/>
  <c r="H155" i="35"/>
  <c r="H154" i="35"/>
  <c r="J153" i="35"/>
  <c r="J152" i="35"/>
  <c r="J151" i="35"/>
  <c r="J150" i="35"/>
  <c r="J149" i="35"/>
  <c r="J148" i="35"/>
  <c r="J147" i="35"/>
  <c r="J146" i="35"/>
  <c r="J145" i="35"/>
  <c r="J144" i="35"/>
  <c r="J143" i="35"/>
  <c r="J142" i="35"/>
  <c r="J141" i="35"/>
  <c r="J140" i="35"/>
  <c r="J139" i="35"/>
  <c r="J138" i="35"/>
  <c r="J137" i="35"/>
  <c r="J136" i="35"/>
  <c r="J135" i="35"/>
  <c r="J134" i="35"/>
  <c r="J133" i="35"/>
  <c r="J132" i="35"/>
  <c r="J131" i="35"/>
  <c r="J130" i="35"/>
  <c r="J129" i="35"/>
  <c r="J128" i="35"/>
  <c r="J127" i="35"/>
  <c r="J126" i="35"/>
  <c r="J125" i="35"/>
  <c r="J124" i="35"/>
  <c r="J123" i="35"/>
  <c r="J122" i="35"/>
  <c r="J121" i="35"/>
  <c r="J120" i="35"/>
  <c r="J119" i="35"/>
  <c r="J118" i="35"/>
  <c r="J117" i="35"/>
  <c r="J116" i="35"/>
  <c r="J115" i="35"/>
  <c r="J114" i="35"/>
  <c r="J113" i="35"/>
  <c r="J112" i="35"/>
  <c r="J111" i="35"/>
  <c r="J110" i="35"/>
  <c r="J109" i="35"/>
  <c r="J108" i="35"/>
  <c r="J107" i="35"/>
  <c r="J106" i="35"/>
  <c r="J105" i="35"/>
  <c r="J104" i="35"/>
  <c r="J103" i="35"/>
  <c r="J102" i="35"/>
  <c r="J101" i="35"/>
  <c r="J100" i="35"/>
  <c r="J99" i="35"/>
  <c r="J98" i="35"/>
  <c r="J97" i="35"/>
  <c r="J96" i="35"/>
  <c r="J95" i="35"/>
  <c r="J94" i="35"/>
  <c r="J93" i="35"/>
  <c r="J92" i="35"/>
  <c r="J91" i="35"/>
  <c r="J90" i="35"/>
  <c r="J89" i="35"/>
  <c r="J88" i="35"/>
  <c r="J87" i="35"/>
  <c r="J86" i="35"/>
  <c r="J85" i="35"/>
  <c r="J84" i="35"/>
  <c r="J83" i="35"/>
  <c r="J82" i="35"/>
  <c r="J81" i="35"/>
  <c r="J80" i="35"/>
  <c r="J79" i="35"/>
  <c r="J78" i="35"/>
  <c r="J77" i="35"/>
  <c r="J76" i="35"/>
  <c r="J75" i="35"/>
  <c r="J74" i="35"/>
  <c r="J73" i="35"/>
  <c r="J72" i="35"/>
  <c r="J71" i="35"/>
  <c r="J70" i="35"/>
  <c r="J69" i="35"/>
  <c r="J68" i="35"/>
  <c r="J67" i="35"/>
  <c r="J66" i="35"/>
  <c r="J65" i="35"/>
  <c r="J64" i="35"/>
  <c r="J63" i="35"/>
  <c r="J62" i="35"/>
  <c r="J61" i="35"/>
  <c r="J60" i="35"/>
  <c r="J59" i="35"/>
  <c r="J58" i="35"/>
  <c r="J57" i="35"/>
  <c r="J56" i="35"/>
  <c r="J55" i="35"/>
  <c r="J48" i="35"/>
  <c r="J47" i="35"/>
  <c r="J46" i="35"/>
  <c r="J45" i="35"/>
  <c r="J44" i="35"/>
  <c r="J43" i="35"/>
  <c r="J42" i="35"/>
  <c r="J41" i="35"/>
  <c r="J40" i="35"/>
  <c r="J39" i="35"/>
  <c r="J38" i="35"/>
  <c r="J37" i="35"/>
  <c r="J36" i="35"/>
  <c r="J35" i="35"/>
  <c r="J34" i="35"/>
  <c r="J33" i="35"/>
  <c r="J32" i="35"/>
  <c r="J31" i="35"/>
  <c r="J30" i="35"/>
  <c r="J29" i="35"/>
  <c r="J28" i="35"/>
  <c r="J27" i="35"/>
  <c r="J26" i="35"/>
  <c r="J25" i="35"/>
  <c r="J24" i="35"/>
  <c r="J23" i="35"/>
  <c r="J22" i="35"/>
  <c r="J21" i="35"/>
  <c r="J20" i="35"/>
  <c r="J19" i="35"/>
  <c r="J18" i="35"/>
  <c r="J17" i="35"/>
  <c r="J16" i="35"/>
  <c r="J15" i="35"/>
  <c r="J14" i="35"/>
  <c r="J13" i="35"/>
  <c r="J155" i="35" l="1"/>
  <c r="K153" i="34"/>
  <c r="K153" i="35" s="1"/>
  <c r="L153" i="35" s="1"/>
  <c r="K152" i="34"/>
  <c r="K152" i="35" s="1"/>
  <c r="L152" i="35" s="1"/>
  <c r="K151" i="34"/>
  <c r="K151" i="35" s="1"/>
  <c r="L151" i="35" s="1"/>
  <c r="K150" i="34"/>
  <c r="K150" i="35" s="1"/>
  <c r="L150" i="35" s="1"/>
  <c r="K149" i="34"/>
  <c r="K149" i="35" s="1"/>
  <c r="L149" i="35" s="1"/>
  <c r="K148" i="34"/>
  <c r="K148" i="35" s="1"/>
  <c r="L148" i="35" s="1"/>
  <c r="K147" i="34"/>
  <c r="K147" i="35" s="1"/>
  <c r="L147" i="35" s="1"/>
  <c r="K146" i="34"/>
  <c r="K146" i="35" s="1"/>
  <c r="L146" i="35" s="1"/>
  <c r="K145" i="34"/>
  <c r="K145" i="35" s="1"/>
  <c r="L145" i="35" s="1"/>
  <c r="K144" i="34"/>
  <c r="K144" i="35" s="1"/>
  <c r="L144" i="35" s="1"/>
  <c r="K143" i="34"/>
  <c r="K143" i="35" s="1"/>
  <c r="L143" i="35" s="1"/>
  <c r="K142" i="34"/>
  <c r="K142" i="35" s="1"/>
  <c r="L142" i="35" s="1"/>
  <c r="K141" i="34"/>
  <c r="K141" i="35" s="1"/>
  <c r="L141" i="35" s="1"/>
  <c r="K140" i="34"/>
  <c r="K140" i="35" s="1"/>
  <c r="L140" i="35" s="1"/>
  <c r="K139" i="34"/>
  <c r="K139" i="35" s="1"/>
  <c r="L139" i="35" s="1"/>
  <c r="K138" i="34"/>
  <c r="K138" i="35" s="1"/>
  <c r="L138" i="35" s="1"/>
  <c r="K137" i="34"/>
  <c r="K137" i="35" s="1"/>
  <c r="L137" i="35" s="1"/>
  <c r="K136" i="34"/>
  <c r="K136" i="35" s="1"/>
  <c r="L136" i="35" s="1"/>
  <c r="K135" i="34"/>
  <c r="K135" i="35" s="1"/>
  <c r="L135" i="35" s="1"/>
  <c r="K134" i="34"/>
  <c r="K134" i="35" s="1"/>
  <c r="L134" i="35" s="1"/>
  <c r="K133" i="34"/>
  <c r="K133" i="35" s="1"/>
  <c r="L133" i="35" s="1"/>
  <c r="K132" i="34"/>
  <c r="K132" i="35" s="1"/>
  <c r="L132" i="35" s="1"/>
  <c r="K131" i="34"/>
  <c r="K131" i="35" s="1"/>
  <c r="L131" i="35" s="1"/>
  <c r="K130" i="34"/>
  <c r="K130" i="35" s="1"/>
  <c r="L130" i="35" s="1"/>
  <c r="K129" i="34"/>
  <c r="K129" i="35" s="1"/>
  <c r="L129" i="35" s="1"/>
  <c r="K128" i="34"/>
  <c r="K128" i="35" s="1"/>
  <c r="L128" i="35" s="1"/>
  <c r="K127" i="34"/>
  <c r="K127" i="35" s="1"/>
  <c r="L127" i="35" s="1"/>
  <c r="K126" i="34"/>
  <c r="K126" i="35" s="1"/>
  <c r="L126" i="35" s="1"/>
  <c r="K125" i="34"/>
  <c r="K125" i="35" s="1"/>
  <c r="L125" i="35" s="1"/>
  <c r="K124" i="34"/>
  <c r="K124" i="35" s="1"/>
  <c r="L124" i="35" s="1"/>
  <c r="K123" i="34"/>
  <c r="K123" i="35" s="1"/>
  <c r="L123" i="35" s="1"/>
  <c r="K122" i="34"/>
  <c r="K122" i="35" s="1"/>
  <c r="L122" i="35" s="1"/>
  <c r="K121" i="34"/>
  <c r="K121" i="35" s="1"/>
  <c r="L121" i="35" s="1"/>
  <c r="K120" i="34"/>
  <c r="K120" i="35" s="1"/>
  <c r="L120" i="35" s="1"/>
  <c r="K119" i="34"/>
  <c r="K119" i="35" s="1"/>
  <c r="L119" i="35" s="1"/>
  <c r="K118" i="34"/>
  <c r="K118" i="35" s="1"/>
  <c r="L118" i="35" s="1"/>
  <c r="K117" i="34"/>
  <c r="K117" i="35" s="1"/>
  <c r="L117" i="35" s="1"/>
  <c r="K116" i="34"/>
  <c r="K116" i="35" s="1"/>
  <c r="L116" i="35" s="1"/>
  <c r="K115" i="34"/>
  <c r="K115" i="35" s="1"/>
  <c r="L115" i="35" s="1"/>
  <c r="K114" i="34"/>
  <c r="K114" i="35" s="1"/>
  <c r="L114" i="35" s="1"/>
  <c r="K113" i="34"/>
  <c r="K113" i="35" s="1"/>
  <c r="L113" i="35" s="1"/>
  <c r="K112" i="34"/>
  <c r="K112" i="35" s="1"/>
  <c r="L112" i="35" s="1"/>
  <c r="K111" i="34"/>
  <c r="K111" i="35" s="1"/>
  <c r="L111" i="35" s="1"/>
  <c r="K110" i="34"/>
  <c r="K110" i="35" s="1"/>
  <c r="L110" i="35" s="1"/>
  <c r="K109" i="34"/>
  <c r="K109" i="35" s="1"/>
  <c r="L109" i="35" s="1"/>
  <c r="K108" i="34"/>
  <c r="K108" i="35" s="1"/>
  <c r="L108" i="35" s="1"/>
  <c r="K107" i="34"/>
  <c r="K107" i="35" s="1"/>
  <c r="L107" i="35" s="1"/>
  <c r="K106" i="34"/>
  <c r="K106" i="35" s="1"/>
  <c r="L106" i="35" s="1"/>
  <c r="K105" i="34"/>
  <c r="K105" i="35" s="1"/>
  <c r="L105" i="35" s="1"/>
  <c r="K104" i="34"/>
  <c r="K104" i="35" s="1"/>
  <c r="L104" i="35" s="1"/>
  <c r="K103" i="34"/>
  <c r="K103" i="35" s="1"/>
  <c r="L103" i="35" s="1"/>
  <c r="K102" i="34"/>
  <c r="K102" i="35" s="1"/>
  <c r="L102" i="35" s="1"/>
  <c r="K101" i="34"/>
  <c r="K101" i="35" s="1"/>
  <c r="L101" i="35" s="1"/>
  <c r="K100" i="34"/>
  <c r="K100" i="35" s="1"/>
  <c r="L100" i="35" s="1"/>
  <c r="K99" i="34"/>
  <c r="K99" i="35" s="1"/>
  <c r="L99" i="35" s="1"/>
  <c r="K98" i="34"/>
  <c r="K98" i="35" s="1"/>
  <c r="L98" i="35" s="1"/>
  <c r="K97" i="34"/>
  <c r="K97" i="35" s="1"/>
  <c r="L97" i="35" s="1"/>
  <c r="K96" i="34"/>
  <c r="K96" i="35" s="1"/>
  <c r="L96" i="35" s="1"/>
  <c r="K95" i="34"/>
  <c r="K95" i="35" s="1"/>
  <c r="L95" i="35" s="1"/>
  <c r="K94" i="34"/>
  <c r="K94" i="35" s="1"/>
  <c r="L94" i="35" s="1"/>
  <c r="K93" i="34"/>
  <c r="K93" i="35" s="1"/>
  <c r="L93" i="35" s="1"/>
  <c r="K92" i="34"/>
  <c r="K92" i="35" s="1"/>
  <c r="L92" i="35" s="1"/>
  <c r="K91" i="34"/>
  <c r="K91" i="35" s="1"/>
  <c r="L91" i="35" s="1"/>
  <c r="K90" i="34"/>
  <c r="K90" i="35" s="1"/>
  <c r="L90" i="35" s="1"/>
  <c r="K89" i="34"/>
  <c r="K89" i="35" s="1"/>
  <c r="L89" i="35" s="1"/>
  <c r="K88" i="34"/>
  <c r="K88" i="35" s="1"/>
  <c r="L88" i="35" s="1"/>
  <c r="K87" i="34"/>
  <c r="K87" i="35" s="1"/>
  <c r="L87" i="35" s="1"/>
  <c r="K86" i="34"/>
  <c r="K86" i="35" s="1"/>
  <c r="L86" i="35" s="1"/>
  <c r="K85" i="34"/>
  <c r="K85" i="35" s="1"/>
  <c r="L85" i="35" s="1"/>
  <c r="K84" i="34"/>
  <c r="K84" i="35" s="1"/>
  <c r="L84" i="35" s="1"/>
  <c r="K83" i="34"/>
  <c r="K83" i="35" s="1"/>
  <c r="L83" i="35" s="1"/>
  <c r="K82" i="34"/>
  <c r="K82" i="35" s="1"/>
  <c r="L82" i="35" s="1"/>
  <c r="K81" i="34"/>
  <c r="K81" i="35" s="1"/>
  <c r="L81" i="35" s="1"/>
  <c r="K80" i="34"/>
  <c r="K80" i="35" s="1"/>
  <c r="L80" i="35" s="1"/>
  <c r="K79" i="34"/>
  <c r="K79" i="35" s="1"/>
  <c r="L79" i="35" s="1"/>
  <c r="K78" i="34"/>
  <c r="K78" i="35" s="1"/>
  <c r="L78" i="35" s="1"/>
  <c r="K77" i="34"/>
  <c r="K77" i="35" s="1"/>
  <c r="L77" i="35" s="1"/>
  <c r="K76" i="34"/>
  <c r="K76" i="35" s="1"/>
  <c r="L76" i="35" s="1"/>
  <c r="K75" i="34"/>
  <c r="K75" i="35" s="1"/>
  <c r="L75" i="35" s="1"/>
  <c r="K74" i="34"/>
  <c r="K74" i="35" s="1"/>
  <c r="L74" i="35" s="1"/>
  <c r="K73" i="34"/>
  <c r="K73" i="35" s="1"/>
  <c r="L73" i="35" s="1"/>
  <c r="K72" i="34"/>
  <c r="K72" i="35" s="1"/>
  <c r="L72" i="35" s="1"/>
  <c r="K71" i="34"/>
  <c r="K71" i="35" s="1"/>
  <c r="L71" i="35" s="1"/>
  <c r="K70" i="34"/>
  <c r="K70" i="35" s="1"/>
  <c r="L70" i="35" s="1"/>
  <c r="K69" i="34"/>
  <c r="K69" i="35" s="1"/>
  <c r="L69" i="35" s="1"/>
  <c r="K68" i="34"/>
  <c r="K68" i="35" s="1"/>
  <c r="L68" i="35" s="1"/>
  <c r="K67" i="34"/>
  <c r="K67" i="35" s="1"/>
  <c r="L67" i="35" s="1"/>
  <c r="K66" i="34"/>
  <c r="K66" i="35" s="1"/>
  <c r="L66" i="35" s="1"/>
  <c r="K65" i="34"/>
  <c r="K65" i="35" s="1"/>
  <c r="L65" i="35" s="1"/>
  <c r="K64" i="34"/>
  <c r="K64" i="35" s="1"/>
  <c r="L64" i="35" s="1"/>
  <c r="K63" i="34"/>
  <c r="K63" i="35" s="1"/>
  <c r="L63" i="35" s="1"/>
  <c r="K62" i="34"/>
  <c r="K62" i="35" s="1"/>
  <c r="L62" i="35" s="1"/>
  <c r="K61" i="34"/>
  <c r="K61" i="35" s="1"/>
  <c r="L61" i="35" s="1"/>
  <c r="K60" i="34"/>
  <c r="K60" i="35" s="1"/>
  <c r="L60" i="35" s="1"/>
  <c r="K59" i="34"/>
  <c r="K59" i="35" s="1"/>
  <c r="L59" i="35" s="1"/>
  <c r="K58" i="34"/>
  <c r="K58" i="35" s="1"/>
  <c r="L58" i="35" s="1"/>
  <c r="K57" i="34"/>
  <c r="K57" i="35" s="1"/>
  <c r="L57" i="35" s="1"/>
  <c r="K56" i="34"/>
  <c r="K56" i="35" s="1"/>
  <c r="L56" i="35" s="1"/>
  <c r="K55" i="34"/>
  <c r="K55" i="35" s="1"/>
  <c r="L55" i="35" s="1"/>
  <c r="K54" i="34"/>
  <c r="K54" i="35" s="1"/>
  <c r="L54" i="35" s="1"/>
  <c r="K53" i="34"/>
  <c r="K53" i="35" s="1"/>
  <c r="L53" i="35" s="1"/>
  <c r="K52" i="34"/>
  <c r="K52" i="35" s="1"/>
  <c r="L52" i="35" s="1"/>
  <c r="K51" i="34"/>
  <c r="K51" i="35" s="1"/>
  <c r="L51" i="35" s="1"/>
  <c r="K50" i="34"/>
  <c r="K50" i="35" s="1"/>
  <c r="L50" i="35" s="1"/>
  <c r="K49" i="34"/>
  <c r="K49" i="35" s="1"/>
  <c r="L49" i="35" s="1"/>
  <c r="K48" i="34"/>
  <c r="K48" i="35" s="1"/>
  <c r="L48" i="35" s="1"/>
  <c r="K47" i="34"/>
  <c r="K47" i="35" s="1"/>
  <c r="L47" i="35" s="1"/>
  <c r="K46" i="34"/>
  <c r="K46" i="35" s="1"/>
  <c r="L46" i="35" s="1"/>
  <c r="K45" i="34"/>
  <c r="K45" i="35" s="1"/>
  <c r="L45" i="35" s="1"/>
  <c r="K44" i="34"/>
  <c r="K44" i="35" s="1"/>
  <c r="L44" i="35" s="1"/>
  <c r="K43" i="34"/>
  <c r="K43" i="35" s="1"/>
  <c r="L43" i="35" s="1"/>
  <c r="K42" i="34"/>
  <c r="K42" i="35" s="1"/>
  <c r="L42" i="35" s="1"/>
  <c r="K41" i="34"/>
  <c r="K41" i="35" s="1"/>
  <c r="L41" i="35" s="1"/>
  <c r="K40" i="34"/>
  <c r="K40" i="35" s="1"/>
  <c r="L40" i="35" s="1"/>
  <c r="K39" i="34"/>
  <c r="K39" i="35" s="1"/>
  <c r="L39" i="35" s="1"/>
  <c r="K38" i="34"/>
  <c r="K38" i="35" s="1"/>
  <c r="L38" i="35" s="1"/>
  <c r="K37" i="34"/>
  <c r="K37" i="35" s="1"/>
  <c r="L37" i="35" s="1"/>
  <c r="K36" i="34"/>
  <c r="K36" i="35" s="1"/>
  <c r="L36" i="35" s="1"/>
  <c r="K35" i="34"/>
  <c r="K35" i="35" s="1"/>
  <c r="L35" i="35" s="1"/>
  <c r="K34" i="34"/>
  <c r="K34" i="35" s="1"/>
  <c r="L34" i="35" s="1"/>
  <c r="K33" i="34"/>
  <c r="K33" i="35" s="1"/>
  <c r="L33" i="35" s="1"/>
  <c r="K32" i="34"/>
  <c r="K32" i="35" s="1"/>
  <c r="L32" i="35" s="1"/>
  <c r="K31" i="34"/>
  <c r="K31" i="35" s="1"/>
  <c r="L31" i="35" s="1"/>
  <c r="K30" i="34"/>
  <c r="K30" i="35" s="1"/>
  <c r="L30" i="35" s="1"/>
  <c r="K29" i="34"/>
  <c r="K29" i="35" s="1"/>
  <c r="L29" i="35" s="1"/>
  <c r="K28" i="34"/>
  <c r="K28" i="35" s="1"/>
  <c r="L28" i="35" s="1"/>
  <c r="K27" i="34"/>
  <c r="K27" i="35" s="1"/>
  <c r="L27" i="35" s="1"/>
  <c r="K26" i="34"/>
  <c r="K26" i="35" s="1"/>
  <c r="L26" i="35" s="1"/>
  <c r="K25" i="34"/>
  <c r="K25" i="35" s="1"/>
  <c r="L25" i="35" s="1"/>
  <c r="K24" i="34"/>
  <c r="K24" i="35" s="1"/>
  <c r="L24" i="35" s="1"/>
  <c r="K23" i="34"/>
  <c r="K23" i="35" s="1"/>
  <c r="L23" i="35" s="1"/>
  <c r="K22" i="34"/>
  <c r="K22" i="35" s="1"/>
  <c r="L22" i="35" s="1"/>
  <c r="K21" i="34"/>
  <c r="K21" i="35" s="1"/>
  <c r="L21" i="35" s="1"/>
  <c r="K20" i="34"/>
  <c r="K20" i="35" s="1"/>
  <c r="L20" i="35" s="1"/>
  <c r="K19" i="34"/>
  <c r="K19" i="35" s="1"/>
  <c r="L19" i="35" s="1"/>
  <c r="K18" i="34"/>
  <c r="K18" i="35" s="1"/>
  <c r="L18" i="35" s="1"/>
  <c r="K17" i="34"/>
  <c r="K17" i="35" s="1"/>
  <c r="L17" i="35" s="1"/>
  <c r="K16" i="34"/>
  <c r="K16" i="35" s="1"/>
  <c r="L16" i="35" s="1"/>
  <c r="K15" i="34"/>
  <c r="K15" i="35" s="1"/>
  <c r="L15" i="35" s="1"/>
  <c r="K14" i="34"/>
  <c r="K14" i="35" s="1"/>
  <c r="L14" i="35" s="1"/>
  <c r="I155" i="34"/>
  <c r="H155" i="34"/>
  <c r="J55" i="34" l="1"/>
  <c r="L55" i="34"/>
  <c r="J56" i="34"/>
  <c r="L56" i="34"/>
  <c r="J123" i="34" l="1"/>
  <c r="J124" i="34"/>
  <c r="J125" i="34"/>
  <c r="J126" i="34"/>
  <c r="J127" i="34"/>
  <c r="J128" i="34"/>
  <c r="J129" i="34"/>
  <c r="J130" i="34"/>
  <c r="J131" i="34"/>
  <c r="J132" i="34"/>
  <c r="J133" i="34"/>
  <c r="L43" i="34" l="1"/>
  <c r="L42" i="34"/>
  <c r="L40" i="34"/>
  <c r="L71" i="34"/>
  <c r="L70" i="34"/>
  <c r="L69" i="34"/>
  <c r="L68" i="34"/>
  <c r="L67" i="34"/>
  <c r="L66" i="34"/>
  <c r="L51" i="34"/>
  <c r="L50" i="34"/>
  <c r="L49" i="34"/>
  <c r="L39" i="34"/>
  <c r="L38" i="34"/>
  <c r="L37" i="34"/>
  <c r="L36" i="34"/>
  <c r="L35" i="34"/>
  <c r="L34" i="34"/>
  <c r="L33" i="34"/>
  <c r="L32" i="34"/>
  <c r="L20" i="34"/>
  <c r="L17" i="34"/>
  <c r="L16" i="34"/>
  <c r="L15" i="34"/>
  <c r="L14" i="34"/>
  <c r="K13" i="34"/>
  <c r="K13" i="35" s="1"/>
  <c r="L81" i="34"/>
  <c r="L80" i="34"/>
  <c r="L79" i="34"/>
  <c r="L78" i="34"/>
  <c r="L77" i="34"/>
  <c r="L76" i="34"/>
  <c r="L75" i="34"/>
  <c r="L74" i="34"/>
  <c r="L30" i="34"/>
  <c r="L29" i="34"/>
  <c r="L28" i="34"/>
  <c r="L27" i="34"/>
  <c r="L26" i="34"/>
  <c r="L25" i="34"/>
  <c r="L24" i="34"/>
  <c r="L23" i="34"/>
  <c r="L22" i="34"/>
  <c r="L21" i="34"/>
  <c r="L122" i="34"/>
  <c r="L121" i="34"/>
  <c r="L120" i="34"/>
  <c r="L119" i="34"/>
  <c r="L114" i="34"/>
  <c r="L113" i="34"/>
  <c r="L112" i="34"/>
  <c r="L111" i="34"/>
  <c r="L110" i="34"/>
  <c r="L109" i="34"/>
  <c r="L108" i="34"/>
  <c r="L107" i="34"/>
  <c r="L106" i="34"/>
  <c r="L105" i="34"/>
  <c r="L104" i="34"/>
  <c r="L103" i="34"/>
  <c r="L153" i="34"/>
  <c r="L152" i="34"/>
  <c r="L151" i="34"/>
  <c r="L150" i="34"/>
  <c r="L149" i="34"/>
  <c r="L148" i="34"/>
  <c r="L147" i="34"/>
  <c r="L146" i="34"/>
  <c r="L145" i="34"/>
  <c r="L133" i="34"/>
  <c r="L132" i="34"/>
  <c r="L131" i="34"/>
  <c r="L130" i="34"/>
  <c r="L127" i="34"/>
  <c r="L126" i="34"/>
  <c r="L125" i="34"/>
  <c r="L124" i="34"/>
  <c r="L123" i="34"/>
  <c r="L144" i="34"/>
  <c r="L143" i="34"/>
  <c r="L142" i="34"/>
  <c r="L141" i="34"/>
  <c r="L140" i="34"/>
  <c r="L139" i="34"/>
  <c r="L138" i="34"/>
  <c r="L137" i="34"/>
  <c r="L136" i="34"/>
  <c r="L90" i="34"/>
  <c r="L89" i="34"/>
  <c r="L88" i="34"/>
  <c r="L87" i="34"/>
  <c r="L86" i="34"/>
  <c r="L85" i="34"/>
  <c r="L84" i="34"/>
  <c r="L83" i="34"/>
  <c r="L82" i="34"/>
  <c r="L63" i="34"/>
  <c r="L62" i="34"/>
  <c r="L61" i="34"/>
  <c r="L60" i="34"/>
  <c r="L59" i="34"/>
  <c r="L57" i="34"/>
  <c r="L99" i="34"/>
  <c r="L96" i="34"/>
  <c r="L95" i="34"/>
  <c r="L94" i="34"/>
  <c r="L93" i="34"/>
  <c r="L92" i="34"/>
  <c r="L58" i="34"/>
  <c r="H154" i="34"/>
  <c r="L48" i="34"/>
  <c r="J48" i="34"/>
  <c r="L47" i="34"/>
  <c r="J47" i="34"/>
  <c r="L46" i="34"/>
  <c r="J46" i="34"/>
  <c r="L45" i="34"/>
  <c r="J45" i="34"/>
  <c r="L44" i="34"/>
  <c r="J44" i="34"/>
  <c r="J43" i="34"/>
  <c r="J42" i="34"/>
  <c r="L41" i="34"/>
  <c r="J41" i="34"/>
  <c r="J40" i="34"/>
  <c r="L72" i="34"/>
  <c r="J72" i="34"/>
  <c r="J71" i="34"/>
  <c r="J70" i="34"/>
  <c r="J69" i="34"/>
  <c r="J68" i="34"/>
  <c r="J67" i="34"/>
  <c r="J66" i="34"/>
  <c r="L65" i="34"/>
  <c r="J65" i="34"/>
  <c r="L64" i="34"/>
  <c r="J64" i="34"/>
  <c r="L54" i="34"/>
  <c r="J54" i="34"/>
  <c r="L53" i="34"/>
  <c r="J53" i="34"/>
  <c r="L52" i="34"/>
  <c r="J52" i="34"/>
  <c r="J51" i="34"/>
  <c r="J50" i="34"/>
  <c r="J49" i="34"/>
  <c r="J39" i="34"/>
  <c r="J38" i="34"/>
  <c r="J37" i="34"/>
  <c r="J36" i="34"/>
  <c r="J35" i="34"/>
  <c r="J34" i="34"/>
  <c r="J33" i="34"/>
  <c r="J32" i="34"/>
  <c r="J20" i="34"/>
  <c r="L19" i="34"/>
  <c r="J19" i="34"/>
  <c r="L18" i="34"/>
  <c r="J18" i="34"/>
  <c r="J17" i="34"/>
  <c r="J16" i="34"/>
  <c r="J15" i="34"/>
  <c r="J14" i="34"/>
  <c r="J13" i="34"/>
  <c r="J81" i="34"/>
  <c r="J80" i="34"/>
  <c r="J79" i="34"/>
  <c r="J78" i="34"/>
  <c r="J77" i="34"/>
  <c r="J76" i="34"/>
  <c r="J75" i="34"/>
  <c r="J74" i="34"/>
  <c r="L73" i="34"/>
  <c r="J73" i="34"/>
  <c r="L31" i="34"/>
  <c r="J31" i="34"/>
  <c r="J30" i="34"/>
  <c r="J29" i="34"/>
  <c r="J28" i="34"/>
  <c r="J27" i="34"/>
  <c r="J26" i="34"/>
  <c r="J25" i="34"/>
  <c r="J24" i="34"/>
  <c r="J23" i="34"/>
  <c r="J22" i="34"/>
  <c r="J21" i="34"/>
  <c r="J122" i="34"/>
  <c r="J121" i="34"/>
  <c r="J120" i="34"/>
  <c r="J119" i="34"/>
  <c r="L118" i="34"/>
  <c r="J118" i="34"/>
  <c r="L117" i="34"/>
  <c r="J117" i="34"/>
  <c r="L116" i="34"/>
  <c r="J116" i="34"/>
  <c r="L115" i="34"/>
  <c r="J115" i="34"/>
  <c r="J114" i="34"/>
  <c r="J113" i="34"/>
  <c r="J112" i="34"/>
  <c r="J111" i="34"/>
  <c r="J110" i="34"/>
  <c r="J109" i="34"/>
  <c r="J108" i="34"/>
  <c r="J107" i="34"/>
  <c r="J106" i="34"/>
  <c r="J105" i="34"/>
  <c r="J104" i="34"/>
  <c r="J103" i="34"/>
  <c r="L102" i="34"/>
  <c r="J102" i="34"/>
  <c r="L101" i="34"/>
  <c r="J101" i="34"/>
  <c r="L100" i="34"/>
  <c r="J100" i="34"/>
  <c r="J153" i="34"/>
  <c r="J152" i="34"/>
  <c r="J151" i="34"/>
  <c r="J150" i="34"/>
  <c r="J149" i="34"/>
  <c r="J148" i="34"/>
  <c r="J147" i="34"/>
  <c r="J146" i="34"/>
  <c r="J145" i="34"/>
  <c r="L129" i="34"/>
  <c r="L128" i="34"/>
  <c r="J144" i="34"/>
  <c r="J143" i="34"/>
  <c r="J142" i="34"/>
  <c r="J141" i="34"/>
  <c r="J140" i="34"/>
  <c r="J139" i="34"/>
  <c r="J138" i="34"/>
  <c r="J137" i="34"/>
  <c r="J136" i="34"/>
  <c r="L135" i="34"/>
  <c r="J135" i="34"/>
  <c r="L134" i="34"/>
  <c r="J134" i="34"/>
  <c r="J90" i="34"/>
  <c r="J89" i="34"/>
  <c r="J88" i="34"/>
  <c r="J87" i="34"/>
  <c r="J86" i="34"/>
  <c r="J85" i="34"/>
  <c r="J84" i="34"/>
  <c r="J83" i="34"/>
  <c r="J82" i="34"/>
  <c r="J63" i="34"/>
  <c r="J62" i="34"/>
  <c r="J61" i="34"/>
  <c r="J60" i="34"/>
  <c r="J59" i="34"/>
  <c r="J58" i="34"/>
  <c r="J57" i="34"/>
  <c r="J99" i="34"/>
  <c r="L98" i="34"/>
  <c r="J98" i="34"/>
  <c r="L97" i="34"/>
  <c r="J97" i="34"/>
  <c r="J96" i="34"/>
  <c r="J95" i="34"/>
  <c r="J94" i="34"/>
  <c r="J93" i="34"/>
  <c r="J92" i="34"/>
  <c r="J91" i="34"/>
  <c r="K155" i="35" l="1"/>
  <c r="L155" i="35" s="1"/>
  <c r="L13" i="35"/>
  <c r="L13" i="34"/>
  <c r="K155" i="34"/>
  <c r="L155" i="34" s="1"/>
  <c r="J155" i="34"/>
  <c r="L91" i="34"/>
</calcChain>
</file>

<file path=xl/comments1.xml><?xml version="1.0" encoding="utf-8"?>
<comments xmlns="http://schemas.openxmlformats.org/spreadsheetml/2006/main">
  <authors>
    <author>Autor</author>
  </authors>
  <commentList>
    <comment ref="K12" authorId="0" shapeId="0">
      <text>
        <r>
          <rPr>
            <sz val="9"/>
            <color indexed="81"/>
            <rFont val="Tahoma"/>
            <family val="2"/>
          </rPr>
          <t>Días acumulados del último reporte + Días del mes a reportar.</t>
        </r>
      </text>
    </comment>
    <comment ref="B170" authorId="0" shapeId="0">
      <text>
        <r>
          <rPr>
            <sz val="9"/>
            <color indexed="81"/>
            <rFont val="Tahoma"/>
            <family val="2"/>
          </rPr>
          <t>Firma de quién revisa</t>
        </r>
      </text>
    </comment>
    <comment ref="H170" authorId="0" shapeId="0">
      <text>
        <r>
          <rPr>
            <sz val="9"/>
            <color indexed="81"/>
            <rFont val="Tahoma"/>
            <family val="2"/>
          </rPr>
          <t>Firma del interventor</t>
        </r>
      </text>
    </comment>
    <comment ref="C171" authorId="0" shapeId="0">
      <text>
        <r>
          <rPr>
            <sz val="9"/>
            <color rgb="FF000000"/>
            <rFont val="Tahoma"/>
            <family val="2"/>
          </rPr>
          <t>Nombre completo de quién revisa</t>
        </r>
      </text>
    </comment>
    <comment ref="I171" authorId="0" shapeId="0">
      <text>
        <r>
          <rPr>
            <sz val="9"/>
            <color indexed="81"/>
            <rFont val="Tahoma"/>
            <family val="2"/>
          </rPr>
          <t>Nombre completo del interventor</t>
        </r>
      </text>
    </comment>
    <comment ref="B182" authorId="0" shapeId="0">
      <text>
        <r>
          <rPr>
            <sz val="9"/>
            <color indexed="81"/>
            <rFont val="Tahoma"/>
            <family val="2"/>
          </rPr>
          <t>Firma de quién revisa</t>
        </r>
      </text>
    </comment>
    <comment ref="H182" authorId="0" shapeId="0">
      <text>
        <r>
          <rPr>
            <sz val="9"/>
            <color indexed="81"/>
            <rFont val="Tahoma"/>
            <family val="2"/>
          </rPr>
          <t>Firma del interventor</t>
        </r>
      </text>
    </comment>
    <comment ref="C183" authorId="0" shapeId="0">
      <text>
        <r>
          <rPr>
            <sz val="9"/>
            <color rgb="FF000000"/>
            <rFont val="Tahoma"/>
            <family val="2"/>
          </rPr>
          <t>Nombre completo de quién revisa</t>
        </r>
      </text>
    </comment>
    <comment ref="I183" authorId="0" shapeId="0">
      <text>
        <r>
          <rPr>
            <sz val="9"/>
            <color indexed="81"/>
            <rFont val="Tahoma"/>
            <family val="2"/>
          </rPr>
          <t>Nombre completo del interventor</t>
        </r>
      </text>
    </comment>
  </commentList>
</comments>
</file>

<file path=xl/comments2.xml><?xml version="1.0" encoding="utf-8"?>
<comments xmlns="http://schemas.openxmlformats.org/spreadsheetml/2006/main">
  <authors>
    <author>Autor</author>
  </authors>
  <commentList>
    <comment ref="K12" authorId="0" shapeId="0">
      <text>
        <r>
          <rPr>
            <sz val="9"/>
            <color indexed="81"/>
            <rFont val="Tahoma"/>
            <family val="2"/>
          </rPr>
          <t>Días acumulados del último reporte + Días del mes a reportar.</t>
        </r>
      </text>
    </comment>
    <comment ref="B171" authorId="0" shapeId="0">
      <text>
        <r>
          <rPr>
            <sz val="9"/>
            <color indexed="81"/>
            <rFont val="Tahoma"/>
            <family val="2"/>
          </rPr>
          <t>Firma de quién revisa</t>
        </r>
      </text>
    </comment>
    <comment ref="H171" authorId="0" shapeId="0">
      <text>
        <r>
          <rPr>
            <sz val="9"/>
            <color indexed="81"/>
            <rFont val="Tahoma"/>
            <family val="2"/>
          </rPr>
          <t>Firma del interventor</t>
        </r>
      </text>
    </comment>
    <comment ref="C172" authorId="0" shapeId="0">
      <text>
        <r>
          <rPr>
            <sz val="9"/>
            <color rgb="FF000000"/>
            <rFont val="Tahoma"/>
            <family val="2"/>
          </rPr>
          <t>Nombre completo de quién revisa</t>
        </r>
      </text>
    </comment>
    <comment ref="I172" authorId="0" shapeId="0">
      <text>
        <r>
          <rPr>
            <sz val="9"/>
            <color indexed="81"/>
            <rFont val="Tahoma"/>
            <family val="2"/>
          </rPr>
          <t>Nombre completo del interventor</t>
        </r>
      </text>
    </comment>
    <comment ref="B183" authorId="0" shapeId="0">
      <text>
        <r>
          <rPr>
            <sz val="9"/>
            <color indexed="81"/>
            <rFont val="Tahoma"/>
            <family val="2"/>
          </rPr>
          <t>Firma de quién revisa</t>
        </r>
      </text>
    </comment>
    <comment ref="H183" authorId="0" shapeId="0">
      <text>
        <r>
          <rPr>
            <sz val="9"/>
            <color indexed="81"/>
            <rFont val="Tahoma"/>
            <family val="2"/>
          </rPr>
          <t>Firma del interventor</t>
        </r>
      </text>
    </comment>
    <comment ref="C184" authorId="0" shapeId="0">
      <text>
        <r>
          <rPr>
            <sz val="9"/>
            <color rgb="FF000000"/>
            <rFont val="Tahoma"/>
            <family val="2"/>
          </rPr>
          <t>Nombre completo de quién revisa</t>
        </r>
      </text>
    </comment>
    <comment ref="I184" authorId="0" shapeId="0">
      <text>
        <r>
          <rPr>
            <sz val="9"/>
            <color indexed="81"/>
            <rFont val="Tahoma"/>
            <family val="2"/>
          </rPr>
          <t>Nombre completo del interventor</t>
        </r>
      </text>
    </comment>
  </commentList>
</comments>
</file>

<file path=xl/sharedStrings.xml><?xml version="1.0" encoding="utf-8"?>
<sst xmlns="http://schemas.openxmlformats.org/spreadsheetml/2006/main" count="1294" uniqueCount="339">
  <si>
    <t>MES</t>
  </si>
  <si>
    <t>REPORTE DE AVANCE</t>
  </si>
  <si>
    <t>ENERO</t>
  </si>
  <si>
    <t>Fecha: 29/06/2022</t>
  </si>
  <si>
    <t>Version: 01</t>
  </si>
  <si>
    <t>GP-F-23</t>
  </si>
  <si>
    <t>FEBRERO</t>
  </si>
  <si>
    <t>Código Orden de servicio</t>
  </si>
  <si>
    <t>MARZO</t>
  </si>
  <si>
    <t>ABRIL</t>
  </si>
  <si>
    <t>MAYO</t>
  </si>
  <si>
    <t>JUNIO</t>
  </si>
  <si>
    <t>Mes a reportar</t>
  </si>
  <si>
    <t>JULIO</t>
  </si>
  <si>
    <t>AGOSTO</t>
  </si>
  <si>
    <t>Fecha reporte</t>
  </si>
  <si>
    <t>SEPTIEMBRE</t>
  </si>
  <si>
    <t>OCTUBRE</t>
  </si>
  <si>
    <t>Clasificación del servicio</t>
  </si>
  <si>
    <t>Reporte mes por servicio</t>
  </si>
  <si>
    <t>Reporte acumulado por servicio</t>
  </si>
  <si>
    <t>NOVIEMBRE</t>
  </si>
  <si>
    <t>Ítem general</t>
  </si>
  <si>
    <t>ítem actividad</t>
  </si>
  <si>
    <t>Descripción de la actividad</t>
  </si>
  <si>
    <t>Soporte</t>
  </si>
  <si>
    <t>Medio de entrega</t>
  </si>
  <si>
    <t>Días contratados</t>
  </si>
  <si>
    <t>Días</t>
  </si>
  <si>
    <t>% avance</t>
  </si>
  <si>
    <t xml:space="preserve">Días </t>
  </si>
  <si>
    <t>DICIEMBRE</t>
  </si>
  <si>
    <t>Digital</t>
  </si>
  <si>
    <t>TOTAL ACUMULADO</t>
  </si>
  <si>
    <t>Observaciones:</t>
  </si>
  <si>
    <t>Describa en este espacio su observación</t>
  </si>
  <si>
    <r>
      <t>¿Se presentó algún aspecto o situación que afecte la ejecución y calidad de los entregables? (</t>
    </r>
    <r>
      <rPr>
        <b/>
        <i/>
        <sz val="9"/>
        <color theme="1"/>
        <rFont val="Verdana"/>
        <family val="2"/>
      </rPr>
      <t>Marque con una X</t>
    </r>
    <r>
      <rPr>
        <b/>
        <sz val="9"/>
        <color theme="1"/>
        <rFont val="Verdana"/>
        <family val="2"/>
      </rPr>
      <t>)</t>
    </r>
  </si>
  <si>
    <t>PROFESIONAL</t>
  </si>
  <si>
    <t>SI</t>
  </si>
  <si>
    <t>NO</t>
  </si>
  <si>
    <t>INTERVENTOR O LIDER</t>
  </si>
  <si>
    <t>Revisa:</t>
  </si>
  <si>
    <t>Interventor:</t>
  </si>
  <si>
    <t>3.6</t>
  </si>
  <si>
    <t>Generar Modelo analítico del yacimiento integrando la información disponible en un software específico</t>
  </si>
  <si>
    <t>3.13</t>
  </si>
  <si>
    <t>Generar base de datos de producción (OFM o la que se requiera)</t>
  </si>
  <si>
    <t>3.16</t>
  </si>
  <si>
    <t>Análisis de Declinaciones por pozo y/o subunidad</t>
  </si>
  <si>
    <t>3.17</t>
  </si>
  <si>
    <t>Analizar data histórica de producción, productividad y daño por pozo</t>
  </si>
  <si>
    <t>3.18</t>
  </si>
  <si>
    <t>Generar perfiles de Producción por pozos para pozos existente en escenarios Bajo, Medio y Alto</t>
  </si>
  <si>
    <t>5.2</t>
  </si>
  <si>
    <t>Generación de oportunidades de intervención a Pozos</t>
  </si>
  <si>
    <t>5.9</t>
  </si>
  <si>
    <t>Realizar el seguimiento de producción/ inyección de pozos intervenidos con base en los comportamientos de producción previo y posterior a la intervención</t>
  </si>
  <si>
    <t>8.2</t>
  </si>
  <si>
    <t>Carga de datos, procesamiento de datos, Análisis Estadístico descriptivo considerando hipótesis desde la teoría, y análisis descriptivo considerando hipótesis generadas desde la misma data (pasos 1, 2 y 3 teoría CRISP-DM).</t>
  </si>
  <si>
    <t>Profesional a cargo</t>
  </si>
  <si>
    <t>1.2</t>
  </si>
  <si>
    <t>Generación Bases de Datos de Pozos (Registros, Topes e información 
disponible)</t>
  </si>
  <si>
    <t>1.3</t>
  </si>
  <si>
    <t>Interpretación Sísmica</t>
  </si>
  <si>
    <t>1.5</t>
  </si>
  <si>
    <t>Digitalización, digitación y/o captura de información geológica 
(Mapas, Raw Data, topes, etc.)</t>
  </si>
  <si>
    <t>1.8</t>
  </si>
  <si>
    <t>Balanceo de Secciones</t>
  </si>
  <si>
    <t>1.9</t>
  </si>
  <si>
    <t>Análisis de sellos de fallas</t>
  </si>
  <si>
    <t>1.10</t>
  </si>
  <si>
    <t>Amarre Sísmica Pozo</t>
  </si>
  <si>
    <t>1.12</t>
  </si>
  <si>
    <t>Generación de mapas de facies</t>
  </si>
  <si>
    <t>1.15</t>
  </si>
  <si>
    <t>Carga de información para poblar el modelo geocelular (direccionales,  coordenadas, surveys, topes, data de presión, estados mecánicos, 
evento de pozos, etc.)</t>
  </si>
  <si>
    <t>1.25</t>
  </si>
  <si>
    <t>Análisis geoquímicos de Fingerprinting</t>
  </si>
  <si>
    <t>3.14</t>
  </si>
  <si>
    <t>Generar Distribución de Producción por sub- unidades (allocation)</t>
  </si>
  <si>
    <t>5.3</t>
  </si>
  <si>
    <t>Estimar restricciones de Presión y tasas para la generación de perfiles de producción</t>
  </si>
  <si>
    <t>5.5</t>
  </si>
  <si>
    <t>Adelantar la evaluación e interpretación de datos enfocada a candidatización de actividades de reacondicionamiento y optimización de productividad en los activos</t>
  </si>
  <si>
    <t>5.6</t>
  </si>
  <si>
    <t>Generar los análisis asociados a candidatización de pozos para optimización de la producción empleando simulación numérica (análisis nodal) de productividad de pozos</t>
  </si>
  <si>
    <t>2.9</t>
  </si>
  <si>
    <t>Generar tipos de roca / unidades de flujo por yacimiento y/o campo</t>
  </si>
  <si>
    <t>1.16</t>
  </si>
  <si>
    <t>Georeferenciación de Mapas, pozos, Imágenes satélite, etc. Y Definición de CRS (Cordinates Reference System)</t>
  </si>
  <si>
    <t>1.24</t>
  </si>
  <si>
    <t>Caracterización composicional de fluidos de hidrocarburos mediante técnicas geoquímicas.</t>
  </si>
  <si>
    <t>8.1</t>
  </si>
  <si>
    <t>3.12</t>
  </si>
  <si>
    <t>Generar Modelo de Presiones partiendo de las pruebas previamente validadas e interpretadas</t>
  </si>
  <si>
    <t>5.1</t>
  </si>
  <si>
    <t xml:space="preserve">Generar bases de datos de Eventos de pozos </t>
  </si>
  <si>
    <t>José Luis Ruíz</t>
  </si>
  <si>
    <t>Generación Bases de Datos de Pozos (Registros, Topes e información disponible)</t>
  </si>
  <si>
    <t>1.1</t>
  </si>
  <si>
    <t>3.3</t>
  </si>
  <si>
    <t>Realice el plan de desarrollo del campo y los pronosticos:la prediccion se basaría en el plan de desarrollo de campo, la ubicación de perforaciones de relleno, el analisis de los patrones, la optimizacion de inyeccion de agua, las tasas de inyeccion óptima y el proceso de recuperacion terciaria (quimica y terminca). Realizar evaluaciones economicas y evaluaciones de cada proceso y presentar la mejor solucion optima.</t>
  </si>
  <si>
    <t>8.3</t>
  </si>
  <si>
    <t>Construcción de modelo matemático utilizando las técnicas pertinentes de Ciencia de Datos (e.g. Programación Matemática / Optimización / Investigación de Operaciones, Modelamiento Probabilístico, Machine Learning, etc.), con dominio de conocimiento petrotécnico. Si el modelo es supervisado y no paramétrico, se debe generar el sustento y razonamiento respectivo, arquitectura, calibración de parámetros adecuado, pruebas de validación, generalización, desempeño, etc. La fase de modelamiento debe incluir el razonamiento del modelo y como se relaciona con los modelos petrotécnicos convencionales o actuales, en que difiere y cuál es su innovación en términos de analítica de datos. Lo anterior no indica que tenga que ser un modelo o metodología nueva – e.g. puede ser la aplicación de un modelo existente como el Capacitance Resistance Model (CRM). Etapa 4 y 5 de la metodología CRISP-DM). Los supuestos se deben descomponer en dos: i) del dominio petrotécnico (si la inferencia / deducción es válida, e.g. en el caso del modelo CRM la inferencia procede si la etapa de llenado se ha superado, etc.) y ii) matemáticos / estadísticos, e.g. si se requiere estacionariedad, el error debe ser Gaussiano, etc.</t>
  </si>
  <si>
    <t>8.4</t>
  </si>
  <si>
    <t>Análisis de resultados y análisis Estadístico - descriptivo de los resultados obtenidos, así como de las pruebas implementadas. Ejemplificación de la interpretación de resultados y auto-critica de los mismos. Mapeo de conclusiones, recomendaciones y validación de los objetivos con enfoque de valor. Es clave generar nociones para que los resultados puedan ser bien utilizados y/o asociados con otras metodologías. Si procede, se debe validar los resultados con los expertos o dolientes respectivos. Etapa 5 de la metodología CRISP-DM.</t>
  </si>
  <si>
    <t>8.5</t>
  </si>
  <si>
    <t>Programación del modelo matemático en las herramientas que se considere más adecuada, e.g. R, Python, SAS, C++, Java, Matlab, Visual, etc. Los scripts deben respetar los planteamientos y consideraciones contenidas en el informe, debe contener buenas prácticas de programación (e.g. comentarios, identación (anglicismo de “identation”), separación por métodos o funciones, etc. – el programa no necesariamente debe estar orientado a objetos y otros paradigmas, e.g. la programación funcional podría ser altamente recomendable).</t>
  </si>
  <si>
    <t>2.2</t>
  </si>
  <si>
    <t>Generación Modelo Petrofísico</t>
  </si>
  <si>
    <t>2.3</t>
  </si>
  <si>
    <t>Definir Contactos de Fluidos, Arena neta, Net pay, por pozo y por zona</t>
  </si>
  <si>
    <t>2.4</t>
  </si>
  <si>
    <t>Realizar inventario y análisis de información petrofísica</t>
  </si>
  <si>
    <t>2.5</t>
  </si>
  <si>
    <t>Realizar caracterización Scal (interpretación)</t>
  </si>
  <si>
    <t>2.6</t>
  </si>
  <si>
    <t>Realizar la digitalización de registros, normalización de curvas, edición y corrección de curvas</t>
  </si>
  <si>
    <t>2.10</t>
  </si>
  <si>
    <t>Generar base de datos petrofísicos</t>
  </si>
  <si>
    <t>2.11</t>
  </si>
  <si>
    <t>Generación de Modelos de Física de Rocas</t>
  </si>
  <si>
    <t>Generar Modelo Estático del yacimiento integrando la información disponible</t>
  </si>
  <si>
    <t>1.17</t>
  </si>
  <si>
    <t>Modelo Analítico - Perfiles de Producción - Informe del modelo</t>
  </si>
  <si>
    <t>\\10.100.25.60\sya\gec</t>
  </si>
  <si>
    <t>Base de Datos</t>
  </si>
  <si>
    <t>Base de Datos - Perfiles Generados - Informe del análisis</t>
  </si>
  <si>
    <t>https://ecopetrol.sharepoint.com/sites/BDSaharaCastilla/Documentos%20compartidos/Forms/AllItems.aspx?id=%2Fsites%2FBDSaharaCastilla%2FDocumentos%20compartidos%2FBD%20Sahara&amp;viewid=a035cf74%2D0100%2D4f66%2Da914%2D651dfeb02341</t>
  </si>
  <si>
    <t>Base de Datos - Informe de la Evaluación</t>
  </si>
  <si>
    <t xml:space="preserve">\\10.100.25.60\sya\gec
 Sahara/ Tableros de diagnostico </t>
  </si>
  <si>
    <t>https://wellmeeting.ecopetrol.com.co/home 
https://ecopetrol.sharepoint.com/sites/CastillaWOs2022/Documentos%20compartidos/Forms/AllItems.aspx</t>
  </si>
  <si>
    <t>2025-04-21 Sahara VyP Castilla.zip
https://ecopetrol.sharepoint.com/sites/BDSaharaCastilla/Documentos%20compartidos/Forms/AllItems.aspx?id=%2Fsites%2FBDSaharaCastilla%2FDocumentos%20compartidos%2FPresentaciones%20soporte%20sesiones%2F2025&amp;viewid=a035cf74%2D0100%2D4f66%2Da914%2D651dfeb02341</t>
  </si>
  <si>
    <t>Informe, con estadísticas descriptivas, histogramas, pruebas de ajuste, etc.</t>
  </si>
  <si>
    <t>https://app.powerbi.com/singleSignOn?ru=https%3A%2F%2Fapp.powerbi.com%2Fgroups%2Fe5641789-d59d-4f86-b857-9812c65a1a04%2Freports%2Fdff68870-b9fb-4308-960e-6c4f8c41c79d%2FReportSection974a4271511adef5c478%3FnoSignUpCheck%3D1</t>
  </si>
  <si>
    <t>Se consolidaron los Qobj, arenas, mandriles y presiones en cabeza de la zona Centro Norte en el archivo Qobj.xlsx.</t>
  </si>
  <si>
    <t>Qobj.xlsx</t>
  </si>
  <si>
    <t xml:space="preserve">Se construyeron y enviaron las plantillas para el cargue trimestral por campo para la actualización de molinos de viento. </t>
  </si>
  <si>
    <t xml:space="preserve">Se realizo la construcción de los archivos .TXT que actualizan la base de datos de molinos de vientos para cada uno de los proyectos del activo. </t>
  </si>
  <si>
    <t xml:space="preserve">Se ajusto el tablero de capacidad de flujo de Castilla, realizándole cambios de forma necesarios para poder ser publicado en la web del equipo de Monitoreo VRO. </t>
  </si>
  <si>
    <t>Se construyeron las diapositivas de seguimiento de revisión de pozos inyectores y productores de la zona Centro Norte con los datos de producción prorrateada de Octubre. Estas llevan gráficos de control, mapas de Pwf, RAP y Utilidad.</t>
  </si>
  <si>
    <t xml:space="preserve">Se actualizo y ajusto el tablero 2.3_Monitoreo_Secundaria_VRO_Sep_2025. </t>
  </si>
  <si>
    <t>2.3_Monitoreo_Secundaria_VRO_Sep_2025.pbix</t>
  </si>
  <si>
    <t xml:space="preserve">Se realizo revisión y actualización del tablero P50. Se actualizaron los perfiles P50 correspondientes al trienio 2025-2027. Se trabajo en los perfiles de producción de petróleo, agua y agua inyectada. </t>
  </si>
  <si>
    <t>P50 CASTILLA_2024_V19.pbix</t>
  </si>
  <si>
    <t>Se apoyo con el diligenciamiento de las actas de las reuniones de la zona centro norte en la herramienta WellMeeting, donde se establecen los diagnósticos y acciones a llevar a cabo en cada uno de los pozos analizados en los espacios.</t>
  </si>
  <si>
    <t>WELLMEETING</t>
  </si>
  <si>
    <t>Se realizó el seguimiento a las optimizaciones, rediseños y WO a ejecutar. La información quedó asegurada en el archivo “Matriz priorizacion incrementos“ y "Priorizacion de acciones GDT_RD-WO-WS"</t>
  </si>
  <si>
    <t>\\10.100.25.60\sya\gec\Castilla\39. Proyecto_Inyeccion_de_Agua\SAHARA) y en las notas de wellmeeting</t>
  </si>
  <si>
    <t xml:space="preserve">\\10.100.25.60\sya\gec\Castilla\39. Proyecto_Inyeccion_de_Agua\SAHARA
</t>
  </si>
  <si>
    <t>DTWF CASTILLA - Tablero Castilla Fan Edition - Todos los documentos 
 \\10.100.25.60\sya\gec\Castilla\39. Proyecto_Inyeccion_de_Agua\SAHARA\BD Sahara</t>
  </si>
  <si>
    <t>\\10.100.25.60\sya\gec\Castilla\39. Proyecto_Inyeccion_de_Agua\SAHARA\BD Sahara</t>
  </si>
  <si>
    <t>https://wellmeeting.ecopetrol.com.co/login</t>
  </si>
  <si>
    <t>https://wellmeeting.ecopetrol.com.co/login
GDT Plus (El V.A.R.) - General - Todos los documentos</t>
  </si>
  <si>
    <t>teams (Sistemática WF y Gestión de la Básica y en la BD SAHARA (\\10.100.25.60\sya\gec\Castilla\39. Proyecto_Inyeccion_de_Agua\SAHARA)</t>
  </si>
  <si>
    <t>TEAMS del equipo I&amp;A Castilla (Sistemática WF): https://ecopetrol.sharepoint.com/sites/DTWFCASTILLA/Documentos%20compartidos/Forms/AllItems.aspx?OR=Teams%2DHL&amp;CT=1722020892543&amp;clickparams=eyJBcHBOYW1lIjoiVGVhbXMtRGVza3RvcCIsIkFwcFZlcnNpb24iOiI0OS8yNDA2MjcyNDgxNCIsIkhhc0ZlZGVyYXRlZFVzZXIiOmZhbHNlfQ%3D%3D&amp;id=%2Fsites%2FDTWFCASTILLA%2FDocumentos%20compartidos%2FGeneral&amp;viewid=9ba680aa%2D7c76%2D4823%2Dbaac%2Dba7ef8ef6f87</t>
  </si>
  <si>
    <t>La información quedó asegurada en el proyecto 131. \\10.100.25.60\sya\gec\05. Proyecto OFM\Archivos Excel\Cargue OFM\2025</t>
  </si>
  <si>
    <t>PD E:\c3040586\Documents\I&amp;A\Petrel\Proyecto_Sept_2025_I&amp;A</t>
  </si>
  <si>
    <t xml:space="preserve"> Teams: YACIMIENTOS GDA/ General/PROYECTOS/MODELO HIDROGEOLOGICO 2025</t>
  </si>
  <si>
    <t>Se ajustó el modelo analítico en el software Sahara, incorporando líneas base para el cálculo de volúmenes incrementales por pozo, así como estados mecánicos actualizados y datos recientes de producción e inyección, con énfasis en los pozos disposal.</t>
  </si>
  <si>
    <t>Castilla (\\10.100.25.60\sya\GEC)\20.Proyecto IOR K2</t>
  </si>
  <si>
    <t>Se actualizó la base de datos Castilla con información proveniente de AVM, para su uso en el monitoreo continuo realizado por el equipo de Corto Plazo.</t>
  </si>
  <si>
    <t>Se actualizó la Base de Datos Castilla con los incrementales de los Proyectos de secundaria  por sub-unidades</t>
  </si>
  <si>
    <t>Se realizó el análisis de declinación con base en el comportamiento del I.I en los inyectores de alto caudal del campo Castilla</t>
  </si>
  <si>
    <t>Se analizó la data histórica de producción, productividad y daño por pozo, identificando oportunidades de intervención y generando una priorización de pozos con base en su impacto potencial.</t>
  </si>
  <si>
    <t>Se generaron perfiles de producción para los pozos K1 y K2 candidatos a trabajos de optimización, workover y rediseño.</t>
  </si>
  <si>
    <t>Se elaboró un informe con pozos candidatos a workover o rediseño por pérdidas de producción, inyectividad y desbalance en las áreas Norte y de evacuación.</t>
  </si>
  <si>
    <t>Se realizó un análisis nodal para estimar restricciones de presión y tasa, identificando potenciales incrementos de inyectividad en pozos slim mediante cambios en completamiento.</t>
  </si>
  <si>
    <t>Revisión sistemática de los inyectores de alto caudal para la definición de candidatos a Workover, bacheos químicos y estimulación matricial.</t>
  </si>
  <si>
    <t>Se generó el informe de los pozos  inyectores con trabajos de workover ejecutados en el último mes.</t>
  </si>
  <si>
    <t>Digital:M:\39. Proyecto_Inyeccion_de_Agua\Geologia_seguimiento a la inyeccion</t>
  </si>
  <si>
    <t>Modelo generado - Informe del Modelo</t>
  </si>
  <si>
    <t>Digital: Modelo Openworks</t>
  </si>
  <si>
    <t>Mapas en formato digital</t>
  </si>
  <si>
    <t>Digital:  Openworks y Petrel</t>
  </si>
  <si>
    <t>Sección Balanceada (Proyecto y Reporte)</t>
  </si>
  <si>
    <t>Planos de fallas - Calculos de SGR (Shale Gouge Ratio) -Diagrama de Allan</t>
  </si>
  <si>
    <t>Digital: M:\39. Proyecto_Inyeccion_de_Agua\06. Geología</t>
  </si>
  <si>
    <t>Modelo - Informe del Modelo</t>
  </si>
  <si>
    <t>Digital:  Modelos Openworks y Petrel</t>
  </si>
  <si>
    <t>Mapas en formato digital - Informe</t>
  </si>
  <si>
    <t>Modelo poblado</t>
  </si>
  <si>
    <t>Análisis geoquímico - Informe</t>
  </si>
  <si>
    <t>Digital: https://ecopetrol.sharepoint.com/sites/CastillaWOs2022</t>
  </si>
  <si>
    <t>Construcción de modelo en Sahara con la información del activo Apiay - Ariari exportado desde Petrel</t>
  </si>
  <si>
    <t>Comparativo Saharas.xlsx</t>
  </si>
  <si>
    <t>Vintage de producción de la unidad T2 en el campo Suria</t>
  </si>
  <si>
    <t>Metodología Perfiles Crudo .xlsx</t>
  </si>
  <si>
    <t>Curva Característica Suria T2</t>
  </si>
  <si>
    <t>9. Septiembre - Curva Características T2 Suria 1.xlsx</t>
  </si>
  <si>
    <t>Perfiles de pozos de gas con nuevo cronograma, perfiles proyecto integrado Pachaquiaro - Polux.</t>
  </si>
  <si>
    <t>https://ecopetrol.sharepoint.com/:u:/r/sites/YACIMIENTOS-APIAY/Documentos%20compartidos/General/DOCUMENTOS%20SOPORTE/PDI/2025/Pruebas%20NO%20TOCAR!!!!%20NO%20ELIMINAR!!!/TABLERO%203%20ESCENARIOS%20CONSOLIDADOS/PDI%202025%203%20ESCENARIOS%20+%20RESERVAS%202025%20+%20AUD%202024%20+%20VT%20ECP%20V2%20+%20ALLOCATION.pbix?csf=1&amp;web=1&amp;e=BDckdf ; https://ecopetrol.sharepoint.com/:x:/r/sites/YACIMIENTOS-APIAY/Documentos%20compartidos/General/PROYECTOS/GAS%20-%20%20Zocay/2025/Perfiles/PDT%2022%20agosto%202025/Perfiles%20gas%20PilExp%2004092025.xlsx?d=wb1cb16f6130548d181b9c3bead053120&amp;csf=1&amp;web=1&amp;e=35bzkM</t>
  </si>
  <si>
    <t>Base de datos</t>
  </si>
  <si>
    <t>Seguimiento a las intervenciones realizadas en el campo Pachaquiaro en proyecto de Sahara del activo, así como a los pozos del campo Suria con estimulaciones y/o fracturamiento.</t>
  </si>
  <si>
    <t>https://ecopetrol.sharepoint.com/:u:/r/sites/YACIMIENTOS-APIAY/Documentos%20compartidos/General/PROYECTOS/PACHAQUIARO/2025/Escenarios%20Abr%202025/Escenario%201/Pachaquiaro_Caso_1_Abr2025_Exportable.arps?csf=1&amp;web=1&amp;e=1Gmqki</t>
  </si>
  <si>
    <t>X:\39. Proyecto_Inyeccion_de_Agua\SAHARA\BD Sahara</t>
  </si>
  <si>
    <t>Castilla Monitoreo.pbix</t>
  </si>
  <si>
    <t>1.  X:\39. Proyecto_Inyeccion_de_Agua\SAHARA\BD Sahara                                                                     2.https://ecopetrol.sharepoint.com/:x:/r/sites/SistemticaNorte/Documentos%20compartidos/General/Productores/seguimiento.xlsx?d=w78b46ae2216347788a53b33421d7206a&amp;csf=1&amp;web=1&amp;e=emMgt4</t>
  </si>
  <si>
    <t>DTWF CASTILLA | General | Microsoft Teams</t>
  </si>
  <si>
    <t>1.  X:\39. Proyecto_Inyeccion_de_Agua\SAHARA\BD Sahara                                                                                 2.https://ecopetrol.sharepoint.com/:x:/r/sites/SistemticaNorte/Documentos%20compartidos/General/Productores/seguimiento.xlsx?d=w78b46ae2216347788a53b33421d7206a&amp;csf=1&amp;web=1&amp;e=emMgt4</t>
  </si>
  <si>
    <t>X:\39. Proyecto_Inyeccion_de_Agua\TABLERO DE CONTROLl\Python</t>
  </si>
  <si>
    <t>\\10.100.25.60\sya\gec\JOSE GABRIEL NASSAR - PORTAFOLIO CASTILLA\0. ENTREGABLES</t>
  </si>
  <si>
    <t>OFM: \\10.100.25.35\ofm\C1118546</t>
  </si>
  <si>
    <t>Sharepoint: 
https://ecopetrol.sharepoint.com/sites/BDSaharaCastilla/Documentos%20compartidos/Forms/AllItems.aspx?id=%2Fsites%2FBDSaharaCastilla%2FDocumentos%20compartidos%2FPresentaciones%20soporte%20sesiones%2F2024&amp;viewid=a035cf74%2D0100%2D4f66%2Da914%2D651dfeb02341&amp;noAuthRedirect=1&amp;OR=Teams%2DHL&amp;CT=1729284822343&amp;clickparams=eyJBcHBOYW1lIjoiVGVhbXMtRGVza3RvcCIsIkFwcFZlcnNpb24iOiI0OS8yNDA5MTIyMTMxOCIsIkhhc0ZlZGVyYXRlZFVzZXIiOmZhbHNlfQ%3D%3D</t>
  </si>
  <si>
    <t>Sharepoint: 
https://ecopetrol.sharepoint.com/sites/CastillaWOs2022/Documentos%20compartidos/Forms/AllItems.aspx?id=%2Fsites%2FCastillaWOs2022%2FDocumentos%20compartidos%2FJustificaciones&amp;viewid=9ecb22f4%2D2d68%2D4a78%2Db78d%2Df5ff342528b5</t>
  </si>
  <si>
    <t>Sharepoint:
https://ecopetrol.sharepoint.com/:x:/r/sites/ZonaEsteCAE/Documentos%20compartidos/CAE/Bit%C3%A1cora%20Zona%20Este.xlsx?d=w7a348467c50040ec94ebcaffa475a9d1&amp;csf=1&amp;web=1&amp;e=I8Rzqg</t>
  </si>
  <si>
    <t>Sharepoint:
https://ecopetrol.sharepoint.com/:x:/r/sites/ZonaEsteCAE/Documentos%20compartidos/CAE/Pozos_Este_LC.xlsx?d=w0c97719ca1034d22ab076f6215c3b74e&amp;csf=1&amp;web=1&amp;e=8jCOe3</t>
  </si>
  <si>
    <t>Se realizó la base de datos de seguimiento a patrones de Centro Norte con datos del tablero de producción prorrateada el cual es alimentado con base en la producción por formas y pruebas de producción de AVM.</t>
  </si>
  <si>
    <t xml:space="preserve">DTWF CASTILLA-Tablero Castilla y   \\10.100.25.60\sya\gec\Castilla\39. Proyecto_Inyeccion_de_Agua\SAHARA
</t>
  </si>
  <si>
    <t>\\10.100.25.60\sya\gec\Castilla\39. Proyecto_Inyeccion_de_Agua\SAHARA</t>
  </si>
  <si>
    <t>https://teams.microsoft.com/l/channel/19%3A0KSR0Sqd9sL27-AWAKb2UFAmZ-fupgWBuEQNEHUYOIY1%40thread.tacv2/Documentos?groupId=ba918c77-3768-4ebd-affe-4ef992094119&amp;tenantId=a4305987-cf78-4f93-9d64-bf18af65397b</t>
  </si>
  <si>
    <t>se realiza relaciones y comparaciones con los datos de producción e inyección de la zona Centro Norte cargada en la base de datos de Sahara. Ver mayor ampliación en GP-F-25</t>
  </si>
  <si>
    <t>GDT Plus (El V.A.R.) - General - Todos los documentos y https://ecopetrol.sharepoint.com/sites/CastillaWOs2022/Documentos%20compartidos/Forms/AllItems.aspx</t>
  </si>
  <si>
    <t>https://wellmeeting.ecopetrol.com.co/home</t>
  </si>
  <si>
    <t>Se realizo el seguimiento de producción/ inyección de pozos a cargo (23 patrones de inyección) con base en los comportamientos de producción e inyección</t>
  </si>
  <si>
    <t>Apoyo y seguimiento a Cambio menor de MHM vigente y actualización MHM 2025.</t>
  </si>
  <si>
    <t>Soporte construcción de tableros WF. Factor de conectividad, factor geológico</t>
  </si>
  <si>
    <t xml:space="preserve"> Teams: I&amp;A GDA/ General/Geología, mapas e imágenes/ Tableros WF</t>
  </si>
  <si>
    <t>- Actualización de archivo Type of Work Plan 2 y Plan 3 para compartir con certificador.</t>
  </si>
  <si>
    <t>Se realizó cargue de pruebas de produccion, tasas de inyección, pruebas de ILT en la BD de Sahara CAN01, CAN71 adicionalmente se realiza el seguimiento a las  optimizaciones, y Wo en ejecucion CAN262, conversion CA23.</t>
  </si>
  <si>
    <t>Para esta actividad se genera distribución vertical por unidad para los inyectores asociados a la Zona Centro Norte. La distribución se encuentra actualizada a la fecha con los últimos valores de ILT para cada inyector. La evidencia se encuentra en la Base de Datos SAHARA.</t>
  </si>
  <si>
    <t xml:space="preserve">De acuerdo con el seguimiento a la producción e inyección, se realizó el seguimiento a los patrones CAN05, CAN01, CAN454, CAN71,y CAN462. </t>
  </si>
  <si>
    <t xml:space="preserve">Para este ítem para el mes de enero se realizó los perfiles generados para los pozos candidatos a (RDG) rediseño y Workover (WO) )CAN73 y CA374 los cuales quedan registrados en la ruta del equipo de taller de producción GDT </t>
  </si>
  <si>
    <t xml:space="preserve">Con el equipo multidiciplinario se realiza un análisis de los pozos encontrando bajas eficiencias y declinaciones presentadas de los pozos de la zona Centro Norte concluyendo las oportunidades de intervención en la medida que se puedan realizar las oportunidades en los pozos candidatos, lo cual queda consignado en el WM. Se realizo analisis de de pozos inyectores con respecto a la petrofisica y se monitoreo acciones tomadas en los 23 patrones de la zona </t>
  </si>
  <si>
    <t>Para este ítem se realizó carga de datos de ILT en la BD de Sahara. Se realizó la actualización de volumetrías del pozo CAN01 y CAN71.</t>
  </si>
  <si>
    <t>Se aseguraron los diagnósticos y acciones en wellmeeting por motivos de las revisiones con el equipo multidisciplinario y revisión interna. Ver mayor ampliación en GP-F-25</t>
  </si>
  <si>
    <t>En cuanto a la herramienta OFM se realizó el cargue de la producción, inyección y pruebas del mes de Diciembre/2025. La información quedó asegurada en el proyecto 05. Proyecto OFM\Archivos Excel\Cargue OFM\2025</t>
  </si>
  <si>
    <t>Repositorio digital: N:\39. Proyecto_Inyeccion_de_Agua\SAHARA\BD Sahara</t>
  </si>
  <si>
    <t>W:\39. Proyecto_Inyeccion_de_Agua\Planillas Power BI\6. Molinos de Viento\3.Actualizaciones\Cargue por campo\2025\9.Diciembre</t>
  </si>
  <si>
    <t>W:\39. Proyecto_Inyeccion_de_Agua\Planillas Power BI\6. Molinos de Viento\3. Actualizaciones\Cargue Proyectos\Real\2025\Diciembre\TXT</t>
  </si>
  <si>
    <t>Capacidad_de_flujo_Castilla_WF_Dic2025.pbix</t>
  </si>
  <si>
    <t>Seguimiento P&amp;I Dic 2025 Zona Centro Norte (Diciembre).pptx</t>
  </si>
  <si>
    <t>\\10.100.25.60\sya\GEC\Ariari\67. ENTREGAS DE CARGO\ING. DE PORTAFOLIO\CMPC\Christian Pardo\ENTREGABLES 2026\01. ENERO</t>
  </si>
  <si>
    <t>Modelo petrofisica Suria IFT</t>
  </si>
  <si>
    <t>Modelo petrofisico Suria K1-Poro_Perm</t>
  </si>
  <si>
    <t>Analisis / interpretacion registros pozo LBN5</t>
  </si>
  <si>
    <t xml:space="preserve">Analisis de K_H de pozos de correlacion para pozo Villavicencio </t>
  </si>
  <si>
    <t xml:space="preserve">Evaluacion informacion formacion T1 campo Apiay </t>
  </si>
  <si>
    <t>Modelo TR K1_Suria</t>
  </si>
  <si>
    <t xml:space="preserve">Calculo probabilístico de Volúmenes In situ. </t>
  </si>
  <si>
    <t>Soporte PLTs e ILTs y sistemáticas multidisciplinarias.</t>
  </si>
  <si>
    <t>Revisión caudales objetivos, pozos circular 1.</t>
  </si>
  <si>
    <t>Apoyo a justificación de Workovers, KOM, formas ministeriales, soporte en puesta en profundidad de cañoneos, shift de registros, diseño de cañoneos y estimulaciones.</t>
  </si>
  <si>
    <t xml:space="preserve">Mapas de PWF, H2S. </t>
  </si>
  <si>
    <t xml:space="preserve"> - Recepción, corridas de recalculate groups, batch manager y export de información de Plan 2 enviadas por certificador.
- Carga en tableros de información Plan 2 enviada por certificador y revisión y comparación de volúmenes. Respuestas a certificador con actividades y pronósticos faltantes.</t>
  </si>
  <si>
    <t>- Corrida de fechas de pronósticos acordados con certificador, de acuerdo con cartilla aprobada por el corporativo.
- Generación de escenario con cierres a WOR 230 a partir de pronósticos acordados con el certificador.
- Generación de script de carga de pronósticos y carga en plan Sandbox.</t>
  </si>
  <si>
    <t>- Verificación de información de pronósticos y conteo cargado en herramienta de financiera Planning Space.</t>
  </si>
  <si>
    <t>- Realización de conteo de pozos productores, inyectores, CLIA y disposal.
- Generación de script de carga de conteo y carga en Plan Sandbox.</t>
  </si>
  <si>
    <t>- Realización de balance de agua con corrientes Winj, Wvertimiento, Wirrigation, Wdisposal para enviar a certificador con el objetivo de cerrar Plan 3 de certificación.
- Análisis y anticipación de riesgos en proceso de certificación de reservas.</t>
  </si>
  <si>
    <t>Christian Mauricio Pardo Carranza</t>
  </si>
  <si>
    <t>Nubia Solanlly Reyes Ávila</t>
  </si>
  <si>
    <t>Maria Alejandra Mojica Arciniegas</t>
  </si>
  <si>
    <t>Jaime José Martínez Vertel</t>
  </si>
  <si>
    <t>Diana Marcela Caceres Salinas</t>
  </si>
  <si>
    <t>Paola Andrea Gomez Cabrera</t>
  </si>
  <si>
    <t>Jose Gabriel Nassar Diaz</t>
  </si>
  <si>
    <t>Carlos Rafael Olmos Carval</t>
  </si>
  <si>
    <t>Cesar Eliecer Rodriguez Camelo</t>
  </si>
  <si>
    <t>Ana María Castellanos Barreto</t>
  </si>
  <si>
    <t>Gloria Fernanda Vidal González</t>
  </si>
  <si>
    <t>Diego Fernando Pinto Hernández</t>
  </si>
  <si>
    <t>Luis Carlos Monsalve Parra</t>
  </si>
  <si>
    <t>Jesús Iván Pacheco Romero</t>
  </si>
  <si>
    <t>Rafael Alberto Guatame Aponte</t>
  </si>
  <si>
    <r>
      <t xml:space="preserve">3.6 3.13 3.14 3.16 3.17 3.18 5.2 5.3 5.5 5.6 5.9 Junior (DP):
</t>
    </r>
    <r>
      <rPr>
        <sz val="9"/>
        <color theme="1"/>
        <rFont val="Verdana"/>
        <family val="2"/>
      </rPr>
      <t>* Se evaluó el desempeño del yacimiento en las unidades K1 y K2 del sector Centro Sur, analizando la respuesta a los cambios operativos aplicados en los sistemas de inyección y producción.
* El análisis de presiones y del balance inyección–producción permitió identificar variaciones en la eficiencia de soporte y conectividad entre pozos, así como sectores con desbalances operativos.
* Con base en estos resultados, se ajustaron los lineamientos de manejo de la inyección, orientados a mejorar el control de tasas y la eficiencia del barrido, con el objetivo de optimizar el desempeño del yacimiento.</t>
    </r>
  </si>
  <si>
    <t xml:space="preserve">Revisión y estandarización de volumetrías por patron para el sector Sur del campo Castilla, calculo volumétrico </t>
  </si>
  <si>
    <t>Z:\39. Proyecto_Inyeccion_de_Agua\Geologia_seguimiento a la inyeccion\Volumetrias Area Sur\Volumetrias Area Sur</t>
  </si>
  <si>
    <t>Actualización de archivo con cálculo de áreas geoshapers de los polígonos utilizados para el cálculo volumétrico del campo, el cual aún se encuentra en progreso.</t>
  </si>
  <si>
    <t>Z:\39. Proyecto_Inyeccion_de_Agua\Geologia_seguimiento a la inyeccion\Volumetrias Area Sur\Areas Geoshapers e inventario tabla geologica</t>
  </si>
  <si>
    <t>Definición de propiedades petrofísicas para los pozos CAN45, CA264, CAN306, CA226</t>
  </si>
  <si>
    <t>Z:\39. Proyecto_Inyeccion_de_Agua\Geologia_seguimiento a la inyeccion\Volumetrias Area Sur\Datos petrofisica</t>
  </si>
  <si>
    <t xml:space="preserve">Actualización de tablero en Power BI con inventario de data petrofísica, factor de conectividad, ILT, grafico de Lorenz y Spider. </t>
  </si>
  <si>
    <t>Z:\39. Proyecto_Inyeccion_de_Agua\Geologia_seguimiento a la inyeccion\Areas Geoshapers e inventario tabla geologica\Inventario_Tabla_Geologica</t>
  </si>
  <si>
    <t>Se continua con soporte geológico (correlaciones estratigráficas y continuidad de arenas) para la revisión de pozos candidatos a rediseño en el sector sur y areas requeridas del campo Castilla</t>
  </si>
  <si>
    <t>Export información de topes, registros eléctricos de pozos que requieran los ingenieros de Desarrollo para cargar en Sahara</t>
  </si>
  <si>
    <t>Z:\39. Proyecto_Inyeccion_de_Agua\Geologia_seguimiento a la inyeccion\Info Topes Para Ingeniería</t>
  </si>
  <si>
    <t>Digital, sharepoint</t>
  </si>
  <si>
    <t>Z:\39. Proyecto_Inyeccion_de_Agua\Geologia_seguimiento a la inyeccion\Analisis_patrones_2021</t>
  </si>
  <si>
    <t>Revisión patrones de inyección desbalanceados.</t>
  </si>
  <si>
    <t>Teams: I&amp;A GDA/ General/Geología, mapas e imágenes/ Análisis Suria Sur</t>
  </si>
  <si>
    <t>Construcción IRR 2025</t>
  </si>
  <si>
    <t xml:space="preserve"> Teams: YACIMIENTOS GDA/ General/DOCUMENTOS SOPORTE/ ANH/INFORME IRR/2026</t>
  </si>
  <si>
    <t xml:space="preserve"> - Soporte en generación de informes a entes oficiales: ITA e IRR.</t>
  </si>
  <si>
    <t>- Explicación de variaciones en las reservas 2024 vs 2025.</t>
  </si>
  <si>
    <t>- Socialización de escenearios PDI aprobados y certificación con equipo Largo Plazo y Corto Plazo.
- Análisis y anticipación de riesgos en proceso de certificación de reservas.</t>
  </si>
  <si>
    <t>Se realizó cargue de pruebas de produccion, tasas de inyección, pruebas de ILT en la BD de Sahara CAN61, CAN05 adicionalmente se realiza el seguimiento a las optimizaciones CAN256, CAN412, CAN26, CAN72, CAN373, 1 WO CAN262 y una intervención a inyector CAN74.</t>
  </si>
  <si>
    <t xml:space="preserve">De acuerdo con el seguimiento a la producción e inyección, se realizó el seguimiento a los patrones CAN22, CAN71, CAN74, CAN60 y CAN700. </t>
  </si>
  <si>
    <t xml:space="preserve">se realiza relaciones y comparaciones con los datos de producción e inyección de la zona Centro Norte cargada en la base de datos de Sahara. Ver mayor ampliación en GP-F-25, asi como justificacion de la brecha de P50 </t>
  </si>
  <si>
    <t xml:space="preserve">Para este ítem para el mes de febrero se realizó los perfiles generados para los pozos candidatos a (RDG) rediseño y Workover (WO) CAN133 y CAN404 los cuales quedan registrados en la ruta del equipo de taller de producción GDT </t>
  </si>
  <si>
    <t>Se realizo el seguimiento de producción/ inyección de pozos a cargo (23 patrones de inyección) con base en los comportamientos de producción e inyección, se cargan en la BD de Sahara para realizar el cargue de las líneas base de producción CAN21 y CAN373</t>
  </si>
  <si>
    <t>Para este ítem se realizó carga de datos de ILT en la BD de Sahara. Se realizó la actualización de volumetrías del pozo CAN125.</t>
  </si>
  <si>
    <t>Se construyo documento con los perfiles real, fcst y FID para los 3 fluidos del proyecto WF N/S.</t>
  </si>
  <si>
    <t>PERFILES WF NS.xlsx</t>
  </si>
  <si>
    <t>W:\39. Proyecto_Inyeccion_de_Agua\Planillas Power BI\6. Molinos de Viento\3. Actualizaciones\Cargue Proyectos\Real\2026\Enero\TXT</t>
  </si>
  <si>
    <t>Se construyeron las diapositivas de seguimiento de revisión de pozos inyectores y productores de la zona Centro Norte con los datos de producción prorrateada de Enero. Estas llevan gráficos de control, mapas de Pwf, RAP y Utilidad.</t>
  </si>
  <si>
    <t>Seguimiento P&amp;I Ene 2025 Zona Centro Norte (Enero).pptx</t>
  </si>
  <si>
    <t xml:space="preserve">Se actualizo y ajusto el tablero 2.3_Monitoreo_Secundaria_VRO_Ene_2026. </t>
  </si>
  <si>
    <t>2.3_Monitoreo_Secundaria_VRO_Ene_2026.pbix</t>
  </si>
  <si>
    <t xml:space="preserve">
Se generó el informe con el listado de  los pozos productores K1/ K2 candidatos a optimización en conjunto con el equipo interdisciplinar actuando como apoyo del area norte .
</t>
  </si>
  <si>
    <t xml:space="preserve">3.6 3.13 3.14 3.16 3.17 3.18 5.2 5.3 5.5 5.6 5.9 Junior (DP):
</t>
  </si>
  <si>
    <t xml:space="preserve">Modelo petrofisico Suria </t>
  </si>
  <si>
    <t>Pozos WO-Etapa 2</t>
  </si>
  <si>
    <t>Modelo petrofisico T1</t>
  </si>
  <si>
    <t xml:space="preserve">Modelo petrofisico Suria - T1 </t>
  </si>
  <si>
    <t>Modelo petrofisica T1</t>
  </si>
  <si>
    <t xml:space="preserve">Soporte equipo corto plazo </t>
  </si>
  <si>
    <t xml:space="preserve">Informe ITA  campos del activo Apiay -Ariari </t>
  </si>
  <si>
    <t xml:space="preserve">Informe IRR campos del activo Apiay -Ariari </t>
  </si>
  <si>
    <t>Análisis de reservas, producción real reportada vs pronósticos certificados en la Auditoría 2025 para el activo Apiay-Ariari</t>
  </si>
  <si>
    <t>Información confidencial, cargada en los sitios oficiales destinados para tal fin.</t>
  </si>
  <si>
    <t>\\10.100.25.60\sya\GEC\Ariari\67. ENTREGAS DE CARGO\I&amp;A GDA\2026\3. CMPC\02. FEBRERO</t>
  </si>
  <si>
    <t>En la herramienta Sahara oficial con corte a Ene/2025, se corrigió y actualizó estado de capa y factores de alocacion pozos CA21, CA222st, CA257. Cargue de data de producción y Presiones dinamicas actualizadas a Feb/26 de zona centro sur. Corrección de topes y registro para CA338</t>
  </si>
  <si>
    <t>Por solicitud de la líder, se diligenciaron los siguientes archivos con la información actualizada del estado de los pozos productores e inyectores del área que tengo en monitoreo:  Candidatos rediseños, Rediseños Ejecutados en 2026 por zona. actualización de EM, propiedades petrofísicas y factores de alocación para los diferentes pozos en la BD de SAHARA</t>
  </si>
  <si>
    <t>De acuerdo con el seguimiento a la producción e inyección, se realizó el seguimiento a las optimizaciones realizadas en el mes de diciembre de 2025 y enero, febrero de 2026 de acuerdo con el BSW, pruebas de producción y toma de niveles.</t>
  </si>
  <si>
    <t>Se llevaron a mesa los pozos CA360H con la finalidad de aprobar oportunidades de WOP. Visualizados pozos con oportunidad de RDG: CA184, CA340, CA119 y CA152H. Ver mayor ampliación en GP-F-25</t>
  </si>
  <si>
    <t>De acuerdo con los rediseños propuestos en el plan de cierre de brechas, se obtuvo una lista de 5 pozos que se requieren optimizar, se irán priorizando de acuerdo con el presupuesto aprobado: CA255, CA309, CA372:K2, CA62, CA187. Se define el apagado de CA593.</t>
  </si>
  <si>
    <t>Se realizo el seguimiento de producción/ inyección de pozos a cargo (18 patrones de inyección) con base en los comportamientos de producción e inyección entre ellos el ingreso de nuevo inyector CA21. Seguimiento escenarios de CA16 nuevo pozo de conversion.</t>
  </si>
  <si>
    <t>-</t>
  </si>
  <si>
    <t>Se generó modelo analítico del yacimiento en Sahara para seguimiento de producción y variables operacionales:
Se cargó producciones y diferidas.
Se cargó análisis fisicoquímicos.
Actualización de estado de pozos.
Actualización estados mecánicos.
Generación de líneas base.
Se cargó PLT y ILT.
Se cargó PWF y parámetros.
Se cargó pruebas de producción.</t>
  </si>
  <si>
    <t>Se generó base de datos de OFM para análisis histórico de producción para:
Cálculo de EUR por pozo.
Cargue de producciones Sahara y PBI.</t>
  </si>
  <si>
    <t>Se generó distribución de producción por sub-unidades para:
Cargue de producciones Sahara y PBI.</t>
  </si>
  <si>
    <t>Se analizó declinación de pozos para:
Cálculo de líneas base pozos M-11.
Archivo de Excel con proyecciones de Gas.
Archivo de Excel con volúmenes del proyecto ET-1 y ET-4.1 para evaluación financiera.</t>
  </si>
  <si>
    <t>Se analizó data histórica de producción para:
Cargue de producciones Sahara y PBI.
Cálculo de EUR por pozo.
Archivo de Excel con proyecciones de Gas.
Archivo de Excel con volúmenes del proyecto ET-1 y ET-4.1 para evaluación financiera.</t>
  </si>
  <si>
    <t>Se calcularon los perfiles para cada uno de los escenarios bajo, base y alto para:
Archivo de Excel con proyecciones de Gas.
Archivo de Excel con volúmenes del proyecto ET-1 y ET-4.1 para evaluación financiera.</t>
  </si>
  <si>
    <t>Se generaron oportunidades de intervención a pozos para:
Maduración del proyecto ET-2.
Reactivaciones por WSV.</t>
  </si>
  <si>
    <t>Se realizó actualización de informe ITA para el proyecto Modulo 12.
Se cargó factor geológico y conectividades tablero 2.6.
Se generó proyección de vertimiento para los campos Apiay y Suria con base en perfiles PDI 1.
Se revisaron caudales de pozos del proyecto ET-4.2 de básica e incremental de P-50.
Se realizó justificación de reservas 1P.
Se realizó justificación de recursos contingentes.
Se realizó reporte semanal.
Se realizó informe de seguimiento a ruta WO y WSV.
Se consolidó información para proyecto Maxpro.
Se realizó entrega de cargo ingeniero de portafolio.
Se realizó actualización en informe de recursos contingentes pozos excluidos de reservas M-12.
Se realizó archivo con perfiles de básica para ICO protección de la básica con base en PDI 1.
Se cargó P-50 y Real en PBI para comparación mes a mes de P-50 y AUD 2025 con respecto al real.</t>
  </si>
  <si>
    <t>Se generó modelo analítico del yacimiento para para revisión de auditoría 2025 de reservas y recursos contingentes.</t>
  </si>
  <si>
    <t>Se generó base de datos de OFM para análisis histórico de producción para revisión de auditoría 2025 de reservas y recursos contingentes.</t>
  </si>
  <si>
    <t>Se generó distribución de producción por sub-unidades para revisión de auditoría 2025 de reservas y recursos contingentes.</t>
  </si>
  <si>
    <t>Se analizó declinación de pozos para revisión de auditoría 2025 de reservas y recursos contingentes.</t>
  </si>
  <si>
    <t>Se analizó data histórica de producción para revisión de auditoría 2025 de reservas y recursos contingentes.</t>
  </si>
  <si>
    <t>Se calcularon los perfiles para cada uno de los escenarios bajo, base y alto para revisión de auditoría 2025 de reservas y recursos contingentes.</t>
  </si>
  <si>
    <t>Se generaron oportunidades de intervención a pozos para proyecto ET-2.</t>
  </si>
  <si>
    <t>Se realizó archivo con perfiles visión certificador de campo pachaquiaro para análisis de robustez.
Se realizó balance de incorporación de reservas para el bloque Apiay-ariari.
Se revisó P-50 por pozo para meta de producción.
Se realizó balance de agua para P-50 JD.
Se cargó en PBI volúmenes certificados.
Se cargo factor geológico en tablero 2.6.
Se inició con RWA para seguimiento a secundaria.
Se realizó reporte de producción e inyección semanal.
Se inició con entrega de cargo ingeniero de portafolio y reservas.
Se inició con entrega de cargo ingeniero de implementación y aseguramiento I&amp;A.
Se inició con informe técnico anual ITA 2025.
Se inició con justificación de reservas 1P.</t>
  </si>
  <si>
    <t>José Luis Ruíz Estupiñan</t>
  </si>
  <si>
    <t>Rafael Alberto Guatame Aponte / Aura Maria Traslaviña Prada</t>
  </si>
  <si>
    <t xml:space="preserve"> Soporte geológico al área Sur</t>
  </si>
  <si>
    <t>Se finalizo con el cálculo de factor de conectividad para las unidades K1Inf y K2, spider, Lorenz y data ILT,  se socializo con el equipo, de igual forma se continua con el calculo de FC para los pozos que se requieran adicionales y pozos de segunda linea.</t>
  </si>
  <si>
    <r>
      <t xml:space="preserve">1.16 1.2 1.3 1.5 1.8 1.9 1.10 1.12 1.15 1.24 1.25 8.1 Junio (AT)
</t>
    </r>
    <r>
      <rPr>
        <sz val="9"/>
        <color theme="1"/>
        <rFont val="Verdana"/>
        <family val="2"/>
      </rPr>
      <t>* Participación en las reuniones sistemáticas para coordinar actividades y avances.
* Soporte geológico en las reuniones semanales de seguimiento
* Soporte Geológico al área Sur y las áreas requeridas. Areas pozos CLIA
* Generación de información técnica solicitada
* Generación de mapas de porosidad, permeabilidad, saturación de agua, HCPV, Volumen Poroso de todo el campo, para carga en Sahara, avance 50%
* Elaboración de justificación de workover pozo CA565
* Definición de propiedades petrofísicas para el pozo CA565
* Export polígonos del proyecto petrel asociados a volumétricos del área Sur, avance 30%                                                                                                                                                                                                                              Reintegro a labores el día 19 de febrero tras la culminación de la licencia de maternidad, retomando las funciones con compromiso y disposición para dar seguimiento oportuno a las responsabilidades del cargo.</t>
    </r>
    <r>
      <rPr>
        <b/>
        <sz val="9"/>
        <color theme="1"/>
        <rFont val="Verdana"/>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</si>
</sst>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3" x14ac:knownFonts="1">
    <font>
      <sz val="11"/>
      <color theme="1"/>
      <name val="Calibri"/>
      <family val="2"/>
      <scheme val="minor"/>
    </font>
    <font>
      <sz val="11"/>
      <color theme="1"/>
      <name val="Calibri"/>
      <family val="2"/>
      <scheme val="minor"/>
    </font>
    <font>
      <sz val="9"/>
      <color theme="1"/>
      <name val="Verdana"/>
      <family val="2"/>
    </font>
    <font>
      <sz val="9"/>
      <color theme="1"/>
      <name val="Calibri"/>
      <family val="2"/>
      <scheme val="minor"/>
    </font>
    <font>
      <b/>
      <sz val="9"/>
      <color theme="1"/>
      <name val="Verdana"/>
      <family val="2"/>
    </font>
    <font>
      <b/>
      <i/>
      <sz val="9"/>
      <color theme="1"/>
      <name val="Verdana"/>
      <family val="2"/>
    </font>
    <font>
      <sz val="20"/>
      <color theme="1"/>
      <name val="Verdana"/>
      <family val="2"/>
    </font>
    <font>
      <sz val="9"/>
      <color theme="0" tint="-0.499984740745262"/>
      <name val="Verdana"/>
      <family val="2"/>
    </font>
    <font>
      <sz val="9"/>
      <color indexed="81"/>
      <name val="Tahoma"/>
      <family val="2"/>
    </font>
    <font>
      <sz val="9"/>
      <color rgb="FF000000"/>
      <name val="Tahoma"/>
      <family val="2"/>
    </font>
    <font>
      <sz val="9"/>
      <color rgb="FF000000"/>
      <name val="Verdana"/>
      <family val="2"/>
    </font>
    <font>
      <u/>
      <sz val="11"/>
      <color theme="10"/>
      <name val="Calibri"/>
      <family val="2"/>
      <scheme val="minor"/>
    </font>
    <font>
      <sz val="9"/>
      <name val="Verdana"/>
      <family val="2"/>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s>
  <borders count="3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bottom style="hair">
        <color indexed="64"/>
      </bottom>
      <diagonal/>
    </border>
    <border>
      <left style="thin">
        <color indexed="64"/>
      </left>
      <right style="hair">
        <color indexed="64"/>
      </right>
      <top/>
      <bottom style="hair">
        <color indexed="64"/>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hair">
        <color indexed="64"/>
      </left>
      <right/>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style="thin">
        <color indexed="64"/>
      </right>
      <top/>
      <bottom style="hair">
        <color indexed="64"/>
      </bottom>
      <diagonal/>
    </border>
    <border>
      <left style="thin">
        <color indexed="64"/>
      </left>
      <right/>
      <top style="hair">
        <color indexed="64"/>
      </top>
      <bottom style="hair">
        <color indexed="64"/>
      </bottom>
      <diagonal/>
    </border>
  </borders>
  <cellStyleXfs count="3">
    <xf numFmtId="0" fontId="0" fillId="0" borderId="0"/>
    <xf numFmtId="9" fontId="1" fillId="0" borderId="0" applyFont="0" applyFill="0" applyBorder="0" applyAlignment="0" applyProtection="0"/>
    <xf numFmtId="0" fontId="11" fillId="0" borderId="0" applyNumberFormat="0" applyFill="0" applyBorder="0" applyAlignment="0" applyProtection="0"/>
  </cellStyleXfs>
  <cellXfs count="199">
    <xf numFmtId="0" fontId="0" fillId="0" borderId="0" xfId="0"/>
    <xf numFmtId="164" fontId="4" fillId="0" borderId="8" xfId="1" applyNumberFormat="1" applyFont="1" applyBorder="1" applyAlignment="1" applyProtection="1">
      <alignment horizontal="center" vertical="center"/>
    </xf>
    <xf numFmtId="9" fontId="2" fillId="0" borderId="15" xfId="1" applyFont="1" applyBorder="1" applyAlignment="1" applyProtection="1">
      <alignment horizontal="center" vertical="center"/>
    </xf>
    <xf numFmtId="9" fontId="2" fillId="0" borderId="17" xfId="1" applyFont="1" applyBorder="1" applyAlignment="1" applyProtection="1">
      <alignment horizontal="center" vertical="center"/>
    </xf>
    <xf numFmtId="9" fontId="2" fillId="0" borderId="16" xfId="1" applyFont="1" applyBorder="1" applyAlignment="1" applyProtection="1">
      <alignment horizontal="center" vertical="center"/>
    </xf>
    <xf numFmtId="9" fontId="2" fillId="0" borderId="15" xfId="1" applyFont="1" applyBorder="1" applyAlignment="1" applyProtection="1">
      <alignment horizontal="center" vertical="center" wrapText="1"/>
    </xf>
    <xf numFmtId="9" fontId="2" fillId="0" borderId="17" xfId="1" applyFont="1" applyBorder="1" applyAlignment="1" applyProtection="1">
      <alignment horizontal="center" vertical="center" wrapText="1"/>
    </xf>
    <xf numFmtId="9" fontId="2" fillId="0" borderId="16" xfId="1" applyFont="1" applyBorder="1" applyAlignment="1" applyProtection="1">
      <alignment horizontal="center" vertical="center" wrapText="1"/>
    </xf>
    <xf numFmtId="164" fontId="4" fillId="0" borderId="0" xfId="1" applyNumberFormat="1" applyFont="1" applyBorder="1" applyAlignment="1" applyProtection="1">
      <alignment horizontal="center" vertical="center"/>
    </xf>
    <xf numFmtId="9" fontId="2" fillId="3" borderId="15" xfId="1" applyFont="1" applyFill="1" applyBorder="1" applyAlignment="1" applyProtection="1">
      <alignment horizontal="center" vertical="center" wrapText="1"/>
    </xf>
    <xf numFmtId="9" fontId="2" fillId="3" borderId="16" xfId="1" applyFont="1" applyFill="1" applyBorder="1" applyAlignment="1" applyProtection="1">
      <alignment horizontal="center" vertical="center" wrapText="1"/>
    </xf>
    <xf numFmtId="0" fontId="2" fillId="0" borderId="0" xfId="0" applyFont="1" applyAlignment="1">
      <alignment horizontal="center" vertical="center"/>
    </xf>
    <xf numFmtId="0" fontId="2" fillId="0" borderId="0" xfId="0" applyFont="1"/>
    <xf numFmtId="0" fontId="2" fillId="0" borderId="0" xfId="0" applyFont="1" applyAlignment="1">
      <alignment horizontal="left"/>
    </xf>
    <xf numFmtId="0" fontId="3" fillId="0" borderId="0" xfId="0" applyFont="1"/>
    <xf numFmtId="0" fontId="4" fillId="0" borderId="3"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xf numFmtId="0" fontId="4" fillId="2" borderId="8" xfId="0" applyFont="1" applyFill="1" applyBorder="1" applyAlignment="1">
      <alignment horizontal="center" vertical="center"/>
    </xf>
    <xf numFmtId="0" fontId="4" fillId="0" borderId="0" xfId="0" applyFont="1" applyAlignment="1">
      <alignment horizontal="left" vertical="center"/>
    </xf>
    <xf numFmtId="0" fontId="4" fillId="0" borderId="0" xfId="0" applyFont="1" applyAlignment="1">
      <alignment vertical="center"/>
    </xf>
    <xf numFmtId="0" fontId="2" fillId="0" borderId="0" xfId="0" applyFont="1" applyAlignment="1">
      <alignment vertical="center"/>
    </xf>
    <xf numFmtId="0" fontId="2" fillId="0" borderId="9" xfId="0" applyFont="1" applyBorder="1" applyAlignment="1">
      <alignment vertical="center"/>
    </xf>
    <xf numFmtId="0" fontId="3" fillId="0" borderId="0" xfId="0" applyFont="1" applyAlignment="1">
      <alignment vertical="center"/>
    </xf>
    <xf numFmtId="0" fontId="2" fillId="0" borderId="10" xfId="0" applyFont="1" applyBorder="1" applyAlignment="1">
      <alignment horizontal="center" vertical="center"/>
    </xf>
    <xf numFmtId="0" fontId="2" fillId="0" borderId="0" xfId="0" applyFont="1" applyAlignment="1">
      <alignment horizontal="left" vertical="center"/>
    </xf>
    <xf numFmtId="49" fontId="4" fillId="2" borderId="8" xfId="0" applyNumberFormat="1" applyFont="1" applyFill="1" applyBorder="1" applyAlignment="1">
      <alignment horizontal="center" vertical="center"/>
    </xf>
    <xf numFmtId="49" fontId="4" fillId="0" borderId="0" xfId="0" applyNumberFormat="1" applyFont="1" applyAlignment="1">
      <alignment horizontal="left" vertical="center"/>
    </xf>
    <xf numFmtId="49" fontId="4" fillId="0" borderId="0" xfId="0" applyNumberFormat="1" applyFont="1" applyAlignment="1">
      <alignment vertical="center"/>
    </xf>
    <xf numFmtId="0" fontId="2" fillId="0" borderId="10" xfId="0" applyFont="1" applyBorder="1" applyAlignment="1">
      <alignment horizontal="center" vertical="center" wrapText="1"/>
    </xf>
    <xf numFmtId="0" fontId="2" fillId="0" borderId="0" xfId="0" applyFont="1" applyAlignment="1">
      <alignment horizontal="center" vertical="center" wrapText="1"/>
    </xf>
    <xf numFmtId="49" fontId="4" fillId="0" borderId="0" xfId="0" applyNumberFormat="1" applyFont="1" applyAlignment="1">
      <alignment horizontal="center" vertical="center"/>
    </xf>
    <xf numFmtId="14" fontId="4" fillId="2" borderId="8" xfId="0" applyNumberFormat="1" applyFont="1" applyFill="1" applyBorder="1" applyAlignment="1">
      <alignment horizontal="center" vertical="center"/>
    </xf>
    <xf numFmtId="14" fontId="4" fillId="0" borderId="0" xfId="0" applyNumberFormat="1" applyFont="1" applyAlignment="1">
      <alignment horizontal="left" vertical="center"/>
    </xf>
    <xf numFmtId="14" fontId="4" fillId="0" borderId="0" xfId="0" applyNumberFormat="1" applyFont="1" applyAlignment="1">
      <alignment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xf numFmtId="0" fontId="3" fillId="0" borderId="0" xfId="0" applyFont="1" applyAlignment="1">
      <alignment horizontal="center" vertical="center" wrapText="1"/>
    </xf>
    <xf numFmtId="0" fontId="0" fillId="0" borderId="0" xfId="0"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8" xfId="0" applyFont="1" applyFill="1" applyBorder="1" applyAlignment="1">
      <alignment horizontal="center" vertical="center" wrapText="1"/>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6" xfId="0" applyFont="1" applyBorder="1" applyAlignment="1">
      <alignment horizontal="left" vertical="center"/>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0" borderId="21" xfId="0" applyFont="1" applyBorder="1" applyAlignment="1">
      <alignment horizontal="center" vertical="center"/>
    </xf>
    <xf numFmtId="0" fontId="2" fillId="0" borderId="18" xfId="0" applyFont="1" applyBorder="1" applyAlignment="1">
      <alignment horizontal="center" vertical="center"/>
    </xf>
    <xf numFmtId="0" fontId="2" fillId="0" borderId="27" xfId="0" applyFont="1" applyBorder="1" applyAlignment="1">
      <alignment horizontal="left" vertical="center"/>
    </xf>
    <xf numFmtId="0" fontId="2" fillId="3" borderId="32"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0" fillId="0" borderId="0" xfId="0" applyAlignment="1">
      <alignment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 fillId="0" borderId="28" xfId="0" applyFont="1" applyBorder="1" applyAlignment="1">
      <alignment horizontal="left" vertical="center"/>
    </xf>
    <xf numFmtId="0" fontId="2" fillId="3" borderId="16" xfId="0" applyFont="1" applyFill="1" applyBorder="1" applyAlignment="1">
      <alignment horizontal="center" vertical="center" wrapText="1"/>
    </xf>
    <xf numFmtId="0" fontId="12" fillId="3" borderId="1" xfId="0" applyFont="1" applyFill="1" applyBorder="1" applyAlignment="1">
      <alignment horizontal="center" vertical="center"/>
    </xf>
    <xf numFmtId="0" fontId="12" fillId="3" borderId="32" xfId="0" applyFont="1" applyFill="1" applyBorder="1" applyAlignment="1">
      <alignment horizontal="center" vertical="center"/>
    </xf>
    <xf numFmtId="0" fontId="2" fillId="3" borderId="15" xfId="0" applyFont="1" applyFill="1" applyBorder="1" applyAlignment="1">
      <alignment horizontal="center" vertical="center"/>
    </xf>
    <xf numFmtId="0" fontId="12" fillId="3" borderId="15" xfId="0" applyFont="1" applyFill="1" applyBorder="1" applyAlignment="1">
      <alignment horizontal="center" vertical="center"/>
    </xf>
    <xf numFmtId="0" fontId="2" fillId="3" borderId="17" xfId="0" applyFont="1" applyFill="1" applyBorder="1" applyAlignment="1">
      <alignment horizontal="center" vertical="center"/>
    </xf>
    <xf numFmtId="0" fontId="12" fillId="3" borderId="16"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9"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1" xfId="0" applyFont="1" applyFill="1" applyBorder="1" applyAlignment="1">
      <alignment horizontal="center" vertical="center"/>
    </xf>
    <xf numFmtId="0" fontId="2" fillId="3" borderId="18" xfId="0" applyFont="1" applyFill="1" applyBorder="1" applyAlignment="1">
      <alignment horizontal="center" vertical="center"/>
    </xf>
    <xf numFmtId="0" fontId="2" fillId="3" borderId="32" xfId="0" applyFont="1" applyFill="1" applyBorder="1" applyAlignment="1">
      <alignment horizontal="center" vertical="center"/>
    </xf>
    <xf numFmtId="0" fontId="2" fillId="3" borderId="22" xfId="0" applyFont="1" applyFill="1" applyBorder="1" applyAlignment="1">
      <alignment horizontal="center" vertical="center"/>
    </xf>
    <xf numFmtId="0" fontId="2" fillId="3" borderId="23" xfId="0" applyFont="1" applyFill="1" applyBorder="1" applyAlignment="1">
      <alignment horizontal="center" vertical="center"/>
    </xf>
    <xf numFmtId="0" fontId="2" fillId="3" borderId="34" xfId="0" applyFont="1" applyFill="1" applyBorder="1" applyAlignment="1">
      <alignment horizontal="center" vertical="center"/>
    </xf>
    <xf numFmtId="0" fontId="2" fillId="0" borderId="25" xfId="0" applyFont="1" applyBorder="1" applyAlignment="1">
      <alignment horizontal="center" vertical="center"/>
    </xf>
    <xf numFmtId="0" fontId="2" fillId="0" borderId="24" xfId="0" applyFont="1" applyBorder="1" applyAlignment="1">
      <alignment horizontal="center" vertical="center"/>
    </xf>
    <xf numFmtId="0" fontId="2" fillId="0" borderId="29" xfId="0" applyFont="1" applyBorder="1" applyAlignment="1">
      <alignment horizontal="left" vertical="center"/>
    </xf>
    <xf numFmtId="0" fontId="2" fillId="0" borderId="14" xfId="0" applyFont="1" applyBorder="1" applyAlignment="1">
      <alignment horizontal="center" vertical="center"/>
    </xf>
    <xf numFmtId="0" fontId="2" fillId="0" borderId="33" xfId="0" applyFont="1" applyBorder="1" applyAlignment="1">
      <alignment horizontal="center" vertical="center"/>
    </xf>
    <xf numFmtId="0" fontId="2" fillId="0" borderId="33" xfId="0" applyFont="1" applyBorder="1" applyAlignment="1">
      <alignment horizontal="left" vertical="center"/>
    </xf>
    <xf numFmtId="0" fontId="2" fillId="0" borderId="15" xfId="0" applyFont="1" applyBorder="1" applyAlignment="1">
      <alignment horizontal="center" vertical="center"/>
    </xf>
    <xf numFmtId="0" fontId="2" fillId="0" borderId="34" xfId="0" applyFont="1" applyBorder="1" applyAlignment="1">
      <alignment horizontal="center" vertical="center"/>
    </xf>
    <xf numFmtId="0" fontId="2" fillId="0" borderId="34" xfId="0" applyFont="1" applyBorder="1" applyAlignment="1">
      <alignment horizontal="left" vertical="center"/>
    </xf>
    <xf numFmtId="0" fontId="2" fillId="0" borderId="16" xfId="0" applyFont="1" applyBorder="1" applyAlignment="1">
      <alignment horizontal="center" vertical="center"/>
    </xf>
    <xf numFmtId="0" fontId="2" fillId="0" borderId="35" xfId="0" applyFont="1" applyBorder="1" applyAlignment="1">
      <alignment horizontal="center" vertical="center"/>
    </xf>
    <xf numFmtId="0" fontId="2" fillId="0" borderId="35" xfId="0" applyFont="1" applyBorder="1" applyAlignment="1">
      <alignment horizontal="left" vertical="center"/>
    </xf>
    <xf numFmtId="0" fontId="2" fillId="3" borderId="14" xfId="0" applyFont="1" applyFill="1" applyBorder="1" applyAlignment="1">
      <alignment horizontal="center" vertical="center"/>
    </xf>
    <xf numFmtId="0" fontId="2" fillId="3" borderId="33" xfId="0" applyFont="1" applyFill="1" applyBorder="1" applyAlignment="1">
      <alignment horizontal="center" vertical="center"/>
    </xf>
    <xf numFmtId="0" fontId="2" fillId="3" borderId="33" xfId="0" applyFont="1" applyFill="1" applyBorder="1" applyAlignment="1">
      <alignment horizontal="left" vertical="center"/>
    </xf>
    <xf numFmtId="0" fontId="2" fillId="3" borderId="34" xfId="0" applyFont="1" applyFill="1" applyBorder="1" applyAlignment="1">
      <alignment horizontal="left" vertical="center"/>
    </xf>
    <xf numFmtId="0" fontId="2" fillId="3" borderId="35" xfId="0" applyFont="1" applyFill="1" applyBorder="1" applyAlignment="1">
      <alignment horizontal="center" vertical="center"/>
    </xf>
    <xf numFmtId="0" fontId="2" fillId="3" borderId="35" xfId="0" applyFont="1" applyFill="1" applyBorder="1" applyAlignment="1">
      <alignment horizontal="left" vertical="center"/>
    </xf>
    <xf numFmtId="0" fontId="2" fillId="0" borderId="17" xfId="0" applyFont="1" applyBorder="1" applyAlignment="1">
      <alignment horizontal="center" vertical="center"/>
    </xf>
    <xf numFmtId="0" fontId="2" fillId="0" borderId="36" xfId="0" applyFont="1" applyBorder="1" applyAlignment="1">
      <alignment horizontal="center" vertical="center"/>
    </xf>
    <xf numFmtId="0" fontId="2" fillId="0" borderId="36" xfId="0" applyFont="1" applyBorder="1" applyAlignment="1">
      <alignment horizontal="left" vertical="center"/>
    </xf>
    <xf numFmtId="0" fontId="3" fillId="0" borderId="0" xfId="0" applyFont="1" applyAlignment="1">
      <alignment horizontal="left" vertical="center"/>
    </xf>
    <xf numFmtId="0" fontId="3" fillId="0" borderId="0" xfId="0" applyFont="1" applyAlignment="1">
      <alignment horizontal="center" vertical="center"/>
    </xf>
    <xf numFmtId="0" fontId="4" fillId="0" borderId="8" xfId="0" applyFont="1" applyBorder="1" applyAlignment="1">
      <alignment horizontal="center" vertical="center"/>
    </xf>
    <xf numFmtId="0" fontId="4" fillId="0" borderId="0" xfId="0" applyFont="1" applyAlignment="1">
      <alignment horizontal="center" vertical="center"/>
    </xf>
    <xf numFmtId="1" fontId="4" fillId="0" borderId="0" xfId="0" applyNumberFormat="1" applyFont="1" applyAlignment="1">
      <alignment horizontal="center" vertical="center"/>
    </xf>
    <xf numFmtId="0" fontId="2" fillId="0" borderId="8" xfId="0" applyFont="1" applyBorder="1" applyAlignment="1">
      <alignment horizontal="center" vertical="center"/>
    </xf>
    <xf numFmtId="0" fontId="6" fillId="0" borderId="8" xfId="0" applyFont="1" applyBorder="1" applyAlignment="1">
      <alignment horizontal="center"/>
    </xf>
    <xf numFmtId="0" fontId="2" fillId="0" borderId="0" xfId="0" applyFont="1" applyAlignment="1">
      <alignment horizontal="center"/>
    </xf>
    <xf numFmtId="1" fontId="2" fillId="0" borderId="0" xfId="0" applyNumberFormat="1" applyFont="1" applyAlignment="1">
      <alignment horizontal="center" vertical="center"/>
    </xf>
    <xf numFmtId="0" fontId="2" fillId="3" borderId="1" xfId="0" applyFont="1" applyFill="1" applyBorder="1" applyAlignment="1" applyProtection="1">
      <alignment horizontal="center" vertical="center" wrapText="1"/>
      <protection locked="0"/>
    </xf>
    <xf numFmtId="0" fontId="2" fillId="3" borderId="15" xfId="0" applyFont="1" applyFill="1" applyBorder="1" applyAlignment="1" applyProtection="1">
      <alignment horizontal="center" vertical="center" wrapText="1"/>
      <protection locked="0"/>
    </xf>
    <xf numFmtId="0" fontId="2" fillId="3" borderId="17" xfId="0" applyFont="1" applyFill="1" applyBorder="1" applyAlignment="1" applyProtection="1">
      <alignment horizontal="center" vertical="center" wrapText="1"/>
      <protection locked="0"/>
    </xf>
    <xf numFmtId="0" fontId="2" fillId="3" borderId="16" xfId="0" applyFont="1" applyFill="1" applyBorder="1" applyAlignment="1" applyProtection="1">
      <alignment horizontal="center" vertical="center" wrapText="1"/>
      <protection locked="0"/>
    </xf>
    <xf numFmtId="0" fontId="2" fillId="0" borderId="30" xfId="0" applyFont="1" applyBorder="1" applyAlignment="1" applyProtection="1">
      <alignment horizontal="left" vertical="center"/>
      <protection locked="0"/>
    </xf>
    <xf numFmtId="0" fontId="2" fillId="0" borderId="14" xfId="0" applyFont="1" applyBorder="1" applyAlignment="1" applyProtection="1">
      <alignment horizontal="left" vertical="center"/>
      <protection locked="0"/>
    </xf>
    <xf numFmtId="0" fontId="2" fillId="0" borderId="15" xfId="0" applyFont="1" applyBorder="1" applyAlignment="1" applyProtection="1">
      <alignment horizontal="left" vertical="center"/>
      <protection locked="0"/>
    </xf>
    <xf numFmtId="0" fontId="10" fillId="0" borderId="15" xfId="0" applyFont="1" applyBorder="1" applyAlignment="1" applyProtection="1">
      <alignment vertical="center"/>
      <protection locked="0"/>
    </xf>
    <xf numFmtId="0" fontId="2" fillId="0" borderId="14" xfId="0" applyFont="1" applyBorder="1" applyAlignment="1">
      <alignment vertical="center"/>
    </xf>
    <xf numFmtId="0" fontId="2" fillId="0" borderId="15" xfId="0" applyFont="1" applyBorder="1" applyAlignment="1">
      <alignment vertical="center"/>
    </xf>
    <xf numFmtId="0" fontId="10" fillId="0" borderId="32" xfId="0" applyFont="1" applyBorder="1" applyAlignment="1" applyProtection="1">
      <alignment vertical="center"/>
      <protection locked="0"/>
    </xf>
    <xf numFmtId="0" fontId="10" fillId="0" borderId="16" xfId="0" applyFont="1" applyBorder="1" applyAlignment="1" applyProtection="1">
      <alignment vertical="center"/>
      <protection locked="0"/>
    </xf>
    <xf numFmtId="0" fontId="2" fillId="0" borderId="31" xfId="0" applyFont="1" applyBorder="1" applyAlignment="1">
      <alignment vertical="center"/>
    </xf>
    <xf numFmtId="0" fontId="10" fillId="0" borderId="14" xfId="0" applyFont="1" applyBorder="1" applyAlignment="1">
      <alignment vertical="center"/>
    </xf>
    <xf numFmtId="0" fontId="10" fillId="0" borderId="15" xfId="0" applyFont="1" applyBorder="1" applyAlignment="1">
      <alignment vertical="center"/>
    </xf>
    <xf numFmtId="0" fontId="2" fillId="0" borderId="17" xfId="0" applyFont="1" applyBorder="1" applyAlignment="1">
      <alignment vertical="center"/>
    </xf>
    <xf numFmtId="0" fontId="10" fillId="0" borderId="16" xfId="0" applyFont="1" applyBorder="1" applyAlignment="1">
      <alignment vertical="center"/>
    </xf>
    <xf numFmtId="0" fontId="2" fillId="0" borderId="15" xfId="0" quotePrefix="1" applyFont="1" applyBorder="1" applyAlignment="1">
      <alignment vertical="center"/>
    </xf>
    <xf numFmtId="0" fontId="2" fillId="0" borderId="16" xfId="0" applyFont="1" applyBorder="1" applyAlignment="1">
      <alignment vertical="center"/>
    </xf>
    <xf numFmtId="0" fontId="10" fillId="0" borderId="14" xfId="0" applyFont="1" applyBorder="1" applyAlignment="1" applyProtection="1">
      <alignment vertical="center"/>
      <protection locked="0"/>
    </xf>
    <xf numFmtId="49" fontId="10" fillId="0" borderId="14" xfId="0" applyNumberFormat="1" applyFont="1" applyBorder="1" applyAlignment="1" applyProtection="1">
      <alignment vertical="center"/>
      <protection locked="0"/>
    </xf>
    <xf numFmtId="49" fontId="10" fillId="0" borderId="15" xfId="0" applyNumberFormat="1" applyFont="1" applyBorder="1" applyAlignment="1" applyProtection="1">
      <alignment vertical="center"/>
      <protection locked="0"/>
    </xf>
    <xf numFmtId="0" fontId="2" fillId="0" borderId="32" xfId="0" applyFont="1" applyBorder="1" applyAlignment="1">
      <alignment vertical="center"/>
    </xf>
    <xf numFmtId="0" fontId="12" fillId="0" borderId="15" xfId="0" applyFont="1" applyBorder="1" applyAlignment="1" applyProtection="1">
      <alignment vertical="center"/>
      <protection locked="0"/>
    </xf>
    <xf numFmtId="0" fontId="2" fillId="0" borderId="1" xfId="0" applyFont="1" applyBorder="1" applyAlignment="1" applyProtection="1">
      <alignment vertical="center"/>
      <protection locked="0"/>
    </xf>
    <xf numFmtId="0" fontId="2" fillId="0" borderId="32" xfId="0" applyFont="1" applyBorder="1" applyAlignment="1" applyProtection="1">
      <alignment vertical="center"/>
      <protection locked="0"/>
    </xf>
    <xf numFmtId="0" fontId="2" fillId="0" borderId="15" xfId="0" applyFont="1" applyBorder="1" applyAlignment="1" applyProtection="1">
      <alignment vertical="center"/>
      <protection locked="0"/>
    </xf>
    <xf numFmtId="0" fontId="2" fillId="0" borderId="16" xfId="0" applyFont="1" applyBorder="1" applyAlignment="1" applyProtection="1">
      <alignment vertical="center"/>
      <protection locked="0"/>
    </xf>
    <xf numFmtId="0" fontId="2" fillId="0" borderId="0" xfId="0" applyFont="1" applyAlignment="1" applyProtection="1">
      <alignment vertical="center"/>
      <protection locked="0"/>
    </xf>
    <xf numFmtId="0" fontId="2" fillId="0" borderId="14" xfId="0" applyFont="1" applyBorder="1" applyAlignment="1" applyProtection="1">
      <alignment vertical="center"/>
      <protection locked="0"/>
    </xf>
    <xf numFmtId="0" fontId="2" fillId="0" borderId="17" xfId="0" applyFont="1" applyBorder="1" applyAlignment="1" applyProtection="1">
      <alignment vertical="center"/>
      <protection locked="0"/>
    </xf>
    <xf numFmtId="0" fontId="2" fillId="0" borderId="31" xfId="0" applyFont="1" applyBorder="1" applyAlignment="1" applyProtection="1">
      <alignment vertical="center"/>
      <protection locked="0"/>
    </xf>
    <xf numFmtId="0" fontId="10" fillId="0" borderId="32" xfId="0" applyFont="1" applyBorder="1" applyAlignment="1">
      <alignment vertical="center"/>
    </xf>
    <xf numFmtId="49" fontId="10" fillId="0" borderId="14" xfId="0" applyNumberFormat="1" applyFont="1" applyBorder="1" applyAlignment="1">
      <alignment vertical="center"/>
    </xf>
    <xf numFmtId="49" fontId="10" fillId="0" borderId="15" xfId="0" applyNumberFormat="1" applyFont="1" applyBorder="1" applyAlignment="1">
      <alignment vertical="center"/>
    </xf>
    <xf numFmtId="49" fontId="2" fillId="0" borderId="15" xfId="0" applyNumberFormat="1" applyFont="1" applyBorder="1" applyAlignment="1">
      <alignment vertical="center"/>
    </xf>
    <xf numFmtId="49" fontId="10" fillId="0" borderId="16" xfId="0" applyNumberFormat="1" applyFont="1" applyBorder="1" applyAlignment="1">
      <alignment vertical="center"/>
    </xf>
    <xf numFmtId="0" fontId="2" fillId="0" borderId="27" xfId="0" applyFont="1" applyBorder="1" applyAlignment="1">
      <alignment vertical="center"/>
    </xf>
    <xf numFmtId="0" fontId="2" fillId="0" borderId="1" xfId="0" applyFont="1" applyBorder="1" applyAlignment="1">
      <alignment vertical="center"/>
    </xf>
    <xf numFmtId="0" fontId="10" fillId="0" borderId="37" xfId="0" applyFont="1" applyBorder="1" applyAlignment="1">
      <alignment vertical="center"/>
    </xf>
    <xf numFmtId="0" fontId="10" fillId="0" borderId="17" xfId="0" applyFont="1" applyBorder="1" applyAlignment="1">
      <alignment vertical="center"/>
    </xf>
    <xf numFmtId="0" fontId="2" fillId="0" borderId="30" xfId="0" applyFont="1" applyBorder="1" applyAlignment="1">
      <alignment vertical="center"/>
    </xf>
    <xf numFmtId="0" fontId="12" fillId="0" borderId="15" xfId="0" applyFont="1" applyBorder="1" applyAlignment="1">
      <alignment vertical="center"/>
    </xf>
    <xf numFmtId="0" fontId="10" fillId="3" borderId="8" xfId="0" applyFont="1" applyFill="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8" xfId="0" applyFont="1" applyBorder="1" applyAlignment="1">
      <alignment horizontal="center" vertical="center" wrapText="1"/>
    </xf>
    <xf numFmtId="0" fontId="2" fillId="2" borderId="8"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0" fontId="7" fillId="0" borderId="7" xfId="0" applyFont="1" applyBorder="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7" fillId="0" borderId="13" xfId="0" applyFont="1" applyBorder="1" applyAlignment="1">
      <alignment horizontal="left" vertical="top"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4" borderId="2" xfId="0" applyFont="1" applyFill="1" applyBorder="1" applyAlignment="1">
      <alignment horizontal="left" vertical="center"/>
    </xf>
    <xf numFmtId="0" fontId="4" fillId="4" borderId="3" xfId="0" applyFont="1" applyFill="1" applyBorder="1" applyAlignment="1">
      <alignment horizontal="left" vertical="center"/>
    </xf>
    <xf numFmtId="0" fontId="4" fillId="4" borderId="4" xfId="0" applyFont="1" applyFill="1" applyBorder="1" applyAlignment="1">
      <alignment horizontal="left" vertical="center"/>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8" xfId="0" applyFont="1" applyFill="1" applyBorder="1" applyAlignment="1">
      <alignment vertical="top" wrapText="1"/>
    </xf>
    <xf numFmtId="0" fontId="2" fillId="0" borderId="17" xfId="0" applyFont="1" applyBorder="1" applyAlignment="1">
      <alignment horizontal="center" vertical="center" wrapText="1"/>
    </xf>
    <xf numFmtId="0" fontId="2" fillId="3" borderId="14"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2" fillId="0" borderId="12" xfId="0" applyFont="1" applyBorder="1" applyAlignment="1">
      <alignment horizontal="center"/>
    </xf>
    <xf numFmtId="0" fontId="2" fillId="0" borderId="6" xfId="0" applyFont="1" applyBorder="1" applyAlignment="1">
      <alignment horizontal="center" vertical="center"/>
    </xf>
    <xf numFmtId="0" fontId="4" fillId="2" borderId="2" xfId="0" applyFont="1" applyFill="1" applyBorder="1" applyAlignment="1">
      <alignment horizontal="left" vertical="top" wrapText="1"/>
    </xf>
    <xf numFmtId="0" fontId="4" fillId="2" borderId="3" xfId="0" applyFont="1" applyFill="1" applyBorder="1" applyAlignment="1">
      <alignment horizontal="left" vertical="top" wrapText="1"/>
    </xf>
    <xf numFmtId="0" fontId="4" fillId="2" borderId="4" xfId="0" applyFont="1" applyFill="1" applyBorder="1" applyAlignment="1">
      <alignment horizontal="left" vertical="top" wrapText="1"/>
    </xf>
    <xf numFmtId="0" fontId="4" fillId="2" borderId="10" xfId="0" applyFont="1" applyFill="1" applyBorder="1" applyAlignment="1">
      <alignment horizontal="center" vertical="center"/>
    </xf>
    <xf numFmtId="0" fontId="4" fillId="2" borderId="9" xfId="0" applyFont="1" applyFill="1" applyBorder="1" applyAlignment="1">
      <alignment horizontal="center" vertical="center"/>
    </xf>
  </cellXfs>
  <cellStyles count="3">
    <cellStyle name="Hyperlink" xfId="2"/>
    <cellStyle name="Normal" xfId="0" builtinId="0"/>
    <cellStyle name="Porcentaje" xfId="1" builtinId="5"/>
  </cellStyles>
  <dxfs count="4">
    <dxf>
      <fill>
        <patternFill>
          <bgColor rgb="FFFF0000"/>
        </patternFill>
      </fill>
    </dxf>
    <dxf>
      <font>
        <b val="0"/>
        <i val="0"/>
        <color auto="1"/>
      </font>
      <fill>
        <patternFill>
          <bgColor theme="9" tint="0.79998168889431442"/>
        </patternFill>
      </fill>
    </dxf>
    <dxf>
      <fill>
        <patternFill>
          <bgColor rgb="FFFF0000"/>
        </patternFill>
      </fill>
    </dxf>
    <dxf>
      <font>
        <b val="0"/>
        <i val="0"/>
        <color auto="1"/>
      </font>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59531</xdr:colOff>
      <xdr:row>1</xdr:row>
      <xdr:rowOff>11907</xdr:rowOff>
    </xdr:from>
    <xdr:to>
      <xdr:col>3</xdr:col>
      <xdr:colOff>878680</xdr:colOff>
      <xdr:row>2</xdr:row>
      <xdr:rowOff>8854</xdr:rowOff>
    </xdr:to>
    <xdr:pic>
      <xdr:nvPicPr>
        <xdr:cNvPr id="2" name="Picture 17" descr="logo_meridian">
          <a:extLst>
            <a:ext uri="{FF2B5EF4-FFF2-40B4-BE49-F238E27FC236}">
              <a16:creationId xmlns:a16="http://schemas.microsoft.com/office/drawing/2014/main" xmlns="" id="{5A9E18C5-DABB-4DEC-BB43-077353A067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5306" y="202407"/>
          <a:ext cx="2438399" cy="625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59531</xdr:colOff>
      <xdr:row>1</xdr:row>
      <xdr:rowOff>11907</xdr:rowOff>
    </xdr:from>
    <xdr:to>
      <xdr:col>3</xdr:col>
      <xdr:colOff>878680</xdr:colOff>
      <xdr:row>2</xdr:row>
      <xdr:rowOff>8854</xdr:rowOff>
    </xdr:to>
    <xdr:pic>
      <xdr:nvPicPr>
        <xdr:cNvPr id="3" name="Picture 17" descr="logo_meridian">
          <a:extLst>
            <a:ext uri="{FF2B5EF4-FFF2-40B4-BE49-F238E27FC236}">
              <a16:creationId xmlns:a16="http://schemas.microsoft.com/office/drawing/2014/main" xmlns="" id="{7397E4DB-CF8C-45F2-9A2E-21775AB624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5306" y="202407"/>
          <a:ext cx="2438399" cy="625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59531</xdr:colOff>
      <xdr:row>1</xdr:row>
      <xdr:rowOff>11907</xdr:rowOff>
    </xdr:from>
    <xdr:to>
      <xdr:col>3</xdr:col>
      <xdr:colOff>878680</xdr:colOff>
      <xdr:row>2</xdr:row>
      <xdr:rowOff>8854</xdr:rowOff>
    </xdr:to>
    <xdr:pic>
      <xdr:nvPicPr>
        <xdr:cNvPr id="2" name="Picture 17" descr="logo_meridian">
          <a:extLst>
            <a:ext uri="{FF2B5EF4-FFF2-40B4-BE49-F238E27FC236}">
              <a16:creationId xmlns:a16="http://schemas.microsoft.com/office/drawing/2014/main" xmlns="" id="{5A9E18C5-DABB-4DEC-BB43-077353A067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8606" y="240507"/>
          <a:ext cx="2438399" cy="625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59531</xdr:colOff>
      <xdr:row>1</xdr:row>
      <xdr:rowOff>11907</xdr:rowOff>
    </xdr:from>
    <xdr:to>
      <xdr:col>3</xdr:col>
      <xdr:colOff>878680</xdr:colOff>
      <xdr:row>2</xdr:row>
      <xdr:rowOff>8854</xdr:rowOff>
    </xdr:to>
    <xdr:pic>
      <xdr:nvPicPr>
        <xdr:cNvPr id="3" name="Picture 17" descr="logo_meridian">
          <a:extLst>
            <a:ext uri="{FF2B5EF4-FFF2-40B4-BE49-F238E27FC236}">
              <a16:creationId xmlns:a16="http://schemas.microsoft.com/office/drawing/2014/main" xmlns="" id="{7397E4DB-CF8C-45F2-9A2E-21775AB624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8606" y="240507"/>
          <a:ext cx="2438399" cy="625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hyperlink" Target="file:///\\10.100.25.60\sya\GEC\Ariari\67.%20ENTREGAS%20DE%20CARGO\I&amp;A%20GDA\2026\3.%20CMPC\02.%20FEBRERO" TargetMode="External"/><Relationship Id="rId13" Type="http://schemas.openxmlformats.org/officeDocument/2006/relationships/hyperlink" Target="file:///\\10.100.25.60\sya\GEC\Ariari\67.%20ENTREGAS%20DE%20CARGO\I&amp;A%20GDA\2026\3.%20CMPC\02.%20FEBRERO" TargetMode="External"/><Relationship Id="rId18" Type="http://schemas.openxmlformats.org/officeDocument/2006/relationships/hyperlink" Target="file:///\\10.100.25.60\sya\gec\JOSE%20GABRIEL%20NASSAR%20-%20PORTAFOLIO%20CASTILLA\0.%20ENTREGABLES" TargetMode="External"/><Relationship Id="rId26" Type="http://schemas.openxmlformats.org/officeDocument/2006/relationships/comments" Target="../comments2.xml"/><Relationship Id="rId3" Type="http://schemas.openxmlformats.org/officeDocument/2006/relationships/hyperlink" Target="https://ecopetrol-my.sharepoint.com/:x:/r/personal/jaimejo_martinez_ecopetrol_com_co1/Documents/Archivos%20de%20chat%20de%20Microsoft%20Teams/Vintage%20Produccion%20Suria%20T2.xlsx?d=wf83e0d33cd724068af98820017aff361&amp;csf=1&amp;web=1&amp;e=edJsN2" TargetMode="External"/><Relationship Id="rId21" Type="http://schemas.openxmlformats.org/officeDocument/2006/relationships/hyperlink" Target="file:///\\10.100.25.60\sya\gec\JOSE%20GABRIEL%20NASSAR%20-%20PORTAFOLIO%20CASTILLA\0.%20ENTREGABLES" TargetMode="External"/><Relationship Id="rId7" Type="http://schemas.openxmlformats.org/officeDocument/2006/relationships/hyperlink" Target="file:///\\10.100.25.60\sya\GEC\Ariari\67.%20ENTREGAS%20DE%20CARGO\I&amp;A%20GDA\2026\3.%20CMPC\02.%20FEBRERO" TargetMode="External"/><Relationship Id="rId12" Type="http://schemas.openxmlformats.org/officeDocument/2006/relationships/hyperlink" Target="file:///\\10.100.25.60\sya\GEC\Ariari\67.%20ENTREGAS%20DE%20CARGO\I&amp;A%20GDA\2026\3.%20CMPC\02.%20FEBRERO" TargetMode="External"/><Relationship Id="rId17" Type="http://schemas.openxmlformats.org/officeDocument/2006/relationships/hyperlink" Target="file:///\\10.100.25.60\sya\gec\JOSE%20GABRIEL%20NASSAR%20-%20PORTAFOLIO%20CASTILLA\0.%20ENTREGABLES" TargetMode="External"/><Relationship Id="rId25" Type="http://schemas.openxmlformats.org/officeDocument/2006/relationships/vmlDrawing" Target="../drawings/vmlDrawing2.vml"/><Relationship Id="rId2" Type="http://schemas.openxmlformats.org/officeDocument/2006/relationships/hyperlink" Target="https://ecopetrol-my.sharepoint.com/:x:/g/personal/julio_gonzalez_ecopetrol_com_co1/EcqvhrNqXRlIo3fx0toBjC8Basv1HvSygMZn1OymPdSyyg?e=L16uNV" TargetMode="External"/><Relationship Id="rId16" Type="http://schemas.openxmlformats.org/officeDocument/2006/relationships/hyperlink" Target="file:///\\10.100.25.60\sya\gec\JOSE%20GABRIEL%20NASSAR%20-%20PORTAFOLIO%20CASTILLA\0.%20ENTREGABLES" TargetMode="External"/><Relationship Id="rId20" Type="http://schemas.openxmlformats.org/officeDocument/2006/relationships/hyperlink" Target="file:///\\10.100.25.60\sya\gec\JOSE%20GABRIEL%20NASSAR%20-%20PORTAFOLIO%20CASTILLA\0.%20ENTREGABLES" TargetMode="External"/><Relationship Id="rId1" Type="http://schemas.openxmlformats.org/officeDocument/2006/relationships/hyperlink" Target="https://ecopetrol-my.sharepoint.com/:x:/g/personal/jaimejo_martinez_ecopetrol_com_co1/ESf57G1Vg3ZFoMaB5eEQGnYBFVUuVtWPTRWEDqi1z2Emjw?e=SWKSw5" TargetMode="External"/><Relationship Id="rId6" Type="http://schemas.openxmlformats.org/officeDocument/2006/relationships/hyperlink" Target="file:///\\10.100.25.60\sya\GEC\Ariari\67.%20ENTREGAS%20DE%20CARGO\I&amp;A%20GDA\2026\3.%20CMPC\02.%20FEBRERO" TargetMode="External"/><Relationship Id="rId11" Type="http://schemas.openxmlformats.org/officeDocument/2006/relationships/hyperlink" Target="file:///\\10.100.25.60\sya\GEC\Ariari\67.%20ENTREGAS%20DE%20CARGO\I&amp;A%20GDA\2026\3.%20CMPC\02.%20FEBRERO" TargetMode="External"/><Relationship Id="rId24" Type="http://schemas.openxmlformats.org/officeDocument/2006/relationships/drawing" Target="../drawings/drawing2.xml"/><Relationship Id="rId5" Type="http://schemas.openxmlformats.org/officeDocument/2006/relationships/hyperlink" Target="https://ecopetrol-my.sharepoint.com/:x:/r/personal/carlosan_perdomo_ecopetrol_com_co/Documents/Archivos%20de%20chat%20de%20Microsoft%20Teams/9.%20Septiembre%20-%20Curva%20Caracter%C3%ADsticas%20T2%20Suria%201.xlsx?d=w8b7aca775cb94a74adf96204518b5699&amp;csf=1&amp;web=1&amp;e=xAmTgD" TargetMode="External"/><Relationship Id="rId15" Type="http://schemas.openxmlformats.org/officeDocument/2006/relationships/hyperlink" Target="file:///\\10.100.25.60\sya\gec\JOSE%20GABRIEL%20NASSAR%20-%20PORTAFOLIO%20CASTILLA\0.%20ENTREGABLES" TargetMode="External"/><Relationship Id="rId23" Type="http://schemas.openxmlformats.org/officeDocument/2006/relationships/printerSettings" Target="../printerSettings/printerSettings2.bin"/><Relationship Id="rId10" Type="http://schemas.openxmlformats.org/officeDocument/2006/relationships/hyperlink" Target="file:///\\10.100.25.60\sya\GEC\Ariari\67.%20ENTREGAS%20DE%20CARGO\I&amp;A%20GDA\2026\3.%20CMPC\02.%20FEBRERO" TargetMode="External"/><Relationship Id="rId19" Type="http://schemas.openxmlformats.org/officeDocument/2006/relationships/hyperlink" Target="file:///\\10.100.25.60\sya\gec\JOSE%20GABRIEL%20NASSAR%20-%20PORTAFOLIO%20CASTILLA\0.%20ENTREGABLES" TargetMode="External"/><Relationship Id="rId4" Type="http://schemas.openxmlformats.org/officeDocument/2006/relationships/hyperlink" Target="https://ecopetrol.sharepoint.com/:u:/r/sites/YACIMIENTOS-APIAY/Documentos%20compartidos/General/PROYECTOS/PACHAQUIARO/2025/Escenarios%20Abr%202025/Escenario%201/Pachaquiaro_Caso_1_Abr2025_Exportable.arps?csf=1&amp;web=1&amp;e=1Gmqki" TargetMode="External"/><Relationship Id="rId9" Type="http://schemas.openxmlformats.org/officeDocument/2006/relationships/hyperlink" Target="file:///\\10.100.25.60\sya\GEC\Ariari\67.%20ENTREGAS%20DE%20CARGO\I&amp;A%20GDA\2026\3.%20CMPC\02.%20FEBRERO" TargetMode="External"/><Relationship Id="rId14" Type="http://schemas.openxmlformats.org/officeDocument/2006/relationships/hyperlink" Target="file:///\\10.100.25.60\sya\gec\JOSE%20GABRIEL%20NASSAR%20-%20PORTAFOLIO%20CASTILLA\0.%20ENTREGABLES" TargetMode="External"/><Relationship Id="rId22" Type="http://schemas.openxmlformats.org/officeDocument/2006/relationships/hyperlink" Target="file:///\\10.100.25.60\sya\gec\JOSE%20GABRIEL%20NASSAR%20-%20PORTAFOLIO%20CASTILLA\0.%20ENTREGABLE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183"/>
  <sheetViews>
    <sheetView showGridLines="0" view="pageBreakPreview" zoomScaleNormal="100" zoomScaleSheetLayoutView="100" workbookViewId="0">
      <selection activeCell="B2" sqref="B2:L2"/>
    </sheetView>
  </sheetViews>
  <sheetFormatPr baseColWidth="10" defaultColWidth="8.6328125" defaultRowHeight="14.5" x14ac:dyDescent="0.35"/>
  <cols>
    <col min="1" max="1" width="3.36328125" style="14" customWidth="1"/>
    <col min="2" max="2" width="15.6328125" style="11" customWidth="1"/>
    <col min="3" max="3" width="8.54296875" style="11" customWidth="1"/>
    <col min="4" max="4" width="43.36328125" style="12" customWidth="1"/>
    <col min="5" max="5" width="16.90625" style="12" bestFit="1" customWidth="1"/>
    <col min="6" max="6" width="31" style="13" customWidth="1"/>
    <col min="7" max="7" width="30.08984375" style="12" customWidth="1"/>
    <col min="8" max="8" width="13.6328125" style="12" customWidth="1"/>
    <col min="9" max="9" width="13.453125" style="12" customWidth="1"/>
    <col min="10" max="10" width="10.453125" style="12" customWidth="1"/>
    <col min="11" max="11" width="12.453125" style="12" customWidth="1"/>
    <col min="12" max="12" width="12.36328125" style="12" customWidth="1"/>
    <col min="13" max="13" width="3.36328125" style="14" customWidth="1"/>
    <col min="14" max="14" width="16.453125" style="14" customWidth="1"/>
    <col min="16" max="16" width="16.453125" style="14" customWidth="1"/>
    <col min="17" max="17" width="0" hidden="1" customWidth="1"/>
    <col min="18" max="18" width="16.453125" style="14" customWidth="1"/>
    <col min="19" max="16384" width="8.6328125" style="14"/>
  </cols>
  <sheetData>
    <row r="1" spans="2:17" ht="18" customHeight="1" x14ac:dyDescent="0.35">
      <c r="Q1" t="s">
        <v>0</v>
      </c>
    </row>
    <row r="2" spans="2:17" ht="49.5" customHeight="1" x14ac:dyDescent="0.35">
      <c r="B2" s="157" t="s">
        <v>1</v>
      </c>
      <c r="C2" s="157"/>
      <c r="D2" s="157"/>
      <c r="E2" s="157"/>
      <c r="F2" s="157"/>
      <c r="G2" s="157"/>
      <c r="H2" s="157"/>
      <c r="I2" s="157"/>
      <c r="J2" s="157"/>
      <c r="K2" s="157"/>
      <c r="L2" s="157"/>
      <c r="Q2" t="s">
        <v>2</v>
      </c>
    </row>
    <row r="3" spans="2:17" ht="18.75" customHeight="1" x14ac:dyDescent="0.35">
      <c r="B3" s="158" t="s">
        <v>3</v>
      </c>
      <c r="C3" s="159"/>
      <c r="D3" s="159"/>
      <c r="E3" s="15"/>
      <c r="F3" s="159" t="s">
        <v>4</v>
      </c>
      <c r="G3" s="159"/>
      <c r="H3" s="159"/>
      <c r="I3" s="159"/>
      <c r="J3" s="159" t="s">
        <v>5</v>
      </c>
      <c r="K3" s="159"/>
      <c r="L3" s="160"/>
    </row>
    <row r="4" spans="2:17" x14ac:dyDescent="0.35">
      <c r="B4" s="16"/>
      <c r="C4" s="17"/>
      <c r="L4" s="18"/>
      <c r="Q4" t="s">
        <v>6</v>
      </c>
    </row>
    <row r="5" spans="2:17" s="24" customFormat="1" ht="27.65" customHeight="1" x14ac:dyDescent="0.35">
      <c r="B5" s="156" t="s">
        <v>7</v>
      </c>
      <c r="C5" s="156"/>
      <c r="D5" s="19">
        <v>90578295</v>
      </c>
      <c r="E5"/>
      <c r="F5" s="20"/>
      <c r="G5" s="21"/>
      <c r="H5" s="22"/>
      <c r="I5" s="22"/>
      <c r="J5" s="22"/>
      <c r="K5" s="22"/>
      <c r="L5" s="23"/>
      <c r="O5"/>
      <c r="Q5" t="s">
        <v>8</v>
      </c>
    </row>
    <row r="6" spans="2:17" s="24" customFormat="1" x14ac:dyDescent="0.35">
      <c r="B6" s="25"/>
      <c r="C6" s="11"/>
      <c r="D6" s="22"/>
      <c r="E6"/>
      <c r="F6" s="26"/>
      <c r="G6" s="22"/>
      <c r="H6" s="22"/>
      <c r="I6" s="22"/>
      <c r="J6" s="22"/>
      <c r="K6" s="22"/>
      <c r="L6" s="23"/>
      <c r="O6"/>
      <c r="Q6" t="s">
        <v>11</v>
      </c>
    </row>
    <row r="7" spans="2:17" s="24" customFormat="1" x14ac:dyDescent="0.35">
      <c r="B7" s="156" t="s">
        <v>12</v>
      </c>
      <c r="C7" s="156"/>
      <c r="D7" s="27" t="s">
        <v>2</v>
      </c>
      <c r="E7"/>
      <c r="F7" s="28"/>
      <c r="G7" s="29"/>
      <c r="H7" s="22"/>
      <c r="I7" s="22"/>
      <c r="J7" s="22"/>
      <c r="K7" s="22"/>
      <c r="L7" s="23"/>
      <c r="O7"/>
      <c r="Q7" t="s">
        <v>13</v>
      </c>
    </row>
    <row r="8" spans="2:17" s="24" customFormat="1" x14ac:dyDescent="0.35">
      <c r="B8" s="30"/>
      <c r="C8" s="31"/>
      <c r="D8" s="32"/>
      <c r="E8"/>
      <c r="F8" s="28"/>
      <c r="G8" s="29"/>
      <c r="H8" s="22"/>
      <c r="I8" s="22"/>
      <c r="J8" s="22"/>
      <c r="K8" s="22"/>
      <c r="L8" s="23"/>
      <c r="O8"/>
      <c r="Q8" t="s">
        <v>14</v>
      </c>
    </row>
    <row r="9" spans="2:17" s="24" customFormat="1" x14ac:dyDescent="0.35">
      <c r="B9" s="156" t="s">
        <v>15</v>
      </c>
      <c r="C9" s="156"/>
      <c r="D9" s="33">
        <v>46053</v>
      </c>
      <c r="E9"/>
      <c r="F9" s="34"/>
      <c r="G9" s="35"/>
      <c r="H9" s="22"/>
      <c r="I9" s="22"/>
      <c r="J9" s="22"/>
      <c r="K9" s="22"/>
      <c r="L9" s="23"/>
      <c r="O9"/>
      <c r="Q9" t="s">
        <v>16</v>
      </c>
    </row>
    <row r="10" spans="2:17" x14ac:dyDescent="0.35">
      <c r="B10" s="36"/>
      <c r="C10" s="37"/>
      <c r="L10" s="38"/>
      <c r="Q10" t="s">
        <v>17</v>
      </c>
    </row>
    <row r="11" spans="2:17" s="39" customFormat="1" ht="26.9" customHeight="1" x14ac:dyDescent="0.35">
      <c r="B11" s="156" t="s">
        <v>18</v>
      </c>
      <c r="C11" s="156"/>
      <c r="D11" s="156"/>
      <c r="E11" s="156"/>
      <c r="F11" s="156"/>
      <c r="G11" s="156"/>
      <c r="H11" s="156"/>
      <c r="I11" s="156" t="s">
        <v>19</v>
      </c>
      <c r="J11" s="156"/>
      <c r="K11" s="156" t="s">
        <v>20</v>
      </c>
      <c r="L11" s="156"/>
      <c r="O11" s="40"/>
      <c r="Q11" s="40" t="s">
        <v>21</v>
      </c>
    </row>
    <row r="12" spans="2:17" s="39" customFormat="1" ht="57.65" customHeight="1" x14ac:dyDescent="0.35">
      <c r="B12" s="41" t="s">
        <v>22</v>
      </c>
      <c r="C12" s="41" t="s">
        <v>23</v>
      </c>
      <c r="D12" s="41" t="s">
        <v>24</v>
      </c>
      <c r="E12" s="41" t="s">
        <v>59</v>
      </c>
      <c r="F12" s="42" t="s">
        <v>25</v>
      </c>
      <c r="G12" s="41" t="s">
        <v>26</v>
      </c>
      <c r="H12" s="41" t="s">
        <v>27</v>
      </c>
      <c r="I12" s="41" t="s">
        <v>28</v>
      </c>
      <c r="J12" s="43" t="s">
        <v>29</v>
      </c>
      <c r="K12" s="43" t="s">
        <v>30</v>
      </c>
      <c r="L12" s="43" t="s">
        <v>29</v>
      </c>
      <c r="O12" s="40"/>
      <c r="Q12" s="40" t="s">
        <v>31</v>
      </c>
    </row>
    <row r="13" spans="2:17" x14ac:dyDescent="0.35">
      <c r="B13" s="87">
        <v>3</v>
      </c>
      <c r="C13" s="88" t="s">
        <v>43</v>
      </c>
      <c r="D13" s="89" t="s">
        <v>44</v>
      </c>
      <c r="E13" s="148" t="s">
        <v>249</v>
      </c>
      <c r="F13" s="118" t="s">
        <v>326</v>
      </c>
      <c r="G13" s="113" t="s">
        <v>232</v>
      </c>
      <c r="H13" s="47">
        <v>11</v>
      </c>
      <c r="I13" s="47">
        <v>3</v>
      </c>
      <c r="J13" s="2">
        <f t="shared" ref="J13:J44" si="0">IFERROR(I13/H13,0)</f>
        <v>0.27272727272727271</v>
      </c>
      <c r="K13" s="47">
        <f>+I13</f>
        <v>3</v>
      </c>
      <c r="L13" s="5">
        <f t="shared" ref="L13:L44" si="1">IFERROR(K13/H13,0)</f>
        <v>0.27272727272727271</v>
      </c>
      <c r="N13"/>
      <c r="O13" s="14"/>
      <c r="P13"/>
      <c r="Q13" s="14"/>
    </row>
    <row r="14" spans="2:17" x14ac:dyDescent="0.35">
      <c r="B14" s="62">
        <v>3</v>
      </c>
      <c r="C14" s="74" t="s">
        <v>45</v>
      </c>
      <c r="D14" s="90" t="s">
        <v>46</v>
      </c>
      <c r="E14" s="148"/>
      <c r="F14" s="119" t="s">
        <v>327</v>
      </c>
      <c r="G14" s="120" t="s">
        <v>232</v>
      </c>
      <c r="H14" s="52">
        <v>12</v>
      </c>
      <c r="I14" s="53">
        <v>3</v>
      </c>
      <c r="J14" s="2">
        <f t="shared" si="0"/>
        <v>0.25</v>
      </c>
      <c r="K14" s="53">
        <f t="shared" ref="K14:K77" si="2">+I14</f>
        <v>3</v>
      </c>
      <c r="L14" s="5">
        <f t="shared" si="1"/>
        <v>0.25</v>
      </c>
      <c r="N14"/>
      <c r="O14" s="14"/>
      <c r="P14"/>
      <c r="Q14" s="14"/>
    </row>
    <row r="15" spans="2:17" x14ac:dyDescent="0.35">
      <c r="B15" s="62">
        <v>3</v>
      </c>
      <c r="C15" s="74" t="s">
        <v>78</v>
      </c>
      <c r="D15" s="90" t="s">
        <v>79</v>
      </c>
      <c r="E15" s="148"/>
      <c r="F15" s="119" t="s">
        <v>328</v>
      </c>
      <c r="G15" s="114" t="s">
        <v>232</v>
      </c>
      <c r="H15" s="53">
        <v>11</v>
      </c>
      <c r="I15" s="53">
        <v>4</v>
      </c>
      <c r="J15" s="2">
        <f t="shared" si="0"/>
        <v>0.36363636363636365</v>
      </c>
      <c r="K15" s="53">
        <f t="shared" si="2"/>
        <v>4</v>
      </c>
      <c r="L15" s="5">
        <f t="shared" si="1"/>
        <v>0.36363636363636365</v>
      </c>
      <c r="N15"/>
      <c r="O15" s="14"/>
      <c r="P15"/>
      <c r="Q15" s="14"/>
    </row>
    <row r="16" spans="2:17" x14ac:dyDescent="0.35">
      <c r="B16" s="62">
        <v>3</v>
      </c>
      <c r="C16" s="74" t="s">
        <v>47</v>
      </c>
      <c r="D16" s="90" t="s">
        <v>48</v>
      </c>
      <c r="E16" s="148"/>
      <c r="F16" s="119" t="s">
        <v>329</v>
      </c>
      <c r="G16" s="114" t="s">
        <v>232</v>
      </c>
      <c r="H16" s="53">
        <v>11</v>
      </c>
      <c r="I16" s="53">
        <v>4</v>
      </c>
      <c r="J16" s="2">
        <f t="shared" si="0"/>
        <v>0.36363636363636365</v>
      </c>
      <c r="K16" s="53">
        <f t="shared" si="2"/>
        <v>4</v>
      </c>
      <c r="L16" s="5">
        <f t="shared" si="1"/>
        <v>0.36363636363636365</v>
      </c>
      <c r="N16"/>
      <c r="O16" s="14"/>
      <c r="P16"/>
      <c r="Q16" s="14"/>
    </row>
    <row r="17" spans="2:17" x14ac:dyDescent="0.35">
      <c r="B17" s="62">
        <v>3</v>
      </c>
      <c r="C17" s="74" t="s">
        <v>49</v>
      </c>
      <c r="D17" s="90" t="s">
        <v>50</v>
      </c>
      <c r="E17" s="148"/>
      <c r="F17" s="119" t="s">
        <v>330</v>
      </c>
      <c r="G17" s="114" t="s">
        <v>232</v>
      </c>
      <c r="H17" s="53">
        <v>11</v>
      </c>
      <c r="I17" s="53">
        <v>4</v>
      </c>
      <c r="J17" s="2">
        <f t="shared" si="0"/>
        <v>0.36363636363636365</v>
      </c>
      <c r="K17" s="53">
        <f t="shared" si="2"/>
        <v>4</v>
      </c>
      <c r="L17" s="5">
        <f t="shared" si="1"/>
        <v>0.36363636363636365</v>
      </c>
      <c r="N17"/>
      <c r="O17" s="14"/>
      <c r="P17"/>
      <c r="Q17" s="14"/>
    </row>
    <row r="18" spans="2:17" x14ac:dyDescent="0.35">
      <c r="B18" s="62">
        <v>3</v>
      </c>
      <c r="C18" s="74" t="s">
        <v>51</v>
      </c>
      <c r="D18" s="90" t="s">
        <v>52</v>
      </c>
      <c r="E18" s="148"/>
      <c r="F18" s="119" t="s">
        <v>331</v>
      </c>
      <c r="G18" s="114" t="s">
        <v>232</v>
      </c>
      <c r="H18" s="53">
        <v>11</v>
      </c>
      <c r="I18" s="53">
        <v>4</v>
      </c>
      <c r="J18" s="2">
        <f t="shared" si="0"/>
        <v>0.36363636363636365</v>
      </c>
      <c r="K18" s="53">
        <f t="shared" si="2"/>
        <v>4</v>
      </c>
      <c r="L18" s="5">
        <f t="shared" si="1"/>
        <v>0.36363636363636365</v>
      </c>
      <c r="N18"/>
      <c r="O18" s="14"/>
      <c r="P18"/>
      <c r="Q18" s="14"/>
    </row>
    <row r="19" spans="2:17" x14ac:dyDescent="0.35">
      <c r="B19" s="62">
        <v>5</v>
      </c>
      <c r="C19" s="74" t="s">
        <v>53</v>
      </c>
      <c r="D19" s="90" t="s">
        <v>54</v>
      </c>
      <c r="E19" s="148"/>
      <c r="F19" s="119" t="s">
        <v>332</v>
      </c>
      <c r="G19" s="114" t="s">
        <v>232</v>
      </c>
      <c r="H19" s="53">
        <v>11</v>
      </c>
      <c r="I19" s="53">
        <v>4</v>
      </c>
      <c r="J19" s="2">
        <f t="shared" si="0"/>
        <v>0.36363636363636365</v>
      </c>
      <c r="K19" s="53">
        <f t="shared" si="2"/>
        <v>4</v>
      </c>
      <c r="L19" s="5">
        <f t="shared" si="1"/>
        <v>0.36363636363636365</v>
      </c>
      <c r="N19"/>
      <c r="O19" s="14"/>
      <c r="P19"/>
      <c r="Q19" s="14"/>
    </row>
    <row r="20" spans="2:17" x14ac:dyDescent="0.35">
      <c r="B20" s="66">
        <v>8</v>
      </c>
      <c r="C20" s="91" t="s">
        <v>57</v>
      </c>
      <c r="D20" s="92" t="s">
        <v>58</v>
      </c>
      <c r="E20" s="148"/>
      <c r="F20" s="121" t="s">
        <v>333</v>
      </c>
      <c r="G20" s="123" t="s">
        <v>232</v>
      </c>
      <c r="H20" s="66">
        <v>12</v>
      </c>
      <c r="I20" s="59">
        <v>4</v>
      </c>
      <c r="J20" s="4">
        <f t="shared" si="0"/>
        <v>0.33333333333333331</v>
      </c>
      <c r="K20" s="59">
        <f t="shared" si="2"/>
        <v>4</v>
      </c>
      <c r="L20" s="7">
        <f t="shared" si="1"/>
        <v>0.33333333333333331</v>
      </c>
      <c r="N20"/>
      <c r="O20" s="14"/>
      <c r="P20"/>
      <c r="Q20" s="14"/>
    </row>
    <row r="21" spans="2:17" x14ac:dyDescent="0.35">
      <c r="B21" s="44">
        <v>3</v>
      </c>
      <c r="C21" s="45" t="s">
        <v>43</v>
      </c>
      <c r="D21" s="46" t="s">
        <v>44</v>
      </c>
      <c r="E21" s="149" t="s">
        <v>250</v>
      </c>
      <c r="F21" s="118" t="s">
        <v>124</v>
      </c>
      <c r="G21" s="113" t="s">
        <v>32</v>
      </c>
      <c r="H21" s="48">
        <v>9</v>
      </c>
      <c r="I21" s="48">
        <v>3</v>
      </c>
      <c r="J21" s="2">
        <f t="shared" si="0"/>
        <v>0.33333333333333331</v>
      </c>
      <c r="K21" s="48">
        <f t="shared" si="2"/>
        <v>3</v>
      </c>
      <c r="L21" s="5">
        <f t="shared" si="1"/>
        <v>0.33333333333333331</v>
      </c>
      <c r="N21"/>
      <c r="O21" s="14"/>
      <c r="P21"/>
      <c r="Q21" s="14"/>
    </row>
    <row r="22" spans="2:17" x14ac:dyDescent="0.35">
      <c r="B22" s="49">
        <v>3</v>
      </c>
      <c r="C22" s="50" t="s">
        <v>93</v>
      </c>
      <c r="D22" s="51" t="s">
        <v>94</v>
      </c>
      <c r="E22" s="150"/>
      <c r="F22" s="119" t="s">
        <v>126</v>
      </c>
      <c r="G22" s="114" t="s">
        <v>32</v>
      </c>
      <c r="H22" s="71">
        <v>8</v>
      </c>
      <c r="I22" s="62">
        <v>2</v>
      </c>
      <c r="J22" s="2">
        <f t="shared" si="0"/>
        <v>0.25</v>
      </c>
      <c r="K22" s="62">
        <f t="shared" si="2"/>
        <v>2</v>
      </c>
      <c r="L22" s="5">
        <f t="shared" si="1"/>
        <v>0.25</v>
      </c>
      <c r="N22"/>
      <c r="O22" s="14"/>
      <c r="P22"/>
      <c r="Q22" s="14"/>
    </row>
    <row r="23" spans="2:17" x14ac:dyDescent="0.35">
      <c r="B23" s="49">
        <v>3</v>
      </c>
      <c r="C23" s="50" t="s">
        <v>45</v>
      </c>
      <c r="D23" s="51" t="s">
        <v>46</v>
      </c>
      <c r="E23" s="150"/>
      <c r="F23" s="119" t="s">
        <v>126</v>
      </c>
      <c r="G23" s="120" t="s">
        <v>32</v>
      </c>
      <c r="H23" s="62">
        <v>8</v>
      </c>
      <c r="I23" s="64">
        <v>3</v>
      </c>
      <c r="J23" s="2">
        <f t="shared" si="0"/>
        <v>0.375</v>
      </c>
      <c r="K23" s="64">
        <f t="shared" si="2"/>
        <v>3</v>
      </c>
      <c r="L23" s="5">
        <f t="shared" si="1"/>
        <v>0.375</v>
      </c>
      <c r="N23"/>
      <c r="O23" s="14"/>
      <c r="P23"/>
      <c r="Q23" s="14"/>
    </row>
    <row r="24" spans="2:17" x14ac:dyDescent="0.35">
      <c r="B24" s="49">
        <v>3</v>
      </c>
      <c r="C24" s="50" t="s">
        <v>78</v>
      </c>
      <c r="D24" s="51" t="s">
        <v>79</v>
      </c>
      <c r="E24" s="150"/>
      <c r="F24" s="119" t="s">
        <v>126</v>
      </c>
      <c r="G24" s="114" t="s">
        <v>32</v>
      </c>
      <c r="H24" s="62">
        <v>8</v>
      </c>
      <c r="I24" s="62">
        <v>2</v>
      </c>
      <c r="J24" s="2">
        <f t="shared" si="0"/>
        <v>0.25</v>
      </c>
      <c r="K24" s="62">
        <f t="shared" si="2"/>
        <v>2</v>
      </c>
      <c r="L24" s="5">
        <f t="shared" si="1"/>
        <v>0.25</v>
      </c>
      <c r="N24"/>
      <c r="O24" s="14"/>
      <c r="P24"/>
      <c r="Q24" s="14"/>
    </row>
    <row r="25" spans="2:17" x14ac:dyDescent="0.35">
      <c r="B25" s="49">
        <v>3</v>
      </c>
      <c r="C25" s="50" t="s">
        <v>47</v>
      </c>
      <c r="D25" s="51" t="s">
        <v>48</v>
      </c>
      <c r="E25" s="150"/>
      <c r="F25" s="119" t="s">
        <v>127</v>
      </c>
      <c r="G25" s="114" t="s">
        <v>32</v>
      </c>
      <c r="H25" s="62">
        <v>9</v>
      </c>
      <c r="I25" s="62">
        <v>3</v>
      </c>
      <c r="J25" s="2">
        <f t="shared" si="0"/>
        <v>0.33333333333333331</v>
      </c>
      <c r="K25" s="62">
        <f t="shared" si="2"/>
        <v>3</v>
      </c>
      <c r="L25" s="5">
        <f t="shared" si="1"/>
        <v>0.33333333333333331</v>
      </c>
      <c r="N25"/>
      <c r="O25" s="14"/>
      <c r="P25"/>
      <c r="Q25" s="14"/>
    </row>
    <row r="26" spans="2:17" x14ac:dyDescent="0.35">
      <c r="B26" s="49">
        <v>3</v>
      </c>
      <c r="C26" s="50" t="s">
        <v>49</v>
      </c>
      <c r="D26" s="51" t="s">
        <v>50</v>
      </c>
      <c r="E26" s="150"/>
      <c r="F26" s="119" t="s">
        <v>129</v>
      </c>
      <c r="G26" s="114" t="s">
        <v>32</v>
      </c>
      <c r="H26" s="62">
        <v>8</v>
      </c>
      <c r="I26" s="62">
        <v>3</v>
      </c>
      <c r="J26" s="2">
        <f t="shared" si="0"/>
        <v>0.375</v>
      </c>
      <c r="K26" s="62">
        <f t="shared" si="2"/>
        <v>3</v>
      </c>
      <c r="L26" s="5">
        <f t="shared" si="1"/>
        <v>0.375</v>
      </c>
      <c r="N26"/>
      <c r="O26" s="14"/>
      <c r="P26"/>
      <c r="Q26" s="14"/>
    </row>
    <row r="27" spans="2:17" x14ac:dyDescent="0.35">
      <c r="B27" s="49">
        <v>3</v>
      </c>
      <c r="C27" s="50" t="s">
        <v>51</v>
      </c>
      <c r="D27" s="51" t="s">
        <v>52</v>
      </c>
      <c r="E27" s="150"/>
      <c r="F27" s="119" t="s">
        <v>129</v>
      </c>
      <c r="G27" s="114" t="s">
        <v>32</v>
      </c>
      <c r="H27" s="62">
        <v>8</v>
      </c>
      <c r="I27" s="62">
        <v>3</v>
      </c>
      <c r="J27" s="2">
        <f t="shared" si="0"/>
        <v>0.375</v>
      </c>
      <c r="K27" s="62">
        <f t="shared" si="2"/>
        <v>3</v>
      </c>
      <c r="L27" s="5">
        <f t="shared" si="1"/>
        <v>0.375</v>
      </c>
      <c r="N27"/>
      <c r="O27" s="14"/>
      <c r="P27"/>
      <c r="Q27" s="14"/>
    </row>
    <row r="28" spans="2:17" s="24" customFormat="1" x14ac:dyDescent="0.35">
      <c r="B28" s="49">
        <v>5</v>
      </c>
      <c r="C28" s="50" t="s">
        <v>95</v>
      </c>
      <c r="D28" s="51" t="s">
        <v>96</v>
      </c>
      <c r="E28" s="150"/>
      <c r="F28" s="119" t="s">
        <v>126</v>
      </c>
      <c r="G28" s="114" t="s">
        <v>32</v>
      </c>
      <c r="H28" s="62">
        <v>8</v>
      </c>
      <c r="I28" s="62">
        <v>2</v>
      </c>
      <c r="J28" s="2">
        <f t="shared" si="0"/>
        <v>0.25</v>
      </c>
      <c r="K28" s="62">
        <f t="shared" si="2"/>
        <v>2</v>
      </c>
      <c r="L28" s="5">
        <f t="shared" si="1"/>
        <v>0.25</v>
      </c>
      <c r="N28" s="55"/>
      <c r="P28" s="55"/>
    </row>
    <row r="29" spans="2:17" x14ac:dyDescent="0.35">
      <c r="B29" s="49">
        <v>5</v>
      </c>
      <c r="C29" s="50" t="s">
        <v>53</v>
      </c>
      <c r="D29" s="51" t="s">
        <v>54</v>
      </c>
      <c r="E29" s="150"/>
      <c r="F29" s="119" t="s">
        <v>129</v>
      </c>
      <c r="G29" s="114" t="s">
        <v>32</v>
      </c>
      <c r="H29" s="71">
        <v>8</v>
      </c>
      <c r="I29" s="62">
        <v>3</v>
      </c>
      <c r="J29" s="2">
        <f t="shared" si="0"/>
        <v>0.375</v>
      </c>
      <c r="K29" s="62">
        <f t="shared" si="2"/>
        <v>3</v>
      </c>
      <c r="L29" s="5">
        <f t="shared" si="1"/>
        <v>0.375</v>
      </c>
      <c r="N29"/>
      <c r="O29" s="14"/>
      <c r="P29"/>
      <c r="Q29" s="14"/>
    </row>
    <row r="30" spans="2:17" x14ac:dyDescent="0.35">
      <c r="B30" s="49">
        <v>5</v>
      </c>
      <c r="C30" s="50" t="s">
        <v>55</v>
      </c>
      <c r="D30" s="51" t="s">
        <v>56</v>
      </c>
      <c r="E30" s="150"/>
      <c r="F30" s="119" t="s">
        <v>129</v>
      </c>
      <c r="G30" s="114" t="s">
        <v>32</v>
      </c>
      <c r="H30" s="62">
        <v>8</v>
      </c>
      <c r="I30" s="62">
        <v>3</v>
      </c>
      <c r="J30" s="2">
        <f t="shared" si="0"/>
        <v>0.375</v>
      </c>
      <c r="K30" s="62">
        <f t="shared" si="2"/>
        <v>3</v>
      </c>
      <c r="L30" s="5">
        <f t="shared" si="1"/>
        <v>0.375</v>
      </c>
      <c r="N30"/>
      <c r="O30" s="14"/>
      <c r="P30"/>
      <c r="Q30" s="14"/>
    </row>
    <row r="31" spans="2:17" x14ac:dyDescent="0.35">
      <c r="B31" s="56">
        <v>8</v>
      </c>
      <c r="C31" s="57" t="s">
        <v>57</v>
      </c>
      <c r="D31" s="58" t="s">
        <v>58</v>
      </c>
      <c r="E31" s="151"/>
      <c r="F31" s="121" t="s">
        <v>133</v>
      </c>
      <c r="G31" s="117" t="s">
        <v>32</v>
      </c>
      <c r="H31" s="66">
        <v>8</v>
      </c>
      <c r="I31" s="66">
        <v>3</v>
      </c>
      <c r="J31" s="4">
        <f t="shared" si="0"/>
        <v>0.375</v>
      </c>
      <c r="K31" s="66">
        <f t="shared" si="2"/>
        <v>3</v>
      </c>
      <c r="L31" s="7">
        <f t="shared" si="1"/>
        <v>0.375</v>
      </c>
      <c r="N31"/>
      <c r="O31" s="14"/>
      <c r="P31"/>
      <c r="Q31" s="14"/>
    </row>
    <row r="32" spans="2:17" x14ac:dyDescent="0.35">
      <c r="B32" s="78">
        <v>2</v>
      </c>
      <c r="C32" s="79" t="s">
        <v>108</v>
      </c>
      <c r="D32" s="80" t="s">
        <v>109</v>
      </c>
      <c r="E32" s="155" t="s">
        <v>251</v>
      </c>
      <c r="F32" s="118" t="s">
        <v>233</v>
      </c>
      <c r="G32" s="113" t="s">
        <v>32</v>
      </c>
      <c r="H32" s="47">
        <v>11</v>
      </c>
      <c r="I32" s="47">
        <v>7</v>
      </c>
      <c r="J32" s="2">
        <f t="shared" si="0"/>
        <v>0.63636363636363635</v>
      </c>
      <c r="K32" s="47">
        <f t="shared" si="2"/>
        <v>7</v>
      </c>
      <c r="L32" s="5">
        <f t="shared" si="1"/>
        <v>0.63636363636363635</v>
      </c>
      <c r="N32"/>
      <c r="O32" s="14"/>
      <c r="P32"/>
      <c r="Q32" s="14"/>
    </row>
    <row r="33" spans="2:17" x14ac:dyDescent="0.35">
      <c r="B33" s="81">
        <v>2</v>
      </c>
      <c r="C33" s="82" t="s">
        <v>110</v>
      </c>
      <c r="D33" s="83" t="s">
        <v>111</v>
      </c>
      <c r="E33" s="155"/>
      <c r="F33" s="119" t="s">
        <v>234</v>
      </c>
      <c r="G33" s="114" t="s">
        <v>32</v>
      </c>
      <c r="H33" s="52">
        <v>11</v>
      </c>
      <c r="I33" s="53">
        <v>6</v>
      </c>
      <c r="J33" s="2">
        <f t="shared" si="0"/>
        <v>0.54545454545454541</v>
      </c>
      <c r="K33" s="53">
        <f t="shared" si="2"/>
        <v>6</v>
      </c>
      <c r="L33" s="5">
        <f t="shared" si="1"/>
        <v>0.54545454545454541</v>
      </c>
      <c r="N33"/>
      <c r="O33" s="14"/>
      <c r="P33"/>
      <c r="Q33" s="14"/>
    </row>
    <row r="34" spans="2:17" x14ac:dyDescent="0.35">
      <c r="B34" s="81">
        <v>2</v>
      </c>
      <c r="C34" s="82" t="s">
        <v>112</v>
      </c>
      <c r="D34" s="83" t="s">
        <v>113</v>
      </c>
      <c r="E34" s="155"/>
      <c r="F34" s="119" t="s">
        <v>235</v>
      </c>
      <c r="G34" s="120" t="s">
        <v>32</v>
      </c>
      <c r="H34" s="53">
        <v>12</v>
      </c>
      <c r="I34" s="54">
        <v>4</v>
      </c>
      <c r="J34" s="2">
        <f t="shared" si="0"/>
        <v>0.33333333333333331</v>
      </c>
      <c r="K34" s="54">
        <f t="shared" si="2"/>
        <v>4</v>
      </c>
      <c r="L34" s="5">
        <f t="shared" si="1"/>
        <v>0.33333333333333331</v>
      </c>
      <c r="N34"/>
      <c r="O34" s="14"/>
      <c r="P34"/>
      <c r="Q34" s="14"/>
    </row>
    <row r="35" spans="2:17" x14ac:dyDescent="0.35">
      <c r="B35" s="81">
        <v>2</v>
      </c>
      <c r="C35" s="82" t="s">
        <v>114</v>
      </c>
      <c r="D35" s="83" t="s">
        <v>115</v>
      </c>
      <c r="E35" s="155"/>
      <c r="F35" s="119" t="s">
        <v>317</v>
      </c>
      <c r="G35" s="114" t="s">
        <v>317</v>
      </c>
      <c r="H35" s="53">
        <v>11</v>
      </c>
      <c r="I35" s="53">
        <v>0</v>
      </c>
      <c r="J35" s="2">
        <f t="shared" si="0"/>
        <v>0</v>
      </c>
      <c r="K35" s="53">
        <f t="shared" si="2"/>
        <v>0</v>
      </c>
      <c r="L35" s="5">
        <f t="shared" si="1"/>
        <v>0</v>
      </c>
      <c r="N35"/>
      <c r="O35" s="14"/>
      <c r="P35"/>
      <c r="Q35" s="14"/>
    </row>
    <row r="36" spans="2:17" x14ac:dyDescent="0.35">
      <c r="B36" s="81">
        <v>2</v>
      </c>
      <c r="C36" s="82" t="s">
        <v>116</v>
      </c>
      <c r="D36" s="83" t="s">
        <v>117</v>
      </c>
      <c r="E36" s="155"/>
      <c r="F36" s="119" t="s">
        <v>317</v>
      </c>
      <c r="G36" s="122" t="s">
        <v>317</v>
      </c>
      <c r="H36" s="53">
        <v>11</v>
      </c>
      <c r="I36" s="53">
        <v>0</v>
      </c>
      <c r="J36" s="2">
        <f t="shared" si="0"/>
        <v>0</v>
      </c>
      <c r="K36" s="53">
        <f t="shared" si="2"/>
        <v>0</v>
      </c>
      <c r="L36" s="5">
        <f t="shared" si="1"/>
        <v>0</v>
      </c>
      <c r="N36"/>
      <c r="O36" s="14"/>
      <c r="P36"/>
      <c r="Q36" s="14"/>
    </row>
    <row r="37" spans="2:17" x14ac:dyDescent="0.35">
      <c r="B37" s="81">
        <v>2</v>
      </c>
      <c r="C37" s="82" t="s">
        <v>86</v>
      </c>
      <c r="D37" s="83" t="s">
        <v>87</v>
      </c>
      <c r="E37" s="155"/>
      <c r="F37" s="119" t="s">
        <v>236</v>
      </c>
      <c r="G37" s="114" t="s">
        <v>32</v>
      </c>
      <c r="H37" s="53">
        <v>11</v>
      </c>
      <c r="I37" s="53">
        <v>4</v>
      </c>
      <c r="J37" s="2">
        <f t="shared" si="0"/>
        <v>0.36363636363636365</v>
      </c>
      <c r="K37" s="53">
        <f t="shared" si="2"/>
        <v>4</v>
      </c>
      <c r="L37" s="5">
        <f t="shared" si="1"/>
        <v>0.36363636363636365</v>
      </c>
      <c r="N37"/>
      <c r="O37" s="14"/>
      <c r="P37"/>
      <c r="Q37" s="14"/>
    </row>
    <row r="38" spans="2:17" x14ac:dyDescent="0.35">
      <c r="B38" s="81">
        <v>2</v>
      </c>
      <c r="C38" s="82" t="s">
        <v>118</v>
      </c>
      <c r="D38" s="83" t="s">
        <v>119</v>
      </c>
      <c r="E38" s="155"/>
      <c r="F38" s="119" t="s">
        <v>237</v>
      </c>
      <c r="G38" s="114" t="s">
        <v>32</v>
      </c>
      <c r="H38" s="53">
        <v>11</v>
      </c>
      <c r="I38" s="53">
        <v>4</v>
      </c>
      <c r="J38" s="2">
        <f t="shared" si="0"/>
        <v>0.36363636363636365</v>
      </c>
      <c r="K38" s="53">
        <f t="shared" si="2"/>
        <v>4</v>
      </c>
      <c r="L38" s="5">
        <f t="shared" si="1"/>
        <v>0.36363636363636365</v>
      </c>
      <c r="N38"/>
      <c r="O38" s="14"/>
      <c r="P38"/>
      <c r="Q38" s="14"/>
    </row>
    <row r="39" spans="2:17" x14ac:dyDescent="0.35">
      <c r="B39" s="84">
        <v>2</v>
      </c>
      <c r="C39" s="85" t="s">
        <v>120</v>
      </c>
      <c r="D39" s="86" t="s">
        <v>121</v>
      </c>
      <c r="E39" s="155"/>
      <c r="F39" s="121" t="s">
        <v>238</v>
      </c>
      <c r="G39" s="123" t="s">
        <v>32</v>
      </c>
      <c r="H39" s="59">
        <v>12</v>
      </c>
      <c r="I39" s="59">
        <v>5</v>
      </c>
      <c r="J39" s="4">
        <f t="shared" si="0"/>
        <v>0.41666666666666669</v>
      </c>
      <c r="K39" s="59">
        <f t="shared" si="2"/>
        <v>5</v>
      </c>
      <c r="L39" s="7">
        <f t="shared" si="1"/>
        <v>0.41666666666666669</v>
      </c>
      <c r="N39"/>
      <c r="O39" s="14"/>
      <c r="P39"/>
      <c r="Q39" s="14"/>
    </row>
    <row r="40" spans="2:17" x14ac:dyDescent="0.35">
      <c r="B40" s="87">
        <v>3</v>
      </c>
      <c r="C40" s="88" t="s">
        <v>43</v>
      </c>
      <c r="D40" s="89" t="s">
        <v>44</v>
      </c>
      <c r="E40" s="152" t="s">
        <v>252</v>
      </c>
      <c r="F40" s="113" t="s">
        <v>184</v>
      </c>
      <c r="G40" s="113" t="s">
        <v>185</v>
      </c>
      <c r="H40" s="48">
        <v>10</v>
      </c>
      <c r="I40" s="48">
        <v>4</v>
      </c>
      <c r="J40" s="2">
        <f t="shared" si="0"/>
        <v>0.4</v>
      </c>
      <c r="K40" s="48">
        <f t="shared" si="2"/>
        <v>4</v>
      </c>
      <c r="L40" s="5">
        <f t="shared" si="1"/>
        <v>0.4</v>
      </c>
    </row>
    <row r="41" spans="2:17" x14ac:dyDescent="0.35">
      <c r="B41" s="62">
        <v>3</v>
      </c>
      <c r="C41" s="74" t="s">
        <v>45</v>
      </c>
      <c r="D41" s="90" t="s">
        <v>46</v>
      </c>
      <c r="E41" s="153"/>
      <c r="F41" s="119" t="s">
        <v>126</v>
      </c>
      <c r="G41" s="114" t="s">
        <v>32</v>
      </c>
      <c r="H41" s="71">
        <v>10</v>
      </c>
      <c r="I41" s="62">
        <v>3</v>
      </c>
      <c r="J41" s="2">
        <f t="shared" si="0"/>
        <v>0.3</v>
      </c>
      <c r="K41" s="62">
        <f t="shared" si="2"/>
        <v>3</v>
      </c>
      <c r="L41" s="5">
        <f t="shared" si="1"/>
        <v>0.3</v>
      </c>
    </row>
    <row r="42" spans="2:17" x14ac:dyDescent="0.35">
      <c r="B42" s="62">
        <v>3</v>
      </c>
      <c r="C42" s="74" t="s">
        <v>78</v>
      </c>
      <c r="D42" s="90" t="s">
        <v>79</v>
      </c>
      <c r="E42" s="153"/>
      <c r="F42" s="119" t="s">
        <v>126</v>
      </c>
      <c r="G42" s="120" t="s">
        <v>32</v>
      </c>
      <c r="H42" s="62">
        <v>10</v>
      </c>
      <c r="I42" s="64">
        <v>3</v>
      </c>
      <c r="J42" s="2">
        <f t="shared" si="0"/>
        <v>0.3</v>
      </c>
      <c r="K42" s="64">
        <f t="shared" si="2"/>
        <v>3</v>
      </c>
      <c r="L42" s="5">
        <f t="shared" si="1"/>
        <v>0.3</v>
      </c>
    </row>
    <row r="43" spans="2:17" x14ac:dyDescent="0.35">
      <c r="B43" s="62">
        <v>3</v>
      </c>
      <c r="C43" s="74" t="s">
        <v>47</v>
      </c>
      <c r="D43" s="90" t="s">
        <v>48</v>
      </c>
      <c r="E43" s="153"/>
      <c r="F43" s="119" t="s">
        <v>186</v>
      </c>
      <c r="G43" s="114" t="s">
        <v>187</v>
      </c>
      <c r="H43" s="62">
        <v>10</v>
      </c>
      <c r="I43" s="62">
        <v>3</v>
      </c>
      <c r="J43" s="2">
        <f t="shared" si="0"/>
        <v>0.3</v>
      </c>
      <c r="K43" s="62">
        <f t="shared" si="2"/>
        <v>3</v>
      </c>
      <c r="L43" s="5">
        <f t="shared" si="1"/>
        <v>0.3</v>
      </c>
    </row>
    <row r="44" spans="2:17" x14ac:dyDescent="0.35">
      <c r="B44" s="62">
        <v>3</v>
      </c>
      <c r="C44" s="74" t="s">
        <v>49</v>
      </c>
      <c r="D44" s="90" t="s">
        <v>50</v>
      </c>
      <c r="E44" s="153"/>
      <c r="F44" s="119" t="s">
        <v>188</v>
      </c>
      <c r="G44" s="114" t="s">
        <v>189</v>
      </c>
      <c r="H44" s="62">
        <v>10</v>
      </c>
      <c r="I44" s="62">
        <v>4</v>
      </c>
      <c r="J44" s="2">
        <f t="shared" si="0"/>
        <v>0.4</v>
      </c>
      <c r="K44" s="62">
        <f t="shared" si="2"/>
        <v>4</v>
      </c>
      <c r="L44" s="5">
        <f t="shared" si="1"/>
        <v>0.4</v>
      </c>
    </row>
    <row r="45" spans="2:17" x14ac:dyDescent="0.35">
      <c r="B45" s="62">
        <v>3</v>
      </c>
      <c r="C45" s="74" t="s">
        <v>51</v>
      </c>
      <c r="D45" s="90" t="s">
        <v>52</v>
      </c>
      <c r="E45" s="153"/>
      <c r="F45" s="119" t="s">
        <v>190</v>
      </c>
      <c r="G45" s="114" t="s">
        <v>191</v>
      </c>
      <c r="H45" s="62">
        <v>10</v>
      </c>
      <c r="I45" s="62">
        <v>4</v>
      </c>
      <c r="J45" s="2">
        <f t="shared" ref="J45:J68" si="3">IFERROR(I45/H45,0)</f>
        <v>0.4</v>
      </c>
      <c r="K45" s="62">
        <f t="shared" si="2"/>
        <v>4</v>
      </c>
      <c r="L45" s="5">
        <f t="shared" ref="L45:L68" si="4">IFERROR(K45/H45,0)</f>
        <v>0.4</v>
      </c>
    </row>
    <row r="46" spans="2:17" x14ac:dyDescent="0.35">
      <c r="B46" s="62">
        <v>5</v>
      </c>
      <c r="C46" s="74" t="s">
        <v>53</v>
      </c>
      <c r="D46" s="90" t="s">
        <v>54</v>
      </c>
      <c r="E46" s="153"/>
      <c r="F46" s="137" t="s">
        <v>192</v>
      </c>
      <c r="G46" s="127" t="s">
        <v>32</v>
      </c>
      <c r="H46" s="62">
        <v>10</v>
      </c>
      <c r="I46" s="62">
        <v>3</v>
      </c>
      <c r="J46" s="2">
        <f t="shared" si="3"/>
        <v>0.3</v>
      </c>
      <c r="K46" s="62">
        <f t="shared" si="2"/>
        <v>3</v>
      </c>
      <c r="L46" s="5">
        <f t="shared" si="4"/>
        <v>0.3</v>
      </c>
    </row>
    <row r="47" spans="2:17" x14ac:dyDescent="0.35">
      <c r="B47" s="62">
        <v>5</v>
      </c>
      <c r="C47" s="74" t="s">
        <v>55</v>
      </c>
      <c r="D47" s="90" t="s">
        <v>56</v>
      </c>
      <c r="E47" s="153"/>
      <c r="F47" s="119" t="s">
        <v>193</v>
      </c>
      <c r="G47" s="114" t="s">
        <v>194</v>
      </c>
      <c r="H47" s="74">
        <v>10</v>
      </c>
      <c r="I47" s="62">
        <v>3</v>
      </c>
      <c r="J47" s="2">
        <f t="shared" si="3"/>
        <v>0.3</v>
      </c>
      <c r="K47" s="62">
        <f t="shared" si="2"/>
        <v>3</v>
      </c>
      <c r="L47" s="5">
        <f t="shared" si="4"/>
        <v>0.3</v>
      </c>
    </row>
    <row r="48" spans="2:17" x14ac:dyDescent="0.35">
      <c r="B48" s="66">
        <v>8</v>
      </c>
      <c r="C48" s="91" t="s">
        <v>57</v>
      </c>
      <c r="D48" s="92" t="s">
        <v>58</v>
      </c>
      <c r="E48" s="154"/>
      <c r="F48" s="117" t="s">
        <v>133</v>
      </c>
      <c r="G48" s="123" t="s">
        <v>32</v>
      </c>
      <c r="H48" s="66">
        <v>10</v>
      </c>
      <c r="I48" s="66">
        <v>3</v>
      </c>
      <c r="J48" s="4">
        <f t="shared" si="3"/>
        <v>0.3</v>
      </c>
      <c r="K48" s="66">
        <f t="shared" si="2"/>
        <v>3</v>
      </c>
      <c r="L48" s="7">
        <f t="shared" si="4"/>
        <v>0.3</v>
      </c>
    </row>
    <row r="49" spans="2:17" x14ac:dyDescent="0.35">
      <c r="B49" s="93">
        <v>1</v>
      </c>
      <c r="C49" s="94" t="s">
        <v>99</v>
      </c>
      <c r="D49" s="95" t="s">
        <v>122</v>
      </c>
      <c r="E49" s="155" t="s">
        <v>253</v>
      </c>
      <c r="F49" s="118" t="s">
        <v>240</v>
      </c>
      <c r="G49" s="113" t="s">
        <v>157</v>
      </c>
      <c r="H49" s="48">
        <v>15</v>
      </c>
      <c r="I49" s="48">
        <v>7</v>
      </c>
      <c r="J49" s="2">
        <f t="shared" si="3"/>
        <v>0.46666666666666667</v>
      </c>
      <c r="K49" s="48">
        <f t="shared" si="2"/>
        <v>7</v>
      </c>
      <c r="L49" s="5">
        <f t="shared" si="4"/>
        <v>0.46666666666666667</v>
      </c>
      <c r="N49"/>
      <c r="O49" s="14"/>
      <c r="P49"/>
      <c r="Q49" s="14"/>
    </row>
    <row r="50" spans="2:17" x14ac:dyDescent="0.35">
      <c r="B50" s="81">
        <v>1</v>
      </c>
      <c r="C50" s="82" t="s">
        <v>60</v>
      </c>
      <c r="D50" s="83" t="s">
        <v>61</v>
      </c>
      <c r="E50" s="155"/>
      <c r="F50" s="119" t="s">
        <v>215</v>
      </c>
      <c r="G50" s="114" t="s">
        <v>158</v>
      </c>
      <c r="H50" s="71">
        <v>15</v>
      </c>
      <c r="I50" s="62">
        <v>4</v>
      </c>
      <c r="J50" s="2">
        <f t="shared" si="3"/>
        <v>0.26666666666666666</v>
      </c>
      <c r="K50" s="62">
        <f t="shared" si="2"/>
        <v>4</v>
      </c>
      <c r="L50" s="5">
        <f t="shared" si="4"/>
        <v>0.26666666666666666</v>
      </c>
      <c r="N50"/>
      <c r="O50" s="14"/>
      <c r="P50"/>
      <c r="Q50" s="14"/>
    </row>
    <row r="51" spans="2:17" x14ac:dyDescent="0.35">
      <c r="B51" s="81">
        <v>1</v>
      </c>
      <c r="C51" s="82" t="s">
        <v>62</v>
      </c>
      <c r="D51" s="83" t="s">
        <v>63</v>
      </c>
      <c r="E51" s="155"/>
      <c r="F51" s="119" t="s">
        <v>241</v>
      </c>
      <c r="G51" s="120" t="s">
        <v>157</v>
      </c>
      <c r="H51" s="62">
        <v>15</v>
      </c>
      <c r="I51" s="64">
        <v>4</v>
      </c>
      <c r="J51" s="2">
        <f t="shared" si="3"/>
        <v>0.26666666666666666</v>
      </c>
      <c r="K51" s="64">
        <f t="shared" si="2"/>
        <v>4</v>
      </c>
      <c r="L51" s="5">
        <f t="shared" si="4"/>
        <v>0.26666666666666666</v>
      </c>
      <c r="N51"/>
      <c r="O51" s="14"/>
      <c r="P51"/>
      <c r="Q51" s="14"/>
    </row>
    <row r="52" spans="2:17" x14ac:dyDescent="0.35">
      <c r="B52" s="81">
        <v>1</v>
      </c>
      <c r="C52" s="82" t="s">
        <v>72</v>
      </c>
      <c r="D52" s="83" t="s">
        <v>73</v>
      </c>
      <c r="E52" s="155"/>
      <c r="F52" s="119" t="s">
        <v>242</v>
      </c>
      <c r="G52" s="114" t="s">
        <v>157</v>
      </c>
      <c r="H52" s="62">
        <v>15</v>
      </c>
      <c r="I52" s="62">
        <v>4</v>
      </c>
      <c r="J52" s="2">
        <f t="shared" si="3"/>
        <v>0.26666666666666666</v>
      </c>
      <c r="K52" s="62">
        <f t="shared" si="2"/>
        <v>4</v>
      </c>
      <c r="L52" s="5">
        <f t="shared" si="4"/>
        <v>0.26666666666666666</v>
      </c>
      <c r="N52"/>
      <c r="O52" s="14"/>
      <c r="P52"/>
      <c r="Q52" s="14"/>
    </row>
    <row r="53" spans="2:17" x14ac:dyDescent="0.35">
      <c r="B53" s="81">
        <v>1</v>
      </c>
      <c r="C53" s="82" t="s">
        <v>123</v>
      </c>
      <c r="D53" s="83" t="s">
        <v>239</v>
      </c>
      <c r="E53" s="155"/>
      <c r="F53" s="119" t="s">
        <v>243</v>
      </c>
      <c r="G53" s="114" t="s">
        <v>157</v>
      </c>
      <c r="H53" s="62">
        <v>15</v>
      </c>
      <c r="I53" s="62">
        <v>4</v>
      </c>
      <c r="J53" s="2">
        <f t="shared" si="3"/>
        <v>0.26666666666666666</v>
      </c>
      <c r="K53" s="62">
        <f t="shared" si="2"/>
        <v>4</v>
      </c>
      <c r="L53" s="5">
        <f t="shared" si="4"/>
        <v>0.26666666666666666</v>
      </c>
      <c r="N53"/>
      <c r="O53" s="14"/>
      <c r="P53"/>
      <c r="Q53" s="14"/>
    </row>
    <row r="54" spans="2:17" x14ac:dyDescent="0.35">
      <c r="B54" s="84">
        <v>2</v>
      </c>
      <c r="C54" s="85" t="s">
        <v>110</v>
      </c>
      <c r="D54" s="86" t="s">
        <v>111</v>
      </c>
      <c r="E54" s="155"/>
      <c r="F54" s="121" t="s">
        <v>216</v>
      </c>
      <c r="G54" s="123" t="s">
        <v>217</v>
      </c>
      <c r="H54" s="66">
        <v>15</v>
      </c>
      <c r="I54" s="66">
        <v>7</v>
      </c>
      <c r="J54" s="4">
        <f t="shared" si="3"/>
        <v>0.46666666666666667</v>
      </c>
      <c r="K54" s="66">
        <f t="shared" si="2"/>
        <v>7</v>
      </c>
      <c r="L54" s="7">
        <f t="shared" si="4"/>
        <v>0.46666666666666667</v>
      </c>
      <c r="N54"/>
      <c r="O54" s="14"/>
      <c r="P54"/>
      <c r="Q54" s="14"/>
    </row>
    <row r="55" spans="2:17" x14ac:dyDescent="0.35">
      <c r="B55" s="44">
        <v>3</v>
      </c>
      <c r="C55" s="45" t="s">
        <v>43</v>
      </c>
      <c r="D55" s="46" t="s">
        <v>44</v>
      </c>
      <c r="E55" s="149" t="s">
        <v>254</v>
      </c>
      <c r="F55" s="118" t="s">
        <v>219</v>
      </c>
      <c r="G55" s="113" t="s">
        <v>148</v>
      </c>
      <c r="H55" s="60">
        <v>9</v>
      </c>
      <c r="I55" s="48">
        <v>3</v>
      </c>
      <c r="J55" s="2">
        <f t="shared" si="3"/>
        <v>0.33333333333333331</v>
      </c>
      <c r="K55" s="48">
        <f t="shared" si="2"/>
        <v>3</v>
      </c>
      <c r="L55" s="9">
        <f t="shared" si="4"/>
        <v>0.33333333333333331</v>
      </c>
      <c r="N55"/>
      <c r="O55" s="14"/>
      <c r="P55"/>
      <c r="Q55" s="14"/>
    </row>
    <row r="56" spans="2:17" x14ac:dyDescent="0.35">
      <c r="B56" s="49">
        <v>3</v>
      </c>
      <c r="C56" s="50" t="s">
        <v>45</v>
      </c>
      <c r="D56" s="51" t="s">
        <v>46</v>
      </c>
      <c r="E56" s="150"/>
      <c r="F56" s="119" t="s">
        <v>207</v>
      </c>
      <c r="G56" s="114" t="s">
        <v>208</v>
      </c>
      <c r="H56" s="61">
        <v>18</v>
      </c>
      <c r="I56" s="62">
        <v>6</v>
      </c>
      <c r="J56" s="2">
        <f t="shared" si="3"/>
        <v>0.33333333333333331</v>
      </c>
      <c r="K56" s="62">
        <f t="shared" si="2"/>
        <v>6</v>
      </c>
      <c r="L56" s="9">
        <f t="shared" si="4"/>
        <v>0.33333333333333331</v>
      </c>
      <c r="N56"/>
      <c r="O56" s="14"/>
      <c r="P56"/>
      <c r="Q56" s="14"/>
    </row>
    <row r="57" spans="2:17" x14ac:dyDescent="0.35">
      <c r="B57" s="49">
        <v>3</v>
      </c>
      <c r="C57" s="50" t="s">
        <v>78</v>
      </c>
      <c r="D57" s="51" t="s">
        <v>79</v>
      </c>
      <c r="E57" s="150"/>
      <c r="F57" s="119" t="s">
        <v>220</v>
      </c>
      <c r="G57" s="120" t="s">
        <v>209</v>
      </c>
      <c r="H57" s="63">
        <v>6</v>
      </c>
      <c r="I57" s="64">
        <v>2</v>
      </c>
      <c r="J57" s="2">
        <f t="shared" si="3"/>
        <v>0.33333333333333331</v>
      </c>
      <c r="K57" s="64">
        <f t="shared" si="2"/>
        <v>2</v>
      </c>
      <c r="L57" s="9">
        <f t="shared" si="4"/>
        <v>0.33333333333333331</v>
      </c>
      <c r="N57"/>
      <c r="O57" s="14"/>
      <c r="P57"/>
      <c r="Q57" s="14"/>
    </row>
    <row r="58" spans="2:17" x14ac:dyDescent="0.35">
      <c r="B58" s="49">
        <v>3</v>
      </c>
      <c r="C58" s="50" t="s">
        <v>47</v>
      </c>
      <c r="D58" s="51" t="s">
        <v>48</v>
      </c>
      <c r="E58" s="150"/>
      <c r="F58" s="119" t="s">
        <v>221</v>
      </c>
      <c r="G58" s="120" t="s">
        <v>210</v>
      </c>
      <c r="H58" s="63">
        <v>18</v>
      </c>
      <c r="I58" s="62">
        <v>6</v>
      </c>
      <c r="J58" s="2">
        <f t="shared" si="3"/>
        <v>0.33333333333333331</v>
      </c>
      <c r="K58" s="62">
        <f t="shared" si="2"/>
        <v>6</v>
      </c>
      <c r="L58" s="9">
        <f t="shared" si="4"/>
        <v>0.33333333333333331</v>
      </c>
      <c r="N58"/>
      <c r="O58" s="14"/>
      <c r="P58"/>
      <c r="Q58" s="14"/>
    </row>
    <row r="59" spans="2:17" x14ac:dyDescent="0.35">
      <c r="B59" s="49">
        <v>3</v>
      </c>
      <c r="C59" s="50" t="s">
        <v>49</v>
      </c>
      <c r="D59" s="51" t="s">
        <v>50</v>
      </c>
      <c r="E59" s="150"/>
      <c r="F59" s="119" t="s">
        <v>211</v>
      </c>
      <c r="G59" s="114" t="s">
        <v>151</v>
      </c>
      <c r="H59" s="63">
        <v>9</v>
      </c>
      <c r="I59" s="62">
        <v>3</v>
      </c>
      <c r="J59" s="2">
        <f t="shared" si="3"/>
        <v>0.33333333333333331</v>
      </c>
      <c r="K59" s="62">
        <f t="shared" si="2"/>
        <v>3</v>
      </c>
      <c r="L59" s="9">
        <f t="shared" si="4"/>
        <v>0.33333333333333331</v>
      </c>
      <c r="N59"/>
      <c r="O59" s="14"/>
      <c r="P59"/>
      <c r="Q59" s="14"/>
    </row>
    <row r="60" spans="2:17" s="24" customFormat="1" x14ac:dyDescent="0.35">
      <c r="B60" s="49">
        <v>3</v>
      </c>
      <c r="C60" s="50" t="s">
        <v>51</v>
      </c>
      <c r="D60" s="51" t="s">
        <v>52</v>
      </c>
      <c r="E60" s="150"/>
      <c r="F60" s="119" t="s">
        <v>222</v>
      </c>
      <c r="G60" s="114" t="s">
        <v>212</v>
      </c>
      <c r="H60" s="63">
        <v>9</v>
      </c>
      <c r="I60" s="62">
        <v>3</v>
      </c>
      <c r="J60" s="2">
        <f t="shared" si="3"/>
        <v>0.33333333333333331</v>
      </c>
      <c r="K60" s="62">
        <f t="shared" si="2"/>
        <v>3</v>
      </c>
      <c r="L60" s="9">
        <f t="shared" si="4"/>
        <v>0.33333333333333331</v>
      </c>
      <c r="N60" s="55"/>
      <c r="P60" s="55"/>
    </row>
    <row r="61" spans="2:17" x14ac:dyDescent="0.35">
      <c r="B61" s="49">
        <v>5</v>
      </c>
      <c r="C61" s="50" t="s">
        <v>53</v>
      </c>
      <c r="D61" s="51" t="s">
        <v>54</v>
      </c>
      <c r="E61" s="150"/>
      <c r="F61" s="119" t="s">
        <v>223</v>
      </c>
      <c r="G61" s="114" t="s">
        <v>213</v>
      </c>
      <c r="H61" s="63">
        <v>6</v>
      </c>
      <c r="I61" s="62">
        <v>2</v>
      </c>
      <c r="J61" s="2">
        <f t="shared" si="3"/>
        <v>0.33333333333333331</v>
      </c>
      <c r="K61" s="62">
        <f t="shared" si="2"/>
        <v>2</v>
      </c>
      <c r="L61" s="9">
        <f t="shared" si="4"/>
        <v>0.33333333333333331</v>
      </c>
      <c r="N61"/>
      <c r="O61" s="14"/>
      <c r="P61"/>
      <c r="Q61" s="14"/>
    </row>
    <row r="62" spans="2:17" x14ac:dyDescent="0.35">
      <c r="B62" s="49">
        <v>5</v>
      </c>
      <c r="C62" s="50" t="s">
        <v>55</v>
      </c>
      <c r="D62" s="51" t="s">
        <v>56</v>
      </c>
      <c r="E62" s="150"/>
      <c r="F62" s="119" t="s">
        <v>214</v>
      </c>
      <c r="G62" s="114" t="s">
        <v>210</v>
      </c>
      <c r="H62" s="63">
        <v>9</v>
      </c>
      <c r="I62" s="62">
        <v>3</v>
      </c>
      <c r="J62" s="2">
        <f t="shared" si="3"/>
        <v>0.33333333333333331</v>
      </c>
      <c r="K62" s="62">
        <f t="shared" si="2"/>
        <v>3</v>
      </c>
      <c r="L62" s="9">
        <f t="shared" si="4"/>
        <v>0.33333333333333331</v>
      </c>
      <c r="N62"/>
      <c r="O62" s="14"/>
      <c r="P62"/>
      <c r="Q62" s="14"/>
    </row>
    <row r="63" spans="2:17" x14ac:dyDescent="0.35">
      <c r="B63" s="56">
        <v>8</v>
      </c>
      <c r="C63" s="57" t="s">
        <v>57</v>
      </c>
      <c r="D63" s="58" t="s">
        <v>58</v>
      </c>
      <c r="E63" s="151"/>
      <c r="F63" s="121" t="s">
        <v>224</v>
      </c>
      <c r="G63" s="123" t="s">
        <v>148</v>
      </c>
      <c r="H63" s="65">
        <v>6</v>
      </c>
      <c r="I63" s="66">
        <v>2</v>
      </c>
      <c r="J63" s="4">
        <f t="shared" si="3"/>
        <v>0.33333333333333331</v>
      </c>
      <c r="K63" s="66">
        <f t="shared" si="2"/>
        <v>2</v>
      </c>
      <c r="L63" s="10">
        <f t="shared" si="4"/>
        <v>0.33333333333333331</v>
      </c>
      <c r="N63"/>
      <c r="O63" s="14"/>
      <c r="P63"/>
      <c r="Q63" s="14"/>
    </row>
    <row r="64" spans="2:17" x14ac:dyDescent="0.35">
      <c r="B64" s="78">
        <v>3</v>
      </c>
      <c r="C64" s="79" t="s">
        <v>43</v>
      </c>
      <c r="D64" s="80" t="s">
        <v>44</v>
      </c>
      <c r="E64" s="148" t="s">
        <v>255</v>
      </c>
      <c r="F64" s="138" t="s">
        <v>124</v>
      </c>
      <c r="G64" s="113" t="s">
        <v>201</v>
      </c>
      <c r="H64" s="47">
        <v>10</v>
      </c>
      <c r="I64" s="48">
        <v>3</v>
      </c>
      <c r="J64" s="2">
        <f t="shared" si="3"/>
        <v>0.3</v>
      </c>
      <c r="K64" s="48">
        <f t="shared" si="2"/>
        <v>3</v>
      </c>
      <c r="L64" s="5">
        <f t="shared" si="4"/>
        <v>0.3</v>
      </c>
      <c r="N64"/>
      <c r="O64" s="14"/>
      <c r="P64"/>
      <c r="Q64" s="14"/>
    </row>
    <row r="65" spans="2:17" x14ac:dyDescent="0.35">
      <c r="B65" s="81">
        <v>3</v>
      </c>
      <c r="C65" s="82" t="s">
        <v>45</v>
      </c>
      <c r="D65" s="83" t="s">
        <v>46</v>
      </c>
      <c r="E65" s="148"/>
      <c r="F65" s="139" t="s">
        <v>244</v>
      </c>
      <c r="G65" s="127" t="s">
        <v>201</v>
      </c>
      <c r="H65" s="52">
        <v>10</v>
      </c>
      <c r="I65" s="62">
        <v>4</v>
      </c>
      <c r="J65" s="2">
        <f t="shared" si="3"/>
        <v>0.4</v>
      </c>
      <c r="K65" s="62">
        <f t="shared" si="2"/>
        <v>4</v>
      </c>
      <c r="L65" s="5">
        <f t="shared" si="4"/>
        <v>0.4</v>
      </c>
      <c r="N65"/>
      <c r="O65" s="14"/>
      <c r="P65"/>
      <c r="Q65" s="14"/>
    </row>
    <row r="66" spans="2:17" x14ac:dyDescent="0.35">
      <c r="B66" s="81">
        <v>3</v>
      </c>
      <c r="C66" s="82" t="s">
        <v>78</v>
      </c>
      <c r="D66" s="83" t="s">
        <v>79</v>
      </c>
      <c r="E66" s="148"/>
      <c r="F66" s="139" t="s">
        <v>245</v>
      </c>
      <c r="G66" s="114" t="s">
        <v>201</v>
      </c>
      <c r="H66" s="53">
        <v>10</v>
      </c>
      <c r="I66" s="64">
        <v>4</v>
      </c>
      <c r="J66" s="2">
        <f t="shared" si="3"/>
        <v>0.4</v>
      </c>
      <c r="K66" s="64">
        <f t="shared" si="2"/>
        <v>4</v>
      </c>
      <c r="L66" s="5">
        <f t="shared" si="4"/>
        <v>0.4</v>
      </c>
      <c r="N66"/>
      <c r="O66" s="14"/>
      <c r="P66"/>
      <c r="Q66" s="14"/>
    </row>
    <row r="67" spans="2:17" x14ac:dyDescent="0.35">
      <c r="B67" s="81">
        <v>3</v>
      </c>
      <c r="C67" s="82" t="s">
        <v>47</v>
      </c>
      <c r="D67" s="83" t="s">
        <v>48</v>
      </c>
      <c r="E67" s="148"/>
      <c r="F67" s="139" t="s">
        <v>246</v>
      </c>
      <c r="G67" s="114" t="s">
        <v>201</v>
      </c>
      <c r="H67" s="53">
        <v>10</v>
      </c>
      <c r="I67" s="62">
        <v>3</v>
      </c>
      <c r="J67" s="2">
        <f t="shared" si="3"/>
        <v>0.3</v>
      </c>
      <c r="K67" s="62">
        <f t="shared" si="2"/>
        <v>3</v>
      </c>
      <c r="L67" s="5">
        <f t="shared" si="4"/>
        <v>0.3</v>
      </c>
      <c r="N67"/>
      <c r="O67" s="14"/>
      <c r="P67"/>
      <c r="Q67" s="14"/>
    </row>
    <row r="68" spans="2:17" x14ac:dyDescent="0.35">
      <c r="B68" s="81">
        <v>3</v>
      </c>
      <c r="C68" s="82" t="s">
        <v>49</v>
      </c>
      <c r="D68" s="83" t="s">
        <v>50</v>
      </c>
      <c r="E68" s="148"/>
      <c r="F68" s="140" t="s">
        <v>247</v>
      </c>
      <c r="G68" s="114" t="s">
        <v>201</v>
      </c>
      <c r="H68" s="53">
        <v>10</v>
      </c>
      <c r="I68" s="62">
        <v>3</v>
      </c>
      <c r="J68" s="2">
        <f t="shared" si="3"/>
        <v>0.3</v>
      </c>
      <c r="K68" s="62">
        <f t="shared" si="2"/>
        <v>3</v>
      </c>
      <c r="L68" s="5">
        <f t="shared" si="4"/>
        <v>0.3</v>
      </c>
      <c r="N68"/>
      <c r="O68" s="14"/>
      <c r="P68"/>
      <c r="Q68" s="14"/>
    </row>
    <row r="69" spans="2:17" x14ac:dyDescent="0.35">
      <c r="B69" s="81">
        <v>3</v>
      </c>
      <c r="C69" s="82" t="s">
        <v>51</v>
      </c>
      <c r="D69" s="83" t="s">
        <v>52</v>
      </c>
      <c r="E69" s="148"/>
      <c r="F69" s="140" t="s">
        <v>129</v>
      </c>
      <c r="G69" s="114" t="s">
        <v>201</v>
      </c>
      <c r="H69" s="53">
        <v>10</v>
      </c>
      <c r="I69" s="62">
        <v>3</v>
      </c>
      <c r="J69" s="2">
        <f t="shared" ref="J69:J72" si="5">IFERROR(I69/H69,0)</f>
        <v>0.3</v>
      </c>
      <c r="K69" s="62">
        <f t="shared" si="2"/>
        <v>3</v>
      </c>
      <c r="L69" s="5">
        <f t="shared" ref="L69:L72" si="6">IFERROR(K69/H69,0)</f>
        <v>0.3</v>
      </c>
      <c r="N69"/>
      <c r="O69" s="14"/>
      <c r="P69"/>
      <c r="Q69" s="14"/>
    </row>
    <row r="70" spans="2:17" x14ac:dyDescent="0.35">
      <c r="B70" s="81">
        <v>5</v>
      </c>
      <c r="C70" s="82" t="s">
        <v>53</v>
      </c>
      <c r="D70" s="83" t="s">
        <v>54</v>
      </c>
      <c r="E70" s="148"/>
      <c r="F70" s="139" t="s">
        <v>218</v>
      </c>
      <c r="G70" s="114" t="s">
        <v>201</v>
      </c>
      <c r="H70" s="53">
        <v>10</v>
      </c>
      <c r="I70" s="62">
        <v>3</v>
      </c>
      <c r="J70" s="2">
        <f t="shared" si="5"/>
        <v>0.3</v>
      </c>
      <c r="K70" s="62">
        <f t="shared" si="2"/>
        <v>3</v>
      </c>
      <c r="L70" s="5">
        <f t="shared" si="6"/>
        <v>0.3</v>
      </c>
      <c r="N70"/>
      <c r="O70" s="14"/>
      <c r="P70"/>
      <c r="Q70" s="14"/>
    </row>
    <row r="71" spans="2:17" x14ac:dyDescent="0.35">
      <c r="B71" s="81">
        <v>5</v>
      </c>
      <c r="C71" s="82" t="s">
        <v>55</v>
      </c>
      <c r="D71" s="83" t="s">
        <v>56</v>
      </c>
      <c r="E71" s="148"/>
      <c r="F71" s="140" t="s">
        <v>248</v>
      </c>
      <c r="G71" s="114" t="s">
        <v>201</v>
      </c>
      <c r="H71" s="53">
        <v>10</v>
      </c>
      <c r="I71" s="62">
        <v>4</v>
      </c>
      <c r="J71" s="2">
        <f t="shared" si="5"/>
        <v>0.4</v>
      </c>
      <c r="K71" s="62">
        <f t="shared" si="2"/>
        <v>4</v>
      </c>
      <c r="L71" s="5">
        <f t="shared" si="6"/>
        <v>0.4</v>
      </c>
      <c r="N71"/>
      <c r="O71" s="14"/>
      <c r="P71"/>
      <c r="Q71" s="14"/>
    </row>
    <row r="72" spans="2:17" x14ac:dyDescent="0.35">
      <c r="B72" s="84">
        <v>8</v>
      </c>
      <c r="C72" s="85" t="s">
        <v>57</v>
      </c>
      <c r="D72" s="86" t="s">
        <v>58</v>
      </c>
      <c r="E72" s="148"/>
      <c r="F72" s="141" t="s">
        <v>133</v>
      </c>
      <c r="G72" s="123" t="s">
        <v>201</v>
      </c>
      <c r="H72" s="59">
        <v>10</v>
      </c>
      <c r="I72" s="66">
        <v>3</v>
      </c>
      <c r="J72" s="4">
        <f t="shared" si="5"/>
        <v>0.3</v>
      </c>
      <c r="K72" s="66">
        <f t="shared" si="2"/>
        <v>3</v>
      </c>
      <c r="L72" s="7">
        <f t="shared" si="6"/>
        <v>0.3</v>
      </c>
      <c r="N72"/>
      <c r="O72" s="14"/>
      <c r="P72"/>
      <c r="Q72" s="14"/>
    </row>
    <row r="73" spans="2:17" x14ac:dyDescent="0.35">
      <c r="B73" s="78">
        <v>3</v>
      </c>
      <c r="C73" s="79" t="s">
        <v>100</v>
      </c>
      <c r="D73" s="80" t="s">
        <v>101</v>
      </c>
      <c r="E73" s="152" t="s">
        <v>256</v>
      </c>
      <c r="F73" s="118" t="s">
        <v>135</v>
      </c>
      <c r="G73" s="113" t="s">
        <v>136</v>
      </c>
      <c r="H73" s="47">
        <v>10</v>
      </c>
      <c r="I73" s="47">
        <v>4</v>
      </c>
      <c r="J73" s="2">
        <f t="shared" ref="J73:J90" si="7">IFERROR(I73/H73,0)</f>
        <v>0.4</v>
      </c>
      <c r="K73" s="47">
        <f t="shared" si="2"/>
        <v>4</v>
      </c>
      <c r="L73" s="5">
        <f t="shared" ref="L73:L90" si="8">IFERROR(K73/H73,0)</f>
        <v>0.4</v>
      </c>
      <c r="N73"/>
      <c r="O73" s="14"/>
      <c r="P73"/>
      <c r="Q73" s="14"/>
    </row>
    <row r="74" spans="2:17" x14ac:dyDescent="0.35">
      <c r="B74" s="81">
        <v>3</v>
      </c>
      <c r="C74" s="82" t="s">
        <v>49</v>
      </c>
      <c r="D74" s="83" t="s">
        <v>50</v>
      </c>
      <c r="E74" s="153"/>
      <c r="F74" s="119" t="s">
        <v>137</v>
      </c>
      <c r="G74" s="127" t="s">
        <v>228</v>
      </c>
      <c r="H74" s="52">
        <v>10</v>
      </c>
      <c r="I74" s="53">
        <v>4</v>
      </c>
      <c r="J74" s="2">
        <f t="shared" si="7"/>
        <v>0.4</v>
      </c>
      <c r="K74" s="53">
        <f t="shared" si="2"/>
        <v>4</v>
      </c>
      <c r="L74" s="5">
        <f t="shared" si="8"/>
        <v>0.4</v>
      </c>
      <c r="N74"/>
      <c r="O74" s="14"/>
      <c r="P74"/>
      <c r="Q74" s="14"/>
    </row>
    <row r="75" spans="2:17" x14ac:dyDescent="0.35">
      <c r="B75" s="81">
        <v>3</v>
      </c>
      <c r="C75" s="82" t="s">
        <v>51</v>
      </c>
      <c r="D75" s="83" t="s">
        <v>52</v>
      </c>
      <c r="E75" s="153"/>
      <c r="F75" s="119" t="s">
        <v>138</v>
      </c>
      <c r="G75" s="114" t="s">
        <v>229</v>
      </c>
      <c r="H75" s="53">
        <v>10</v>
      </c>
      <c r="I75" s="54">
        <v>4</v>
      </c>
      <c r="J75" s="2">
        <f t="shared" si="7"/>
        <v>0.4</v>
      </c>
      <c r="K75" s="54">
        <f t="shared" si="2"/>
        <v>4</v>
      </c>
      <c r="L75" s="5">
        <f t="shared" si="8"/>
        <v>0.4</v>
      </c>
      <c r="N75"/>
      <c r="O75" s="14"/>
      <c r="P75"/>
      <c r="Q75" s="14"/>
    </row>
    <row r="76" spans="2:17" x14ac:dyDescent="0.35">
      <c r="B76" s="81">
        <v>5</v>
      </c>
      <c r="C76" s="82" t="s">
        <v>53</v>
      </c>
      <c r="D76" s="83" t="s">
        <v>54</v>
      </c>
      <c r="E76" s="153"/>
      <c r="F76" s="119" t="s">
        <v>139</v>
      </c>
      <c r="G76" s="114" t="s">
        <v>230</v>
      </c>
      <c r="H76" s="53">
        <v>10</v>
      </c>
      <c r="I76" s="53">
        <v>3</v>
      </c>
      <c r="J76" s="2">
        <f t="shared" si="7"/>
        <v>0.3</v>
      </c>
      <c r="K76" s="53">
        <f t="shared" si="2"/>
        <v>3</v>
      </c>
      <c r="L76" s="5">
        <f t="shared" si="8"/>
        <v>0.3</v>
      </c>
      <c r="N76"/>
      <c r="O76" s="14"/>
      <c r="P76"/>
      <c r="Q76" s="14"/>
    </row>
    <row r="77" spans="2:17" x14ac:dyDescent="0.35">
      <c r="B77" s="81">
        <v>5</v>
      </c>
      <c r="C77" s="82" t="s">
        <v>55</v>
      </c>
      <c r="D77" s="83" t="s">
        <v>56</v>
      </c>
      <c r="E77" s="153"/>
      <c r="F77" s="114" t="s">
        <v>140</v>
      </c>
      <c r="G77" s="114" t="s">
        <v>231</v>
      </c>
      <c r="H77" s="53">
        <v>10</v>
      </c>
      <c r="I77" s="53">
        <v>3</v>
      </c>
      <c r="J77" s="2">
        <f t="shared" si="7"/>
        <v>0.3</v>
      </c>
      <c r="K77" s="53">
        <f t="shared" si="2"/>
        <v>3</v>
      </c>
      <c r="L77" s="5">
        <f t="shared" si="8"/>
        <v>0.3</v>
      </c>
      <c r="N77"/>
      <c r="O77" s="14"/>
      <c r="P77"/>
      <c r="Q77" s="14"/>
    </row>
    <row r="78" spans="2:17" x14ac:dyDescent="0.35">
      <c r="B78" s="81">
        <v>8</v>
      </c>
      <c r="C78" s="82" t="s">
        <v>57</v>
      </c>
      <c r="D78" s="83" t="s">
        <v>58</v>
      </c>
      <c r="E78" s="153"/>
      <c r="F78" s="114" t="s">
        <v>141</v>
      </c>
      <c r="G78" s="114" t="s">
        <v>142</v>
      </c>
      <c r="H78" s="53">
        <v>10</v>
      </c>
      <c r="I78" s="53">
        <v>3</v>
      </c>
      <c r="J78" s="2">
        <f t="shared" si="7"/>
        <v>0.3</v>
      </c>
      <c r="K78" s="53">
        <f t="shared" ref="K78:K141" si="9">+I78</f>
        <v>3</v>
      </c>
      <c r="L78" s="5">
        <f t="shared" si="8"/>
        <v>0.3</v>
      </c>
      <c r="N78"/>
      <c r="O78" s="14"/>
      <c r="P78"/>
      <c r="Q78" s="14"/>
    </row>
    <row r="79" spans="2:17" x14ac:dyDescent="0.35">
      <c r="B79" s="81">
        <v>8</v>
      </c>
      <c r="C79" s="82" t="s">
        <v>102</v>
      </c>
      <c r="D79" s="83" t="s">
        <v>103</v>
      </c>
      <c r="E79" s="153"/>
      <c r="F79" s="119" t="s">
        <v>143</v>
      </c>
      <c r="G79" s="114" t="s">
        <v>144</v>
      </c>
      <c r="H79" s="53">
        <v>10</v>
      </c>
      <c r="I79" s="53">
        <v>3</v>
      </c>
      <c r="J79" s="2">
        <f t="shared" si="7"/>
        <v>0.3</v>
      </c>
      <c r="K79" s="53">
        <f t="shared" si="9"/>
        <v>3</v>
      </c>
      <c r="L79" s="5">
        <f t="shared" si="8"/>
        <v>0.3</v>
      </c>
      <c r="N79"/>
      <c r="O79" s="14"/>
      <c r="P79"/>
      <c r="Q79" s="14"/>
    </row>
    <row r="80" spans="2:17" x14ac:dyDescent="0.35">
      <c r="B80" s="81">
        <v>8</v>
      </c>
      <c r="C80" s="82" t="s">
        <v>104</v>
      </c>
      <c r="D80" s="83" t="s">
        <v>105</v>
      </c>
      <c r="E80" s="153"/>
      <c r="F80" s="114" t="s">
        <v>145</v>
      </c>
      <c r="G80" s="114" t="s">
        <v>146</v>
      </c>
      <c r="H80" s="53">
        <v>10</v>
      </c>
      <c r="I80" s="53">
        <v>3</v>
      </c>
      <c r="J80" s="2">
        <f t="shared" si="7"/>
        <v>0.3</v>
      </c>
      <c r="K80" s="53">
        <f t="shared" si="9"/>
        <v>3</v>
      </c>
      <c r="L80" s="5">
        <f t="shared" si="8"/>
        <v>0.3</v>
      </c>
      <c r="N80"/>
      <c r="O80" s="14"/>
      <c r="P80"/>
      <c r="Q80" s="14"/>
    </row>
    <row r="81" spans="2:17" x14ac:dyDescent="0.35">
      <c r="B81" s="84">
        <v>8</v>
      </c>
      <c r="C81" s="85" t="s">
        <v>106</v>
      </c>
      <c r="D81" s="86" t="s">
        <v>107</v>
      </c>
      <c r="E81" s="154"/>
      <c r="F81" s="121" t="s">
        <v>147</v>
      </c>
      <c r="G81" s="120" t="s">
        <v>148</v>
      </c>
      <c r="H81" s="59">
        <v>10</v>
      </c>
      <c r="I81" s="59">
        <v>3</v>
      </c>
      <c r="J81" s="4">
        <f t="shared" si="7"/>
        <v>0.3</v>
      </c>
      <c r="K81" s="59">
        <f t="shared" si="9"/>
        <v>3</v>
      </c>
      <c r="L81" s="7">
        <f t="shared" si="8"/>
        <v>0.3</v>
      </c>
      <c r="N81"/>
      <c r="O81" s="14"/>
      <c r="P81"/>
      <c r="Q81" s="14"/>
    </row>
    <row r="82" spans="2:17" x14ac:dyDescent="0.35">
      <c r="B82" s="67">
        <v>3</v>
      </c>
      <c r="C82" s="68" t="s">
        <v>43</v>
      </c>
      <c r="D82" s="110" t="s">
        <v>44</v>
      </c>
      <c r="E82" s="189" t="s">
        <v>257</v>
      </c>
      <c r="F82" s="124" t="s">
        <v>147</v>
      </c>
      <c r="G82" s="113" t="s">
        <v>148</v>
      </c>
      <c r="H82" s="48">
        <v>10</v>
      </c>
      <c r="I82" s="48">
        <v>4</v>
      </c>
      <c r="J82" s="2">
        <f t="shared" si="7"/>
        <v>0.4</v>
      </c>
      <c r="K82" s="48">
        <f t="shared" si="9"/>
        <v>4</v>
      </c>
      <c r="L82" s="5">
        <f t="shared" si="8"/>
        <v>0.4</v>
      </c>
      <c r="N82"/>
      <c r="O82" s="14"/>
      <c r="P82"/>
      <c r="Q82" s="14"/>
    </row>
    <row r="83" spans="2:17" x14ac:dyDescent="0.35">
      <c r="B83" s="69">
        <v>3</v>
      </c>
      <c r="C83" s="70" t="s">
        <v>45</v>
      </c>
      <c r="D83" s="109" t="s">
        <v>46</v>
      </c>
      <c r="E83" s="190"/>
      <c r="F83" s="112" t="s">
        <v>311</v>
      </c>
      <c r="G83" s="127" t="s">
        <v>149</v>
      </c>
      <c r="H83" s="71">
        <v>10</v>
      </c>
      <c r="I83" s="62">
        <v>4</v>
      </c>
      <c r="J83" s="2">
        <f t="shared" si="7"/>
        <v>0.4</v>
      </c>
      <c r="K83" s="62">
        <f t="shared" si="9"/>
        <v>4</v>
      </c>
      <c r="L83" s="5">
        <f t="shared" si="8"/>
        <v>0.4</v>
      </c>
      <c r="N83"/>
      <c r="O83" s="14"/>
      <c r="P83"/>
      <c r="Q83" s="14"/>
    </row>
    <row r="84" spans="2:17" x14ac:dyDescent="0.35">
      <c r="B84" s="69">
        <v>3</v>
      </c>
      <c r="C84" s="70" t="s">
        <v>78</v>
      </c>
      <c r="D84" s="111" t="s">
        <v>79</v>
      </c>
      <c r="E84" s="190"/>
      <c r="F84" s="112" t="s">
        <v>312</v>
      </c>
      <c r="G84" s="114" t="s">
        <v>150</v>
      </c>
      <c r="H84" s="62">
        <v>10</v>
      </c>
      <c r="I84" s="64">
        <v>4</v>
      </c>
      <c r="J84" s="2">
        <f t="shared" si="7"/>
        <v>0.4</v>
      </c>
      <c r="K84" s="64">
        <f t="shared" si="9"/>
        <v>4</v>
      </c>
      <c r="L84" s="5">
        <f t="shared" si="8"/>
        <v>0.4</v>
      </c>
      <c r="N84"/>
      <c r="O84" s="14"/>
      <c r="P84"/>
      <c r="Q84" s="14"/>
    </row>
    <row r="85" spans="2:17" x14ac:dyDescent="0.35">
      <c r="B85" s="69">
        <v>3</v>
      </c>
      <c r="C85" s="70" t="s">
        <v>47</v>
      </c>
      <c r="D85" s="111" t="s">
        <v>48</v>
      </c>
      <c r="E85" s="190"/>
      <c r="F85" s="112" t="s">
        <v>313</v>
      </c>
      <c r="G85" s="114" t="s">
        <v>151</v>
      </c>
      <c r="H85" s="62">
        <v>10</v>
      </c>
      <c r="I85" s="62">
        <v>2</v>
      </c>
      <c r="J85" s="2">
        <f t="shared" si="7"/>
        <v>0.2</v>
      </c>
      <c r="K85" s="62">
        <f t="shared" si="9"/>
        <v>2</v>
      </c>
      <c r="L85" s="5">
        <f t="shared" si="8"/>
        <v>0.2</v>
      </c>
      <c r="N85"/>
      <c r="O85" s="14"/>
      <c r="P85"/>
      <c r="Q85" s="14"/>
    </row>
    <row r="86" spans="2:17" x14ac:dyDescent="0.35">
      <c r="B86" s="69">
        <v>3</v>
      </c>
      <c r="C86" s="70" t="s">
        <v>49</v>
      </c>
      <c r="D86" s="111" t="s">
        <v>50</v>
      </c>
      <c r="E86" s="190"/>
      <c r="F86" s="112" t="s">
        <v>314</v>
      </c>
      <c r="G86" s="114" t="s">
        <v>152</v>
      </c>
      <c r="H86" s="62">
        <v>10</v>
      </c>
      <c r="I86" s="62">
        <v>3</v>
      </c>
      <c r="J86" s="2">
        <f t="shared" si="7"/>
        <v>0.3</v>
      </c>
      <c r="K86" s="62">
        <f t="shared" si="9"/>
        <v>3</v>
      </c>
      <c r="L86" s="5">
        <f t="shared" si="8"/>
        <v>0.3</v>
      </c>
      <c r="N86"/>
      <c r="O86" s="14"/>
      <c r="P86"/>
      <c r="Q86" s="14"/>
    </row>
    <row r="87" spans="2:17" s="24" customFormat="1" x14ac:dyDescent="0.35">
      <c r="B87" s="69">
        <v>3</v>
      </c>
      <c r="C87" s="70" t="s">
        <v>51</v>
      </c>
      <c r="D87" s="111" t="s">
        <v>52</v>
      </c>
      <c r="E87" s="190"/>
      <c r="F87" s="112" t="s">
        <v>225</v>
      </c>
      <c r="G87" s="114" t="s">
        <v>153</v>
      </c>
      <c r="H87" s="62">
        <v>10</v>
      </c>
      <c r="I87" s="62">
        <v>2</v>
      </c>
      <c r="J87" s="2">
        <f t="shared" si="7"/>
        <v>0.2</v>
      </c>
      <c r="K87" s="62">
        <f t="shared" si="9"/>
        <v>2</v>
      </c>
      <c r="L87" s="5">
        <f t="shared" si="8"/>
        <v>0.2</v>
      </c>
      <c r="N87" s="55"/>
      <c r="P87" s="55"/>
    </row>
    <row r="88" spans="2:17" x14ac:dyDescent="0.35">
      <c r="B88" s="69">
        <v>5</v>
      </c>
      <c r="C88" s="70" t="s">
        <v>53</v>
      </c>
      <c r="D88" s="111" t="s">
        <v>54</v>
      </c>
      <c r="E88" s="190"/>
      <c r="F88" s="128" t="s">
        <v>315</v>
      </c>
      <c r="G88" s="114" t="s">
        <v>154</v>
      </c>
      <c r="H88" s="62">
        <v>10</v>
      </c>
      <c r="I88" s="62">
        <v>4</v>
      </c>
      <c r="J88" s="2">
        <f t="shared" si="7"/>
        <v>0.4</v>
      </c>
      <c r="K88" s="62">
        <f t="shared" si="9"/>
        <v>4</v>
      </c>
      <c r="L88" s="5">
        <f t="shared" si="8"/>
        <v>0.4</v>
      </c>
      <c r="N88"/>
      <c r="O88" s="14"/>
      <c r="P88"/>
      <c r="Q88" s="14"/>
    </row>
    <row r="89" spans="2:17" x14ac:dyDescent="0.35">
      <c r="B89" s="69">
        <v>5</v>
      </c>
      <c r="C89" s="70" t="s">
        <v>55</v>
      </c>
      <c r="D89" s="111" t="s">
        <v>56</v>
      </c>
      <c r="E89" s="190"/>
      <c r="F89" s="112" t="s">
        <v>316</v>
      </c>
      <c r="G89" s="114" t="s">
        <v>155</v>
      </c>
      <c r="H89" s="62">
        <v>10</v>
      </c>
      <c r="I89" s="62">
        <v>4</v>
      </c>
      <c r="J89" s="2">
        <f t="shared" si="7"/>
        <v>0.4</v>
      </c>
      <c r="K89" s="62">
        <f t="shared" si="9"/>
        <v>4</v>
      </c>
      <c r="L89" s="5">
        <f t="shared" si="8"/>
        <v>0.4</v>
      </c>
      <c r="N89"/>
      <c r="O89" s="14"/>
      <c r="P89"/>
      <c r="Q89" s="14"/>
    </row>
    <row r="90" spans="2:17" x14ac:dyDescent="0.35">
      <c r="B90" s="72">
        <v>8</v>
      </c>
      <c r="C90" s="73" t="s">
        <v>57</v>
      </c>
      <c r="D90" s="111" t="s">
        <v>58</v>
      </c>
      <c r="E90" s="191"/>
      <c r="F90" s="116" t="s">
        <v>226</v>
      </c>
      <c r="G90" s="120" t="s">
        <v>156</v>
      </c>
      <c r="H90" s="66">
        <v>10</v>
      </c>
      <c r="I90" s="66">
        <v>3</v>
      </c>
      <c r="J90" s="4">
        <f t="shared" si="7"/>
        <v>0.3</v>
      </c>
      <c r="K90" s="66">
        <f t="shared" si="9"/>
        <v>3</v>
      </c>
      <c r="L90" s="7">
        <f t="shared" si="8"/>
        <v>0.3</v>
      </c>
      <c r="N90"/>
      <c r="O90" s="14"/>
      <c r="P90"/>
      <c r="Q90" s="14"/>
    </row>
    <row r="91" spans="2:17" x14ac:dyDescent="0.35">
      <c r="B91" s="44">
        <v>3</v>
      </c>
      <c r="C91" s="45" t="s">
        <v>43</v>
      </c>
      <c r="D91" s="46" t="s">
        <v>44</v>
      </c>
      <c r="E91" s="189" t="s">
        <v>258</v>
      </c>
      <c r="F91" s="118" t="s">
        <v>124</v>
      </c>
      <c r="G91" s="113" t="s">
        <v>125</v>
      </c>
      <c r="H91" s="47">
        <v>10</v>
      </c>
      <c r="I91" s="47">
        <v>4</v>
      </c>
      <c r="J91" s="3">
        <f t="shared" ref="J91:J153" si="10">IFERROR(I91/H91,0)</f>
        <v>0.4</v>
      </c>
      <c r="K91" s="48">
        <f t="shared" si="9"/>
        <v>4</v>
      </c>
      <c r="L91" s="6">
        <f t="shared" ref="L91:L153" si="11">IFERROR(K91/H91,0)</f>
        <v>0.4</v>
      </c>
      <c r="N91"/>
      <c r="O91" s="14"/>
      <c r="P91"/>
      <c r="Q91" s="14"/>
    </row>
    <row r="92" spans="2:17" x14ac:dyDescent="0.35">
      <c r="B92" s="49">
        <v>3</v>
      </c>
      <c r="C92" s="50" t="s">
        <v>45</v>
      </c>
      <c r="D92" s="51" t="s">
        <v>46</v>
      </c>
      <c r="E92" s="190"/>
      <c r="F92" s="119" t="s">
        <v>126</v>
      </c>
      <c r="G92" s="114" t="s">
        <v>125</v>
      </c>
      <c r="H92" s="52">
        <v>10</v>
      </c>
      <c r="I92" s="53">
        <v>3</v>
      </c>
      <c r="J92" s="2">
        <f t="shared" si="10"/>
        <v>0.3</v>
      </c>
      <c r="K92" s="53">
        <f t="shared" si="9"/>
        <v>3</v>
      </c>
      <c r="L92" s="5">
        <f t="shared" si="11"/>
        <v>0.3</v>
      </c>
      <c r="N92"/>
      <c r="O92" s="14"/>
      <c r="P92"/>
      <c r="Q92" s="14"/>
    </row>
    <row r="93" spans="2:17" x14ac:dyDescent="0.35">
      <c r="B93" s="49">
        <v>3</v>
      </c>
      <c r="C93" s="50" t="s">
        <v>78</v>
      </c>
      <c r="D93" s="51" t="s">
        <v>79</v>
      </c>
      <c r="E93" s="190"/>
      <c r="F93" s="119" t="s">
        <v>126</v>
      </c>
      <c r="G93" s="120" t="s">
        <v>125</v>
      </c>
      <c r="H93" s="53">
        <v>10</v>
      </c>
      <c r="I93" s="54">
        <v>3</v>
      </c>
      <c r="J93" s="2">
        <f t="shared" si="10"/>
        <v>0.3</v>
      </c>
      <c r="K93" s="54">
        <f t="shared" si="9"/>
        <v>3</v>
      </c>
      <c r="L93" s="5">
        <f t="shared" si="11"/>
        <v>0.3</v>
      </c>
      <c r="N93"/>
      <c r="O93" s="14"/>
      <c r="P93"/>
      <c r="Q93" s="14"/>
    </row>
    <row r="94" spans="2:17" x14ac:dyDescent="0.35">
      <c r="B94" s="49">
        <v>3</v>
      </c>
      <c r="C94" s="50" t="s">
        <v>47</v>
      </c>
      <c r="D94" s="51" t="s">
        <v>48</v>
      </c>
      <c r="E94" s="190"/>
      <c r="F94" s="119" t="s">
        <v>127</v>
      </c>
      <c r="G94" s="120" t="s">
        <v>128</v>
      </c>
      <c r="H94" s="53">
        <v>10</v>
      </c>
      <c r="I94" s="53">
        <v>3</v>
      </c>
      <c r="J94" s="2">
        <f t="shared" si="10"/>
        <v>0.3</v>
      </c>
      <c r="K94" s="53">
        <f t="shared" si="9"/>
        <v>3</v>
      </c>
      <c r="L94" s="5">
        <f t="shared" si="11"/>
        <v>0.3</v>
      </c>
      <c r="N94"/>
      <c r="O94" s="14"/>
      <c r="P94"/>
      <c r="Q94" s="14"/>
    </row>
    <row r="95" spans="2:17" x14ac:dyDescent="0.35">
      <c r="B95" s="49">
        <v>3</v>
      </c>
      <c r="C95" s="50" t="s">
        <v>49</v>
      </c>
      <c r="D95" s="51" t="s">
        <v>50</v>
      </c>
      <c r="E95" s="190"/>
      <c r="F95" s="119" t="s">
        <v>129</v>
      </c>
      <c r="G95" s="114" t="s">
        <v>125</v>
      </c>
      <c r="H95" s="53">
        <v>10</v>
      </c>
      <c r="I95" s="53">
        <v>3</v>
      </c>
      <c r="J95" s="2">
        <f t="shared" si="10"/>
        <v>0.3</v>
      </c>
      <c r="K95" s="53">
        <f t="shared" si="9"/>
        <v>3</v>
      </c>
      <c r="L95" s="5">
        <f t="shared" si="11"/>
        <v>0.3</v>
      </c>
      <c r="N95"/>
      <c r="O95" s="14"/>
      <c r="P95"/>
      <c r="Q95" s="14"/>
    </row>
    <row r="96" spans="2:17" s="24" customFormat="1" x14ac:dyDescent="0.35">
      <c r="B96" s="49">
        <v>3</v>
      </c>
      <c r="C96" s="50" t="s">
        <v>51</v>
      </c>
      <c r="D96" s="51" t="s">
        <v>52</v>
      </c>
      <c r="E96" s="190"/>
      <c r="F96" s="119" t="s">
        <v>129</v>
      </c>
      <c r="G96" s="114" t="s">
        <v>130</v>
      </c>
      <c r="H96" s="53">
        <v>10</v>
      </c>
      <c r="I96" s="53">
        <v>4</v>
      </c>
      <c r="J96" s="2">
        <f t="shared" si="10"/>
        <v>0.4</v>
      </c>
      <c r="K96" s="53">
        <f t="shared" si="9"/>
        <v>4</v>
      </c>
      <c r="L96" s="5">
        <f t="shared" si="11"/>
        <v>0.4</v>
      </c>
      <c r="N96" s="55"/>
      <c r="P96" s="55"/>
    </row>
    <row r="97" spans="2:17" x14ac:dyDescent="0.35">
      <c r="B97" s="49">
        <v>5</v>
      </c>
      <c r="C97" s="50" t="s">
        <v>53</v>
      </c>
      <c r="D97" s="51" t="s">
        <v>54</v>
      </c>
      <c r="E97" s="190"/>
      <c r="F97" s="119" t="s">
        <v>129</v>
      </c>
      <c r="G97" s="114" t="s">
        <v>131</v>
      </c>
      <c r="H97" s="53">
        <v>10</v>
      </c>
      <c r="I97" s="53">
        <v>3</v>
      </c>
      <c r="J97" s="2">
        <f t="shared" si="10"/>
        <v>0.3</v>
      </c>
      <c r="K97" s="53">
        <f t="shared" si="9"/>
        <v>3</v>
      </c>
      <c r="L97" s="5">
        <f t="shared" si="11"/>
        <v>0.3</v>
      </c>
      <c r="N97"/>
      <c r="O97" s="14"/>
      <c r="P97"/>
      <c r="Q97" s="14"/>
    </row>
    <row r="98" spans="2:17" x14ac:dyDescent="0.35">
      <c r="B98" s="49">
        <v>5</v>
      </c>
      <c r="C98" s="50" t="s">
        <v>55</v>
      </c>
      <c r="D98" s="51" t="s">
        <v>56</v>
      </c>
      <c r="E98" s="190"/>
      <c r="F98" s="119" t="s">
        <v>129</v>
      </c>
      <c r="G98" s="114" t="s">
        <v>132</v>
      </c>
      <c r="H98" s="53">
        <v>10</v>
      </c>
      <c r="I98" s="53">
        <v>3</v>
      </c>
      <c r="J98" s="2">
        <f t="shared" si="10"/>
        <v>0.3</v>
      </c>
      <c r="K98" s="53">
        <f t="shared" si="9"/>
        <v>3</v>
      </c>
      <c r="L98" s="5">
        <f t="shared" si="11"/>
        <v>0.3</v>
      </c>
      <c r="N98"/>
      <c r="O98" s="14"/>
      <c r="P98"/>
      <c r="Q98" s="14"/>
    </row>
    <row r="99" spans="2:17" x14ac:dyDescent="0.35">
      <c r="B99" s="56">
        <v>8</v>
      </c>
      <c r="C99" s="57" t="s">
        <v>57</v>
      </c>
      <c r="D99" s="58" t="s">
        <v>58</v>
      </c>
      <c r="E99" s="191"/>
      <c r="F99" s="121" t="s">
        <v>133</v>
      </c>
      <c r="G99" s="123" t="s">
        <v>134</v>
      </c>
      <c r="H99" s="59">
        <v>10</v>
      </c>
      <c r="I99" s="59">
        <v>4</v>
      </c>
      <c r="J99" s="4">
        <f t="shared" si="10"/>
        <v>0.4</v>
      </c>
      <c r="K99" s="59">
        <f t="shared" si="9"/>
        <v>4</v>
      </c>
      <c r="L99" s="7">
        <f t="shared" si="11"/>
        <v>0.4</v>
      </c>
      <c r="N99"/>
      <c r="O99" s="14"/>
      <c r="P99"/>
      <c r="Q99" s="14"/>
    </row>
    <row r="100" spans="2:17" x14ac:dyDescent="0.35">
      <c r="B100" s="44">
        <v>1</v>
      </c>
      <c r="C100" s="45" t="s">
        <v>60</v>
      </c>
      <c r="D100" s="46" t="s">
        <v>98</v>
      </c>
      <c r="E100" s="149" t="s">
        <v>259</v>
      </c>
      <c r="F100" s="118" t="s">
        <v>126</v>
      </c>
      <c r="G100" s="113" t="s">
        <v>170</v>
      </c>
      <c r="H100" s="48">
        <v>8</v>
      </c>
      <c r="I100" s="48">
        <v>2</v>
      </c>
      <c r="J100" s="2">
        <f t="shared" ref="J100:J110" si="12">IFERROR(I100/H100,0)</f>
        <v>0.25</v>
      </c>
      <c r="K100" s="48">
        <f t="shared" si="9"/>
        <v>2</v>
      </c>
      <c r="L100" s="5">
        <f t="shared" ref="L100:L110" si="13">IFERROR(K100/H100,0)</f>
        <v>0.25</v>
      </c>
      <c r="N100"/>
      <c r="O100" s="14"/>
      <c r="P100"/>
      <c r="Q100" s="14"/>
    </row>
    <row r="101" spans="2:17" x14ac:dyDescent="0.35">
      <c r="B101" s="49">
        <v>1</v>
      </c>
      <c r="C101" s="50" t="s">
        <v>62</v>
      </c>
      <c r="D101" s="51" t="s">
        <v>63</v>
      </c>
      <c r="E101" s="150"/>
      <c r="F101" s="119" t="s">
        <v>171</v>
      </c>
      <c r="G101" s="114" t="s">
        <v>172</v>
      </c>
      <c r="H101" s="71">
        <v>8</v>
      </c>
      <c r="I101" s="62">
        <v>2</v>
      </c>
      <c r="J101" s="2">
        <f t="shared" si="12"/>
        <v>0.25</v>
      </c>
      <c r="K101" s="62">
        <f t="shared" si="9"/>
        <v>2</v>
      </c>
      <c r="L101" s="5">
        <f t="shared" si="13"/>
        <v>0.25</v>
      </c>
      <c r="N101"/>
      <c r="O101" s="14"/>
      <c r="P101"/>
      <c r="Q101" s="14"/>
    </row>
    <row r="102" spans="2:17" x14ac:dyDescent="0.35">
      <c r="B102" s="49">
        <v>1</v>
      </c>
      <c r="C102" s="50" t="s">
        <v>64</v>
      </c>
      <c r="D102" s="51" t="s">
        <v>65</v>
      </c>
      <c r="E102" s="150"/>
      <c r="F102" s="119" t="s">
        <v>173</v>
      </c>
      <c r="G102" s="114" t="s">
        <v>174</v>
      </c>
      <c r="H102" s="62">
        <v>8</v>
      </c>
      <c r="I102" s="64">
        <v>2</v>
      </c>
      <c r="J102" s="2">
        <f t="shared" si="12"/>
        <v>0.25</v>
      </c>
      <c r="K102" s="64">
        <f t="shared" si="9"/>
        <v>2</v>
      </c>
      <c r="L102" s="5">
        <f t="shared" si="13"/>
        <v>0.25</v>
      </c>
      <c r="N102"/>
      <c r="O102" s="14"/>
      <c r="P102"/>
      <c r="Q102" s="14"/>
    </row>
    <row r="103" spans="2:17" x14ac:dyDescent="0.35">
      <c r="B103" s="49">
        <v>1</v>
      </c>
      <c r="C103" s="50" t="s">
        <v>66</v>
      </c>
      <c r="D103" s="51" t="s">
        <v>67</v>
      </c>
      <c r="E103" s="150"/>
      <c r="F103" s="119" t="s">
        <v>175</v>
      </c>
      <c r="G103" s="114" t="s">
        <v>32</v>
      </c>
      <c r="H103" s="62">
        <v>8</v>
      </c>
      <c r="I103" s="62">
        <v>3</v>
      </c>
      <c r="J103" s="2">
        <f t="shared" si="12"/>
        <v>0.375</v>
      </c>
      <c r="K103" s="62">
        <f t="shared" si="9"/>
        <v>3</v>
      </c>
      <c r="L103" s="5">
        <f t="shared" si="13"/>
        <v>0.375</v>
      </c>
      <c r="N103"/>
      <c r="O103" s="14"/>
      <c r="P103"/>
      <c r="Q103" s="14"/>
    </row>
    <row r="104" spans="2:17" x14ac:dyDescent="0.35">
      <c r="B104" s="49">
        <v>1</v>
      </c>
      <c r="C104" s="50" t="s">
        <v>68</v>
      </c>
      <c r="D104" s="51" t="s">
        <v>69</v>
      </c>
      <c r="E104" s="150"/>
      <c r="F104" s="119" t="s">
        <v>176</v>
      </c>
      <c r="G104" s="114" t="s">
        <v>177</v>
      </c>
      <c r="H104" s="62">
        <v>9</v>
      </c>
      <c r="I104" s="62">
        <v>4</v>
      </c>
      <c r="J104" s="2">
        <f t="shared" si="12"/>
        <v>0.44444444444444442</v>
      </c>
      <c r="K104" s="62">
        <f t="shared" si="9"/>
        <v>4</v>
      </c>
      <c r="L104" s="5">
        <f t="shared" si="13"/>
        <v>0.44444444444444442</v>
      </c>
      <c r="N104"/>
      <c r="O104" s="14"/>
      <c r="P104"/>
      <c r="Q104" s="14"/>
    </row>
    <row r="105" spans="2:17" x14ac:dyDescent="0.35">
      <c r="B105" s="49">
        <v>1</v>
      </c>
      <c r="C105" s="50" t="s">
        <v>70</v>
      </c>
      <c r="D105" s="51" t="s">
        <v>71</v>
      </c>
      <c r="E105" s="150"/>
      <c r="F105" s="119" t="s">
        <v>178</v>
      </c>
      <c r="G105" s="114" t="s">
        <v>179</v>
      </c>
      <c r="H105" s="62">
        <v>9</v>
      </c>
      <c r="I105" s="62">
        <v>3</v>
      </c>
      <c r="J105" s="2">
        <f t="shared" si="12"/>
        <v>0.33333333333333331</v>
      </c>
      <c r="K105" s="62">
        <f t="shared" si="9"/>
        <v>3</v>
      </c>
      <c r="L105" s="5">
        <f t="shared" si="13"/>
        <v>0.33333333333333331</v>
      </c>
      <c r="N105"/>
      <c r="O105" s="14"/>
      <c r="P105"/>
      <c r="Q105" s="14"/>
    </row>
    <row r="106" spans="2:17" x14ac:dyDescent="0.35">
      <c r="B106" s="49">
        <v>1</v>
      </c>
      <c r="C106" s="50" t="s">
        <v>72</v>
      </c>
      <c r="D106" s="51" t="s">
        <v>73</v>
      </c>
      <c r="E106" s="150"/>
      <c r="F106" s="119" t="s">
        <v>180</v>
      </c>
      <c r="G106" s="114" t="s">
        <v>172</v>
      </c>
      <c r="H106" s="62">
        <v>8</v>
      </c>
      <c r="I106" s="62">
        <v>3</v>
      </c>
      <c r="J106" s="2">
        <f t="shared" si="12"/>
        <v>0.375</v>
      </c>
      <c r="K106" s="62">
        <f t="shared" si="9"/>
        <v>3</v>
      </c>
      <c r="L106" s="5">
        <f t="shared" si="13"/>
        <v>0.375</v>
      </c>
      <c r="N106"/>
      <c r="O106" s="14"/>
      <c r="P106"/>
      <c r="Q106" s="14"/>
    </row>
    <row r="107" spans="2:17" s="24" customFormat="1" x14ac:dyDescent="0.35">
      <c r="B107" s="49">
        <v>1</v>
      </c>
      <c r="C107" s="50" t="s">
        <v>74</v>
      </c>
      <c r="D107" s="51" t="s">
        <v>75</v>
      </c>
      <c r="E107" s="150"/>
      <c r="F107" s="119" t="s">
        <v>181</v>
      </c>
      <c r="G107" s="114" t="s">
        <v>179</v>
      </c>
      <c r="H107" s="62">
        <v>8</v>
      </c>
      <c r="I107" s="62">
        <v>3</v>
      </c>
      <c r="J107" s="2">
        <f t="shared" si="12"/>
        <v>0.375</v>
      </c>
      <c r="K107" s="62">
        <f t="shared" si="9"/>
        <v>3</v>
      </c>
      <c r="L107" s="5">
        <f t="shared" si="13"/>
        <v>0.375</v>
      </c>
      <c r="N107" s="55"/>
      <c r="P107" s="55"/>
    </row>
    <row r="108" spans="2:17" x14ac:dyDescent="0.35">
      <c r="B108" s="49">
        <v>1</v>
      </c>
      <c r="C108" s="50" t="s">
        <v>76</v>
      </c>
      <c r="D108" s="51" t="s">
        <v>77</v>
      </c>
      <c r="E108" s="150"/>
      <c r="F108" s="119" t="s">
        <v>182</v>
      </c>
      <c r="G108" s="114" t="s">
        <v>170</v>
      </c>
      <c r="H108" s="71">
        <v>8</v>
      </c>
      <c r="I108" s="62">
        <v>2</v>
      </c>
      <c r="J108" s="2">
        <f t="shared" si="12"/>
        <v>0.25</v>
      </c>
      <c r="K108" s="62">
        <f t="shared" si="9"/>
        <v>2</v>
      </c>
      <c r="L108" s="5">
        <f t="shared" si="13"/>
        <v>0.25</v>
      </c>
      <c r="N108"/>
      <c r="O108" s="14"/>
      <c r="P108"/>
      <c r="Q108" s="14"/>
    </row>
    <row r="109" spans="2:17" x14ac:dyDescent="0.35">
      <c r="B109" s="49">
        <v>2</v>
      </c>
      <c r="C109" s="50" t="s">
        <v>86</v>
      </c>
      <c r="D109" s="51" t="s">
        <v>87</v>
      </c>
      <c r="E109" s="150"/>
      <c r="F109" s="119" t="s">
        <v>178</v>
      </c>
      <c r="G109" s="114" t="s">
        <v>172</v>
      </c>
      <c r="H109" s="62">
        <v>8</v>
      </c>
      <c r="I109" s="62">
        <v>2</v>
      </c>
      <c r="J109" s="2">
        <f t="shared" si="12"/>
        <v>0.25</v>
      </c>
      <c r="K109" s="62">
        <f t="shared" si="9"/>
        <v>2</v>
      </c>
      <c r="L109" s="5">
        <f t="shared" si="13"/>
        <v>0.25</v>
      </c>
      <c r="N109"/>
      <c r="O109" s="14"/>
      <c r="P109"/>
      <c r="Q109" s="14"/>
    </row>
    <row r="110" spans="2:17" x14ac:dyDescent="0.35">
      <c r="B110" s="56">
        <v>5</v>
      </c>
      <c r="C110" s="57" t="s">
        <v>53</v>
      </c>
      <c r="D110" s="58" t="s">
        <v>54</v>
      </c>
      <c r="E110" s="151"/>
      <c r="F110" s="121" t="s">
        <v>129</v>
      </c>
      <c r="G110" s="123" t="s">
        <v>183</v>
      </c>
      <c r="H110" s="66">
        <v>8</v>
      </c>
      <c r="I110" s="66">
        <v>4</v>
      </c>
      <c r="J110" s="4">
        <f t="shared" si="12"/>
        <v>0.5</v>
      </c>
      <c r="K110" s="66">
        <f t="shared" si="9"/>
        <v>4</v>
      </c>
      <c r="L110" s="7">
        <f t="shared" si="13"/>
        <v>0.5</v>
      </c>
      <c r="N110"/>
      <c r="O110" s="14"/>
      <c r="P110"/>
      <c r="Q110" s="14"/>
    </row>
    <row r="111" spans="2:17" x14ac:dyDescent="0.35">
      <c r="B111" s="44">
        <v>1</v>
      </c>
      <c r="C111" s="45" t="s">
        <v>88</v>
      </c>
      <c r="D111" s="46" t="s">
        <v>89</v>
      </c>
      <c r="E111" s="149" t="s">
        <v>263</v>
      </c>
      <c r="F111" s="119"/>
      <c r="G111" s="113" t="s">
        <v>32</v>
      </c>
      <c r="H111" s="48">
        <v>8</v>
      </c>
      <c r="I111" s="48">
        <v>3</v>
      </c>
      <c r="J111" s="2">
        <f t="shared" ref="J111:J122" si="14">IFERROR(I111/H111,0)</f>
        <v>0.375</v>
      </c>
      <c r="K111" s="48">
        <f t="shared" si="9"/>
        <v>3</v>
      </c>
      <c r="L111" s="5">
        <f t="shared" ref="L111:L122" si="15">IFERROR(K111/H111,0)</f>
        <v>0.375</v>
      </c>
      <c r="N111"/>
      <c r="O111" s="14"/>
      <c r="P111"/>
      <c r="Q111" s="14"/>
    </row>
    <row r="112" spans="2:17" x14ac:dyDescent="0.35">
      <c r="B112" s="49">
        <v>1</v>
      </c>
      <c r="C112" s="50" t="s">
        <v>60</v>
      </c>
      <c r="D112" s="51" t="s">
        <v>61</v>
      </c>
      <c r="E112" s="150"/>
      <c r="F112" s="119" t="s">
        <v>126</v>
      </c>
      <c r="G112" s="114" t="s">
        <v>32</v>
      </c>
      <c r="H112" s="71">
        <v>7</v>
      </c>
      <c r="I112" s="62">
        <v>2</v>
      </c>
      <c r="J112" s="2">
        <f t="shared" si="14"/>
        <v>0.2857142857142857</v>
      </c>
      <c r="K112" s="62">
        <f t="shared" si="9"/>
        <v>2</v>
      </c>
      <c r="L112" s="5">
        <f t="shared" si="15"/>
        <v>0.2857142857142857</v>
      </c>
      <c r="N112"/>
      <c r="O112" s="14"/>
      <c r="P112"/>
      <c r="Q112" s="14"/>
    </row>
    <row r="113" spans="2:17" x14ac:dyDescent="0.35">
      <c r="B113" s="49">
        <v>1</v>
      </c>
      <c r="C113" s="50" t="s">
        <v>62</v>
      </c>
      <c r="D113" s="51" t="s">
        <v>63</v>
      </c>
      <c r="E113" s="150"/>
      <c r="F113" s="119" t="s">
        <v>171</v>
      </c>
      <c r="G113" s="120" t="s">
        <v>32</v>
      </c>
      <c r="H113" s="62">
        <v>8</v>
      </c>
      <c r="I113" s="64">
        <v>3</v>
      </c>
      <c r="J113" s="2">
        <f t="shared" si="14"/>
        <v>0.375</v>
      </c>
      <c r="K113" s="64">
        <f t="shared" si="9"/>
        <v>3</v>
      </c>
      <c r="L113" s="5">
        <f t="shared" si="15"/>
        <v>0.375</v>
      </c>
      <c r="N113"/>
      <c r="O113" s="14"/>
      <c r="P113"/>
      <c r="Q113" s="14"/>
    </row>
    <row r="114" spans="2:17" x14ac:dyDescent="0.35">
      <c r="B114" s="49">
        <v>1</v>
      </c>
      <c r="C114" s="50" t="s">
        <v>64</v>
      </c>
      <c r="D114" s="51" t="s">
        <v>65</v>
      </c>
      <c r="E114" s="150"/>
      <c r="F114" s="119" t="s">
        <v>173</v>
      </c>
      <c r="G114" s="114" t="s">
        <v>32</v>
      </c>
      <c r="H114" s="62">
        <v>8</v>
      </c>
      <c r="I114" s="62">
        <v>3</v>
      </c>
      <c r="J114" s="2">
        <f t="shared" si="14"/>
        <v>0.375</v>
      </c>
      <c r="K114" s="62">
        <f t="shared" si="9"/>
        <v>3</v>
      </c>
      <c r="L114" s="5">
        <f t="shared" si="15"/>
        <v>0.375</v>
      </c>
      <c r="N114"/>
      <c r="O114" s="14"/>
      <c r="P114"/>
      <c r="Q114" s="14"/>
    </row>
    <row r="115" spans="2:17" x14ac:dyDescent="0.35">
      <c r="B115" s="49">
        <v>1</v>
      </c>
      <c r="C115" s="50" t="s">
        <v>66</v>
      </c>
      <c r="D115" s="51" t="s">
        <v>67</v>
      </c>
      <c r="E115" s="150"/>
      <c r="F115" s="119" t="s">
        <v>175</v>
      </c>
      <c r="G115" s="114" t="s">
        <v>32</v>
      </c>
      <c r="H115" s="62">
        <v>7</v>
      </c>
      <c r="I115" s="62">
        <v>2</v>
      </c>
      <c r="J115" s="2">
        <f t="shared" si="14"/>
        <v>0.2857142857142857</v>
      </c>
      <c r="K115" s="62">
        <f t="shared" si="9"/>
        <v>2</v>
      </c>
      <c r="L115" s="5">
        <f t="shared" si="15"/>
        <v>0.2857142857142857</v>
      </c>
      <c r="N115"/>
      <c r="O115" s="14"/>
      <c r="P115"/>
      <c r="Q115" s="14"/>
    </row>
    <row r="116" spans="2:17" x14ac:dyDescent="0.35">
      <c r="B116" s="49">
        <v>1</v>
      </c>
      <c r="C116" s="50" t="s">
        <v>68</v>
      </c>
      <c r="D116" s="51" t="s">
        <v>69</v>
      </c>
      <c r="E116" s="150"/>
      <c r="F116" s="119" t="s">
        <v>176</v>
      </c>
      <c r="G116" s="114" t="s">
        <v>32</v>
      </c>
      <c r="H116" s="62">
        <v>7</v>
      </c>
      <c r="I116" s="62">
        <v>2</v>
      </c>
      <c r="J116" s="2">
        <f t="shared" si="14"/>
        <v>0.2857142857142857</v>
      </c>
      <c r="K116" s="62">
        <f t="shared" si="9"/>
        <v>2</v>
      </c>
      <c r="L116" s="5">
        <f t="shared" si="15"/>
        <v>0.2857142857142857</v>
      </c>
      <c r="N116"/>
      <c r="O116" s="14"/>
      <c r="P116"/>
      <c r="Q116" s="14"/>
    </row>
    <row r="117" spans="2:17" x14ac:dyDescent="0.35">
      <c r="B117" s="49">
        <v>1</v>
      </c>
      <c r="C117" s="50" t="s">
        <v>70</v>
      </c>
      <c r="D117" s="51" t="s">
        <v>71</v>
      </c>
      <c r="E117" s="150"/>
      <c r="F117" s="142" t="s">
        <v>178</v>
      </c>
      <c r="G117" s="114" t="s">
        <v>32</v>
      </c>
      <c r="H117" s="62">
        <v>8</v>
      </c>
      <c r="I117" s="62">
        <v>3</v>
      </c>
      <c r="J117" s="2">
        <f t="shared" si="14"/>
        <v>0.375</v>
      </c>
      <c r="K117" s="62">
        <f t="shared" si="9"/>
        <v>3</v>
      </c>
      <c r="L117" s="5">
        <f t="shared" si="15"/>
        <v>0.375</v>
      </c>
      <c r="N117"/>
      <c r="O117" s="14"/>
      <c r="P117"/>
      <c r="Q117" s="14"/>
    </row>
    <row r="118" spans="2:17" x14ac:dyDescent="0.35">
      <c r="B118" s="49">
        <v>1</v>
      </c>
      <c r="C118" s="50" t="s">
        <v>72</v>
      </c>
      <c r="D118" s="51" t="s">
        <v>73</v>
      </c>
      <c r="E118" s="150"/>
      <c r="F118" s="119" t="s">
        <v>180</v>
      </c>
      <c r="G118" s="114" t="s">
        <v>32</v>
      </c>
      <c r="H118" s="62">
        <v>8</v>
      </c>
      <c r="I118" s="62">
        <v>3</v>
      </c>
      <c r="J118" s="2">
        <f t="shared" si="14"/>
        <v>0.375</v>
      </c>
      <c r="K118" s="62">
        <f t="shared" si="9"/>
        <v>3</v>
      </c>
      <c r="L118" s="5">
        <f t="shared" si="15"/>
        <v>0.375</v>
      </c>
      <c r="N118"/>
      <c r="O118" s="14"/>
      <c r="P118"/>
      <c r="Q118" s="14"/>
    </row>
    <row r="119" spans="2:17" s="24" customFormat="1" x14ac:dyDescent="0.35">
      <c r="B119" s="49">
        <v>1</v>
      </c>
      <c r="C119" s="50" t="s">
        <v>74</v>
      </c>
      <c r="D119" s="51" t="s">
        <v>75</v>
      </c>
      <c r="E119" s="150"/>
      <c r="F119" s="22" t="s">
        <v>181</v>
      </c>
      <c r="G119" s="114" t="s">
        <v>32</v>
      </c>
      <c r="H119" s="71">
        <v>8</v>
      </c>
      <c r="I119" s="62">
        <v>3</v>
      </c>
      <c r="J119" s="2">
        <f t="shared" si="14"/>
        <v>0.375</v>
      </c>
      <c r="K119" s="62">
        <f t="shared" si="9"/>
        <v>3</v>
      </c>
      <c r="L119" s="5">
        <f t="shared" si="15"/>
        <v>0.375</v>
      </c>
      <c r="N119" s="55"/>
      <c r="P119" s="55"/>
    </row>
    <row r="120" spans="2:17" x14ac:dyDescent="0.35">
      <c r="B120" s="49">
        <v>1</v>
      </c>
      <c r="C120" s="50" t="s">
        <v>90</v>
      </c>
      <c r="D120" s="51" t="s">
        <v>91</v>
      </c>
      <c r="E120" s="150"/>
      <c r="F120" s="119"/>
      <c r="G120" s="114" t="s">
        <v>32</v>
      </c>
      <c r="H120" s="62">
        <v>7</v>
      </c>
      <c r="I120" s="62">
        <v>2</v>
      </c>
      <c r="J120" s="2">
        <f t="shared" si="14"/>
        <v>0.2857142857142857</v>
      </c>
      <c r="K120" s="62">
        <f t="shared" si="9"/>
        <v>2</v>
      </c>
      <c r="L120" s="5">
        <f t="shared" si="15"/>
        <v>0.2857142857142857</v>
      </c>
      <c r="N120"/>
      <c r="O120" s="14"/>
      <c r="P120"/>
      <c r="Q120" s="14"/>
    </row>
    <row r="121" spans="2:17" x14ac:dyDescent="0.35">
      <c r="B121" s="49">
        <v>1</v>
      </c>
      <c r="C121" s="50" t="s">
        <v>76</v>
      </c>
      <c r="D121" s="51" t="s">
        <v>77</v>
      </c>
      <c r="E121" s="150"/>
      <c r="F121" s="119" t="s">
        <v>182</v>
      </c>
      <c r="G121" s="120" t="s">
        <v>32</v>
      </c>
      <c r="H121" s="62">
        <v>7</v>
      </c>
      <c r="I121" s="64">
        <v>2</v>
      </c>
      <c r="J121" s="2">
        <f t="shared" si="14"/>
        <v>0.2857142857142857</v>
      </c>
      <c r="K121" s="64">
        <f t="shared" si="9"/>
        <v>2</v>
      </c>
      <c r="L121" s="5">
        <f t="shared" si="15"/>
        <v>0.2857142857142857</v>
      </c>
      <c r="N121"/>
      <c r="O121" s="14"/>
      <c r="P121"/>
      <c r="Q121" s="14"/>
    </row>
    <row r="122" spans="2:17" x14ac:dyDescent="0.35">
      <c r="B122" s="56">
        <v>8</v>
      </c>
      <c r="C122" s="57" t="s">
        <v>92</v>
      </c>
      <c r="D122" s="58" t="s">
        <v>87</v>
      </c>
      <c r="E122" s="151"/>
      <c r="F122" s="121" t="s">
        <v>178</v>
      </c>
      <c r="G122" s="123" t="s">
        <v>32</v>
      </c>
      <c r="H122" s="66">
        <v>7</v>
      </c>
      <c r="I122" s="66">
        <v>2</v>
      </c>
      <c r="J122" s="4">
        <f t="shared" si="14"/>
        <v>0.2857142857142857</v>
      </c>
      <c r="K122" s="66">
        <f t="shared" si="9"/>
        <v>2</v>
      </c>
      <c r="L122" s="7">
        <f t="shared" si="15"/>
        <v>0.2857142857142857</v>
      </c>
      <c r="N122"/>
      <c r="O122" s="14"/>
      <c r="P122"/>
      <c r="Q122" s="14"/>
    </row>
    <row r="123" spans="2:17" x14ac:dyDescent="0.35">
      <c r="B123" s="44">
        <v>3</v>
      </c>
      <c r="C123" s="45" t="s">
        <v>43</v>
      </c>
      <c r="D123" s="46" t="s">
        <v>44</v>
      </c>
      <c r="E123" s="189" t="s">
        <v>260</v>
      </c>
      <c r="F123" s="118" t="s">
        <v>159</v>
      </c>
      <c r="G123" s="143" t="s">
        <v>160</v>
      </c>
      <c r="H123" s="48">
        <v>8</v>
      </c>
      <c r="I123" s="48">
        <v>3</v>
      </c>
      <c r="J123" s="2">
        <f t="shared" ref="J123:J133" si="16">IFERROR(I123/H123,0)</f>
        <v>0.375</v>
      </c>
      <c r="K123" s="48">
        <f t="shared" si="9"/>
        <v>3</v>
      </c>
      <c r="L123" s="5">
        <f t="shared" ref="L123:L133" si="17">IFERROR(K123/H123,0)</f>
        <v>0.375</v>
      </c>
      <c r="N123"/>
      <c r="O123" s="14"/>
      <c r="P123"/>
      <c r="Q123" s="14"/>
    </row>
    <row r="124" spans="2:17" x14ac:dyDescent="0.35">
      <c r="B124" s="49">
        <v>3</v>
      </c>
      <c r="C124" s="50" t="s">
        <v>45</v>
      </c>
      <c r="D124" s="51" t="s">
        <v>46</v>
      </c>
      <c r="E124" s="190"/>
      <c r="F124" s="119" t="s">
        <v>161</v>
      </c>
      <c r="G124" s="127" t="s">
        <v>160</v>
      </c>
      <c r="H124" s="71">
        <v>8</v>
      </c>
      <c r="I124" s="62">
        <v>3</v>
      </c>
      <c r="J124" s="2">
        <f t="shared" si="16"/>
        <v>0.375</v>
      </c>
      <c r="K124" s="62">
        <f t="shared" si="9"/>
        <v>3</v>
      </c>
      <c r="L124" s="5">
        <f t="shared" si="17"/>
        <v>0.375</v>
      </c>
      <c r="N124"/>
      <c r="O124" s="14"/>
      <c r="P124"/>
      <c r="Q124" s="14"/>
    </row>
    <row r="125" spans="2:17" x14ac:dyDescent="0.35">
      <c r="B125" s="49">
        <v>3</v>
      </c>
      <c r="C125" s="50" t="s">
        <v>78</v>
      </c>
      <c r="D125" s="51" t="s">
        <v>79</v>
      </c>
      <c r="E125" s="190"/>
      <c r="F125" s="119" t="s">
        <v>162</v>
      </c>
      <c r="G125" s="114" t="s">
        <v>160</v>
      </c>
      <c r="H125" s="62">
        <v>8</v>
      </c>
      <c r="I125" s="64">
        <v>2</v>
      </c>
      <c r="J125" s="2">
        <f t="shared" si="16"/>
        <v>0.25</v>
      </c>
      <c r="K125" s="64">
        <f t="shared" si="9"/>
        <v>2</v>
      </c>
      <c r="L125" s="5">
        <f t="shared" si="17"/>
        <v>0.25</v>
      </c>
      <c r="N125"/>
      <c r="O125" s="14"/>
      <c r="P125"/>
      <c r="Q125" s="14"/>
    </row>
    <row r="126" spans="2:17" x14ac:dyDescent="0.35">
      <c r="B126" s="49">
        <v>3</v>
      </c>
      <c r="C126" s="50" t="s">
        <v>47</v>
      </c>
      <c r="D126" s="51" t="s">
        <v>48</v>
      </c>
      <c r="E126" s="190"/>
      <c r="F126" s="119" t="s">
        <v>163</v>
      </c>
      <c r="G126" s="114" t="s">
        <v>160</v>
      </c>
      <c r="H126" s="62">
        <v>8</v>
      </c>
      <c r="I126" s="62">
        <v>2</v>
      </c>
      <c r="J126" s="2">
        <f t="shared" si="16"/>
        <v>0.25</v>
      </c>
      <c r="K126" s="62">
        <f t="shared" si="9"/>
        <v>2</v>
      </c>
      <c r="L126" s="5">
        <f t="shared" si="17"/>
        <v>0.25</v>
      </c>
      <c r="N126"/>
      <c r="O126" s="14"/>
      <c r="P126"/>
      <c r="Q126" s="14"/>
    </row>
    <row r="127" spans="2:17" x14ac:dyDescent="0.35">
      <c r="B127" s="49">
        <v>3</v>
      </c>
      <c r="C127" s="50" t="s">
        <v>49</v>
      </c>
      <c r="D127" s="51" t="s">
        <v>50</v>
      </c>
      <c r="E127" s="190"/>
      <c r="F127" s="119" t="s">
        <v>164</v>
      </c>
      <c r="G127" s="114" t="s">
        <v>160</v>
      </c>
      <c r="H127" s="62">
        <v>8</v>
      </c>
      <c r="I127" s="62">
        <v>2</v>
      </c>
      <c r="J127" s="2">
        <f t="shared" si="16"/>
        <v>0.25</v>
      </c>
      <c r="K127" s="62">
        <f t="shared" si="9"/>
        <v>2</v>
      </c>
      <c r="L127" s="5">
        <f t="shared" si="17"/>
        <v>0.25</v>
      </c>
      <c r="N127"/>
      <c r="O127" s="14"/>
      <c r="P127"/>
      <c r="Q127" s="14"/>
    </row>
    <row r="128" spans="2:17" x14ac:dyDescent="0.35">
      <c r="B128" s="49">
        <v>3</v>
      </c>
      <c r="C128" s="50" t="s">
        <v>51</v>
      </c>
      <c r="D128" s="51" t="s">
        <v>52</v>
      </c>
      <c r="E128" s="190"/>
      <c r="F128" s="119" t="s">
        <v>165</v>
      </c>
      <c r="G128" s="114" t="s">
        <v>160</v>
      </c>
      <c r="H128" s="62">
        <v>8</v>
      </c>
      <c r="I128" s="62">
        <v>3</v>
      </c>
      <c r="J128" s="2">
        <f t="shared" si="16"/>
        <v>0.375</v>
      </c>
      <c r="K128" s="62">
        <f t="shared" si="9"/>
        <v>3</v>
      </c>
      <c r="L128" s="5">
        <f t="shared" si="17"/>
        <v>0.375</v>
      </c>
      <c r="N128"/>
      <c r="O128" s="14"/>
      <c r="P128"/>
      <c r="Q128" s="14"/>
    </row>
    <row r="129" spans="2:17" x14ac:dyDescent="0.35">
      <c r="B129" s="49">
        <v>5</v>
      </c>
      <c r="C129" s="50" t="s">
        <v>53</v>
      </c>
      <c r="D129" s="51" t="s">
        <v>54</v>
      </c>
      <c r="E129" s="190"/>
      <c r="F129" s="119" t="s">
        <v>166</v>
      </c>
      <c r="G129" s="114" t="s">
        <v>160</v>
      </c>
      <c r="H129" s="62">
        <v>8</v>
      </c>
      <c r="I129" s="62">
        <v>3</v>
      </c>
      <c r="J129" s="2">
        <f t="shared" si="16"/>
        <v>0.375</v>
      </c>
      <c r="K129" s="62">
        <f t="shared" si="9"/>
        <v>3</v>
      </c>
      <c r="L129" s="5">
        <f t="shared" si="17"/>
        <v>0.375</v>
      </c>
      <c r="N129"/>
      <c r="O129" s="14"/>
      <c r="P129"/>
      <c r="Q129" s="14"/>
    </row>
    <row r="130" spans="2:17" s="24" customFormat="1" x14ac:dyDescent="0.35">
      <c r="B130" s="49">
        <v>5</v>
      </c>
      <c r="C130" s="50" t="s">
        <v>80</v>
      </c>
      <c r="D130" s="51" t="s">
        <v>81</v>
      </c>
      <c r="E130" s="190"/>
      <c r="F130" s="119" t="s">
        <v>167</v>
      </c>
      <c r="G130" s="114" t="s">
        <v>160</v>
      </c>
      <c r="H130" s="62">
        <v>8</v>
      </c>
      <c r="I130" s="62">
        <v>3</v>
      </c>
      <c r="J130" s="2">
        <f t="shared" si="16"/>
        <v>0.375</v>
      </c>
      <c r="K130" s="62">
        <f t="shared" si="9"/>
        <v>3</v>
      </c>
      <c r="L130" s="5">
        <f t="shared" si="17"/>
        <v>0.375</v>
      </c>
      <c r="N130" s="55"/>
      <c r="P130" s="55"/>
    </row>
    <row r="131" spans="2:17" x14ac:dyDescent="0.35">
      <c r="B131" s="49">
        <v>5</v>
      </c>
      <c r="C131" s="50" t="s">
        <v>82</v>
      </c>
      <c r="D131" s="51" t="s">
        <v>83</v>
      </c>
      <c r="E131" s="190"/>
      <c r="F131" s="119" t="s">
        <v>168</v>
      </c>
      <c r="G131" s="114" t="s">
        <v>160</v>
      </c>
      <c r="H131" s="71">
        <v>8</v>
      </c>
      <c r="I131" s="71">
        <v>3</v>
      </c>
      <c r="J131" s="2">
        <f t="shared" si="16"/>
        <v>0.375</v>
      </c>
      <c r="K131" s="71">
        <f t="shared" si="9"/>
        <v>3</v>
      </c>
      <c r="L131" s="5">
        <f t="shared" si="17"/>
        <v>0.375</v>
      </c>
      <c r="N131"/>
      <c r="O131" s="14"/>
      <c r="P131"/>
      <c r="Q131" s="14"/>
    </row>
    <row r="132" spans="2:17" x14ac:dyDescent="0.35">
      <c r="B132" s="49">
        <v>5</v>
      </c>
      <c r="C132" s="50" t="s">
        <v>84</v>
      </c>
      <c r="D132" s="51" t="s">
        <v>85</v>
      </c>
      <c r="E132" s="190"/>
      <c r="F132" s="119" t="s">
        <v>298</v>
      </c>
      <c r="G132" s="114" t="s">
        <v>160</v>
      </c>
      <c r="H132" s="71">
        <v>9</v>
      </c>
      <c r="I132" s="71">
        <v>3</v>
      </c>
      <c r="J132" s="2">
        <f t="shared" si="16"/>
        <v>0.33333333333333331</v>
      </c>
      <c r="K132" s="71">
        <f t="shared" si="9"/>
        <v>3</v>
      </c>
      <c r="L132" s="5">
        <f t="shared" si="17"/>
        <v>0.33333333333333331</v>
      </c>
      <c r="N132"/>
      <c r="O132" s="14"/>
      <c r="P132"/>
      <c r="Q132" s="14"/>
    </row>
    <row r="133" spans="2:17" x14ac:dyDescent="0.35">
      <c r="B133" s="56">
        <v>5</v>
      </c>
      <c r="C133" s="57" t="s">
        <v>55</v>
      </c>
      <c r="D133" s="58" t="s">
        <v>56</v>
      </c>
      <c r="E133" s="191"/>
      <c r="F133" s="121" t="s">
        <v>169</v>
      </c>
      <c r="G133" s="123" t="s">
        <v>160</v>
      </c>
      <c r="H133" s="66">
        <v>9</v>
      </c>
      <c r="I133" s="66">
        <v>3</v>
      </c>
      <c r="J133" s="4">
        <f t="shared" si="16"/>
        <v>0.33333333333333331</v>
      </c>
      <c r="K133" s="66">
        <f t="shared" si="9"/>
        <v>3</v>
      </c>
      <c r="L133" s="7">
        <f t="shared" si="17"/>
        <v>0.33333333333333331</v>
      </c>
      <c r="N133"/>
      <c r="O133" s="14"/>
      <c r="P133"/>
      <c r="Q133" s="14"/>
    </row>
    <row r="134" spans="2:17" x14ac:dyDescent="0.35">
      <c r="B134" s="44">
        <v>3</v>
      </c>
      <c r="C134" s="45" t="s">
        <v>43</v>
      </c>
      <c r="D134" s="46" t="s">
        <v>44</v>
      </c>
      <c r="E134" s="189" t="s">
        <v>261</v>
      </c>
      <c r="F134" s="118" t="s">
        <v>124</v>
      </c>
      <c r="G134" s="118" t="s">
        <v>227</v>
      </c>
      <c r="H134" s="48">
        <v>8</v>
      </c>
      <c r="I134" s="48">
        <v>3</v>
      </c>
      <c r="J134" s="2">
        <f t="shared" si="10"/>
        <v>0.375</v>
      </c>
      <c r="K134" s="48">
        <f t="shared" si="9"/>
        <v>3</v>
      </c>
      <c r="L134" s="5">
        <f t="shared" si="11"/>
        <v>0.375</v>
      </c>
      <c r="N134"/>
      <c r="O134" s="14"/>
      <c r="P134"/>
      <c r="Q134" s="14"/>
    </row>
    <row r="135" spans="2:17" x14ac:dyDescent="0.35">
      <c r="B135" s="49">
        <v>3</v>
      </c>
      <c r="C135" s="50" t="s">
        <v>45</v>
      </c>
      <c r="D135" s="51" t="s">
        <v>46</v>
      </c>
      <c r="E135" s="190"/>
      <c r="F135" s="119" t="s">
        <v>126</v>
      </c>
      <c r="G135" s="119" t="s">
        <v>202</v>
      </c>
      <c r="H135" s="71">
        <v>8</v>
      </c>
      <c r="I135" s="62">
        <v>3</v>
      </c>
      <c r="J135" s="2">
        <f t="shared" si="10"/>
        <v>0.375</v>
      </c>
      <c r="K135" s="62">
        <f t="shared" si="9"/>
        <v>3</v>
      </c>
      <c r="L135" s="5">
        <f t="shared" si="11"/>
        <v>0.375</v>
      </c>
      <c r="N135"/>
      <c r="O135" s="14"/>
      <c r="P135"/>
      <c r="Q135" s="14"/>
    </row>
    <row r="136" spans="2:17" x14ac:dyDescent="0.35">
      <c r="B136" s="49">
        <v>3</v>
      </c>
      <c r="C136" s="50" t="s">
        <v>78</v>
      </c>
      <c r="D136" s="51" t="s">
        <v>79</v>
      </c>
      <c r="E136" s="190"/>
      <c r="F136" s="119" t="s">
        <v>126</v>
      </c>
      <c r="G136" s="119" t="s">
        <v>227</v>
      </c>
      <c r="H136" s="62">
        <v>8</v>
      </c>
      <c r="I136" s="64">
        <v>3</v>
      </c>
      <c r="J136" s="2">
        <f t="shared" si="10"/>
        <v>0.375</v>
      </c>
      <c r="K136" s="64">
        <f t="shared" si="9"/>
        <v>3</v>
      </c>
      <c r="L136" s="5">
        <f t="shared" si="11"/>
        <v>0.375</v>
      </c>
      <c r="N136"/>
      <c r="O136" s="14"/>
      <c r="P136"/>
      <c r="Q136" s="14"/>
    </row>
    <row r="137" spans="2:17" x14ac:dyDescent="0.35">
      <c r="B137" s="49">
        <v>3</v>
      </c>
      <c r="C137" s="50" t="s">
        <v>47</v>
      </c>
      <c r="D137" s="51" t="s">
        <v>48</v>
      </c>
      <c r="E137" s="190"/>
      <c r="F137" s="119" t="s">
        <v>127</v>
      </c>
      <c r="G137" s="119" t="s">
        <v>227</v>
      </c>
      <c r="H137" s="62">
        <v>8</v>
      </c>
      <c r="I137" s="62">
        <v>2</v>
      </c>
      <c r="J137" s="2">
        <f t="shared" si="10"/>
        <v>0.25</v>
      </c>
      <c r="K137" s="62">
        <f t="shared" si="9"/>
        <v>2</v>
      </c>
      <c r="L137" s="5">
        <f t="shared" si="11"/>
        <v>0.25</v>
      </c>
      <c r="N137"/>
      <c r="O137" s="14"/>
      <c r="P137"/>
      <c r="Q137" s="14"/>
    </row>
    <row r="138" spans="2:17" x14ac:dyDescent="0.35">
      <c r="B138" s="49">
        <v>3</v>
      </c>
      <c r="C138" s="50" t="s">
        <v>49</v>
      </c>
      <c r="D138" s="51" t="s">
        <v>50</v>
      </c>
      <c r="E138" s="190"/>
      <c r="F138" s="119" t="s">
        <v>129</v>
      </c>
      <c r="G138" s="119" t="s">
        <v>203</v>
      </c>
      <c r="H138" s="62">
        <v>8</v>
      </c>
      <c r="I138" s="62">
        <v>2</v>
      </c>
      <c r="J138" s="2">
        <f t="shared" si="10"/>
        <v>0.25</v>
      </c>
      <c r="K138" s="62">
        <f t="shared" si="9"/>
        <v>2</v>
      </c>
      <c r="L138" s="5">
        <f t="shared" si="11"/>
        <v>0.25</v>
      </c>
      <c r="N138"/>
      <c r="O138" s="14"/>
      <c r="P138"/>
      <c r="Q138" s="14"/>
    </row>
    <row r="139" spans="2:17" x14ac:dyDescent="0.35">
      <c r="B139" s="49">
        <v>3</v>
      </c>
      <c r="C139" s="50" t="s">
        <v>51</v>
      </c>
      <c r="D139" s="51" t="s">
        <v>52</v>
      </c>
      <c r="E139" s="190"/>
      <c r="F139" s="119" t="s">
        <v>129</v>
      </c>
      <c r="G139" s="137" t="s">
        <v>204</v>
      </c>
      <c r="H139" s="62">
        <v>8</v>
      </c>
      <c r="I139" s="62">
        <v>3</v>
      </c>
      <c r="J139" s="2">
        <f t="shared" si="10"/>
        <v>0.375</v>
      </c>
      <c r="K139" s="62">
        <f t="shared" si="9"/>
        <v>3</v>
      </c>
      <c r="L139" s="5">
        <f t="shared" si="11"/>
        <v>0.375</v>
      </c>
      <c r="N139"/>
      <c r="O139" s="14"/>
      <c r="P139"/>
      <c r="Q139" s="14"/>
    </row>
    <row r="140" spans="2:17" x14ac:dyDescent="0.35">
      <c r="B140" s="49">
        <v>5</v>
      </c>
      <c r="C140" s="50" t="s">
        <v>53</v>
      </c>
      <c r="D140" s="51" t="s">
        <v>54</v>
      </c>
      <c r="E140" s="190"/>
      <c r="F140" s="144" t="s">
        <v>129</v>
      </c>
      <c r="G140" s="119" t="s">
        <v>204</v>
      </c>
      <c r="H140" s="74">
        <v>8</v>
      </c>
      <c r="I140" s="62">
        <v>3</v>
      </c>
      <c r="J140" s="2">
        <f t="shared" si="10"/>
        <v>0.375</v>
      </c>
      <c r="K140" s="62">
        <f t="shared" si="9"/>
        <v>3</v>
      </c>
      <c r="L140" s="5">
        <f t="shared" si="11"/>
        <v>0.375</v>
      </c>
      <c r="N140"/>
      <c r="O140" s="14"/>
      <c r="P140"/>
      <c r="Q140" s="14"/>
    </row>
    <row r="141" spans="2:17" s="24" customFormat="1" x14ac:dyDescent="0.35">
      <c r="B141" s="49">
        <v>5</v>
      </c>
      <c r="C141" s="50" t="s">
        <v>80</v>
      </c>
      <c r="D141" s="51" t="s">
        <v>81</v>
      </c>
      <c r="E141" s="190"/>
      <c r="F141" s="119" t="s">
        <v>129</v>
      </c>
      <c r="G141" s="145" t="s">
        <v>227</v>
      </c>
      <c r="H141" s="62">
        <v>8</v>
      </c>
      <c r="I141" s="62">
        <v>2</v>
      </c>
      <c r="J141" s="2">
        <f t="shared" si="10"/>
        <v>0.25</v>
      </c>
      <c r="K141" s="62">
        <f t="shared" si="9"/>
        <v>2</v>
      </c>
      <c r="L141" s="5">
        <f t="shared" si="11"/>
        <v>0.25</v>
      </c>
      <c r="N141" s="55"/>
      <c r="P141" s="55"/>
    </row>
    <row r="142" spans="2:17" x14ac:dyDescent="0.35">
      <c r="B142" s="49">
        <v>5</v>
      </c>
      <c r="C142" s="50" t="s">
        <v>82</v>
      </c>
      <c r="D142" s="51" t="s">
        <v>83</v>
      </c>
      <c r="E142" s="190"/>
      <c r="F142" s="119" t="s">
        <v>129</v>
      </c>
      <c r="G142" s="119" t="s">
        <v>205</v>
      </c>
      <c r="H142" s="71">
        <v>8</v>
      </c>
      <c r="I142" s="62">
        <v>3</v>
      </c>
      <c r="J142" s="2">
        <f t="shared" si="10"/>
        <v>0.375</v>
      </c>
      <c r="K142" s="62">
        <f t="shared" ref="K142:K153" si="18">+I142</f>
        <v>3</v>
      </c>
      <c r="L142" s="5">
        <f t="shared" si="11"/>
        <v>0.375</v>
      </c>
      <c r="N142"/>
      <c r="O142" s="14"/>
      <c r="P142"/>
      <c r="Q142" s="14"/>
    </row>
    <row r="143" spans="2:17" x14ac:dyDescent="0.35">
      <c r="B143" s="49">
        <v>5</v>
      </c>
      <c r="C143" s="50" t="s">
        <v>84</v>
      </c>
      <c r="D143" s="51" t="s">
        <v>85</v>
      </c>
      <c r="E143" s="190"/>
      <c r="F143" s="119" t="s">
        <v>129</v>
      </c>
      <c r="G143" s="119" t="s">
        <v>206</v>
      </c>
      <c r="H143" s="62">
        <v>9</v>
      </c>
      <c r="I143" s="62">
        <v>3</v>
      </c>
      <c r="J143" s="2">
        <f t="shared" si="10"/>
        <v>0.33333333333333331</v>
      </c>
      <c r="K143" s="62">
        <f t="shared" si="18"/>
        <v>3</v>
      </c>
      <c r="L143" s="5">
        <f t="shared" si="11"/>
        <v>0.33333333333333331</v>
      </c>
      <c r="N143"/>
      <c r="O143" s="14"/>
      <c r="P143"/>
      <c r="Q143" s="14"/>
    </row>
    <row r="144" spans="2:17" x14ac:dyDescent="0.35">
      <c r="B144" s="56">
        <v>5</v>
      </c>
      <c r="C144" s="57" t="s">
        <v>55</v>
      </c>
      <c r="D144" s="58" t="s">
        <v>56</v>
      </c>
      <c r="E144" s="191"/>
      <c r="F144" s="121" t="s">
        <v>129</v>
      </c>
      <c r="G144" s="119" t="s">
        <v>206</v>
      </c>
      <c r="H144" s="66">
        <v>9</v>
      </c>
      <c r="I144" s="66">
        <v>3</v>
      </c>
      <c r="J144" s="4">
        <f t="shared" si="10"/>
        <v>0.33333333333333331</v>
      </c>
      <c r="K144" s="66">
        <f t="shared" si="18"/>
        <v>3</v>
      </c>
      <c r="L144" s="7">
        <f t="shared" si="11"/>
        <v>0.33333333333333331</v>
      </c>
      <c r="N144"/>
      <c r="O144" s="14"/>
      <c r="P144"/>
      <c r="Q144" s="14"/>
    </row>
    <row r="145" spans="2:17" x14ac:dyDescent="0.35">
      <c r="B145" s="75">
        <v>3</v>
      </c>
      <c r="C145" s="76" t="s">
        <v>43</v>
      </c>
      <c r="D145" s="77" t="s">
        <v>44</v>
      </c>
      <c r="E145" s="188" t="s">
        <v>262</v>
      </c>
      <c r="F145" s="118" t="s">
        <v>124</v>
      </c>
      <c r="G145" s="113" t="s">
        <v>195</v>
      </c>
      <c r="H145" s="48">
        <v>10</v>
      </c>
      <c r="I145" s="48">
        <v>3</v>
      </c>
      <c r="J145" s="2">
        <f t="shared" si="10"/>
        <v>0.3</v>
      </c>
      <c r="K145" s="48">
        <f t="shared" si="18"/>
        <v>3</v>
      </c>
      <c r="L145" s="5">
        <f t="shared" si="11"/>
        <v>0.3</v>
      </c>
      <c r="N145"/>
      <c r="O145" s="14"/>
      <c r="P145"/>
      <c r="Q145" s="14"/>
    </row>
    <row r="146" spans="2:17" x14ac:dyDescent="0.35">
      <c r="B146" s="49">
        <v>3</v>
      </c>
      <c r="C146" s="50" t="s">
        <v>45</v>
      </c>
      <c r="D146" s="51" t="s">
        <v>46</v>
      </c>
      <c r="E146" s="150"/>
      <c r="F146" s="119" t="s">
        <v>126</v>
      </c>
      <c r="G146" s="146" t="s">
        <v>196</v>
      </c>
      <c r="H146" s="71">
        <v>10</v>
      </c>
      <c r="I146" s="62">
        <v>3</v>
      </c>
      <c r="J146" s="2">
        <f t="shared" si="10"/>
        <v>0.3</v>
      </c>
      <c r="K146" s="62">
        <f t="shared" si="18"/>
        <v>3</v>
      </c>
      <c r="L146" s="5">
        <f t="shared" si="11"/>
        <v>0.3</v>
      </c>
      <c r="N146"/>
      <c r="O146" s="14"/>
      <c r="P146"/>
      <c r="Q146" s="14"/>
    </row>
    <row r="147" spans="2:17" x14ac:dyDescent="0.35">
      <c r="B147" s="49">
        <v>3</v>
      </c>
      <c r="C147" s="50" t="s">
        <v>78</v>
      </c>
      <c r="D147" s="51" t="s">
        <v>79</v>
      </c>
      <c r="E147" s="150"/>
      <c r="F147" s="119" t="s">
        <v>126</v>
      </c>
      <c r="G147" s="114" t="s">
        <v>195</v>
      </c>
      <c r="H147" s="62">
        <v>10</v>
      </c>
      <c r="I147" s="64">
        <v>3</v>
      </c>
      <c r="J147" s="2">
        <f t="shared" si="10"/>
        <v>0.3</v>
      </c>
      <c r="K147" s="64">
        <f t="shared" si="18"/>
        <v>3</v>
      </c>
      <c r="L147" s="5">
        <f t="shared" si="11"/>
        <v>0.3</v>
      </c>
      <c r="N147"/>
      <c r="O147" s="14"/>
      <c r="P147"/>
      <c r="Q147" s="14"/>
    </row>
    <row r="148" spans="2:17" x14ac:dyDescent="0.35">
      <c r="B148" s="49">
        <v>3</v>
      </c>
      <c r="C148" s="50" t="s">
        <v>47</v>
      </c>
      <c r="D148" s="51" t="s">
        <v>48</v>
      </c>
      <c r="E148" s="150"/>
      <c r="F148" s="119" t="s">
        <v>127</v>
      </c>
      <c r="G148" s="114" t="s">
        <v>195</v>
      </c>
      <c r="H148" s="62">
        <v>10</v>
      </c>
      <c r="I148" s="62">
        <v>4</v>
      </c>
      <c r="J148" s="2">
        <f t="shared" si="10"/>
        <v>0.4</v>
      </c>
      <c r="K148" s="62">
        <f t="shared" si="18"/>
        <v>4</v>
      </c>
      <c r="L148" s="5">
        <f t="shared" si="11"/>
        <v>0.4</v>
      </c>
      <c r="N148"/>
      <c r="O148" s="14"/>
      <c r="P148"/>
      <c r="Q148" s="14"/>
    </row>
    <row r="149" spans="2:17" x14ac:dyDescent="0.35">
      <c r="B149" s="49">
        <v>3</v>
      </c>
      <c r="C149" s="50" t="s">
        <v>49</v>
      </c>
      <c r="D149" s="51" t="s">
        <v>50</v>
      </c>
      <c r="E149" s="150"/>
      <c r="F149" s="119" t="s">
        <v>129</v>
      </c>
      <c r="G149" s="114" t="s">
        <v>197</v>
      </c>
      <c r="H149" s="62">
        <v>10</v>
      </c>
      <c r="I149" s="62">
        <v>4</v>
      </c>
      <c r="J149" s="2">
        <f t="shared" si="10"/>
        <v>0.4</v>
      </c>
      <c r="K149" s="62">
        <f t="shared" si="18"/>
        <v>4</v>
      </c>
      <c r="L149" s="5">
        <f t="shared" si="11"/>
        <v>0.4</v>
      </c>
      <c r="N149"/>
      <c r="O149" s="14"/>
      <c r="P149"/>
      <c r="Q149" s="14"/>
    </row>
    <row r="150" spans="2:17" s="24" customFormat="1" x14ac:dyDescent="0.35">
      <c r="B150" s="49">
        <v>3</v>
      </c>
      <c r="C150" s="50" t="s">
        <v>51</v>
      </c>
      <c r="D150" s="51" t="s">
        <v>52</v>
      </c>
      <c r="E150" s="150"/>
      <c r="F150" s="119" t="s">
        <v>129</v>
      </c>
      <c r="G150" s="114" t="s">
        <v>198</v>
      </c>
      <c r="H150" s="62">
        <v>10</v>
      </c>
      <c r="I150" s="62">
        <v>4</v>
      </c>
      <c r="J150" s="2">
        <f t="shared" si="10"/>
        <v>0.4</v>
      </c>
      <c r="K150" s="62">
        <f t="shared" si="18"/>
        <v>4</v>
      </c>
      <c r="L150" s="5">
        <f t="shared" si="11"/>
        <v>0.4</v>
      </c>
      <c r="N150" s="55"/>
      <c r="P150" s="55"/>
    </row>
    <row r="151" spans="2:17" x14ac:dyDescent="0.35">
      <c r="B151" s="49">
        <v>5</v>
      </c>
      <c r="C151" s="50" t="s">
        <v>53</v>
      </c>
      <c r="D151" s="51" t="s">
        <v>54</v>
      </c>
      <c r="E151" s="150"/>
      <c r="F151" s="147" t="s">
        <v>129</v>
      </c>
      <c r="G151" s="114" t="s">
        <v>198</v>
      </c>
      <c r="H151" s="62">
        <v>10</v>
      </c>
      <c r="I151" s="62">
        <v>4</v>
      </c>
      <c r="J151" s="2">
        <f t="shared" si="10"/>
        <v>0.4</v>
      </c>
      <c r="K151" s="62">
        <f t="shared" si="18"/>
        <v>4</v>
      </c>
      <c r="L151" s="5">
        <f t="shared" si="11"/>
        <v>0.4</v>
      </c>
      <c r="N151"/>
      <c r="O151" s="14"/>
      <c r="P151"/>
      <c r="Q151" s="14"/>
    </row>
    <row r="152" spans="2:17" x14ac:dyDescent="0.35">
      <c r="B152" s="49">
        <v>5</v>
      </c>
      <c r="C152" s="50" t="s">
        <v>55</v>
      </c>
      <c r="D152" s="51" t="s">
        <v>56</v>
      </c>
      <c r="E152" s="150"/>
      <c r="F152" s="119" t="s">
        <v>129</v>
      </c>
      <c r="G152" s="114" t="s">
        <v>199</v>
      </c>
      <c r="H152" s="62">
        <v>10</v>
      </c>
      <c r="I152" s="62">
        <v>2</v>
      </c>
      <c r="J152" s="2">
        <f t="shared" si="10"/>
        <v>0.2</v>
      </c>
      <c r="K152" s="62">
        <f t="shared" si="18"/>
        <v>2</v>
      </c>
      <c r="L152" s="5">
        <f t="shared" si="11"/>
        <v>0.2</v>
      </c>
      <c r="N152"/>
      <c r="O152" s="14"/>
      <c r="P152"/>
      <c r="Q152" s="14"/>
    </row>
    <row r="153" spans="2:17" x14ac:dyDescent="0.35">
      <c r="B153" s="56">
        <v>8</v>
      </c>
      <c r="C153" s="57" t="s">
        <v>57</v>
      </c>
      <c r="D153" s="58" t="s">
        <v>58</v>
      </c>
      <c r="E153" s="151"/>
      <c r="F153" s="121" t="s">
        <v>133</v>
      </c>
      <c r="G153" s="123" t="s">
        <v>200</v>
      </c>
      <c r="H153" s="66">
        <v>10</v>
      </c>
      <c r="I153" s="66">
        <v>3</v>
      </c>
      <c r="J153" s="4">
        <f t="shared" si="10"/>
        <v>0.3</v>
      </c>
      <c r="K153" s="66">
        <f t="shared" si="18"/>
        <v>3</v>
      </c>
      <c r="L153" s="7">
        <f t="shared" si="11"/>
        <v>0.3</v>
      </c>
      <c r="N153"/>
      <c r="O153" s="14"/>
      <c r="P153"/>
      <c r="Q153" s="14"/>
    </row>
    <row r="154" spans="2:17" x14ac:dyDescent="0.35">
      <c r="D154" s="26"/>
      <c r="E154" s="11"/>
      <c r="F154" s="22"/>
      <c r="G154" s="11"/>
      <c r="H154" s="182" t="str">
        <f>+CONCATENATE("TOTAL A ",D7)</f>
        <v>TOTAL A ENERO</v>
      </c>
      <c r="I154" s="183"/>
      <c r="J154" s="184"/>
      <c r="K154" s="182" t="s">
        <v>33</v>
      </c>
      <c r="L154" s="184"/>
    </row>
    <row r="155" spans="2:17" x14ac:dyDescent="0.35">
      <c r="D155" s="96"/>
      <c r="E155" s="97"/>
      <c r="F155" s="24"/>
      <c r="G155" s="97"/>
      <c r="H155" s="98">
        <f>+SUM(H13:H153)</f>
        <v>1350</v>
      </c>
      <c r="I155" s="98">
        <f>+SUM(I13:I153)</f>
        <v>450</v>
      </c>
      <c r="J155" s="1">
        <f>IFERROR(I155/H155,0)</f>
        <v>0.33333333333333331</v>
      </c>
      <c r="K155" s="98">
        <f>+SUM(K13:K153)</f>
        <v>450</v>
      </c>
      <c r="L155" s="1">
        <f>IFERROR(K155/H155,0)</f>
        <v>0.33333333333333331</v>
      </c>
    </row>
    <row r="156" spans="2:17" x14ac:dyDescent="0.35">
      <c r="D156" s="96"/>
      <c r="E156" s="97"/>
      <c r="F156" s="24"/>
      <c r="G156" s="97"/>
      <c r="H156" s="99"/>
      <c r="I156" s="100"/>
      <c r="J156" s="8"/>
      <c r="K156" s="100"/>
      <c r="L156" s="8"/>
    </row>
    <row r="157" spans="2:17" ht="48" customHeight="1" x14ac:dyDescent="0.35">
      <c r="B157" s="185" t="s">
        <v>34</v>
      </c>
      <c r="C157" s="186"/>
      <c r="D157" s="187" t="s">
        <v>264</v>
      </c>
      <c r="E157" s="187"/>
      <c r="F157" s="187"/>
      <c r="G157" s="187"/>
      <c r="H157" s="187"/>
      <c r="I157" s="187"/>
      <c r="J157" s="187"/>
      <c r="K157" s="187"/>
      <c r="L157" s="187"/>
    </row>
    <row r="158" spans="2:17" x14ac:dyDescent="0.35">
      <c r="B158" s="167" t="s">
        <v>36</v>
      </c>
      <c r="C158" s="168"/>
      <c r="D158" s="168"/>
      <c r="E158" s="168"/>
      <c r="F158" s="168"/>
      <c r="G158" s="168"/>
      <c r="H158" s="168"/>
      <c r="I158" s="168"/>
      <c r="J158" s="168"/>
      <c r="K158" s="168"/>
      <c r="L158" s="169"/>
    </row>
    <row r="159" spans="2:17" x14ac:dyDescent="0.35">
      <c r="B159" s="170"/>
      <c r="C159" s="171"/>
      <c r="D159" s="171"/>
      <c r="E159" s="171"/>
      <c r="F159" s="171"/>
      <c r="G159" s="171"/>
      <c r="H159" s="171"/>
      <c r="I159" s="171"/>
      <c r="J159" s="171"/>
      <c r="K159" s="171"/>
      <c r="L159" s="172"/>
    </row>
    <row r="160" spans="2:17" x14ac:dyDescent="0.35">
      <c r="B160" s="173" t="s">
        <v>37</v>
      </c>
      <c r="C160" s="174"/>
      <c r="D160" s="174"/>
      <c r="E160" s="174"/>
      <c r="F160" s="174"/>
      <c r="G160" s="174"/>
      <c r="H160" s="174"/>
      <c r="I160" s="174"/>
      <c r="J160" s="174"/>
      <c r="K160" s="174"/>
      <c r="L160" s="175"/>
    </row>
    <row r="161" spans="1:18" ht="24.5" x14ac:dyDescent="0.45">
      <c r="B161" s="101" t="s">
        <v>38</v>
      </c>
      <c r="C161" s="102"/>
      <c r="D161" s="161" t="s">
        <v>35</v>
      </c>
      <c r="E161" s="162"/>
      <c r="F161" s="162"/>
      <c r="G161" s="162"/>
      <c r="H161" s="162"/>
      <c r="I161" s="162"/>
      <c r="J161" s="162"/>
      <c r="K161" s="162"/>
      <c r="L161" s="163"/>
    </row>
    <row r="162" spans="1:18" ht="24.5" x14ac:dyDescent="0.45">
      <c r="B162" s="101" t="s">
        <v>39</v>
      </c>
      <c r="C162" s="102"/>
      <c r="D162" s="164"/>
      <c r="E162" s="165"/>
      <c r="F162" s="165"/>
      <c r="G162" s="165"/>
      <c r="H162" s="165"/>
      <c r="I162" s="165"/>
      <c r="J162" s="165"/>
      <c r="K162" s="165"/>
      <c r="L162" s="166"/>
    </row>
    <row r="163" spans="1:18" x14ac:dyDescent="0.35">
      <c r="B163" s="176" t="s">
        <v>36</v>
      </c>
      <c r="C163" s="177"/>
      <c r="D163" s="177"/>
      <c r="E163" s="177"/>
      <c r="F163" s="177"/>
      <c r="G163" s="177"/>
      <c r="H163" s="177"/>
      <c r="I163" s="177"/>
      <c r="J163" s="177"/>
      <c r="K163" s="177"/>
      <c r="L163" s="178"/>
    </row>
    <row r="164" spans="1:18" s="12" customFormat="1" ht="14.4" hidden="1" customHeight="1" x14ac:dyDescent="0.35">
      <c r="A164" t="s">
        <v>0</v>
      </c>
      <c r="B164" s="179"/>
      <c r="C164" s="180"/>
      <c r="D164" s="180"/>
      <c r="E164" s="180"/>
      <c r="F164" s="180"/>
      <c r="G164" s="180"/>
      <c r="H164" s="180"/>
      <c r="I164" s="180"/>
      <c r="J164" s="180"/>
      <c r="K164" s="180"/>
      <c r="L164" s="181"/>
      <c r="M164" s="14"/>
      <c r="N164" s="14"/>
      <c r="O164"/>
      <c r="P164" s="14"/>
      <c r="Q164"/>
      <c r="R164" s="14"/>
    </row>
    <row r="165" spans="1:18" s="12" customFormat="1" ht="14.4" hidden="1" customHeight="1" x14ac:dyDescent="0.35">
      <c r="A165" t="s">
        <v>2</v>
      </c>
      <c r="B165" s="173" t="s">
        <v>40</v>
      </c>
      <c r="C165" s="174"/>
      <c r="D165" s="174"/>
      <c r="E165" s="174"/>
      <c r="F165" s="174"/>
      <c r="G165" s="174"/>
      <c r="H165" s="174"/>
      <c r="I165" s="174"/>
      <c r="J165" s="174"/>
      <c r="K165" s="174"/>
      <c r="L165" s="175"/>
      <c r="M165" s="14"/>
      <c r="N165" s="14"/>
      <c r="O165"/>
      <c r="P165" s="14"/>
      <c r="Q165"/>
      <c r="R165" s="14"/>
    </row>
    <row r="166" spans="1:18" s="12" customFormat="1" ht="14.4" hidden="1" customHeight="1" x14ac:dyDescent="0.45">
      <c r="A166" t="s">
        <v>6</v>
      </c>
      <c r="B166" s="101" t="s">
        <v>38</v>
      </c>
      <c r="C166" s="102"/>
      <c r="D166" s="161" t="s">
        <v>35</v>
      </c>
      <c r="E166" s="162"/>
      <c r="F166" s="162"/>
      <c r="G166" s="162"/>
      <c r="H166" s="162"/>
      <c r="I166" s="162"/>
      <c r="J166" s="162"/>
      <c r="K166" s="162"/>
      <c r="L166" s="163"/>
      <c r="M166" s="14"/>
      <c r="N166" s="14"/>
      <c r="O166"/>
      <c r="P166" s="14"/>
      <c r="Q166"/>
      <c r="R166" s="14"/>
    </row>
    <row r="167" spans="1:18" s="12" customFormat="1" ht="14.4" hidden="1" customHeight="1" x14ac:dyDescent="0.45">
      <c r="A167" t="s">
        <v>8</v>
      </c>
      <c r="B167" s="101" t="s">
        <v>39</v>
      </c>
      <c r="C167" s="102"/>
      <c r="D167" s="164"/>
      <c r="E167" s="165"/>
      <c r="F167" s="165"/>
      <c r="G167" s="165"/>
      <c r="H167" s="165"/>
      <c r="I167" s="165"/>
      <c r="J167" s="165"/>
      <c r="K167" s="165"/>
      <c r="L167" s="166"/>
      <c r="M167" s="14"/>
      <c r="N167" s="14"/>
      <c r="O167"/>
      <c r="P167" s="14"/>
      <c r="Q167"/>
      <c r="R167" s="14"/>
    </row>
    <row r="168" spans="1:18" s="12" customFormat="1" ht="14.4" hidden="1" customHeight="1" x14ac:dyDescent="0.35">
      <c r="A168" t="s">
        <v>9</v>
      </c>
      <c r="B168" s="103"/>
      <c r="C168" s="103"/>
      <c r="D168" s="26"/>
      <c r="E168" s="11"/>
      <c r="G168" s="11"/>
      <c r="H168" s="103"/>
      <c r="I168" s="104"/>
      <c r="M168" s="14"/>
      <c r="N168" s="14"/>
      <c r="O168"/>
      <c r="P168" s="14"/>
      <c r="Q168"/>
      <c r="R168" s="14"/>
    </row>
    <row r="169" spans="1:18" s="12" customFormat="1" ht="14.4" hidden="1" customHeight="1" x14ac:dyDescent="0.35">
      <c r="A169" t="s">
        <v>10</v>
      </c>
      <c r="B169" s="103"/>
      <c r="C169" s="103"/>
      <c r="D169" s="26"/>
      <c r="E169" s="11"/>
      <c r="G169" s="11"/>
      <c r="H169" s="103"/>
      <c r="I169" s="104"/>
      <c r="M169" s="14"/>
      <c r="N169" s="14"/>
      <c r="O169"/>
      <c r="P169" s="14"/>
      <c r="Q169"/>
      <c r="R169" s="14"/>
    </row>
    <row r="170" spans="1:18" s="12" customFormat="1" ht="14.4" hidden="1" customHeight="1" x14ac:dyDescent="0.35">
      <c r="A170" t="s">
        <v>11</v>
      </c>
      <c r="B170" s="192"/>
      <c r="C170" s="192"/>
      <c r="D170" s="192"/>
      <c r="E170" s="11"/>
      <c r="G170" s="11"/>
      <c r="H170" s="192"/>
      <c r="I170" s="192"/>
      <c r="J170" s="192"/>
      <c r="K170" s="192"/>
      <c r="M170" s="14"/>
      <c r="N170" s="14"/>
      <c r="O170"/>
      <c r="P170" s="14"/>
      <c r="Q170"/>
      <c r="R170" s="14"/>
    </row>
    <row r="171" spans="1:18" s="12" customFormat="1" ht="14.4" hidden="1" customHeight="1" x14ac:dyDescent="0.35">
      <c r="A171" t="s">
        <v>13</v>
      </c>
      <c r="B171" s="11" t="s">
        <v>41</v>
      </c>
      <c r="C171" s="193"/>
      <c r="D171" s="193"/>
      <c r="E171" s="11"/>
      <c r="G171" s="11"/>
      <c r="H171" s="11" t="s">
        <v>42</v>
      </c>
      <c r="I171" s="193" t="s">
        <v>97</v>
      </c>
      <c r="J171" s="193"/>
      <c r="K171" s="193"/>
      <c r="M171" s="14"/>
      <c r="N171" s="14"/>
      <c r="O171"/>
      <c r="P171" s="14"/>
      <c r="Q171"/>
      <c r="R171" s="14"/>
    </row>
    <row r="172" spans="1:18" s="12" customFormat="1" hidden="1" x14ac:dyDescent="0.35">
      <c r="A172" t="s">
        <v>14</v>
      </c>
      <c r="B172" s="97"/>
      <c r="C172" s="11"/>
      <c r="F172" s="13"/>
      <c r="M172" s="14"/>
      <c r="N172" s="14"/>
      <c r="O172"/>
      <c r="P172" s="14"/>
      <c r="Q172"/>
      <c r="R172" s="14"/>
    </row>
    <row r="173" spans="1:18" s="12" customFormat="1" hidden="1" x14ac:dyDescent="0.35">
      <c r="A173" t="s">
        <v>16</v>
      </c>
      <c r="B173" s="97"/>
      <c r="C173" s="11"/>
      <c r="F173" s="13"/>
      <c r="M173" s="14"/>
      <c r="N173" s="14"/>
      <c r="O173"/>
      <c r="P173" s="14"/>
      <c r="Q173"/>
      <c r="R173" s="14"/>
    </row>
    <row r="174" spans="1:18" s="12" customFormat="1" hidden="1" x14ac:dyDescent="0.35">
      <c r="A174" t="s">
        <v>17</v>
      </c>
      <c r="B174" s="97"/>
      <c r="C174" s="11"/>
      <c r="F174" s="13"/>
      <c r="M174" s="14"/>
      <c r="N174" s="14"/>
      <c r="O174"/>
      <c r="P174" s="14"/>
      <c r="Q174"/>
      <c r="R174" s="14"/>
    </row>
    <row r="175" spans="1:18" s="12" customFormat="1" hidden="1" x14ac:dyDescent="0.35">
      <c r="A175" t="s">
        <v>21</v>
      </c>
      <c r="B175" s="97"/>
      <c r="C175" s="11"/>
      <c r="F175" s="13"/>
      <c r="M175" s="14"/>
      <c r="N175" s="14"/>
      <c r="O175"/>
      <c r="P175" s="14"/>
      <c r="Q175"/>
      <c r="R175" s="14"/>
    </row>
    <row r="176" spans="1:18" s="12" customFormat="1" hidden="1" x14ac:dyDescent="0.35">
      <c r="A176" t="s">
        <v>31</v>
      </c>
      <c r="B176" s="97"/>
      <c r="C176" s="11"/>
      <c r="F176" s="13"/>
      <c r="M176" s="14"/>
      <c r="N176" s="14"/>
      <c r="O176"/>
      <c r="P176" s="14"/>
      <c r="Q176"/>
      <c r="R176" s="14"/>
    </row>
    <row r="177" spans="2:12" x14ac:dyDescent="0.35">
      <c r="B177" s="173" t="s">
        <v>40</v>
      </c>
      <c r="C177" s="174"/>
      <c r="D177" s="174"/>
      <c r="E177" s="174"/>
      <c r="F177" s="174"/>
      <c r="G177" s="174"/>
      <c r="H177" s="174"/>
      <c r="I177" s="174"/>
      <c r="J177" s="174"/>
      <c r="K177" s="174"/>
      <c r="L177" s="175"/>
    </row>
    <row r="178" spans="2:12" ht="24.5" x14ac:dyDescent="0.45">
      <c r="B178" s="101" t="s">
        <v>38</v>
      </c>
      <c r="C178" s="102"/>
      <c r="D178" s="161" t="s">
        <v>35</v>
      </c>
      <c r="E178" s="162"/>
      <c r="F178" s="162"/>
      <c r="G178" s="162"/>
      <c r="H178" s="162"/>
      <c r="I178" s="162"/>
      <c r="J178" s="162"/>
      <c r="K178" s="162"/>
      <c r="L178" s="163"/>
    </row>
    <row r="179" spans="2:12" ht="24.5" x14ac:dyDescent="0.45">
      <c r="B179" s="101" t="s">
        <v>39</v>
      </c>
      <c r="C179" s="102"/>
      <c r="D179" s="164"/>
      <c r="E179" s="165"/>
      <c r="F179" s="165"/>
      <c r="G179" s="165"/>
      <c r="H179" s="165"/>
      <c r="I179" s="165"/>
      <c r="J179" s="165"/>
      <c r="K179" s="165"/>
      <c r="L179" s="166"/>
    </row>
    <row r="180" spans="2:12" x14ac:dyDescent="0.35">
      <c r="B180" s="103"/>
      <c r="C180" s="103"/>
      <c r="D180" s="26"/>
      <c r="E180" s="11"/>
      <c r="F180" s="12"/>
      <c r="G180" s="11"/>
      <c r="H180" s="103"/>
      <c r="I180" s="104"/>
    </row>
    <row r="181" spans="2:12" x14ac:dyDescent="0.35">
      <c r="B181" s="103"/>
      <c r="C181" s="103"/>
      <c r="D181" s="26"/>
      <c r="E181" s="11"/>
      <c r="F181" s="12"/>
      <c r="G181" s="11"/>
      <c r="H181" s="103"/>
      <c r="I181" s="104"/>
    </row>
    <row r="182" spans="2:12" x14ac:dyDescent="0.35">
      <c r="B182" s="192"/>
      <c r="C182" s="192"/>
      <c r="D182" s="192"/>
      <c r="E182" s="11"/>
      <c r="F182" s="12"/>
      <c r="G182" s="11"/>
      <c r="H182" s="192"/>
      <c r="I182" s="192"/>
      <c r="J182" s="192"/>
      <c r="K182" s="192"/>
    </row>
    <row r="183" spans="2:12" ht="18" customHeight="1" x14ac:dyDescent="0.35">
      <c r="B183" s="11" t="s">
        <v>41</v>
      </c>
      <c r="C183" s="193"/>
      <c r="D183" s="193"/>
      <c r="E183" s="11"/>
      <c r="F183" s="12"/>
      <c r="G183" s="11"/>
      <c r="H183" s="11" t="s">
        <v>42</v>
      </c>
      <c r="I183" s="193" t="s">
        <v>334</v>
      </c>
      <c r="J183" s="193"/>
      <c r="K183" s="193"/>
    </row>
  </sheetData>
  <sheetProtection formatCells="0" formatColumns="0" formatRows="0" insertColumns="0" insertRows="0" insertHyperlinks="0" deleteColumns="0" deleteRows="0" sort="0" autoFilter="0" pivotTables="0"/>
  <autoFilter ref="B12:L155"/>
  <mergeCells count="45">
    <mergeCell ref="B182:D182"/>
    <mergeCell ref="H182:K182"/>
    <mergeCell ref="C183:D183"/>
    <mergeCell ref="I183:K183"/>
    <mergeCell ref="B170:D170"/>
    <mergeCell ref="H170:K170"/>
    <mergeCell ref="C171:D171"/>
    <mergeCell ref="I171:K171"/>
    <mergeCell ref="B177:L177"/>
    <mergeCell ref="D178:L179"/>
    <mergeCell ref="E100:E110"/>
    <mergeCell ref="E111:E122"/>
    <mergeCell ref="E134:E144"/>
    <mergeCell ref="E49:E54"/>
    <mergeCell ref="E91:E99"/>
    <mergeCell ref="E64:E72"/>
    <mergeCell ref="E82:E90"/>
    <mergeCell ref="E123:E133"/>
    <mergeCell ref="E55:E63"/>
    <mergeCell ref="H154:J154"/>
    <mergeCell ref="K154:L154"/>
    <mergeCell ref="B157:C157"/>
    <mergeCell ref="D157:L157"/>
    <mergeCell ref="E145:E153"/>
    <mergeCell ref="D166:L167"/>
    <mergeCell ref="B158:L159"/>
    <mergeCell ref="B160:L160"/>
    <mergeCell ref="D161:L162"/>
    <mergeCell ref="B163:L164"/>
    <mergeCell ref="B165:L165"/>
    <mergeCell ref="I11:J11"/>
    <mergeCell ref="K11:L11"/>
    <mergeCell ref="B2:L2"/>
    <mergeCell ref="B3:D3"/>
    <mergeCell ref="F3:I3"/>
    <mergeCell ref="J3:L3"/>
    <mergeCell ref="B5:C5"/>
    <mergeCell ref="E13:E20"/>
    <mergeCell ref="E21:E31"/>
    <mergeCell ref="E73:E81"/>
    <mergeCell ref="E32:E39"/>
    <mergeCell ref="B7:C7"/>
    <mergeCell ref="B9:C9"/>
    <mergeCell ref="B11:H11"/>
    <mergeCell ref="E40:E48"/>
  </mergeCells>
  <conditionalFormatting sqref="L13:L153">
    <cfRule type="cellIs" dxfId="3" priority="1" operator="equal">
      <formula>1</formula>
    </cfRule>
    <cfRule type="cellIs" dxfId="2" priority="2" operator="greaterThan">
      <formula>1</formula>
    </cfRule>
  </conditionalFormatting>
  <dataValidations count="3">
    <dataValidation type="whole" allowBlank="1" showInputMessage="1" showErrorMessage="1" errorTitle="¡Error!" error="Introduzca un número válido." promptTitle="¡Atención!" prompt="Introduzca un número entre 0 y 366" sqref="H156 H13:H153">
      <formula1>0</formula1>
      <formula2>366</formula2>
    </dataValidation>
    <dataValidation type="list" allowBlank="1" showInputMessage="1" showErrorMessage="1" sqref="D7">
      <formula1>$A$165:$A$176</formula1>
    </dataValidation>
    <dataValidation type="whole" allowBlank="1" showInputMessage="1" showErrorMessage="1" errorTitle="¡Error!" error="Introduzca un número válido." promptTitle="¡Atención!" prompt="Introduzca un número entre 0 y 30" sqref="I13:I153">
      <formula1>0</formula1>
      <formula2>30</formula2>
    </dataValidation>
  </dataValidations>
  <pageMargins left="0.7" right="0.7" top="0.75" bottom="0.75" header="0.3" footer="0.3"/>
  <pageSetup scale="12" orientation="portrait" r:id="rId1"/>
  <ignoredErrors>
    <ignoredError sqref="J155" formula="1"/>
  </ignoredError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184"/>
  <sheetViews>
    <sheetView showGridLines="0" tabSelected="1" view="pageBreakPreview" zoomScaleNormal="100" zoomScaleSheetLayoutView="100" workbookViewId="0">
      <selection activeCell="B2" sqref="B2:L2"/>
    </sheetView>
  </sheetViews>
  <sheetFormatPr baseColWidth="10" defaultColWidth="8.6328125" defaultRowHeight="14.5" x14ac:dyDescent="0.35"/>
  <cols>
    <col min="1" max="1" width="3.36328125" style="14" customWidth="1"/>
    <col min="2" max="2" width="15.6328125" style="11" customWidth="1"/>
    <col min="3" max="3" width="8.54296875" style="11" customWidth="1"/>
    <col min="4" max="4" width="43.36328125" style="12" customWidth="1"/>
    <col min="5" max="5" width="16.90625" style="12" bestFit="1" customWidth="1"/>
    <col min="6" max="6" width="31" style="13" customWidth="1"/>
    <col min="7" max="7" width="30.08984375" style="12" customWidth="1"/>
    <col min="8" max="8" width="13.6328125" style="12" customWidth="1"/>
    <col min="9" max="9" width="13.453125" style="12" customWidth="1"/>
    <col min="10" max="10" width="10.453125" style="12" customWidth="1"/>
    <col min="11" max="11" width="12.453125" style="12" customWidth="1"/>
    <col min="12" max="12" width="12.36328125" style="12" customWidth="1"/>
    <col min="13" max="13" width="3.36328125" style="14" customWidth="1"/>
    <col min="14" max="14" width="16.453125" style="14" customWidth="1"/>
    <col min="16" max="16" width="16.453125" style="14" customWidth="1"/>
    <col min="17" max="17" width="0" hidden="1" customWidth="1"/>
    <col min="18" max="18" width="16.453125" style="14" customWidth="1"/>
    <col min="19" max="16384" width="8.6328125" style="14"/>
  </cols>
  <sheetData>
    <row r="1" spans="2:17" ht="18" customHeight="1" x14ac:dyDescent="0.35">
      <c r="Q1" t="s">
        <v>0</v>
      </c>
    </row>
    <row r="2" spans="2:17" ht="49.5" customHeight="1" x14ac:dyDescent="0.35">
      <c r="B2" s="157" t="s">
        <v>1</v>
      </c>
      <c r="C2" s="157"/>
      <c r="D2" s="157"/>
      <c r="E2" s="157"/>
      <c r="F2" s="157"/>
      <c r="G2" s="157"/>
      <c r="H2" s="157"/>
      <c r="I2" s="157"/>
      <c r="J2" s="157"/>
      <c r="K2" s="157"/>
      <c r="L2" s="157"/>
      <c r="Q2" t="s">
        <v>2</v>
      </c>
    </row>
    <row r="3" spans="2:17" ht="18.75" customHeight="1" x14ac:dyDescent="0.35">
      <c r="B3" s="158" t="s">
        <v>3</v>
      </c>
      <c r="C3" s="159"/>
      <c r="D3" s="159"/>
      <c r="E3" s="15"/>
      <c r="F3" s="159" t="s">
        <v>4</v>
      </c>
      <c r="G3" s="159"/>
      <c r="H3" s="159"/>
      <c r="I3" s="159"/>
      <c r="J3" s="159" t="s">
        <v>5</v>
      </c>
      <c r="K3" s="159"/>
      <c r="L3" s="160"/>
    </row>
    <row r="4" spans="2:17" x14ac:dyDescent="0.35">
      <c r="B4" s="16"/>
      <c r="C4" s="17"/>
      <c r="L4" s="18"/>
      <c r="Q4" t="s">
        <v>6</v>
      </c>
    </row>
    <row r="5" spans="2:17" s="24" customFormat="1" ht="27.65" customHeight="1" x14ac:dyDescent="0.35">
      <c r="B5" s="156" t="s">
        <v>7</v>
      </c>
      <c r="C5" s="156"/>
      <c r="D5" s="19">
        <v>90578295</v>
      </c>
      <c r="E5"/>
      <c r="F5" s="20"/>
      <c r="G5" s="21"/>
      <c r="H5" s="22"/>
      <c r="I5" s="22"/>
      <c r="J5" s="22"/>
      <c r="K5" s="22"/>
      <c r="L5" s="23"/>
      <c r="O5"/>
      <c r="Q5" t="s">
        <v>8</v>
      </c>
    </row>
    <row r="6" spans="2:17" s="24" customFormat="1" x14ac:dyDescent="0.35">
      <c r="B6" s="25"/>
      <c r="C6" s="11"/>
      <c r="D6" s="22"/>
      <c r="E6"/>
      <c r="F6" s="26"/>
      <c r="G6" s="22"/>
      <c r="H6" s="22"/>
      <c r="I6" s="22"/>
      <c r="J6" s="22"/>
      <c r="K6" s="22"/>
      <c r="L6" s="23"/>
      <c r="O6"/>
      <c r="Q6" t="s">
        <v>11</v>
      </c>
    </row>
    <row r="7" spans="2:17" s="24" customFormat="1" x14ac:dyDescent="0.35">
      <c r="B7" s="156" t="s">
        <v>12</v>
      </c>
      <c r="C7" s="156"/>
      <c r="D7" s="27" t="s">
        <v>6</v>
      </c>
      <c r="E7"/>
      <c r="F7" s="28"/>
      <c r="G7" s="29"/>
      <c r="H7" s="22"/>
      <c r="I7" s="22"/>
      <c r="J7" s="22"/>
      <c r="K7" s="22"/>
      <c r="L7" s="23"/>
      <c r="O7"/>
      <c r="Q7" t="s">
        <v>13</v>
      </c>
    </row>
    <row r="8" spans="2:17" s="24" customFormat="1" x14ac:dyDescent="0.35">
      <c r="B8" s="30"/>
      <c r="C8" s="31"/>
      <c r="D8" s="32"/>
      <c r="E8"/>
      <c r="F8" s="28"/>
      <c r="G8" s="29"/>
      <c r="H8" s="22"/>
      <c r="I8" s="22"/>
      <c r="J8" s="22"/>
      <c r="K8" s="22"/>
      <c r="L8" s="23"/>
      <c r="O8"/>
      <c r="Q8" t="s">
        <v>14</v>
      </c>
    </row>
    <row r="9" spans="2:17" s="24" customFormat="1" x14ac:dyDescent="0.35">
      <c r="B9" s="156" t="s">
        <v>15</v>
      </c>
      <c r="C9" s="156"/>
      <c r="D9" s="33">
        <v>46081</v>
      </c>
      <c r="E9"/>
      <c r="F9" s="34"/>
      <c r="G9" s="35"/>
      <c r="H9" s="22"/>
      <c r="I9" s="22"/>
      <c r="J9" s="22"/>
      <c r="K9" s="22"/>
      <c r="L9" s="23"/>
      <c r="O9"/>
      <c r="Q9" t="s">
        <v>16</v>
      </c>
    </row>
    <row r="10" spans="2:17" x14ac:dyDescent="0.35">
      <c r="B10" s="36"/>
      <c r="C10" s="37"/>
      <c r="L10" s="38"/>
      <c r="Q10" t="s">
        <v>17</v>
      </c>
    </row>
    <row r="11" spans="2:17" s="39" customFormat="1" ht="26.9" customHeight="1" x14ac:dyDescent="0.35">
      <c r="B11" s="156" t="s">
        <v>18</v>
      </c>
      <c r="C11" s="156"/>
      <c r="D11" s="156"/>
      <c r="E11" s="156"/>
      <c r="F11" s="156"/>
      <c r="G11" s="156"/>
      <c r="H11" s="156"/>
      <c r="I11" s="156" t="s">
        <v>19</v>
      </c>
      <c r="J11" s="156"/>
      <c r="K11" s="156" t="s">
        <v>20</v>
      </c>
      <c r="L11" s="156"/>
      <c r="O11" s="40"/>
      <c r="Q11" s="40" t="s">
        <v>21</v>
      </c>
    </row>
    <row r="12" spans="2:17" s="39" customFormat="1" ht="57.65" customHeight="1" x14ac:dyDescent="0.35">
      <c r="B12" s="41" t="s">
        <v>22</v>
      </c>
      <c r="C12" s="41" t="s">
        <v>23</v>
      </c>
      <c r="D12" s="41" t="s">
        <v>24</v>
      </c>
      <c r="E12" s="41" t="s">
        <v>59</v>
      </c>
      <c r="F12" s="42" t="s">
        <v>25</v>
      </c>
      <c r="G12" s="41" t="s">
        <v>26</v>
      </c>
      <c r="H12" s="41" t="s">
        <v>27</v>
      </c>
      <c r="I12" s="41" t="s">
        <v>28</v>
      </c>
      <c r="J12" s="43" t="s">
        <v>29</v>
      </c>
      <c r="K12" s="43" t="s">
        <v>30</v>
      </c>
      <c r="L12" s="43" t="s">
        <v>29</v>
      </c>
      <c r="O12" s="40"/>
      <c r="Q12" s="40" t="s">
        <v>31</v>
      </c>
    </row>
    <row r="13" spans="2:17" x14ac:dyDescent="0.35">
      <c r="B13" s="87">
        <v>3</v>
      </c>
      <c r="C13" s="88" t="s">
        <v>43</v>
      </c>
      <c r="D13" s="89" t="s">
        <v>44</v>
      </c>
      <c r="E13" s="148" t="s">
        <v>249</v>
      </c>
      <c r="F13" s="112" t="s">
        <v>318</v>
      </c>
      <c r="G13" s="113" t="s">
        <v>310</v>
      </c>
      <c r="H13" s="47">
        <v>11</v>
      </c>
      <c r="I13" s="105">
        <v>3</v>
      </c>
      <c r="J13" s="2">
        <f t="shared" ref="J13:J76" si="0">IFERROR(I13/H13,0)</f>
        <v>0.27272727272727271</v>
      </c>
      <c r="K13" s="47">
        <f>+I13+ENERO!K13</f>
        <v>6</v>
      </c>
      <c r="L13" s="5">
        <f t="shared" ref="L13:L76" si="1">IFERROR(K13/H13,0)</f>
        <v>0.54545454545454541</v>
      </c>
      <c r="N13"/>
      <c r="O13" s="14"/>
      <c r="P13"/>
      <c r="Q13" s="14"/>
    </row>
    <row r="14" spans="2:17" x14ac:dyDescent="0.35">
      <c r="B14" s="62">
        <v>3</v>
      </c>
      <c r="C14" s="74" t="s">
        <v>45</v>
      </c>
      <c r="D14" s="90" t="s">
        <v>46</v>
      </c>
      <c r="E14" s="148"/>
      <c r="F14" s="112" t="s">
        <v>319</v>
      </c>
      <c r="G14" s="114" t="s">
        <v>310</v>
      </c>
      <c r="H14" s="52">
        <v>12</v>
      </c>
      <c r="I14" s="106">
        <v>3</v>
      </c>
      <c r="J14" s="2">
        <f t="shared" si="0"/>
        <v>0.25</v>
      </c>
      <c r="K14" s="53">
        <f>+I14+ENERO!K14</f>
        <v>6</v>
      </c>
      <c r="L14" s="5">
        <f t="shared" si="1"/>
        <v>0.5</v>
      </c>
      <c r="N14"/>
      <c r="O14" s="14"/>
      <c r="P14"/>
      <c r="Q14" s="14"/>
    </row>
    <row r="15" spans="2:17" x14ac:dyDescent="0.35">
      <c r="B15" s="62">
        <v>3</v>
      </c>
      <c r="C15" s="74" t="s">
        <v>78</v>
      </c>
      <c r="D15" s="90" t="s">
        <v>79</v>
      </c>
      <c r="E15" s="148"/>
      <c r="F15" s="112" t="s">
        <v>320</v>
      </c>
      <c r="G15" s="114" t="s">
        <v>310</v>
      </c>
      <c r="H15" s="53">
        <v>11</v>
      </c>
      <c r="I15" s="107">
        <v>4</v>
      </c>
      <c r="J15" s="2">
        <f t="shared" si="0"/>
        <v>0.36363636363636365</v>
      </c>
      <c r="K15" s="53">
        <f>+I15+ENERO!K15</f>
        <v>8</v>
      </c>
      <c r="L15" s="5">
        <f t="shared" si="1"/>
        <v>0.72727272727272729</v>
      </c>
      <c r="N15"/>
      <c r="O15" s="14"/>
      <c r="P15"/>
      <c r="Q15" s="14"/>
    </row>
    <row r="16" spans="2:17" x14ac:dyDescent="0.35">
      <c r="B16" s="62">
        <v>3</v>
      </c>
      <c r="C16" s="74" t="s">
        <v>47</v>
      </c>
      <c r="D16" s="90" t="s">
        <v>48</v>
      </c>
      <c r="E16" s="148"/>
      <c r="F16" s="112" t="s">
        <v>321</v>
      </c>
      <c r="G16" s="114" t="s">
        <v>310</v>
      </c>
      <c r="H16" s="53">
        <v>11</v>
      </c>
      <c r="I16" s="106">
        <v>4</v>
      </c>
      <c r="J16" s="2">
        <f t="shared" si="0"/>
        <v>0.36363636363636365</v>
      </c>
      <c r="K16" s="53">
        <f>+I16+ENERO!K16</f>
        <v>8</v>
      </c>
      <c r="L16" s="5">
        <f t="shared" si="1"/>
        <v>0.72727272727272729</v>
      </c>
      <c r="N16"/>
      <c r="O16" s="14"/>
      <c r="P16"/>
      <c r="Q16" s="14"/>
    </row>
    <row r="17" spans="2:17" x14ac:dyDescent="0.35">
      <c r="B17" s="62">
        <v>3</v>
      </c>
      <c r="C17" s="74" t="s">
        <v>49</v>
      </c>
      <c r="D17" s="90" t="s">
        <v>50</v>
      </c>
      <c r="E17" s="148"/>
      <c r="F17" s="112" t="s">
        <v>322</v>
      </c>
      <c r="G17" s="114" t="s">
        <v>310</v>
      </c>
      <c r="H17" s="53">
        <v>11</v>
      </c>
      <c r="I17" s="106">
        <v>4</v>
      </c>
      <c r="J17" s="2">
        <f t="shared" si="0"/>
        <v>0.36363636363636365</v>
      </c>
      <c r="K17" s="53">
        <f>+I17+ENERO!K17</f>
        <v>8</v>
      </c>
      <c r="L17" s="5">
        <f t="shared" si="1"/>
        <v>0.72727272727272729</v>
      </c>
      <c r="N17"/>
      <c r="O17" s="14"/>
      <c r="P17"/>
      <c r="Q17" s="14"/>
    </row>
    <row r="18" spans="2:17" x14ac:dyDescent="0.35">
      <c r="B18" s="62">
        <v>3</v>
      </c>
      <c r="C18" s="74" t="s">
        <v>51</v>
      </c>
      <c r="D18" s="90" t="s">
        <v>52</v>
      </c>
      <c r="E18" s="148"/>
      <c r="F18" s="112" t="s">
        <v>323</v>
      </c>
      <c r="G18" s="114" t="s">
        <v>310</v>
      </c>
      <c r="H18" s="53">
        <v>11</v>
      </c>
      <c r="I18" s="106">
        <v>4</v>
      </c>
      <c r="J18" s="2">
        <f t="shared" si="0"/>
        <v>0.36363636363636365</v>
      </c>
      <c r="K18" s="53">
        <f>+I18+ENERO!K18</f>
        <v>8</v>
      </c>
      <c r="L18" s="5">
        <f t="shared" si="1"/>
        <v>0.72727272727272729</v>
      </c>
      <c r="N18"/>
      <c r="O18" s="14"/>
      <c r="P18"/>
      <c r="Q18" s="14"/>
    </row>
    <row r="19" spans="2:17" x14ac:dyDescent="0.35">
      <c r="B19" s="62">
        <v>5</v>
      </c>
      <c r="C19" s="74" t="s">
        <v>53</v>
      </c>
      <c r="D19" s="90" t="s">
        <v>54</v>
      </c>
      <c r="E19" s="148"/>
      <c r="F19" s="115" t="s">
        <v>324</v>
      </c>
      <c r="G19" s="114" t="s">
        <v>310</v>
      </c>
      <c r="H19" s="53">
        <v>11</v>
      </c>
      <c r="I19" s="106">
        <v>4</v>
      </c>
      <c r="J19" s="2">
        <f t="shared" si="0"/>
        <v>0.36363636363636365</v>
      </c>
      <c r="K19" s="53">
        <f>+I19+ENERO!K19</f>
        <v>8</v>
      </c>
      <c r="L19" s="5">
        <f t="shared" si="1"/>
        <v>0.72727272727272729</v>
      </c>
      <c r="N19"/>
      <c r="O19" s="14"/>
      <c r="P19"/>
      <c r="Q19" s="14"/>
    </row>
    <row r="20" spans="2:17" x14ac:dyDescent="0.35">
      <c r="B20" s="66">
        <v>8</v>
      </c>
      <c r="C20" s="91" t="s">
        <v>57</v>
      </c>
      <c r="D20" s="92" t="s">
        <v>58</v>
      </c>
      <c r="E20" s="148"/>
      <c r="F20" s="116" t="s">
        <v>325</v>
      </c>
      <c r="G20" s="117" t="s">
        <v>310</v>
      </c>
      <c r="H20" s="66">
        <v>12</v>
      </c>
      <c r="I20" s="108">
        <v>4</v>
      </c>
      <c r="J20" s="4">
        <f t="shared" si="0"/>
        <v>0.33333333333333331</v>
      </c>
      <c r="K20" s="59">
        <f>+I20+ENERO!K20</f>
        <v>8</v>
      </c>
      <c r="L20" s="7">
        <f t="shared" si="1"/>
        <v>0.66666666666666663</v>
      </c>
      <c r="N20"/>
      <c r="O20" s="14"/>
      <c r="P20"/>
      <c r="Q20" s="14"/>
    </row>
    <row r="21" spans="2:17" x14ac:dyDescent="0.35">
      <c r="B21" s="44">
        <v>3</v>
      </c>
      <c r="C21" s="45" t="s">
        <v>43</v>
      </c>
      <c r="D21" s="46" t="s">
        <v>44</v>
      </c>
      <c r="E21" s="149" t="s">
        <v>250</v>
      </c>
      <c r="F21" s="118" t="s">
        <v>124</v>
      </c>
      <c r="G21" s="113" t="s">
        <v>32</v>
      </c>
      <c r="H21" s="48">
        <v>9</v>
      </c>
      <c r="I21" s="48">
        <v>3</v>
      </c>
      <c r="J21" s="2">
        <f t="shared" si="0"/>
        <v>0.33333333333333331</v>
      </c>
      <c r="K21" s="48">
        <f>+I21+ENERO!K21</f>
        <v>6</v>
      </c>
      <c r="L21" s="5">
        <f t="shared" si="1"/>
        <v>0.66666666666666663</v>
      </c>
      <c r="N21"/>
      <c r="O21" s="14"/>
      <c r="P21"/>
      <c r="Q21" s="14"/>
    </row>
    <row r="22" spans="2:17" x14ac:dyDescent="0.35">
      <c r="B22" s="49">
        <v>3</v>
      </c>
      <c r="C22" s="50" t="s">
        <v>93</v>
      </c>
      <c r="D22" s="51" t="s">
        <v>94</v>
      </c>
      <c r="E22" s="150"/>
      <c r="F22" s="119" t="s">
        <v>126</v>
      </c>
      <c r="G22" s="114" t="s">
        <v>32</v>
      </c>
      <c r="H22" s="71">
        <v>8</v>
      </c>
      <c r="I22" s="62">
        <v>3</v>
      </c>
      <c r="J22" s="2">
        <f t="shared" si="0"/>
        <v>0.375</v>
      </c>
      <c r="K22" s="62">
        <f>+I22+ENERO!K22</f>
        <v>5</v>
      </c>
      <c r="L22" s="5">
        <f t="shared" si="1"/>
        <v>0.625</v>
      </c>
      <c r="N22"/>
      <c r="O22" s="14"/>
      <c r="P22"/>
      <c r="Q22" s="14"/>
    </row>
    <row r="23" spans="2:17" x14ac:dyDescent="0.35">
      <c r="B23" s="49">
        <v>3</v>
      </c>
      <c r="C23" s="50" t="s">
        <v>45</v>
      </c>
      <c r="D23" s="51" t="s">
        <v>46</v>
      </c>
      <c r="E23" s="150"/>
      <c r="F23" s="119" t="s">
        <v>126</v>
      </c>
      <c r="G23" s="120" t="s">
        <v>32</v>
      </c>
      <c r="H23" s="62">
        <v>8</v>
      </c>
      <c r="I23" s="64">
        <v>2</v>
      </c>
      <c r="J23" s="2">
        <f t="shared" si="0"/>
        <v>0.25</v>
      </c>
      <c r="K23" s="64">
        <f>+I23+ENERO!K23</f>
        <v>5</v>
      </c>
      <c r="L23" s="5">
        <f t="shared" si="1"/>
        <v>0.625</v>
      </c>
      <c r="N23"/>
      <c r="O23" s="14"/>
      <c r="P23"/>
      <c r="Q23" s="14"/>
    </row>
    <row r="24" spans="2:17" x14ac:dyDescent="0.35">
      <c r="B24" s="49">
        <v>3</v>
      </c>
      <c r="C24" s="50" t="s">
        <v>78</v>
      </c>
      <c r="D24" s="51" t="s">
        <v>79</v>
      </c>
      <c r="E24" s="150"/>
      <c r="F24" s="119" t="s">
        <v>126</v>
      </c>
      <c r="G24" s="114" t="s">
        <v>32</v>
      </c>
      <c r="H24" s="62">
        <v>8</v>
      </c>
      <c r="I24" s="62">
        <v>3</v>
      </c>
      <c r="J24" s="2">
        <f t="shared" si="0"/>
        <v>0.375</v>
      </c>
      <c r="K24" s="62">
        <f>+I24+ENERO!K24</f>
        <v>5</v>
      </c>
      <c r="L24" s="5">
        <f t="shared" si="1"/>
        <v>0.625</v>
      </c>
      <c r="N24"/>
      <c r="O24" s="14"/>
      <c r="P24"/>
      <c r="Q24" s="14"/>
    </row>
    <row r="25" spans="2:17" x14ac:dyDescent="0.35">
      <c r="B25" s="49">
        <v>3</v>
      </c>
      <c r="C25" s="50" t="s">
        <v>47</v>
      </c>
      <c r="D25" s="51" t="s">
        <v>48</v>
      </c>
      <c r="E25" s="150"/>
      <c r="F25" s="119" t="s">
        <v>127</v>
      </c>
      <c r="G25" s="114" t="s">
        <v>32</v>
      </c>
      <c r="H25" s="62">
        <v>9</v>
      </c>
      <c r="I25" s="62">
        <v>3</v>
      </c>
      <c r="J25" s="2">
        <f t="shared" si="0"/>
        <v>0.33333333333333331</v>
      </c>
      <c r="K25" s="62">
        <f>+I25+ENERO!K25</f>
        <v>6</v>
      </c>
      <c r="L25" s="5">
        <f t="shared" si="1"/>
        <v>0.66666666666666663</v>
      </c>
      <c r="N25"/>
      <c r="O25" s="14"/>
      <c r="P25"/>
      <c r="Q25" s="14"/>
    </row>
    <row r="26" spans="2:17" x14ac:dyDescent="0.35">
      <c r="B26" s="49">
        <v>3</v>
      </c>
      <c r="C26" s="50" t="s">
        <v>49</v>
      </c>
      <c r="D26" s="51" t="s">
        <v>50</v>
      </c>
      <c r="E26" s="150"/>
      <c r="F26" s="119" t="s">
        <v>129</v>
      </c>
      <c r="G26" s="114" t="s">
        <v>32</v>
      </c>
      <c r="H26" s="62">
        <v>8</v>
      </c>
      <c r="I26" s="62">
        <v>2</v>
      </c>
      <c r="J26" s="2">
        <f t="shared" si="0"/>
        <v>0.25</v>
      </c>
      <c r="K26" s="62">
        <f>+I26+ENERO!K26</f>
        <v>5</v>
      </c>
      <c r="L26" s="5">
        <f t="shared" si="1"/>
        <v>0.625</v>
      </c>
      <c r="N26"/>
      <c r="O26" s="14"/>
      <c r="P26"/>
      <c r="Q26" s="14"/>
    </row>
    <row r="27" spans="2:17" x14ac:dyDescent="0.35">
      <c r="B27" s="49">
        <v>3</v>
      </c>
      <c r="C27" s="50" t="s">
        <v>51</v>
      </c>
      <c r="D27" s="51" t="s">
        <v>52</v>
      </c>
      <c r="E27" s="150"/>
      <c r="F27" s="119" t="s">
        <v>129</v>
      </c>
      <c r="G27" s="114" t="s">
        <v>32</v>
      </c>
      <c r="H27" s="62">
        <v>8</v>
      </c>
      <c r="I27" s="62">
        <v>3</v>
      </c>
      <c r="J27" s="2">
        <f t="shared" si="0"/>
        <v>0.375</v>
      </c>
      <c r="K27" s="62">
        <f>+I27+ENERO!K27</f>
        <v>6</v>
      </c>
      <c r="L27" s="5">
        <f t="shared" si="1"/>
        <v>0.75</v>
      </c>
      <c r="N27"/>
      <c r="O27" s="14"/>
      <c r="P27"/>
      <c r="Q27" s="14"/>
    </row>
    <row r="28" spans="2:17" s="24" customFormat="1" x14ac:dyDescent="0.35">
      <c r="B28" s="49">
        <v>5</v>
      </c>
      <c r="C28" s="50" t="s">
        <v>95</v>
      </c>
      <c r="D28" s="51" t="s">
        <v>96</v>
      </c>
      <c r="E28" s="150"/>
      <c r="F28" s="119" t="s">
        <v>126</v>
      </c>
      <c r="G28" s="114" t="s">
        <v>32</v>
      </c>
      <c r="H28" s="62">
        <v>8</v>
      </c>
      <c r="I28" s="62">
        <v>3</v>
      </c>
      <c r="J28" s="2">
        <f t="shared" si="0"/>
        <v>0.375</v>
      </c>
      <c r="K28" s="62">
        <f>+I28+ENERO!K28</f>
        <v>5</v>
      </c>
      <c r="L28" s="5">
        <f t="shared" si="1"/>
        <v>0.625</v>
      </c>
      <c r="N28" s="55"/>
      <c r="P28" s="55"/>
    </row>
    <row r="29" spans="2:17" x14ac:dyDescent="0.35">
      <c r="B29" s="49">
        <v>5</v>
      </c>
      <c r="C29" s="50" t="s">
        <v>53</v>
      </c>
      <c r="D29" s="51" t="s">
        <v>54</v>
      </c>
      <c r="E29" s="150"/>
      <c r="F29" s="119" t="s">
        <v>129</v>
      </c>
      <c r="G29" s="114" t="s">
        <v>32</v>
      </c>
      <c r="H29" s="71">
        <v>8</v>
      </c>
      <c r="I29" s="62">
        <v>2</v>
      </c>
      <c r="J29" s="2">
        <f t="shared" si="0"/>
        <v>0.25</v>
      </c>
      <c r="K29" s="62">
        <f>+I29+ENERO!K29</f>
        <v>5</v>
      </c>
      <c r="L29" s="5">
        <f t="shared" si="1"/>
        <v>0.625</v>
      </c>
      <c r="N29"/>
      <c r="O29" s="14"/>
      <c r="P29"/>
      <c r="Q29" s="14"/>
    </row>
    <row r="30" spans="2:17" x14ac:dyDescent="0.35">
      <c r="B30" s="49">
        <v>5</v>
      </c>
      <c r="C30" s="50" t="s">
        <v>55</v>
      </c>
      <c r="D30" s="51" t="s">
        <v>56</v>
      </c>
      <c r="E30" s="150"/>
      <c r="F30" s="119" t="s">
        <v>129</v>
      </c>
      <c r="G30" s="114" t="s">
        <v>32</v>
      </c>
      <c r="H30" s="62">
        <v>8</v>
      </c>
      <c r="I30" s="62">
        <v>3</v>
      </c>
      <c r="J30" s="2">
        <f t="shared" si="0"/>
        <v>0.375</v>
      </c>
      <c r="K30" s="62">
        <f>+I30+ENERO!K30</f>
        <v>6</v>
      </c>
      <c r="L30" s="5">
        <f t="shared" si="1"/>
        <v>0.75</v>
      </c>
      <c r="N30"/>
      <c r="O30" s="14"/>
      <c r="P30"/>
      <c r="Q30" s="14"/>
    </row>
    <row r="31" spans="2:17" x14ac:dyDescent="0.35">
      <c r="B31" s="56">
        <v>8</v>
      </c>
      <c r="C31" s="57" t="s">
        <v>57</v>
      </c>
      <c r="D31" s="58" t="s">
        <v>58</v>
      </c>
      <c r="E31" s="151"/>
      <c r="F31" s="121" t="s">
        <v>133</v>
      </c>
      <c r="G31" s="117" t="s">
        <v>32</v>
      </c>
      <c r="H31" s="66">
        <v>8</v>
      </c>
      <c r="I31" s="66">
        <v>3</v>
      </c>
      <c r="J31" s="4">
        <f t="shared" si="0"/>
        <v>0.375</v>
      </c>
      <c r="K31" s="66">
        <f>+I31+ENERO!K31</f>
        <v>6</v>
      </c>
      <c r="L31" s="7">
        <f t="shared" si="1"/>
        <v>0.75</v>
      </c>
      <c r="N31"/>
      <c r="O31" s="14"/>
      <c r="P31"/>
      <c r="Q31" s="14"/>
    </row>
    <row r="32" spans="2:17" x14ac:dyDescent="0.35">
      <c r="B32" s="78">
        <v>2</v>
      </c>
      <c r="C32" s="79" t="s">
        <v>108</v>
      </c>
      <c r="D32" s="80" t="s">
        <v>109</v>
      </c>
      <c r="E32" s="155" t="s">
        <v>251</v>
      </c>
      <c r="F32" s="118" t="s">
        <v>300</v>
      </c>
      <c r="G32" s="113" t="s">
        <v>32</v>
      </c>
      <c r="H32" s="47">
        <v>11</v>
      </c>
      <c r="I32" s="47">
        <v>4</v>
      </c>
      <c r="J32" s="2">
        <f t="shared" si="0"/>
        <v>0.36363636363636365</v>
      </c>
      <c r="K32" s="47">
        <f>+I32+ENERO!K32</f>
        <v>11</v>
      </c>
      <c r="L32" s="5">
        <f t="shared" si="1"/>
        <v>1</v>
      </c>
      <c r="N32"/>
      <c r="O32" s="14"/>
      <c r="P32"/>
      <c r="Q32" s="14"/>
    </row>
    <row r="33" spans="2:17" x14ac:dyDescent="0.35">
      <c r="B33" s="81">
        <v>2</v>
      </c>
      <c r="C33" s="82" t="s">
        <v>110</v>
      </c>
      <c r="D33" s="83" t="s">
        <v>111</v>
      </c>
      <c r="E33" s="155"/>
      <c r="F33" s="119" t="s">
        <v>301</v>
      </c>
      <c r="G33" s="114" t="s">
        <v>32</v>
      </c>
      <c r="H33" s="52">
        <v>11</v>
      </c>
      <c r="I33" s="53">
        <v>5</v>
      </c>
      <c r="J33" s="2">
        <f t="shared" si="0"/>
        <v>0.45454545454545453</v>
      </c>
      <c r="K33" s="53">
        <f>+I33+ENERO!K33</f>
        <v>11</v>
      </c>
      <c r="L33" s="5">
        <f t="shared" si="1"/>
        <v>1</v>
      </c>
      <c r="N33"/>
      <c r="O33" s="14"/>
      <c r="P33"/>
      <c r="Q33" s="14"/>
    </row>
    <row r="34" spans="2:17" x14ac:dyDescent="0.35">
      <c r="B34" s="81">
        <v>2</v>
      </c>
      <c r="C34" s="82" t="s">
        <v>112</v>
      </c>
      <c r="D34" s="83" t="s">
        <v>113</v>
      </c>
      <c r="E34" s="155"/>
      <c r="F34" s="119" t="s">
        <v>302</v>
      </c>
      <c r="G34" s="120" t="s">
        <v>32</v>
      </c>
      <c r="H34" s="53">
        <v>12</v>
      </c>
      <c r="I34" s="54">
        <v>8</v>
      </c>
      <c r="J34" s="2">
        <f t="shared" si="0"/>
        <v>0.66666666666666663</v>
      </c>
      <c r="K34" s="54">
        <f>+I34+ENERO!K34</f>
        <v>12</v>
      </c>
      <c r="L34" s="5">
        <f t="shared" si="1"/>
        <v>1</v>
      </c>
      <c r="N34"/>
      <c r="O34" s="14"/>
      <c r="P34"/>
      <c r="Q34" s="14"/>
    </row>
    <row r="35" spans="2:17" x14ac:dyDescent="0.35">
      <c r="B35" s="81">
        <v>2</v>
      </c>
      <c r="C35" s="82" t="s">
        <v>114</v>
      </c>
      <c r="D35" s="83" t="s">
        <v>115</v>
      </c>
      <c r="E35" s="155"/>
      <c r="F35" s="119" t="s">
        <v>303</v>
      </c>
      <c r="G35" s="114" t="s">
        <v>32</v>
      </c>
      <c r="H35" s="53">
        <v>11</v>
      </c>
      <c r="I35" s="53">
        <v>5</v>
      </c>
      <c r="J35" s="2">
        <f t="shared" si="0"/>
        <v>0.45454545454545453</v>
      </c>
      <c r="K35" s="53">
        <f>+I35+ENERO!K35</f>
        <v>5</v>
      </c>
      <c r="L35" s="5">
        <f t="shared" si="1"/>
        <v>0.45454545454545453</v>
      </c>
      <c r="N35"/>
      <c r="O35" s="14"/>
      <c r="P35"/>
      <c r="Q35" s="14"/>
    </row>
    <row r="36" spans="2:17" x14ac:dyDescent="0.35">
      <c r="B36" s="81">
        <v>2</v>
      </c>
      <c r="C36" s="82" t="s">
        <v>116</v>
      </c>
      <c r="D36" s="83" t="s">
        <v>117</v>
      </c>
      <c r="E36" s="155"/>
      <c r="F36" s="119" t="s">
        <v>304</v>
      </c>
      <c r="G36" s="122" t="s">
        <v>32</v>
      </c>
      <c r="H36" s="53">
        <v>11</v>
      </c>
      <c r="I36" s="53">
        <v>2</v>
      </c>
      <c r="J36" s="2">
        <f t="shared" si="0"/>
        <v>0.18181818181818182</v>
      </c>
      <c r="K36" s="53">
        <f>+I36+ENERO!K36</f>
        <v>2</v>
      </c>
      <c r="L36" s="5">
        <f t="shared" si="1"/>
        <v>0.18181818181818182</v>
      </c>
      <c r="N36"/>
      <c r="O36" s="14"/>
      <c r="P36"/>
      <c r="Q36" s="14"/>
    </row>
    <row r="37" spans="2:17" x14ac:dyDescent="0.35">
      <c r="B37" s="81">
        <v>2</v>
      </c>
      <c r="C37" s="82" t="s">
        <v>86</v>
      </c>
      <c r="D37" s="83" t="s">
        <v>87</v>
      </c>
      <c r="E37" s="155"/>
      <c r="F37" s="119" t="s">
        <v>305</v>
      </c>
      <c r="G37" s="114" t="s">
        <v>32</v>
      </c>
      <c r="H37" s="53">
        <v>11</v>
      </c>
      <c r="I37" s="53">
        <v>2</v>
      </c>
      <c r="J37" s="2">
        <f t="shared" si="0"/>
        <v>0.18181818181818182</v>
      </c>
      <c r="K37" s="53">
        <f>+I37+ENERO!K37</f>
        <v>6</v>
      </c>
      <c r="L37" s="5">
        <f t="shared" si="1"/>
        <v>0.54545454545454541</v>
      </c>
      <c r="N37"/>
      <c r="O37" s="14"/>
      <c r="P37"/>
      <c r="Q37" s="14"/>
    </row>
    <row r="38" spans="2:17" x14ac:dyDescent="0.35">
      <c r="B38" s="81">
        <v>2</v>
      </c>
      <c r="C38" s="82" t="s">
        <v>118</v>
      </c>
      <c r="D38" s="83" t="s">
        <v>119</v>
      </c>
      <c r="E38" s="155"/>
      <c r="F38" s="119" t="s">
        <v>306</v>
      </c>
      <c r="G38" s="114" t="s">
        <v>32</v>
      </c>
      <c r="H38" s="53">
        <v>11</v>
      </c>
      <c r="I38" s="53">
        <v>2</v>
      </c>
      <c r="J38" s="2">
        <f t="shared" si="0"/>
        <v>0.18181818181818182</v>
      </c>
      <c r="K38" s="53">
        <f>+I38+ENERO!K38</f>
        <v>6</v>
      </c>
      <c r="L38" s="5">
        <f t="shared" si="1"/>
        <v>0.54545454545454541</v>
      </c>
      <c r="N38"/>
      <c r="O38" s="14"/>
      <c r="P38"/>
      <c r="Q38" s="14"/>
    </row>
    <row r="39" spans="2:17" x14ac:dyDescent="0.35">
      <c r="B39" s="84">
        <v>2</v>
      </c>
      <c r="C39" s="85" t="s">
        <v>120</v>
      </c>
      <c r="D39" s="86" t="s">
        <v>121</v>
      </c>
      <c r="E39" s="155"/>
      <c r="F39" s="121" t="s">
        <v>307</v>
      </c>
      <c r="G39" s="123" t="s">
        <v>32</v>
      </c>
      <c r="H39" s="59">
        <v>12</v>
      </c>
      <c r="I39" s="59">
        <v>2</v>
      </c>
      <c r="J39" s="4">
        <f t="shared" si="0"/>
        <v>0.16666666666666666</v>
      </c>
      <c r="K39" s="59">
        <f>+I39+ENERO!K39</f>
        <v>7</v>
      </c>
      <c r="L39" s="7">
        <f t="shared" si="1"/>
        <v>0.58333333333333337</v>
      </c>
      <c r="N39"/>
      <c r="O39" s="14"/>
      <c r="P39"/>
      <c r="Q39" s="14"/>
    </row>
    <row r="40" spans="2:17" x14ac:dyDescent="0.35">
      <c r="B40" s="87">
        <v>3</v>
      </c>
      <c r="C40" s="88" t="s">
        <v>43</v>
      </c>
      <c r="D40" s="89" t="s">
        <v>44</v>
      </c>
      <c r="E40" s="152" t="s">
        <v>252</v>
      </c>
      <c r="F40" s="124" t="s">
        <v>184</v>
      </c>
      <c r="G40" s="113" t="s">
        <v>185</v>
      </c>
      <c r="H40" s="48">
        <v>10</v>
      </c>
      <c r="I40" s="48">
        <v>4</v>
      </c>
      <c r="J40" s="2">
        <f t="shared" si="0"/>
        <v>0.4</v>
      </c>
      <c r="K40" s="48">
        <f>+I40+ENERO!K40</f>
        <v>8</v>
      </c>
      <c r="L40" s="5">
        <f t="shared" si="1"/>
        <v>0.8</v>
      </c>
    </row>
    <row r="41" spans="2:17" x14ac:dyDescent="0.35">
      <c r="B41" s="62">
        <v>3</v>
      </c>
      <c r="C41" s="74" t="s">
        <v>45</v>
      </c>
      <c r="D41" s="90" t="s">
        <v>46</v>
      </c>
      <c r="E41" s="153"/>
      <c r="F41" s="112" t="s">
        <v>126</v>
      </c>
      <c r="G41" s="114" t="s">
        <v>32</v>
      </c>
      <c r="H41" s="71">
        <v>10</v>
      </c>
      <c r="I41" s="62">
        <v>3</v>
      </c>
      <c r="J41" s="2">
        <f t="shared" si="0"/>
        <v>0.3</v>
      </c>
      <c r="K41" s="62">
        <f>+I41+ENERO!K41</f>
        <v>6</v>
      </c>
      <c r="L41" s="5">
        <f t="shared" si="1"/>
        <v>0.6</v>
      </c>
    </row>
    <row r="42" spans="2:17" x14ac:dyDescent="0.35">
      <c r="B42" s="62">
        <v>3</v>
      </c>
      <c r="C42" s="74" t="s">
        <v>78</v>
      </c>
      <c r="D42" s="90" t="s">
        <v>79</v>
      </c>
      <c r="E42" s="153"/>
      <c r="F42" s="112" t="s">
        <v>126</v>
      </c>
      <c r="G42" s="114" t="s">
        <v>32</v>
      </c>
      <c r="H42" s="62">
        <v>10</v>
      </c>
      <c r="I42" s="64">
        <v>3</v>
      </c>
      <c r="J42" s="2">
        <f t="shared" si="0"/>
        <v>0.3</v>
      </c>
      <c r="K42" s="64">
        <f>+I42+ENERO!K42</f>
        <v>6</v>
      </c>
      <c r="L42" s="5">
        <f t="shared" si="1"/>
        <v>0.6</v>
      </c>
    </row>
    <row r="43" spans="2:17" x14ac:dyDescent="0.35">
      <c r="B43" s="62">
        <v>3</v>
      </c>
      <c r="C43" s="74" t="s">
        <v>47</v>
      </c>
      <c r="D43" s="90" t="s">
        <v>48</v>
      </c>
      <c r="E43" s="153"/>
      <c r="F43" s="112" t="s">
        <v>186</v>
      </c>
      <c r="G43" s="114" t="s">
        <v>187</v>
      </c>
      <c r="H43" s="62">
        <v>10</v>
      </c>
      <c r="I43" s="62">
        <v>3</v>
      </c>
      <c r="J43" s="2">
        <f t="shared" si="0"/>
        <v>0.3</v>
      </c>
      <c r="K43" s="62">
        <f>+I43+ENERO!K43</f>
        <v>6</v>
      </c>
      <c r="L43" s="5">
        <f t="shared" si="1"/>
        <v>0.6</v>
      </c>
    </row>
    <row r="44" spans="2:17" x14ac:dyDescent="0.35">
      <c r="B44" s="62">
        <v>3</v>
      </c>
      <c r="C44" s="74" t="s">
        <v>49</v>
      </c>
      <c r="D44" s="90" t="s">
        <v>50</v>
      </c>
      <c r="E44" s="153"/>
      <c r="F44" s="112" t="s">
        <v>188</v>
      </c>
      <c r="G44" s="114" t="s">
        <v>189</v>
      </c>
      <c r="H44" s="62">
        <v>10</v>
      </c>
      <c r="I44" s="62">
        <v>4</v>
      </c>
      <c r="J44" s="2">
        <f t="shared" si="0"/>
        <v>0.4</v>
      </c>
      <c r="K44" s="62">
        <f>+I44+ENERO!K44</f>
        <v>8</v>
      </c>
      <c r="L44" s="5">
        <f t="shared" si="1"/>
        <v>0.8</v>
      </c>
    </row>
    <row r="45" spans="2:17" x14ac:dyDescent="0.35">
      <c r="B45" s="62">
        <v>3</v>
      </c>
      <c r="C45" s="74" t="s">
        <v>51</v>
      </c>
      <c r="D45" s="90" t="s">
        <v>52</v>
      </c>
      <c r="E45" s="153"/>
      <c r="F45" s="112" t="s">
        <v>190</v>
      </c>
      <c r="G45" s="114" t="s">
        <v>191</v>
      </c>
      <c r="H45" s="62">
        <v>10</v>
      </c>
      <c r="I45" s="62">
        <v>4</v>
      </c>
      <c r="J45" s="2">
        <f t="shared" si="0"/>
        <v>0.4</v>
      </c>
      <c r="K45" s="62">
        <f>+I45+ENERO!K45</f>
        <v>8</v>
      </c>
      <c r="L45" s="5">
        <f t="shared" si="1"/>
        <v>0.8</v>
      </c>
    </row>
    <row r="46" spans="2:17" x14ac:dyDescent="0.35">
      <c r="B46" s="62">
        <v>5</v>
      </c>
      <c r="C46" s="74" t="s">
        <v>53</v>
      </c>
      <c r="D46" s="90" t="s">
        <v>54</v>
      </c>
      <c r="E46" s="153"/>
      <c r="F46" s="112" t="s">
        <v>308</v>
      </c>
      <c r="G46" s="114" t="s">
        <v>309</v>
      </c>
      <c r="H46" s="62">
        <v>10</v>
      </c>
      <c r="I46" s="62">
        <v>3</v>
      </c>
      <c r="J46" s="2">
        <f t="shared" si="0"/>
        <v>0.3</v>
      </c>
      <c r="K46" s="62">
        <f>+I46+ENERO!K46</f>
        <v>6</v>
      </c>
      <c r="L46" s="5">
        <f t="shared" si="1"/>
        <v>0.6</v>
      </c>
    </row>
    <row r="47" spans="2:17" x14ac:dyDescent="0.35">
      <c r="B47" s="62">
        <v>5</v>
      </c>
      <c r="C47" s="74" t="s">
        <v>55</v>
      </c>
      <c r="D47" s="90" t="s">
        <v>56</v>
      </c>
      <c r="E47" s="153"/>
      <c r="F47" s="112" t="s">
        <v>193</v>
      </c>
      <c r="G47" s="114" t="s">
        <v>194</v>
      </c>
      <c r="H47" s="74">
        <v>10</v>
      </c>
      <c r="I47" s="62">
        <v>3</v>
      </c>
      <c r="J47" s="2">
        <f t="shared" si="0"/>
        <v>0.3</v>
      </c>
      <c r="K47" s="62">
        <f>+I47+ENERO!K47</f>
        <v>6</v>
      </c>
      <c r="L47" s="5">
        <f t="shared" si="1"/>
        <v>0.6</v>
      </c>
    </row>
    <row r="48" spans="2:17" x14ac:dyDescent="0.35">
      <c r="B48" s="66">
        <v>8</v>
      </c>
      <c r="C48" s="91" t="s">
        <v>57</v>
      </c>
      <c r="D48" s="92" t="s">
        <v>58</v>
      </c>
      <c r="E48" s="154"/>
      <c r="F48" s="116" t="s">
        <v>133</v>
      </c>
      <c r="G48" s="132" t="s">
        <v>32</v>
      </c>
      <c r="H48" s="66">
        <v>10</v>
      </c>
      <c r="I48" s="66">
        <v>3</v>
      </c>
      <c r="J48" s="4">
        <f t="shared" si="0"/>
        <v>0.3</v>
      </c>
      <c r="K48" s="66">
        <f>+I48+ENERO!K48</f>
        <v>6</v>
      </c>
      <c r="L48" s="7">
        <f t="shared" si="1"/>
        <v>0.6</v>
      </c>
    </row>
    <row r="49" spans="2:17" x14ac:dyDescent="0.35">
      <c r="B49" s="93">
        <v>1</v>
      </c>
      <c r="C49" s="94" t="s">
        <v>99</v>
      </c>
      <c r="D49" s="95" t="s">
        <v>122</v>
      </c>
      <c r="E49" s="155" t="s">
        <v>253</v>
      </c>
      <c r="F49" s="145" t="s">
        <v>240</v>
      </c>
      <c r="G49" s="120" t="s">
        <v>157</v>
      </c>
      <c r="H49" s="48">
        <v>15</v>
      </c>
      <c r="I49" s="105">
        <v>3</v>
      </c>
      <c r="J49" s="2">
        <f t="shared" si="0"/>
        <v>0.2</v>
      </c>
      <c r="K49" s="48">
        <f>+I49+ENERO!K49</f>
        <v>10</v>
      </c>
      <c r="L49" s="5">
        <f t="shared" si="1"/>
        <v>0.66666666666666663</v>
      </c>
      <c r="N49"/>
      <c r="O49" s="14"/>
      <c r="P49"/>
      <c r="Q49" s="14"/>
    </row>
    <row r="50" spans="2:17" x14ac:dyDescent="0.35">
      <c r="B50" s="81">
        <v>1</v>
      </c>
      <c r="C50" s="82" t="s">
        <v>60</v>
      </c>
      <c r="D50" s="83" t="s">
        <v>61</v>
      </c>
      <c r="E50" s="155"/>
      <c r="F50" s="119" t="s">
        <v>278</v>
      </c>
      <c r="G50" s="114" t="s">
        <v>279</v>
      </c>
      <c r="H50" s="71">
        <v>15</v>
      </c>
      <c r="I50" s="106">
        <v>7</v>
      </c>
      <c r="J50" s="2">
        <f t="shared" si="0"/>
        <v>0.46666666666666667</v>
      </c>
      <c r="K50" s="62">
        <f>+I50+ENERO!K50</f>
        <v>11</v>
      </c>
      <c r="L50" s="5">
        <f t="shared" si="1"/>
        <v>0.73333333333333328</v>
      </c>
      <c r="N50"/>
      <c r="O50" s="14"/>
      <c r="P50"/>
      <c r="Q50" s="14"/>
    </row>
    <row r="51" spans="2:17" x14ac:dyDescent="0.35">
      <c r="B51" s="81">
        <v>1</v>
      </c>
      <c r="C51" s="82" t="s">
        <v>62</v>
      </c>
      <c r="D51" s="83" t="s">
        <v>63</v>
      </c>
      <c r="E51" s="155"/>
      <c r="F51" s="119" t="s">
        <v>280</v>
      </c>
      <c r="G51" s="120" t="s">
        <v>281</v>
      </c>
      <c r="H51" s="62">
        <v>15</v>
      </c>
      <c r="I51" s="107">
        <v>7</v>
      </c>
      <c r="J51" s="2">
        <f t="shared" si="0"/>
        <v>0.46666666666666667</v>
      </c>
      <c r="K51" s="64">
        <f>+I51+ENERO!K51</f>
        <v>11</v>
      </c>
      <c r="L51" s="5">
        <f t="shared" si="1"/>
        <v>0.73333333333333328</v>
      </c>
      <c r="N51"/>
      <c r="O51" s="14"/>
      <c r="P51"/>
      <c r="Q51" s="14"/>
    </row>
    <row r="52" spans="2:17" x14ac:dyDescent="0.35">
      <c r="B52" s="81">
        <v>1</v>
      </c>
      <c r="C52" s="82" t="s">
        <v>72</v>
      </c>
      <c r="D52" s="83" t="s">
        <v>73</v>
      </c>
      <c r="E52" s="155"/>
      <c r="F52" s="119" t="s">
        <v>242</v>
      </c>
      <c r="G52" s="114" t="s">
        <v>157</v>
      </c>
      <c r="H52" s="62">
        <v>15</v>
      </c>
      <c r="I52" s="106">
        <v>5</v>
      </c>
      <c r="J52" s="2">
        <f t="shared" si="0"/>
        <v>0.33333333333333331</v>
      </c>
      <c r="K52" s="62">
        <f>+I52+ENERO!K52</f>
        <v>9</v>
      </c>
      <c r="L52" s="5">
        <f t="shared" si="1"/>
        <v>0.6</v>
      </c>
      <c r="N52"/>
      <c r="O52" s="14"/>
      <c r="P52"/>
      <c r="Q52" s="14"/>
    </row>
    <row r="53" spans="2:17" x14ac:dyDescent="0.35">
      <c r="B53" s="81">
        <v>1</v>
      </c>
      <c r="C53" s="82" t="s">
        <v>123</v>
      </c>
      <c r="D53" s="83" t="s">
        <v>239</v>
      </c>
      <c r="E53" s="155"/>
      <c r="F53" s="119" t="s">
        <v>243</v>
      </c>
      <c r="G53" s="114" t="s">
        <v>157</v>
      </c>
      <c r="H53" s="62">
        <v>15</v>
      </c>
      <c r="I53" s="106">
        <v>5</v>
      </c>
      <c r="J53" s="2">
        <f t="shared" si="0"/>
        <v>0.33333333333333331</v>
      </c>
      <c r="K53" s="62">
        <f>+I53+ENERO!K53</f>
        <v>9</v>
      </c>
      <c r="L53" s="5">
        <f t="shared" si="1"/>
        <v>0.6</v>
      </c>
      <c r="N53"/>
      <c r="O53" s="14"/>
      <c r="P53"/>
      <c r="Q53" s="14"/>
    </row>
    <row r="54" spans="2:17" x14ac:dyDescent="0.35">
      <c r="B54" s="84">
        <v>2</v>
      </c>
      <c r="C54" s="85" t="s">
        <v>110</v>
      </c>
      <c r="D54" s="86" t="s">
        <v>111</v>
      </c>
      <c r="E54" s="155"/>
      <c r="F54" s="121" t="s">
        <v>216</v>
      </c>
      <c r="G54" s="123" t="s">
        <v>217</v>
      </c>
      <c r="H54" s="66">
        <v>15</v>
      </c>
      <c r="I54" s="106">
        <v>3</v>
      </c>
      <c r="J54" s="4">
        <f t="shared" si="0"/>
        <v>0.2</v>
      </c>
      <c r="K54" s="66">
        <f>+I54+ENERO!K54</f>
        <v>10</v>
      </c>
      <c r="L54" s="7">
        <f t="shared" si="1"/>
        <v>0.66666666666666663</v>
      </c>
      <c r="N54"/>
      <c r="O54" s="14"/>
      <c r="P54"/>
      <c r="Q54" s="14"/>
    </row>
    <row r="55" spans="2:17" x14ac:dyDescent="0.35">
      <c r="B55" s="44">
        <v>3</v>
      </c>
      <c r="C55" s="45" t="s">
        <v>43</v>
      </c>
      <c r="D55" s="46" t="s">
        <v>44</v>
      </c>
      <c r="E55" s="149" t="s">
        <v>254</v>
      </c>
      <c r="F55" s="124" t="s">
        <v>285</v>
      </c>
      <c r="G55" s="113" t="s">
        <v>148</v>
      </c>
      <c r="H55" s="60">
        <v>9</v>
      </c>
      <c r="I55" s="48">
        <v>3</v>
      </c>
      <c r="J55" s="2">
        <f t="shared" si="0"/>
        <v>0.33333333333333331</v>
      </c>
      <c r="K55" s="48">
        <f>+I55+ENERO!K55</f>
        <v>6</v>
      </c>
      <c r="L55" s="9">
        <f t="shared" si="1"/>
        <v>0.66666666666666663</v>
      </c>
      <c r="N55"/>
      <c r="O55" s="14"/>
      <c r="P55"/>
      <c r="Q55" s="14"/>
    </row>
    <row r="56" spans="2:17" x14ac:dyDescent="0.35">
      <c r="B56" s="49">
        <v>3</v>
      </c>
      <c r="C56" s="50" t="s">
        <v>45</v>
      </c>
      <c r="D56" s="51" t="s">
        <v>46</v>
      </c>
      <c r="E56" s="150"/>
      <c r="F56" s="112" t="s">
        <v>207</v>
      </c>
      <c r="G56" s="127" t="s">
        <v>208</v>
      </c>
      <c r="H56" s="61">
        <v>18</v>
      </c>
      <c r="I56" s="62">
        <v>6</v>
      </c>
      <c r="J56" s="2">
        <f t="shared" si="0"/>
        <v>0.33333333333333331</v>
      </c>
      <c r="K56" s="62">
        <f>+I56+ENERO!K56</f>
        <v>12</v>
      </c>
      <c r="L56" s="9">
        <f t="shared" si="1"/>
        <v>0.66666666666666663</v>
      </c>
      <c r="N56"/>
      <c r="O56" s="14"/>
      <c r="P56"/>
      <c r="Q56" s="14"/>
    </row>
    <row r="57" spans="2:17" x14ac:dyDescent="0.35">
      <c r="B57" s="49">
        <v>3</v>
      </c>
      <c r="C57" s="50" t="s">
        <v>78</v>
      </c>
      <c r="D57" s="51" t="s">
        <v>79</v>
      </c>
      <c r="E57" s="150"/>
      <c r="F57" s="112" t="s">
        <v>220</v>
      </c>
      <c r="G57" s="114" t="s">
        <v>209</v>
      </c>
      <c r="H57" s="63">
        <v>6</v>
      </c>
      <c r="I57" s="64">
        <v>2</v>
      </c>
      <c r="J57" s="2">
        <f t="shared" si="0"/>
        <v>0.33333333333333331</v>
      </c>
      <c r="K57" s="64">
        <f>+I57+ENERO!K57</f>
        <v>4</v>
      </c>
      <c r="L57" s="9">
        <f t="shared" si="1"/>
        <v>0.66666666666666663</v>
      </c>
      <c r="N57"/>
      <c r="O57" s="14"/>
      <c r="P57"/>
      <c r="Q57" s="14"/>
    </row>
    <row r="58" spans="2:17" x14ac:dyDescent="0.35">
      <c r="B58" s="49">
        <v>3</v>
      </c>
      <c r="C58" s="50" t="s">
        <v>47</v>
      </c>
      <c r="D58" s="51" t="s">
        <v>48</v>
      </c>
      <c r="E58" s="150"/>
      <c r="F58" s="112" t="s">
        <v>286</v>
      </c>
      <c r="G58" s="114" t="s">
        <v>210</v>
      </c>
      <c r="H58" s="63">
        <v>18</v>
      </c>
      <c r="I58" s="62">
        <v>6</v>
      </c>
      <c r="J58" s="2">
        <f t="shared" si="0"/>
        <v>0.33333333333333331</v>
      </c>
      <c r="K58" s="62">
        <f>+I58+ENERO!K58</f>
        <v>12</v>
      </c>
      <c r="L58" s="9">
        <f t="shared" si="1"/>
        <v>0.66666666666666663</v>
      </c>
      <c r="N58"/>
      <c r="O58" s="14"/>
      <c r="P58"/>
      <c r="Q58" s="14"/>
    </row>
    <row r="59" spans="2:17" x14ac:dyDescent="0.35">
      <c r="B59" s="49">
        <v>3</v>
      </c>
      <c r="C59" s="50" t="s">
        <v>49</v>
      </c>
      <c r="D59" s="51" t="s">
        <v>50</v>
      </c>
      <c r="E59" s="150"/>
      <c r="F59" s="112" t="s">
        <v>287</v>
      </c>
      <c r="G59" s="114" t="s">
        <v>151</v>
      </c>
      <c r="H59" s="63">
        <v>9</v>
      </c>
      <c r="I59" s="62">
        <v>3</v>
      </c>
      <c r="J59" s="2">
        <f t="shared" si="0"/>
        <v>0.33333333333333331</v>
      </c>
      <c r="K59" s="62">
        <f>+I59+ENERO!K59</f>
        <v>6</v>
      </c>
      <c r="L59" s="9">
        <f t="shared" si="1"/>
        <v>0.66666666666666663</v>
      </c>
      <c r="N59"/>
      <c r="O59" s="14"/>
      <c r="P59"/>
      <c r="Q59" s="14"/>
    </row>
    <row r="60" spans="2:17" s="24" customFormat="1" x14ac:dyDescent="0.35">
      <c r="B60" s="49">
        <v>3</v>
      </c>
      <c r="C60" s="50" t="s">
        <v>51</v>
      </c>
      <c r="D60" s="51" t="s">
        <v>52</v>
      </c>
      <c r="E60" s="150"/>
      <c r="F60" s="112" t="s">
        <v>288</v>
      </c>
      <c r="G60" s="114" t="s">
        <v>212</v>
      </c>
      <c r="H60" s="63">
        <v>9</v>
      </c>
      <c r="I60" s="62">
        <v>3</v>
      </c>
      <c r="J60" s="2">
        <f t="shared" si="0"/>
        <v>0.33333333333333331</v>
      </c>
      <c r="K60" s="62">
        <f>+I60+ENERO!K60</f>
        <v>6</v>
      </c>
      <c r="L60" s="9">
        <f t="shared" si="1"/>
        <v>0.66666666666666663</v>
      </c>
      <c r="N60" s="55"/>
      <c r="P60" s="55"/>
    </row>
    <row r="61" spans="2:17" x14ac:dyDescent="0.35">
      <c r="B61" s="49">
        <v>5</v>
      </c>
      <c r="C61" s="50" t="s">
        <v>53</v>
      </c>
      <c r="D61" s="51" t="s">
        <v>54</v>
      </c>
      <c r="E61" s="150"/>
      <c r="F61" s="112" t="s">
        <v>223</v>
      </c>
      <c r="G61" s="114" t="s">
        <v>213</v>
      </c>
      <c r="H61" s="63">
        <v>6</v>
      </c>
      <c r="I61" s="62">
        <v>2</v>
      </c>
      <c r="J61" s="2">
        <f t="shared" si="0"/>
        <v>0.33333333333333331</v>
      </c>
      <c r="K61" s="62">
        <f>+I61+ENERO!K61</f>
        <v>4</v>
      </c>
      <c r="L61" s="9">
        <f t="shared" si="1"/>
        <v>0.66666666666666663</v>
      </c>
      <c r="N61"/>
      <c r="O61" s="14"/>
      <c r="P61"/>
      <c r="Q61" s="14"/>
    </row>
    <row r="62" spans="2:17" x14ac:dyDescent="0.35">
      <c r="B62" s="49">
        <v>5</v>
      </c>
      <c r="C62" s="50" t="s">
        <v>55</v>
      </c>
      <c r="D62" s="51" t="s">
        <v>56</v>
      </c>
      <c r="E62" s="150"/>
      <c r="F62" s="112" t="s">
        <v>289</v>
      </c>
      <c r="G62" s="114" t="s">
        <v>210</v>
      </c>
      <c r="H62" s="63">
        <v>9</v>
      </c>
      <c r="I62" s="62">
        <v>3</v>
      </c>
      <c r="J62" s="2">
        <f t="shared" si="0"/>
        <v>0.33333333333333331</v>
      </c>
      <c r="K62" s="62">
        <f>+I62+ENERO!K62</f>
        <v>6</v>
      </c>
      <c r="L62" s="9">
        <f t="shared" si="1"/>
        <v>0.66666666666666663</v>
      </c>
      <c r="N62"/>
      <c r="O62" s="14"/>
      <c r="P62"/>
      <c r="Q62" s="14"/>
    </row>
    <row r="63" spans="2:17" x14ac:dyDescent="0.35">
      <c r="B63" s="56">
        <v>8</v>
      </c>
      <c r="C63" s="57" t="s">
        <v>57</v>
      </c>
      <c r="D63" s="58" t="s">
        <v>58</v>
      </c>
      <c r="E63" s="151"/>
      <c r="F63" s="116" t="s">
        <v>290</v>
      </c>
      <c r="G63" s="120" t="s">
        <v>148</v>
      </c>
      <c r="H63" s="65">
        <v>6</v>
      </c>
      <c r="I63" s="66">
        <v>2</v>
      </c>
      <c r="J63" s="4">
        <f t="shared" si="0"/>
        <v>0.33333333333333331</v>
      </c>
      <c r="K63" s="66">
        <f>+I63+ENERO!K63</f>
        <v>4</v>
      </c>
      <c r="L63" s="10">
        <f t="shared" si="1"/>
        <v>0.66666666666666663</v>
      </c>
      <c r="N63"/>
      <c r="O63" s="14"/>
      <c r="P63"/>
      <c r="Q63" s="14"/>
    </row>
    <row r="64" spans="2:17" x14ac:dyDescent="0.35">
      <c r="B64" s="78">
        <v>3</v>
      </c>
      <c r="C64" s="79" t="s">
        <v>43</v>
      </c>
      <c r="D64" s="80" t="s">
        <v>44</v>
      </c>
      <c r="E64" s="148" t="s">
        <v>255</v>
      </c>
      <c r="F64" s="125" t="s">
        <v>124</v>
      </c>
      <c r="G64" s="113" t="s">
        <v>201</v>
      </c>
      <c r="H64" s="47">
        <v>10</v>
      </c>
      <c r="I64" s="105">
        <v>3</v>
      </c>
      <c r="J64" s="2">
        <f t="shared" si="0"/>
        <v>0.3</v>
      </c>
      <c r="K64" s="48">
        <f>+I64+ENERO!K64</f>
        <v>6</v>
      </c>
      <c r="L64" s="5">
        <f t="shared" si="1"/>
        <v>0.6</v>
      </c>
      <c r="N64"/>
      <c r="O64" s="14"/>
      <c r="P64"/>
      <c r="Q64" s="14"/>
    </row>
    <row r="65" spans="2:17" x14ac:dyDescent="0.35">
      <c r="B65" s="81">
        <v>3</v>
      </c>
      <c r="C65" s="82" t="s">
        <v>45</v>
      </c>
      <c r="D65" s="83" t="s">
        <v>46</v>
      </c>
      <c r="E65" s="148"/>
      <c r="F65" s="126" t="s">
        <v>282</v>
      </c>
      <c r="G65" s="127" t="s">
        <v>201</v>
      </c>
      <c r="H65" s="52">
        <v>10</v>
      </c>
      <c r="I65" s="106">
        <v>3</v>
      </c>
      <c r="J65" s="2">
        <f t="shared" si="0"/>
        <v>0.3</v>
      </c>
      <c r="K65" s="62">
        <f>+I65+ENERO!K65</f>
        <v>7</v>
      </c>
      <c r="L65" s="5">
        <f t="shared" si="1"/>
        <v>0.7</v>
      </c>
      <c r="N65"/>
      <c r="O65" s="14"/>
      <c r="P65"/>
      <c r="Q65" s="14"/>
    </row>
    <row r="66" spans="2:17" x14ac:dyDescent="0.35">
      <c r="B66" s="81">
        <v>3</v>
      </c>
      <c r="C66" s="82" t="s">
        <v>78</v>
      </c>
      <c r="D66" s="83" t="s">
        <v>79</v>
      </c>
      <c r="E66" s="148"/>
      <c r="F66" s="126" t="s">
        <v>245</v>
      </c>
      <c r="G66" s="114" t="s">
        <v>201</v>
      </c>
      <c r="H66" s="53">
        <v>10</v>
      </c>
      <c r="I66" s="107">
        <v>3</v>
      </c>
      <c r="J66" s="2">
        <f t="shared" si="0"/>
        <v>0.3</v>
      </c>
      <c r="K66" s="64">
        <f>+I66+ENERO!K66</f>
        <v>7</v>
      </c>
      <c r="L66" s="5">
        <f t="shared" si="1"/>
        <v>0.7</v>
      </c>
      <c r="N66"/>
      <c r="O66" s="14"/>
      <c r="P66"/>
      <c r="Q66" s="14"/>
    </row>
    <row r="67" spans="2:17" x14ac:dyDescent="0.35">
      <c r="B67" s="81">
        <v>3</v>
      </c>
      <c r="C67" s="82" t="s">
        <v>47</v>
      </c>
      <c r="D67" s="83" t="s">
        <v>48</v>
      </c>
      <c r="E67" s="148"/>
      <c r="F67" s="126" t="s">
        <v>246</v>
      </c>
      <c r="G67" s="114" t="s">
        <v>201</v>
      </c>
      <c r="H67" s="53">
        <v>10</v>
      </c>
      <c r="I67" s="106">
        <v>4</v>
      </c>
      <c r="J67" s="2">
        <f t="shared" si="0"/>
        <v>0.4</v>
      </c>
      <c r="K67" s="62">
        <f>+I67+ENERO!K67</f>
        <v>7</v>
      </c>
      <c r="L67" s="5">
        <f t="shared" si="1"/>
        <v>0.7</v>
      </c>
      <c r="N67"/>
      <c r="O67" s="14"/>
      <c r="P67"/>
      <c r="Q67" s="14"/>
    </row>
    <row r="68" spans="2:17" x14ac:dyDescent="0.35">
      <c r="B68" s="81">
        <v>3</v>
      </c>
      <c r="C68" s="82" t="s">
        <v>49</v>
      </c>
      <c r="D68" s="83" t="s">
        <v>50</v>
      </c>
      <c r="E68" s="148"/>
      <c r="F68" s="126" t="s">
        <v>247</v>
      </c>
      <c r="G68" s="114" t="s">
        <v>201</v>
      </c>
      <c r="H68" s="53">
        <v>10</v>
      </c>
      <c r="I68" s="106">
        <v>3</v>
      </c>
      <c r="J68" s="2">
        <f t="shared" si="0"/>
        <v>0.3</v>
      </c>
      <c r="K68" s="62">
        <f>+I68+ENERO!K68</f>
        <v>6</v>
      </c>
      <c r="L68" s="5">
        <f t="shared" si="1"/>
        <v>0.6</v>
      </c>
      <c r="N68"/>
      <c r="O68" s="14"/>
      <c r="P68"/>
      <c r="Q68" s="14"/>
    </row>
    <row r="69" spans="2:17" x14ac:dyDescent="0.35">
      <c r="B69" s="81">
        <v>3</v>
      </c>
      <c r="C69" s="82" t="s">
        <v>51</v>
      </c>
      <c r="D69" s="83" t="s">
        <v>52</v>
      </c>
      <c r="E69" s="148"/>
      <c r="F69" s="126" t="s">
        <v>129</v>
      </c>
      <c r="G69" s="114" t="s">
        <v>201</v>
      </c>
      <c r="H69" s="53">
        <v>10</v>
      </c>
      <c r="I69" s="106">
        <v>4</v>
      </c>
      <c r="J69" s="2">
        <f t="shared" si="0"/>
        <v>0.4</v>
      </c>
      <c r="K69" s="62">
        <f>+I69+ENERO!K69</f>
        <v>7</v>
      </c>
      <c r="L69" s="5">
        <f t="shared" si="1"/>
        <v>0.7</v>
      </c>
      <c r="N69"/>
      <c r="O69" s="14"/>
      <c r="P69"/>
      <c r="Q69" s="14"/>
    </row>
    <row r="70" spans="2:17" x14ac:dyDescent="0.35">
      <c r="B70" s="81">
        <v>5</v>
      </c>
      <c r="C70" s="82" t="s">
        <v>53</v>
      </c>
      <c r="D70" s="83" t="s">
        <v>54</v>
      </c>
      <c r="E70" s="148"/>
      <c r="F70" s="126" t="s">
        <v>283</v>
      </c>
      <c r="G70" s="114" t="s">
        <v>201</v>
      </c>
      <c r="H70" s="53">
        <v>10</v>
      </c>
      <c r="I70" s="106">
        <v>4</v>
      </c>
      <c r="J70" s="2">
        <f t="shared" si="0"/>
        <v>0.4</v>
      </c>
      <c r="K70" s="62">
        <f>+I70+ENERO!K70</f>
        <v>7</v>
      </c>
      <c r="L70" s="5">
        <f t="shared" si="1"/>
        <v>0.7</v>
      </c>
      <c r="N70"/>
      <c r="O70" s="14"/>
      <c r="P70"/>
      <c r="Q70" s="14"/>
    </row>
    <row r="71" spans="2:17" x14ac:dyDescent="0.35">
      <c r="B71" s="81">
        <v>5</v>
      </c>
      <c r="C71" s="82" t="s">
        <v>55</v>
      </c>
      <c r="D71" s="83" t="s">
        <v>56</v>
      </c>
      <c r="E71" s="148"/>
      <c r="F71" s="126" t="s">
        <v>284</v>
      </c>
      <c r="G71" s="114" t="s">
        <v>201</v>
      </c>
      <c r="H71" s="53">
        <v>10</v>
      </c>
      <c r="I71" s="106">
        <v>3</v>
      </c>
      <c r="J71" s="2">
        <f t="shared" si="0"/>
        <v>0.3</v>
      </c>
      <c r="K71" s="62">
        <f>+I71+ENERO!K71</f>
        <v>7</v>
      </c>
      <c r="L71" s="5">
        <f t="shared" si="1"/>
        <v>0.7</v>
      </c>
      <c r="N71"/>
      <c r="O71" s="14"/>
      <c r="P71"/>
      <c r="Q71" s="14"/>
    </row>
    <row r="72" spans="2:17" x14ac:dyDescent="0.35">
      <c r="B72" s="84">
        <v>8</v>
      </c>
      <c r="C72" s="85" t="s">
        <v>57</v>
      </c>
      <c r="D72" s="86" t="s">
        <v>58</v>
      </c>
      <c r="E72" s="148"/>
      <c r="F72" s="126" t="s">
        <v>133</v>
      </c>
      <c r="G72" s="120" t="s">
        <v>201</v>
      </c>
      <c r="H72" s="59">
        <v>10</v>
      </c>
      <c r="I72" s="108">
        <v>3</v>
      </c>
      <c r="J72" s="4">
        <f t="shared" si="0"/>
        <v>0.3</v>
      </c>
      <c r="K72" s="66">
        <f>+I72+ENERO!K72</f>
        <v>6</v>
      </c>
      <c r="L72" s="7">
        <f t="shared" si="1"/>
        <v>0.6</v>
      </c>
      <c r="N72"/>
      <c r="O72" s="14"/>
      <c r="P72"/>
      <c r="Q72" s="14"/>
    </row>
    <row r="73" spans="2:17" x14ac:dyDescent="0.35">
      <c r="B73" s="78">
        <v>3</v>
      </c>
      <c r="C73" s="79" t="s">
        <v>100</v>
      </c>
      <c r="D73" s="80" t="s">
        <v>101</v>
      </c>
      <c r="E73" s="152" t="s">
        <v>256</v>
      </c>
      <c r="F73" s="118" t="s">
        <v>135</v>
      </c>
      <c r="G73" s="113" t="s">
        <v>136</v>
      </c>
      <c r="H73" s="47">
        <v>10</v>
      </c>
      <c r="I73" s="47">
        <v>3</v>
      </c>
      <c r="J73" s="2">
        <f t="shared" si="0"/>
        <v>0.3</v>
      </c>
      <c r="K73" s="47">
        <f>+I73+ENERO!K73</f>
        <v>7</v>
      </c>
      <c r="L73" s="5">
        <f t="shared" si="1"/>
        <v>0.7</v>
      </c>
      <c r="N73"/>
      <c r="O73" s="14"/>
      <c r="P73"/>
      <c r="Q73" s="14"/>
    </row>
    <row r="74" spans="2:17" x14ac:dyDescent="0.35">
      <c r="B74" s="81">
        <v>3</v>
      </c>
      <c r="C74" s="82" t="s">
        <v>49</v>
      </c>
      <c r="D74" s="83" t="s">
        <v>50</v>
      </c>
      <c r="E74" s="153"/>
      <c r="F74" s="119" t="s">
        <v>291</v>
      </c>
      <c r="G74" s="127" t="s">
        <v>292</v>
      </c>
      <c r="H74" s="52">
        <v>10</v>
      </c>
      <c r="I74" s="53">
        <v>3</v>
      </c>
      <c r="J74" s="2">
        <f t="shared" si="0"/>
        <v>0.3</v>
      </c>
      <c r="K74" s="53">
        <f>+I74+ENERO!K74</f>
        <v>7</v>
      </c>
      <c r="L74" s="5">
        <f t="shared" si="1"/>
        <v>0.7</v>
      </c>
      <c r="N74"/>
      <c r="O74" s="14"/>
      <c r="P74"/>
      <c r="Q74" s="14"/>
    </row>
    <row r="75" spans="2:17" x14ac:dyDescent="0.35">
      <c r="B75" s="81">
        <v>3</v>
      </c>
      <c r="C75" s="82" t="s">
        <v>51</v>
      </c>
      <c r="D75" s="83" t="s">
        <v>52</v>
      </c>
      <c r="E75" s="153"/>
      <c r="F75" s="119" t="s">
        <v>138</v>
      </c>
      <c r="G75" s="114" t="s">
        <v>293</v>
      </c>
      <c r="H75" s="53">
        <v>10</v>
      </c>
      <c r="I75" s="54">
        <v>3</v>
      </c>
      <c r="J75" s="2">
        <f t="shared" si="0"/>
        <v>0.3</v>
      </c>
      <c r="K75" s="54">
        <f>+I75+ENERO!K75</f>
        <v>7</v>
      </c>
      <c r="L75" s="5">
        <f t="shared" si="1"/>
        <v>0.7</v>
      </c>
      <c r="N75"/>
      <c r="O75" s="14"/>
      <c r="P75"/>
      <c r="Q75" s="14"/>
    </row>
    <row r="76" spans="2:17" x14ac:dyDescent="0.35">
      <c r="B76" s="81">
        <v>5</v>
      </c>
      <c r="C76" s="82" t="s">
        <v>53</v>
      </c>
      <c r="D76" s="83" t="s">
        <v>54</v>
      </c>
      <c r="E76" s="153"/>
      <c r="F76" s="119" t="s">
        <v>139</v>
      </c>
      <c r="G76" s="114" t="s">
        <v>230</v>
      </c>
      <c r="H76" s="53">
        <v>10</v>
      </c>
      <c r="I76" s="53">
        <v>4</v>
      </c>
      <c r="J76" s="2">
        <f t="shared" si="0"/>
        <v>0.4</v>
      </c>
      <c r="K76" s="53">
        <f>+I76+ENERO!K76</f>
        <v>7</v>
      </c>
      <c r="L76" s="5">
        <f t="shared" si="1"/>
        <v>0.7</v>
      </c>
      <c r="N76"/>
      <c r="O76" s="14"/>
      <c r="P76"/>
      <c r="Q76" s="14"/>
    </row>
    <row r="77" spans="2:17" x14ac:dyDescent="0.35">
      <c r="B77" s="81">
        <v>5</v>
      </c>
      <c r="C77" s="82" t="s">
        <v>55</v>
      </c>
      <c r="D77" s="83" t="s">
        <v>56</v>
      </c>
      <c r="E77" s="153"/>
      <c r="F77" s="114" t="s">
        <v>294</v>
      </c>
      <c r="G77" s="114" t="s">
        <v>295</v>
      </c>
      <c r="H77" s="53">
        <v>10</v>
      </c>
      <c r="I77" s="53">
        <v>4</v>
      </c>
      <c r="J77" s="2">
        <f t="shared" ref="J77:J140" si="2">IFERROR(I77/H77,0)</f>
        <v>0.4</v>
      </c>
      <c r="K77" s="53">
        <f>+I77+ENERO!K77</f>
        <v>7</v>
      </c>
      <c r="L77" s="5">
        <f t="shared" ref="L77:L140" si="3">IFERROR(K77/H77,0)</f>
        <v>0.7</v>
      </c>
      <c r="N77"/>
      <c r="O77" s="14"/>
      <c r="P77"/>
      <c r="Q77" s="14"/>
    </row>
    <row r="78" spans="2:17" x14ac:dyDescent="0.35">
      <c r="B78" s="81">
        <v>8</v>
      </c>
      <c r="C78" s="82" t="s">
        <v>57</v>
      </c>
      <c r="D78" s="83" t="s">
        <v>58</v>
      </c>
      <c r="E78" s="153"/>
      <c r="F78" s="114" t="s">
        <v>296</v>
      </c>
      <c r="G78" s="114" t="s">
        <v>297</v>
      </c>
      <c r="H78" s="53">
        <v>10</v>
      </c>
      <c r="I78" s="53">
        <v>4</v>
      </c>
      <c r="J78" s="2">
        <f t="shared" si="2"/>
        <v>0.4</v>
      </c>
      <c r="K78" s="53">
        <f>+I78+ENERO!K78</f>
        <v>7</v>
      </c>
      <c r="L78" s="5">
        <f t="shared" si="3"/>
        <v>0.7</v>
      </c>
      <c r="N78"/>
      <c r="O78" s="14"/>
      <c r="P78"/>
      <c r="Q78" s="14"/>
    </row>
    <row r="79" spans="2:17" x14ac:dyDescent="0.35">
      <c r="B79" s="81">
        <v>8</v>
      </c>
      <c r="C79" s="82" t="s">
        <v>102</v>
      </c>
      <c r="D79" s="83" t="s">
        <v>103</v>
      </c>
      <c r="E79" s="153"/>
      <c r="F79" s="119" t="s">
        <v>143</v>
      </c>
      <c r="G79" s="114" t="s">
        <v>144</v>
      </c>
      <c r="H79" s="53">
        <v>10</v>
      </c>
      <c r="I79" s="53">
        <v>3</v>
      </c>
      <c r="J79" s="2">
        <f t="shared" si="2"/>
        <v>0.3</v>
      </c>
      <c r="K79" s="53">
        <f>+I79+ENERO!K79</f>
        <v>6</v>
      </c>
      <c r="L79" s="5">
        <f t="shared" si="3"/>
        <v>0.6</v>
      </c>
      <c r="N79"/>
      <c r="O79" s="14"/>
      <c r="P79"/>
      <c r="Q79" s="14"/>
    </row>
    <row r="80" spans="2:17" x14ac:dyDescent="0.35">
      <c r="B80" s="81">
        <v>8</v>
      </c>
      <c r="C80" s="82" t="s">
        <v>104</v>
      </c>
      <c r="D80" s="83" t="s">
        <v>105</v>
      </c>
      <c r="E80" s="153"/>
      <c r="F80" s="114" t="s">
        <v>145</v>
      </c>
      <c r="G80" s="114" t="s">
        <v>146</v>
      </c>
      <c r="H80" s="53">
        <v>10</v>
      </c>
      <c r="I80" s="53">
        <v>3</v>
      </c>
      <c r="J80" s="2">
        <f t="shared" si="2"/>
        <v>0.3</v>
      </c>
      <c r="K80" s="53">
        <f>+I80+ENERO!K80</f>
        <v>6</v>
      </c>
      <c r="L80" s="5">
        <f t="shared" si="3"/>
        <v>0.6</v>
      </c>
      <c r="N80"/>
      <c r="O80" s="14"/>
      <c r="P80"/>
      <c r="Q80" s="14"/>
    </row>
    <row r="81" spans="2:17" x14ac:dyDescent="0.35">
      <c r="B81" s="84">
        <v>8</v>
      </c>
      <c r="C81" s="85" t="s">
        <v>106</v>
      </c>
      <c r="D81" s="86" t="s">
        <v>107</v>
      </c>
      <c r="E81" s="154"/>
      <c r="F81" s="121" t="s">
        <v>147</v>
      </c>
      <c r="G81" s="120" t="s">
        <v>148</v>
      </c>
      <c r="H81" s="59">
        <v>10</v>
      </c>
      <c r="I81" s="59">
        <v>3</v>
      </c>
      <c r="J81" s="4">
        <f t="shared" si="2"/>
        <v>0.3</v>
      </c>
      <c r="K81" s="59">
        <f>+I81+ENERO!K81</f>
        <v>6</v>
      </c>
      <c r="L81" s="7">
        <f t="shared" si="3"/>
        <v>0.6</v>
      </c>
      <c r="N81"/>
      <c r="O81" s="14"/>
      <c r="P81"/>
      <c r="Q81" s="14"/>
    </row>
    <row r="82" spans="2:17" x14ac:dyDescent="0.35">
      <c r="B82" s="67">
        <v>3</v>
      </c>
      <c r="C82" s="68" t="s">
        <v>43</v>
      </c>
      <c r="D82" s="110" t="s">
        <v>44</v>
      </c>
      <c r="E82" s="189" t="s">
        <v>257</v>
      </c>
      <c r="F82" s="124" t="s">
        <v>147</v>
      </c>
      <c r="G82" s="113" t="s">
        <v>148</v>
      </c>
      <c r="H82" s="48">
        <v>10</v>
      </c>
      <c r="I82" s="48">
        <v>3</v>
      </c>
      <c r="J82" s="2">
        <f t="shared" si="2"/>
        <v>0.3</v>
      </c>
      <c r="K82" s="48">
        <f>+I82+ENERO!K82</f>
        <v>7</v>
      </c>
      <c r="L82" s="5">
        <f t="shared" si="3"/>
        <v>0.7</v>
      </c>
      <c r="N82"/>
      <c r="O82" s="14"/>
      <c r="P82"/>
      <c r="Q82" s="14"/>
    </row>
    <row r="83" spans="2:17" x14ac:dyDescent="0.35">
      <c r="B83" s="69">
        <v>3</v>
      </c>
      <c r="C83" s="70" t="s">
        <v>45</v>
      </c>
      <c r="D83" s="109" t="s">
        <v>46</v>
      </c>
      <c r="E83" s="190"/>
      <c r="F83" s="112" t="s">
        <v>311</v>
      </c>
      <c r="G83" s="127" t="s">
        <v>149</v>
      </c>
      <c r="H83" s="71">
        <v>10</v>
      </c>
      <c r="I83" s="62">
        <v>3</v>
      </c>
      <c r="J83" s="2">
        <f t="shared" si="2"/>
        <v>0.3</v>
      </c>
      <c r="K83" s="62">
        <f>+I83+ENERO!K83</f>
        <v>7</v>
      </c>
      <c r="L83" s="5">
        <f t="shared" si="3"/>
        <v>0.7</v>
      </c>
      <c r="N83"/>
      <c r="O83" s="14"/>
      <c r="P83"/>
      <c r="Q83" s="14"/>
    </row>
    <row r="84" spans="2:17" x14ac:dyDescent="0.35">
      <c r="B84" s="69">
        <v>3</v>
      </c>
      <c r="C84" s="70" t="s">
        <v>78</v>
      </c>
      <c r="D84" s="111" t="s">
        <v>79</v>
      </c>
      <c r="E84" s="190"/>
      <c r="F84" s="112" t="s">
        <v>312</v>
      </c>
      <c r="G84" s="114" t="s">
        <v>150</v>
      </c>
      <c r="H84" s="62">
        <v>10</v>
      </c>
      <c r="I84" s="64">
        <v>3</v>
      </c>
      <c r="J84" s="2">
        <f t="shared" si="2"/>
        <v>0.3</v>
      </c>
      <c r="K84" s="64">
        <f>+I84+ENERO!K84</f>
        <v>7</v>
      </c>
      <c r="L84" s="5">
        <f t="shared" si="3"/>
        <v>0.7</v>
      </c>
      <c r="N84"/>
      <c r="O84" s="14"/>
      <c r="P84"/>
      <c r="Q84" s="14"/>
    </row>
    <row r="85" spans="2:17" x14ac:dyDescent="0.35">
      <c r="B85" s="69">
        <v>3</v>
      </c>
      <c r="C85" s="70" t="s">
        <v>47</v>
      </c>
      <c r="D85" s="111" t="s">
        <v>48</v>
      </c>
      <c r="E85" s="190"/>
      <c r="F85" s="112" t="s">
        <v>313</v>
      </c>
      <c r="G85" s="114" t="s">
        <v>151</v>
      </c>
      <c r="H85" s="62">
        <v>10</v>
      </c>
      <c r="I85" s="62">
        <v>4</v>
      </c>
      <c r="J85" s="2">
        <f t="shared" si="2"/>
        <v>0.4</v>
      </c>
      <c r="K85" s="62">
        <f>+I85+ENERO!K85</f>
        <v>6</v>
      </c>
      <c r="L85" s="5">
        <f t="shared" si="3"/>
        <v>0.6</v>
      </c>
      <c r="N85"/>
      <c r="O85" s="14"/>
      <c r="P85"/>
      <c r="Q85" s="14"/>
    </row>
    <row r="86" spans="2:17" x14ac:dyDescent="0.35">
      <c r="B86" s="69">
        <v>3</v>
      </c>
      <c r="C86" s="70" t="s">
        <v>49</v>
      </c>
      <c r="D86" s="111" t="s">
        <v>50</v>
      </c>
      <c r="E86" s="190"/>
      <c r="F86" s="112" t="s">
        <v>314</v>
      </c>
      <c r="G86" s="114" t="s">
        <v>152</v>
      </c>
      <c r="H86" s="62">
        <v>10</v>
      </c>
      <c r="I86" s="62">
        <v>3</v>
      </c>
      <c r="J86" s="2">
        <f t="shared" si="2"/>
        <v>0.3</v>
      </c>
      <c r="K86" s="62">
        <f>+I86+ENERO!K86</f>
        <v>6</v>
      </c>
      <c r="L86" s="5">
        <f t="shared" si="3"/>
        <v>0.6</v>
      </c>
      <c r="N86"/>
      <c r="O86" s="14"/>
      <c r="P86"/>
      <c r="Q86" s="14"/>
    </row>
    <row r="87" spans="2:17" s="24" customFormat="1" x14ac:dyDescent="0.35">
      <c r="B87" s="69">
        <v>3</v>
      </c>
      <c r="C87" s="70" t="s">
        <v>51</v>
      </c>
      <c r="D87" s="111" t="s">
        <v>52</v>
      </c>
      <c r="E87" s="190"/>
      <c r="F87" s="112" t="s">
        <v>225</v>
      </c>
      <c r="G87" s="114" t="s">
        <v>153</v>
      </c>
      <c r="H87" s="62">
        <v>10</v>
      </c>
      <c r="I87" s="62">
        <v>4</v>
      </c>
      <c r="J87" s="2">
        <f t="shared" si="2"/>
        <v>0.4</v>
      </c>
      <c r="K87" s="62">
        <f>+I87+ENERO!K87</f>
        <v>6</v>
      </c>
      <c r="L87" s="5">
        <f t="shared" si="3"/>
        <v>0.6</v>
      </c>
      <c r="N87" s="55"/>
      <c r="P87" s="55"/>
    </row>
    <row r="88" spans="2:17" x14ac:dyDescent="0.35">
      <c r="B88" s="69">
        <v>5</v>
      </c>
      <c r="C88" s="70" t="s">
        <v>53</v>
      </c>
      <c r="D88" s="111" t="s">
        <v>54</v>
      </c>
      <c r="E88" s="190"/>
      <c r="F88" s="128" t="s">
        <v>315</v>
      </c>
      <c r="G88" s="114" t="s">
        <v>154</v>
      </c>
      <c r="H88" s="62">
        <v>10</v>
      </c>
      <c r="I88" s="62">
        <v>3</v>
      </c>
      <c r="J88" s="2">
        <f t="shared" si="2"/>
        <v>0.3</v>
      </c>
      <c r="K88" s="62">
        <f>+I88+ENERO!K88</f>
        <v>7</v>
      </c>
      <c r="L88" s="5">
        <f t="shared" si="3"/>
        <v>0.7</v>
      </c>
      <c r="N88"/>
      <c r="O88" s="14"/>
      <c r="P88"/>
      <c r="Q88" s="14"/>
    </row>
    <row r="89" spans="2:17" x14ac:dyDescent="0.35">
      <c r="B89" s="69">
        <v>5</v>
      </c>
      <c r="C89" s="70" t="s">
        <v>55</v>
      </c>
      <c r="D89" s="111" t="s">
        <v>56</v>
      </c>
      <c r="E89" s="190"/>
      <c r="F89" s="112" t="s">
        <v>316</v>
      </c>
      <c r="G89" s="114" t="s">
        <v>155</v>
      </c>
      <c r="H89" s="62">
        <v>10</v>
      </c>
      <c r="I89" s="62">
        <v>3</v>
      </c>
      <c r="J89" s="2">
        <f t="shared" si="2"/>
        <v>0.3</v>
      </c>
      <c r="K89" s="62">
        <f>+I89+ENERO!K89</f>
        <v>7</v>
      </c>
      <c r="L89" s="5">
        <f t="shared" si="3"/>
        <v>0.7</v>
      </c>
      <c r="N89"/>
      <c r="O89" s="14"/>
      <c r="P89"/>
      <c r="Q89" s="14"/>
    </row>
    <row r="90" spans="2:17" x14ac:dyDescent="0.35">
      <c r="B90" s="72">
        <v>8</v>
      </c>
      <c r="C90" s="73" t="s">
        <v>57</v>
      </c>
      <c r="D90" s="111" t="s">
        <v>58</v>
      </c>
      <c r="E90" s="191"/>
      <c r="F90" s="116" t="s">
        <v>226</v>
      </c>
      <c r="G90" s="120" t="s">
        <v>156</v>
      </c>
      <c r="H90" s="66">
        <v>10</v>
      </c>
      <c r="I90" s="66">
        <v>4</v>
      </c>
      <c r="J90" s="4">
        <f t="shared" si="2"/>
        <v>0.4</v>
      </c>
      <c r="K90" s="66">
        <f>+I90+ENERO!K90</f>
        <v>7</v>
      </c>
      <c r="L90" s="7">
        <f t="shared" si="3"/>
        <v>0.7</v>
      </c>
      <c r="N90"/>
      <c r="O90" s="14"/>
      <c r="P90"/>
      <c r="Q90" s="14"/>
    </row>
    <row r="91" spans="2:17" x14ac:dyDescent="0.35">
      <c r="B91" s="44">
        <v>3</v>
      </c>
      <c r="C91" s="45" t="s">
        <v>43</v>
      </c>
      <c r="D91" s="46" t="s">
        <v>44</v>
      </c>
      <c r="E91" s="189" t="s">
        <v>258</v>
      </c>
      <c r="F91" s="112" t="s">
        <v>124</v>
      </c>
      <c r="G91" s="129" t="s">
        <v>125</v>
      </c>
      <c r="H91" s="47">
        <v>10</v>
      </c>
      <c r="I91" s="47">
        <v>4</v>
      </c>
      <c r="J91" s="3">
        <f t="shared" si="2"/>
        <v>0.4</v>
      </c>
      <c r="K91" s="48">
        <f>+I91+ENERO!K91</f>
        <v>8</v>
      </c>
      <c r="L91" s="6">
        <f t="shared" si="3"/>
        <v>0.8</v>
      </c>
      <c r="N91"/>
      <c r="O91" s="14"/>
      <c r="P91"/>
      <c r="Q91" s="14"/>
    </row>
    <row r="92" spans="2:17" x14ac:dyDescent="0.35">
      <c r="B92" s="49">
        <v>3</v>
      </c>
      <c r="C92" s="50" t="s">
        <v>45</v>
      </c>
      <c r="D92" s="51" t="s">
        <v>46</v>
      </c>
      <c r="E92" s="190"/>
      <c r="F92" s="112" t="s">
        <v>126</v>
      </c>
      <c r="G92" s="130" t="s">
        <v>125</v>
      </c>
      <c r="H92" s="52">
        <v>10</v>
      </c>
      <c r="I92" s="53">
        <v>3</v>
      </c>
      <c r="J92" s="2">
        <f t="shared" si="2"/>
        <v>0.3</v>
      </c>
      <c r="K92" s="53">
        <f>+I92+ENERO!K92</f>
        <v>6</v>
      </c>
      <c r="L92" s="5">
        <f t="shared" si="3"/>
        <v>0.6</v>
      </c>
      <c r="N92"/>
      <c r="O92" s="14"/>
      <c r="P92"/>
      <c r="Q92" s="14"/>
    </row>
    <row r="93" spans="2:17" x14ac:dyDescent="0.35">
      <c r="B93" s="49">
        <v>3</v>
      </c>
      <c r="C93" s="50" t="s">
        <v>78</v>
      </c>
      <c r="D93" s="51" t="s">
        <v>79</v>
      </c>
      <c r="E93" s="190"/>
      <c r="F93" s="112" t="s">
        <v>126</v>
      </c>
      <c r="G93" s="131" t="s">
        <v>125</v>
      </c>
      <c r="H93" s="53">
        <v>10</v>
      </c>
      <c r="I93" s="54">
        <v>3</v>
      </c>
      <c r="J93" s="2">
        <f t="shared" si="2"/>
        <v>0.3</v>
      </c>
      <c r="K93" s="54">
        <f>+I93+ENERO!K93</f>
        <v>6</v>
      </c>
      <c r="L93" s="5">
        <f t="shared" si="3"/>
        <v>0.6</v>
      </c>
      <c r="N93"/>
      <c r="O93" s="14"/>
      <c r="P93"/>
      <c r="Q93" s="14"/>
    </row>
    <row r="94" spans="2:17" x14ac:dyDescent="0.35">
      <c r="B94" s="49">
        <v>3</v>
      </c>
      <c r="C94" s="50" t="s">
        <v>47</v>
      </c>
      <c r="D94" s="51" t="s">
        <v>48</v>
      </c>
      <c r="E94" s="190"/>
      <c r="F94" s="112" t="s">
        <v>127</v>
      </c>
      <c r="G94" s="131" t="s">
        <v>128</v>
      </c>
      <c r="H94" s="53">
        <v>10</v>
      </c>
      <c r="I94" s="53">
        <v>3</v>
      </c>
      <c r="J94" s="2">
        <f t="shared" si="2"/>
        <v>0.3</v>
      </c>
      <c r="K94" s="53">
        <f>+I94+ENERO!K94</f>
        <v>6</v>
      </c>
      <c r="L94" s="5">
        <f t="shared" si="3"/>
        <v>0.6</v>
      </c>
      <c r="N94"/>
      <c r="O94" s="14"/>
      <c r="P94"/>
      <c r="Q94" s="14"/>
    </row>
    <row r="95" spans="2:17" x14ac:dyDescent="0.35">
      <c r="B95" s="49">
        <v>3</v>
      </c>
      <c r="C95" s="50" t="s">
        <v>49</v>
      </c>
      <c r="D95" s="51" t="s">
        <v>50</v>
      </c>
      <c r="E95" s="190"/>
      <c r="F95" s="112" t="s">
        <v>129</v>
      </c>
      <c r="G95" s="131" t="s">
        <v>125</v>
      </c>
      <c r="H95" s="53">
        <v>10</v>
      </c>
      <c r="I95" s="53">
        <v>3</v>
      </c>
      <c r="J95" s="2">
        <f t="shared" si="2"/>
        <v>0.3</v>
      </c>
      <c r="K95" s="53">
        <f>+I95+ENERO!K95</f>
        <v>6</v>
      </c>
      <c r="L95" s="5">
        <f t="shared" si="3"/>
        <v>0.6</v>
      </c>
      <c r="N95"/>
      <c r="O95" s="14"/>
      <c r="P95"/>
      <c r="Q95" s="14"/>
    </row>
    <row r="96" spans="2:17" s="24" customFormat="1" x14ac:dyDescent="0.35">
      <c r="B96" s="49">
        <v>3</v>
      </c>
      <c r="C96" s="50" t="s">
        <v>51</v>
      </c>
      <c r="D96" s="51" t="s">
        <v>52</v>
      </c>
      <c r="E96" s="190"/>
      <c r="F96" s="112" t="s">
        <v>129</v>
      </c>
      <c r="G96" s="131" t="s">
        <v>130</v>
      </c>
      <c r="H96" s="53">
        <v>10</v>
      </c>
      <c r="I96" s="53">
        <v>4</v>
      </c>
      <c r="J96" s="2">
        <f t="shared" si="2"/>
        <v>0.4</v>
      </c>
      <c r="K96" s="53">
        <f>+I96+ENERO!K96</f>
        <v>8</v>
      </c>
      <c r="L96" s="5">
        <f t="shared" si="3"/>
        <v>0.8</v>
      </c>
      <c r="N96" s="55"/>
      <c r="P96" s="55"/>
    </row>
    <row r="97" spans="2:17" x14ac:dyDescent="0.35">
      <c r="B97" s="49">
        <v>5</v>
      </c>
      <c r="C97" s="50" t="s">
        <v>53</v>
      </c>
      <c r="D97" s="51" t="s">
        <v>54</v>
      </c>
      <c r="E97" s="190"/>
      <c r="F97" s="112" t="s">
        <v>129</v>
      </c>
      <c r="G97" s="131" t="s">
        <v>131</v>
      </c>
      <c r="H97" s="53">
        <v>10</v>
      </c>
      <c r="I97" s="53">
        <v>3</v>
      </c>
      <c r="J97" s="2">
        <f t="shared" si="2"/>
        <v>0.3</v>
      </c>
      <c r="K97" s="53">
        <f>+I97+ENERO!K97</f>
        <v>6</v>
      </c>
      <c r="L97" s="5">
        <f t="shared" si="3"/>
        <v>0.6</v>
      </c>
      <c r="N97"/>
      <c r="O97" s="14"/>
      <c r="P97"/>
      <c r="Q97" s="14"/>
    </row>
    <row r="98" spans="2:17" x14ac:dyDescent="0.35">
      <c r="B98" s="49">
        <v>5</v>
      </c>
      <c r="C98" s="50" t="s">
        <v>55</v>
      </c>
      <c r="D98" s="51" t="s">
        <v>56</v>
      </c>
      <c r="E98" s="190"/>
      <c r="F98" s="115" t="s">
        <v>129</v>
      </c>
      <c r="G98" s="131" t="s">
        <v>132</v>
      </c>
      <c r="H98" s="53">
        <v>10</v>
      </c>
      <c r="I98" s="53">
        <v>3</v>
      </c>
      <c r="J98" s="2">
        <f t="shared" si="2"/>
        <v>0.3</v>
      </c>
      <c r="K98" s="53">
        <f>+I98+ENERO!K98</f>
        <v>6</v>
      </c>
      <c r="L98" s="5">
        <f t="shared" si="3"/>
        <v>0.6</v>
      </c>
      <c r="N98"/>
      <c r="O98" s="14"/>
      <c r="P98"/>
      <c r="Q98" s="14"/>
    </row>
    <row r="99" spans="2:17" x14ac:dyDescent="0.35">
      <c r="B99" s="56">
        <v>8</v>
      </c>
      <c r="C99" s="57" t="s">
        <v>57</v>
      </c>
      <c r="D99" s="58" t="s">
        <v>58</v>
      </c>
      <c r="E99" s="191"/>
      <c r="F99" s="116" t="s">
        <v>133</v>
      </c>
      <c r="G99" s="132" t="s">
        <v>134</v>
      </c>
      <c r="H99" s="59">
        <v>10</v>
      </c>
      <c r="I99" s="59">
        <v>4</v>
      </c>
      <c r="J99" s="4">
        <f t="shared" si="2"/>
        <v>0.4</v>
      </c>
      <c r="K99" s="59">
        <f>+I99+ENERO!K99</f>
        <v>8</v>
      </c>
      <c r="L99" s="7">
        <f t="shared" si="3"/>
        <v>0.8</v>
      </c>
      <c r="N99"/>
      <c r="O99" s="14"/>
      <c r="P99"/>
      <c r="Q99" s="14"/>
    </row>
    <row r="100" spans="2:17" x14ac:dyDescent="0.35">
      <c r="B100" s="44">
        <v>1</v>
      </c>
      <c r="C100" s="45" t="s">
        <v>60</v>
      </c>
      <c r="D100" s="46" t="s">
        <v>98</v>
      </c>
      <c r="E100" s="149" t="s">
        <v>259</v>
      </c>
      <c r="F100" s="118" t="s">
        <v>126</v>
      </c>
      <c r="G100" s="113" t="s">
        <v>170</v>
      </c>
      <c r="H100" s="48">
        <v>8</v>
      </c>
      <c r="I100" s="48">
        <v>3</v>
      </c>
      <c r="J100" s="2">
        <f t="shared" si="2"/>
        <v>0.375</v>
      </c>
      <c r="K100" s="48">
        <f>+I100+ENERO!K100</f>
        <v>5</v>
      </c>
      <c r="L100" s="5">
        <f t="shared" si="3"/>
        <v>0.625</v>
      </c>
      <c r="N100"/>
      <c r="O100" s="14"/>
      <c r="P100"/>
      <c r="Q100" s="14"/>
    </row>
    <row r="101" spans="2:17" x14ac:dyDescent="0.35">
      <c r="B101" s="49">
        <v>1</v>
      </c>
      <c r="C101" s="50" t="s">
        <v>62</v>
      </c>
      <c r="D101" s="51" t="s">
        <v>63</v>
      </c>
      <c r="E101" s="150"/>
      <c r="F101" s="119" t="s">
        <v>171</v>
      </c>
      <c r="G101" s="114" t="s">
        <v>172</v>
      </c>
      <c r="H101" s="71">
        <v>8</v>
      </c>
      <c r="I101" s="62">
        <v>3</v>
      </c>
      <c r="J101" s="2">
        <f t="shared" si="2"/>
        <v>0.375</v>
      </c>
      <c r="K101" s="62">
        <f>+I101+ENERO!K101</f>
        <v>5</v>
      </c>
      <c r="L101" s="5">
        <f t="shared" si="3"/>
        <v>0.625</v>
      </c>
      <c r="N101"/>
      <c r="O101" s="14"/>
      <c r="P101"/>
      <c r="Q101" s="14"/>
    </row>
    <row r="102" spans="2:17" x14ac:dyDescent="0.35">
      <c r="B102" s="49">
        <v>1</v>
      </c>
      <c r="C102" s="50" t="s">
        <v>64</v>
      </c>
      <c r="D102" s="51" t="s">
        <v>65</v>
      </c>
      <c r="E102" s="150"/>
      <c r="F102" s="119" t="s">
        <v>173</v>
      </c>
      <c r="G102" s="114" t="s">
        <v>174</v>
      </c>
      <c r="H102" s="62">
        <v>8</v>
      </c>
      <c r="I102" s="64">
        <v>3</v>
      </c>
      <c r="J102" s="2">
        <f t="shared" si="2"/>
        <v>0.375</v>
      </c>
      <c r="K102" s="64">
        <f>+I102+ENERO!K102</f>
        <v>5</v>
      </c>
      <c r="L102" s="5">
        <f t="shared" si="3"/>
        <v>0.625</v>
      </c>
      <c r="N102"/>
      <c r="O102" s="14"/>
      <c r="P102"/>
      <c r="Q102" s="14"/>
    </row>
    <row r="103" spans="2:17" x14ac:dyDescent="0.35">
      <c r="B103" s="49">
        <v>1</v>
      </c>
      <c r="C103" s="50" t="s">
        <v>66</v>
      </c>
      <c r="D103" s="51" t="s">
        <v>67</v>
      </c>
      <c r="E103" s="150"/>
      <c r="F103" s="119" t="s">
        <v>175</v>
      </c>
      <c r="G103" s="114" t="s">
        <v>32</v>
      </c>
      <c r="H103" s="62">
        <v>8</v>
      </c>
      <c r="I103" s="62">
        <v>2</v>
      </c>
      <c r="J103" s="2">
        <f t="shared" si="2"/>
        <v>0.25</v>
      </c>
      <c r="K103" s="62">
        <f>+I103+ENERO!K103</f>
        <v>5</v>
      </c>
      <c r="L103" s="5">
        <f t="shared" si="3"/>
        <v>0.625</v>
      </c>
      <c r="N103"/>
      <c r="O103" s="14"/>
      <c r="P103"/>
      <c r="Q103" s="14"/>
    </row>
    <row r="104" spans="2:17" x14ac:dyDescent="0.35">
      <c r="B104" s="49">
        <v>1</v>
      </c>
      <c r="C104" s="50" t="s">
        <v>68</v>
      </c>
      <c r="D104" s="51" t="s">
        <v>69</v>
      </c>
      <c r="E104" s="150"/>
      <c r="F104" s="119" t="s">
        <v>176</v>
      </c>
      <c r="G104" s="114" t="s">
        <v>177</v>
      </c>
      <c r="H104" s="62">
        <v>9</v>
      </c>
      <c r="I104" s="62">
        <v>2</v>
      </c>
      <c r="J104" s="2">
        <f t="shared" si="2"/>
        <v>0.22222222222222221</v>
      </c>
      <c r="K104" s="62">
        <f>+I104+ENERO!K104</f>
        <v>6</v>
      </c>
      <c r="L104" s="5">
        <f t="shared" si="3"/>
        <v>0.66666666666666663</v>
      </c>
      <c r="N104"/>
      <c r="O104" s="14"/>
      <c r="P104"/>
      <c r="Q104" s="14"/>
    </row>
    <row r="105" spans="2:17" x14ac:dyDescent="0.35">
      <c r="B105" s="49">
        <v>1</v>
      </c>
      <c r="C105" s="50" t="s">
        <v>70</v>
      </c>
      <c r="D105" s="51" t="s">
        <v>71</v>
      </c>
      <c r="E105" s="150"/>
      <c r="F105" s="119" t="s">
        <v>178</v>
      </c>
      <c r="G105" s="114" t="s">
        <v>179</v>
      </c>
      <c r="H105" s="62">
        <v>9</v>
      </c>
      <c r="I105" s="62">
        <v>3</v>
      </c>
      <c r="J105" s="2">
        <f t="shared" si="2"/>
        <v>0.33333333333333331</v>
      </c>
      <c r="K105" s="62">
        <f>+I105+ENERO!K105</f>
        <v>6</v>
      </c>
      <c r="L105" s="5">
        <f t="shared" si="3"/>
        <v>0.66666666666666663</v>
      </c>
      <c r="N105"/>
      <c r="O105" s="14"/>
      <c r="P105"/>
      <c r="Q105" s="14"/>
    </row>
    <row r="106" spans="2:17" x14ac:dyDescent="0.35">
      <c r="B106" s="49">
        <v>1</v>
      </c>
      <c r="C106" s="50" t="s">
        <v>72</v>
      </c>
      <c r="D106" s="51" t="s">
        <v>73</v>
      </c>
      <c r="E106" s="150"/>
      <c r="F106" s="119" t="s">
        <v>180</v>
      </c>
      <c r="G106" s="114" t="s">
        <v>172</v>
      </c>
      <c r="H106" s="62">
        <v>8</v>
      </c>
      <c r="I106" s="62">
        <v>2</v>
      </c>
      <c r="J106" s="2">
        <f t="shared" si="2"/>
        <v>0.25</v>
      </c>
      <c r="K106" s="62">
        <f>+I106+ENERO!K106</f>
        <v>5</v>
      </c>
      <c r="L106" s="5">
        <f t="shared" si="3"/>
        <v>0.625</v>
      </c>
      <c r="N106"/>
      <c r="O106" s="14"/>
      <c r="P106"/>
      <c r="Q106" s="14"/>
    </row>
    <row r="107" spans="2:17" s="24" customFormat="1" x14ac:dyDescent="0.35">
      <c r="B107" s="49">
        <v>1</v>
      </c>
      <c r="C107" s="50" t="s">
        <v>74</v>
      </c>
      <c r="D107" s="51" t="s">
        <v>75</v>
      </c>
      <c r="E107" s="150"/>
      <c r="F107" s="119" t="s">
        <v>181</v>
      </c>
      <c r="G107" s="114" t="s">
        <v>179</v>
      </c>
      <c r="H107" s="62">
        <v>8</v>
      </c>
      <c r="I107" s="62">
        <v>2</v>
      </c>
      <c r="J107" s="2">
        <f t="shared" si="2"/>
        <v>0.25</v>
      </c>
      <c r="K107" s="62">
        <f>+I107+ENERO!K107</f>
        <v>5</v>
      </c>
      <c r="L107" s="5">
        <f t="shared" si="3"/>
        <v>0.625</v>
      </c>
      <c r="N107" s="55"/>
      <c r="P107" s="55"/>
    </row>
    <row r="108" spans="2:17" x14ac:dyDescent="0.35">
      <c r="B108" s="49">
        <v>1</v>
      </c>
      <c r="C108" s="50" t="s">
        <v>76</v>
      </c>
      <c r="D108" s="51" t="s">
        <v>77</v>
      </c>
      <c r="E108" s="150"/>
      <c r="F108" s="119" t="s">
        <v>182</v>
      </c>
      <c r="G108" s="114" t="s">
        <v>170</v>
      </c>
      <c r="H108" s="71">
        <v>8</v>
      </c>
      <c r="I108" s="62">
        <v>4</v>
      </c>
      <c r="J108" s="2">
        <f t="shared" si="2"/>
        <v>0.5</v>
      </c>
      <c r="K108" s="62">
        <f>+I108+ENERO!K108</f>
        <v>6</v>
      </c>
      <c r="L108" s="5">
        <f t="shared" si="3"/>
        <v>0.75</v>
      </c>
      <c r="N108"/>
      <c r="O108" s="14"/>
      <c r="P108"/>
      <c r="Q108" s="14"/>
    </row>
    <row r="109" spans="2:17" x14ac:dyDescent="0.35">
      <c r="B109" s="49">
        <v>2</v>
      </c>
      <c r="C109" s="50" t="s">
        <v>86</v>
      </c>
      <c r="D109" s="51" t="s">
        <v>87</v>
      </c>
      <c r="E109" s="150"/>
      <c r="F109" s="119" t="s">
        <v>178</v>
      </c>
      <c r="G109" s="114" t="s">
        <v>172</v>
      </c>
      <c r="H109" s="62">
        <v>8</v>
      </c>
      <c r="I109" s="62">
        <v>4</v>
      </c>
      <c r="J109" s="2">
        <f t="shared" si="2"/>
        <v>0.5</v>
      </c>
      <c r="K109" s="62">
        <f>+I109+ENERO!K109</f>
        <v>6</v>
      </c>
      <c r="L109" s="5">
        <f t="shared" si="3"/>
        <v>0.75</v>
      </c>
      <c r="N109"/>
      <c r="O109" s="14"/>
      <c r="P109"/>
      <c r="Q109" s="14"/>
    </row>
    <row r="110" spans="2:17" x14ac:dyDescent="0.35">
      <c r="B110" s="56">
        <v>5</v>
      </c>
      <c r="C110" s="57" t="s">
        <v>53</v>
      </c>
      <c r="D110" s="58" t="s">
        <v>54</v>
      </c>
      <c r="E110" s="151"/>
      <c r="F110" s="121" t="s">
        <v>129</v>
      </c>
      <c r="G110" s="123" t="s">
        <v>183</v>
      </c>
      <c r="H110" s="66">
        <v>8</v>
      </c>
      <c r="I110" s="66">
        <v>2</v>
      </c>
      <c r="J110" s="4">
        <f t="shared" si="2"/>
        <v>0.25</v>
      </c>
      <c r="K110" s="66">
        <f>+I110+ENERO!K110</f>
        <v>6</v>
      </c>
      <c r="L110" s="7">
        <f t="shared" si="3"/>
        <v>0.75</v>
      </c>
      <c r="N110"/>
      <c r="O110" s="14"/>
      <c r="P110"/>
      <c r="Q110" s="14"/>
    </row>
    <row r="111" spans="2:17" x14ac:dyDescent="0.35">
      <c r="B111" s="44">
        <v>1</v>
      </c>
      <c r="C111" s="45" t="s">
        <v>88</v>
      </c>
      <c r="D111" s="46" t="s">
        <v>89</v>
      </c>
      <c r="E111" s="149" t="s">
        <v>335</v>
      </c>
      <c r="F111" s="112" t="s">
        <v>265</v>
      </c>
      <c r="G111" s="129" t="s">
        <v>266</v>
      </c>
      <c r="H111" s="48">
        <v>8</v>
      </c>
      <c r="I111" s="48">
        <v>3</v>
      </c>
      <c r="J111" s="2">
        <f t="shared" si="2"/>
        <v>0.375</v>
      </c>
      <c r="K111" s="48">
        <f>+I111+ENERO!K111</f>
        <v>6</v>
      </c>
      <c r="L111" s="5">
        <f t="shared" si="3"/>
        <v>0.75</v>
      </c>
      <c r="N111"/>
      <c r="O111" s="14"/>
      <c r="P111"/>
      <c r="Q111" s="14"/>
    </row>
    <row r="112" spans="2:17" x14ac:dyDescent="0.35">
      <c r="B112" s="49">
        <v>1</v>
      </c>
      <c r="C112" s="50" t="s">
        <v>60</v>
      </c>
      <c r="D112" s="51" t="s">
        <v>61</v>
      </c>
      <c r="E112" s="150"/>
      <c r="F112" s="112" t="s">
        <v>267</v>
      </c>
      <c r="G112" s="130" t="s">
        <v>268</v>
      </c>
      <c r="H112" s="71">
        <v>7</v>
      </c>
      <c r="I112" s="62">
        <v>3</v>
      </c>
      <c r="J112" s="2">
        <f t="shared" si="2"/>
        <v>0.42857142857142855</v>
      </c>
      <c r="K112" s="62">
        <f>+I112+ENERO!K112</f>
        <v>5</v>
      </c>
      <c r="L112" s="5">
        <f t="shared" si="3"/>
        <v>0.7142857142857143</v>
      </c>
      <c r="N112"/>
      <c r="O112" s="14"/>
      <c r="P112"/>
      <c r="Q112" s="14"/>
    </row>
    <row r="113" spans="2:17" x14ac:dyDescent="0.35">
      <c r="B113" s="49">
        <v>1</v>
      </c>
      <c r="C113" s="50" t="s">
        <v>62</v>
      </c>
      <c r="D113" s="51" t="s">
        <v>63</v>
      </c>
      <c r="E113" s="150"/>
      <c r="F113" s="112" t="s">
        <v>269</v>
      </c>
      <c r="G113" s="131" t="s">
        <v>270</v>
      </c>
      <c r="H113" s="62">
        <v>8</v>
      </c>
      <c r="I113" s="64">
        <v>1</v>
      </c>
      <c r="J113" s="2">
        <f t="shared" si="2"/>
        <v>0.125</v>
      </c>
      <c r="K113" s="64">
        <f>+I113+ENERO!K113</f>
        <v>4</v>
      </c>
      <c r="L113" s="5">
        <f t="shared" si="3"/>
        <v>0.5</v>
      </c>
      <c r="N113"/>
      <c r="O113" s="14"/>
      <c r="P113"/>
      <c r="Q113" s="14"/>
    </row>
    <row r="114" spans="2:17" x14ac:dyDescent="0.35">
      <c r="B114" s="49">
        <v>1</v>
      </c>
      <c r="C114" s="50" t="s">
        <v>64</v>
      </c>
      <c r="D114" s="51" t="s">
        <v>65</v>
      </c>
      <c r="E114" s="150"/>
      <c r="F114" s="112" t="s">
        <v>271</v>
      </c>
      <c r="G114" s="131" t="s">
        <v>272</v>
      </c>
      <c r="H114" s="62">
        <v>8</v>
      </c>
      <c r="I114" s="62">
        <v>5</v>
      </c>
      <c r="J114" s="2">
        <f t="shared" si="2"/>
        <v>0.625</v>
      </c>
      <c r="K114" s="62">
        <f>+I114+ENERO!K114</f>
        <v>8</v>
      </c>
      <c r="L114" s="5">
        <f t="shared" si="3"/>
        <v>1</v>
      </c>
      <c r="N114"/>
      <c r="O114" s="14"/>
      <c r="P114"/>
      <c r="Q114" s="14"/>
    </row>
    <row r="115" spans="2:17" x14ac:dyDescent="0.35">
      <c r="B115" s="49">
        <v>1</v>
      </c>
      <c r="C115" s="50" t="s">
        <v>66</v>
      </c>
      <c r="D115" s="51" t="s">
        <v>67</v>
      </c>
      <c r="E115" s="150"/>
      <c r="F115" s="112" t="s">
        <v>317</v>
      </c>
      <c r="G115" s="131" t="s">
        <v>317</v>
      </c>
      <c r="H115" s="62">
        <v>7</v>
      </c>
      <c r="I115" s="62">
        <v>0</v>
      </c>
      <c r="J115" s="2">
        <f t="shared" si="2"/>
        <v>0</v>
      </c>
      <c r="K115" s="62">
        <f>+I115+ENERO!K115</f>
        <v>2</v>
      </c>
      <c r="L115" s="5">
        <f t="shared" si="3"/>
        <v>0.2857142857142857</v>
      </c>
      <c r="N115"/>
      <c r="O115" s="14"/>
      <c r="P115"/>
      <c r="Q115" s="14"/>
    </row>
    <row r="116" spans="2:17" x14ac:dyDescent="0.35">
      <c r="B116" s="49">
        <v>1</v>
      </c>
      <c r="C116" s="50" t="s">
        <v>68</v>
      </c>
      <c r="D116" s="51" t="s">
        <v>69</v>
      </c>
      <c r="E116" s="150"/>
      <c r="F116" s="112" t="s">
        <v>273</v>
      </c>
      <c r="G116" s="131" t="s">
        <v>32</v>
      </c>
      <c r="H116" s="62">
        <v>7</v>
      </c>
      <c r="I116" s="62">
        <v>5</v>
      </c>
      <c r="J116" s="2">
        <f t="shared" si="2"/>
        <v>0.7142857142857143</v>
      </c>
      <c r="K116" s="62">
        <f>+I116+ENERO!K116</f>
        <v>7</v>
      </c>
      <c r="L116" s="5">
        <f t="shared" si="3"/>
        <v>1</v>
      </c>
      <c r="N116"/>
      <c r="O116" s="14"/>
      <c r="P116"/>
      <c r="Q116" s="14"/>
    </row>
    <row r="117" spans="2:17" x14ac:dyDescent="0.35">
      <c r="B117" s="49">
        <v>1</v>
      </c>
      <c r="C117" s="50" t="s">
        <v>70</v>
      </c>
      <c r="D117" s="51" t="s">
        <v>71</v>
      </c>
      <c r="E117" s="150"/>
      <c r="F117" s="112"/>
      <c r="G117" s="131" t="s">
        <v>32</v>
      </c>
      <c r="H117" s="62">
        <v>8</v>
      </c>
      <c r="I117" s="62">
        <v>5</v>
      </c>
      <c r="J117" s="2">
        <f t="shared" si="2"/>
        <v>0.625</v>
      </c>
      <c r="K117" s="62">
        <f>+I117+ENERO!K117</f>
        <v>8</v>
      </c>
      <c r="L117" s="5">
        <f t="shared" si="3"/>
        <v>1</v>
      </c>
      <c r="N117"/>
      <c r="O117" s="14"/>
      <c r="P117"/>
      <c r="Q117" s="14"/>
    </row>
    <row r="118" spans="2:17" x14ac:dyDescent="0.35">
      <c r="B118" s="49">
        <v>1</v>
      </c>
      <c r="C118" s="50" t="s">
        <v>72</v>
      </c>
      <c r="D118" s="51" t="s">
        <v>73</v>
      </c>
      <c r="E118" s="150"/>
      <c r="F118" s="112" t="s">
        <v>274</v>
      </c>
      <c r="G118" s="131" t="s">
        <v>275</v>
      </c>
      <c r="H118" s="62">
        <v>8</v>
      </c>
      <c r="I118" s="62">
        <v>2</v>
      </c>
      <c r="J118" s="2">
        <f t="shared" si="2"/>
        <v>0.25</v>
      </c>
      <c r="K118" s="62">
        <f>+I118+ENERO!K118</f>
        <v>5</v>
      </c>
      <c r="L118" s="5">
        <f t="shared" si="3"/>
        <v>0.625</v>
      </c>
      <c r="N118"/>
      <c r="O118" s="14"/>
      <c r="P118"/>
      <c r="Q118" s="14"/>
    </row>
    <row r="119" spans="2:17" s="24" customFormat="1" x14ac:dyDescent="0.35">
      <c r="B119" s="49">
        <v>1</v>
      </c>
      <c r="C119" s="50" t="s">
        <v>74</v>
      </c>
      <c r="D119" s="51" t="s">
        <v>75</v>
      </c>
      <c r="E119" s="150"/>
      <c r="F119" s="133" t="s">
        <v>336</v>
      </c>
      <c r="G119" s="131" t="s">
        <v>276</v>
      </c>
      <c r="H119" s="71">
        <v>8</v>
      </c>
      <c r="I119" s="62">
        <v>2</v>
      </c>
      <c r="J119" s="2">
        <f t="shared" si="2"/>
        <v>0.25</v>
      </c>
      <c r="K119" s="62">
        <f>+I119+ENERO!K119</f>
        <v>5</v>
      </c>
      <c r="L119" s="5">
        <f t="shared" si="3"/>
        <v>0.625</v>
      </c>
      <c r="N119" s="55"/>
      <c r="P119" s="55"/>
    </row>
    <row r="120" spans="2:17" x14ac:dyDescent="0.35">
      <c r="B120" s="49">
        <v>1</v>
      </c>
      <c r="C120" s="50" t="s">
        <v>90</v>
      </c>
      <c r="D120" s="51" t="s">
        <v>91</v>
      </c>
      <c r="E120" s="150"/>
      <c r="F120" s="112" t="s">
        <v>317</v>
      </c>
      <c r="G120" s="131" t="s">
        <v>317</v>
      </c>
      <c r="H120" s="62">
        <v>7</v>
      </c>
      <c r="I120" s="62">
        <v>0</v>
      </c>
      <c r="J120" s="2">
        <f t="shared" si="2"/>
        <v>0</v>
      </c>
      <c r="K120" s="62">
        <f>+I120+ENERO!K120</f>
        <v>2</v>
      </c>
      <c r="L120" s="5">
        <f t="shared" si="3"/>
        <v>0.2857142857142857</v>
      </c>
      <c r="N120"/>
      <c r="O120" s="14"/>
      <c r="P120"/>
      <c r="Q120" s="14"/>
    </row>
    <row r="121" spans="2:17" x14ac:dyDescent="0.35">
      <c r="B121" s="49">
        <v>1</v>
      </c>
      <c r="C121" s="50" t="s">
        <v>76</v>
      </c>
      <c r="D121" s="51" t="s">
        <v>77</v>
      </c>
      <c r="E121" s="150"/>
      <c r="F121" s="112" t="s">
        <v>317</v>
      </c>
      <c r="G121" s="131" t="s">
        <v>317</v>
      </c>
      <c r="H121" s="62">
        <v>7</v>
      </c>
      <c r="I121" s="64">
        <v>0</v>
      </c>
      <c r="J121" s="2">
        <f t="shared" si="2"/>
        <v>0</v>
      </c>
      <c r="K121" s="64">
        <f>+I121+ENERO!K121</f>
        <v>2</v>
      </c>
      <c r="L121" s="5">
        <f t="shared" si="3"/>
        <v>0.2857142857142857</v>
      </c>
      <c r="N121"/>
      <c r="O121" s="14"/>
      <c r="P121"/>
      <c r="Q121" s="14"/>
    </row>
    <row r="122" spans="2:17" x14ac:dyDescent="0.35">
      <c r="B122" s="56">
        <v>8</v>
      </c>
      <c r="C122" s="57" t="s">
        <v>92</v>
      </c>
      <c r="D122" s="58" t="s">
        <v>87</v>
      </c>
      <c r="E122" s="151"/>
      <c r="F122" s="116" t="s">
        <v>337</v>
      </c>
      <c r="G122" s="132" t="s">
        <v>277</v>
      </c>
      <c r="H122" s="66">
        <v>7</v>
      </c>
      <c r="I122" s="66">
        <v>4</v>
      </c>
      <c r="J122" s="4">
        <f t="shared" si="2"/>
        <v>0.5714285714285714</v>
      </c>
      <c r="K122" s="66">
        <f>+I122+ENERO!K122</f>
        <v>6</v>
      </c>
      <c r="L122" s="7">
        <f t="shared" si="3"/>
        <v>0.8571428571428571</v>
      </c>
      <c r="N122"/>
      <c r="O122" s="14"/>
      <c r="P122"/>
      <c r="Q122" s="14"/>
    </row>
    <row r="123" spans="2:17" x14ac:dyDescent="0.35">
      <c r="B123" s="44">
        <v>3</v>
      </c>
      <c r="C123" s="45" t="s">
        <v>43</v>
      </c>
      <c r="D123" s="46" t="s">
        <v>44</v>
      </c>
      <c r="E123" s="189" t="s">
        <v>260</v>
      </c>
      <c r="F123" s="124" t="s">
        <v>159</v>
      </c>
      <c r="G123" s="134" t="s">
        <v>160</v>
      </c>
      <c r="H123" s="48">
        <v>8</v>
      </c>
      <c r="I123" s="48">
        <v>2</v>
      </c>
      <c r="J123" s="2">
        <f t="shared" si="2"/>
        <v>0.25</v>
      </c>
      <c r="K123" s="48">
        <f>+I123+ENERO!K123</f>
        <v>5</v>
      </c>
      <c r="L123" s="5">
        <f t="shared" si="3"/>
        <v>0.625</v>
      </c>
      <c r="N123"/>
      <c r="O123" s="14"/>
      <c r="P123"/>
      <c r="Q123" s="14"/>
    </row>
    <row r="124" spans="2:17" x14ac:dyDescent="0.35">
      <c r="B124" s="49">
        <v>3</v>
      </c>
      <c r="C124" s="50" t="s">
        <v>45</v>
      </c>
      <c r="D124" s="51" t="s">
        <v>46</v>
      </c>
      <c r="E124" s="190"/>
      <c r="F124" s="112" t="s">
        <v>161</v>
      </c>
      <c r="G124" s="131" t="s">
        <v>160</v>
      </c>
      <c r="H124" s="71">
        <v>8</v>
      </c>
      <c r="I124" s="62">
        <v>2</v>
      </c>
      <c r="J124" s="2">
        <f t="shared" si="2"/>
        <v>0.25</v>
      </c>
      <c r="K124" s="62">
        <f>+I124+ENERO!K124</f>
        <v>5</v>
      </c>
      <c r="L124" s="5">
        <f t="shared" si="3"/>
        <v>0.625</v>
      </c>
      <c r="N124"/>
      <c r="O124" s="14"/>
      <c r="P124"/>
      <c r="Q124" s="14"/>
    </row>
    <row r="125" spans="2:17" x14ac:dyDescent="0.35">
      <c r="B125" s="49">
        <v>3</v>
      </c>
      <c r="C125" s="50" t="s">
        <v>78</v>
      </c>
      <c r="D125" s="51" t="s">
        <v>79</v>
      </c>
      <c r="E125" s="190"/>
      <c r="F125" s="112" t="s">
        <v>162</v>
      </c>
      <c r="G125" s="135" t="s">
        <v>160</v>
      </c>
      <c r="H125" s="62">
        <v>8</v>
      </c>
      <c r="I125" s="64">
        <v>4</v>
      </c>
      <c r="J125" s="2">
        <f t="shared" si="2"/>
        <v>0.5</v>
      </c>
      <c r="K125" s="64">
        <f>+I125+ENERO!K125</f>
        <v>6</v>
      </c>
      <c r="L125" s="5">
        <f t="shared" si="3"/>
        <v>0.75</v>
      </c>
      <c r="N125"/>
      <c r="O125" s="14"/>
      <c r="P125"/>
      <c r="Q125" s="14"/>
    </row>
    <row r="126" spans="2:17" x14ac:dyDescent="0.35">
      <c r="B126" s="49">
        <v>3</v>
      </c>
      <c r="C126" s="50" t="s">
        <v>47</v>
      </c>
      <c r="D126" s="51" t="s">
        <v>48</v>
      </c>
      <c r="E126" s="190"/>
      <c r="F126" s="112" t="s">
        <v>163</v>
      </c>
      <c r="G126" s="131" t="s">
        <v>160</v>
      </c>
      <c r="H126" s="62">
        <v>8</v>
      </c>
      <c r="I126" s="62">
        <v>4</v>
      </c>
      <c r="J126" s="2">
        <f t="shared" si="2"/>
        <v>0.5</v>
      </c>
      <c r="K126" s="62">
        <f>+I126+ENERO!K126</f>
        <v>6</v>
      </c>
      <c r="L126" s="5">
        <f t="shared" si="3"/>
        <v>0.75</v>
      </c>
      <c r="N126"/>
      <c r="O126" s="14"/>
      <c r="P126"/>
      <c r="Q126" s="14"/>
    </row>
    <row r="127" spans="2:17" x14ac:dyDescent="0.35">
      <c r="B127" s="49">
        <v>3</v>
      </c>
      <c r="C127" s="50" t="s">
        <v>49</v>
      </c>
      <c r="D127" s="51" t="s">
        <v>50</v>
      </c>
      <c r="E127" s="190"/>
      <c r="F127" s="112" t="s">
        <v>164</v>
      </c>
      <c r="G127" s="131" t="s">
        <v>160</v>
      </c>
      <c r="H127" s="62">
        <v>8</v>
      </c>
      <c r="I127" s="62">
        <v>3</v>
      </c>
      <c r="J127" s="2">
        <f t="shared" si="2"/>
        <v>0.375</v>
      </c>
      <c r="K127" s="62">
        <f>+I127+ENERO!K127</f>
        <v>5</v>
      </c>
      <c r="L127" s="5">
        <f t="shared" si="3"/>
        <v>0.625</v>
      </c>
      <c r="N127"/>
      <c r="O127" s="14"/>
      <c r="P127"/>
      <c r="Q127" s="14"/>
    </row>
    <row r="128" spans="2:17" x14ac:dyDescent="0.35">
      <c r="B128" s="49">
        <v>3</v>
      </c>
      <c r="C128" s="50" t="s">
        <v>51</v>
      </c>
      <c r="D128" s="51" t="s">
        <v>52</v>
      </c>
      <c r="E128" s="190"/>
      <c r="F128" s="112" t="s">
        <v>165</v>
      </c>
      <c r="G128" s="131" t="s">
        <v>160</v>
      </c>
      <c r="H128" s="62">
        <v>8</v>
      </c>
      <c r="I128" s="62">
        <v>2</v>
      </c>
      <c r="J128" s="2">
        <f t="shared" si="2"/>
        <v>0.25</v>
      </c>
      <c r="K128" s="62">
        <f>+I128+ENERO!K128</f>
        <v>5</v>
      </c>
      <c r="L128" s="5">
        <f t="shared" si="3"/>
        <v>0.625</v>
      </c>
      <c r="N128"/>
      <c r="O128" s="14"/>
      <c r="P128"/>
      <c r="Q128" s="14"/>
    </row>
    <row r="129" spans="2:17" x14ac:dyDescent="0.35">
      <c r="B129" s="49">
        <v>5</v>
      </c>
      <c r="C129" s="50" t="s">
        <v>53</v>
      </c>
      <c r="D129" s="51" t="s">
        <v>54</v>
      </c>
      <c r="E129" s="190"/>
      <c r="F129" s="112" t="s">
        <v>166</v>
      </c>
      <c r="G129" s="131" t="s">
        <v>160</v>
      </c>
      <c r="H129" s="62">
        <v>8</v>
      </c>
      <c r="I129" s="62">
        <v>2</v>
      </c>
      <c r="J129" s="2">
        <f t="shared" si="2"/>
        <v>0.25</v>
      </c>
      <c r="K129" s="62">
        <f>+I129+ENERO!K129</f>
        <v>5</v>
      </c>
      <c r="L129" s="5">
        <f t="shared" si="3"/>
        <v>0.625</v>
      </c>
      <c r="N129"/>
      <c r="O129" s="14"/>
      <c r="P129"/>
      <c r="Q129" s="14"/>
    </row>
    <row r="130" spans="2:17" s="24" customFormat="1" x14ac:dyDescent="0.35">
      <c r="B130" s="49">
        <v>5</v>
      </c>
      <c r="C130" s="50" t="s">
        <v>80</v>
      </c>
      <c r="D130" s="51" t="s">
        <v>81</v>
      </c>
      <c r="E130" s="190"/>
      <c r="F130" s="112" t="s">
        <v>167</v>
      </c>
      <c r="G130" s="131" t="s">
        <v>160</v>
      </c>
      <c r="H130" s="62">
        <v>8</v>
      </c>
      <c r="I130" s="62">
        <v>3</v>
      </c>
      <c r="J130" s="2">
        <f t="shared" si="2"/>
        <v>0.375</v>
      </c>
      <c r="K130" s="62">
        <f>+I130+ENERO!K130</f>
        <v>6</v>
      </c>
      <c r="L130" s="5">
        <f t="shared" si="3"/>
        <v>0.75</v>
      </c>
      <c r="N130" s="55"/>
      <c r="P130" s="55"/>
    </row>
    <row r="131" spans="2:17" x14ac:dyDescent="0.35">
      <c r="B131" s="49">
        <v>5</v>
      </c>
      <c r="C131" s="50" t="s">
        <v>82</v>
      </c>
      <c r="D131" s="51" t="s">
        <v>83</v>
      </c>
      <c r="E131" s="190"/>
      <c r="F131" s="112" t="s">
        <v>168</v>
      </c>
      <c r="G131" s="131" t="s">
        <v>160</v>
      </c>
      <c r="H131" s="71">
        <v>8</v>
      </c>
      <c r="I131" s="71">
        <v>2</v>
      </c>
      <c r="J131" s="2">
        <f t="shared" si="2"/>
        <v>0.25</v>
      </c>
      <c r="K131" s="71">
        <f>+I131+ENERO!K131</f>
        <v>5</v>
      </c>
      <c r="L131" s="5">
        <f t="shared" si="3"/>
        <v>0.625</v>
      </c>
      <c r="N131"/>
      <c r="O131" s="14"/>
      <c r="P131"/>
      <c r="Q131" s="14"/>
    </row>
    <row r="132" spans="2:17" x14ac:dyDescent="0.35">
      <c r="B132" s="49">
        <v>5</v>
      </c>
      <c r="C132" s="50" t="s">
        <v>84</v>
      </c>
      <c r="D132" s="51" t="s">
        <v>85</v>
      </c>
      <c r="E132" s="190"/>
      <c r="F132" s="112" t="s">
        <v>298</v>
      </c>
      <c r="G132" s="131" t="s">
        <v>160</v>
      </c>
      <c r="H132" s="71">
        <v>9</v>
      </c>
      <c r="I132" s="71">
        <v>3</v>
      </c>
      <c r="J132" s="2">
        <f t="shared" si="2"/>
        <v>0.33333333333333331</v>
      </c>
      <c r="K132" s="71">
        <f>+I132+ENERO!K132</f>
        <v>6</v>
      </c>
      <c r="L132" s="5">
        <f t="shared" si="3"/>
        <v>0.66666666666666663</v>
      </c>
      <c r="N132"/>
      <c r="O132" s="14"/>
      <c r="P132"/>
      <c r="Q132" s="14"/>
    </row>
    <row r="133" spans="2:17" x14ac:dyDescent="0.35">
      <c r="B133" s="56">
        <v>5</v>
      </c>
      <c r="C133" s="57" t="s">
        <v>55</v>
      </c>
      <c r="D133" s="58" t="s">
        <v>56</v>
      </c>
      <c r="E133" s="191"/>
      <c r="F133" s="116" t="s">
        <v>169</v>
      </c>
      <c r="G133" s="132" t="s">
        <v>160</v>
      </c>
      <c r="H133" s="66">
        <v>9</v>
      </c>
      <c r="I133" s="66">
        <v>3</v>
      </c>
      <c r="J133" s="4">
        <f t="shared" si="2"/>
        <v>0.33333333333333331</v>
      </c>
      <c r="K133" s="66">
        <f>+I133+ENERO!K133</f>
        <v>6</v>
      </c>
      <c r="L133" s="7">
        <f t="shared" si="3"/>
        <v>0.66666666666666663</v>
      </c>
      <c r="N133"/>
      <c r="O133" s="14"/>
      <c r="P133"/>
      <c r="Q133" s="14"/>
    </row>
    <row r="134" spans="2:17" x14ac:dyDescent="0.35">
      <c r="B134" s="44">
        <v>3</v>
      </c>
      <c r="C134" s="45" t="s">
        <v>43</v>
      </c>
      <c r="D134" s="46" t="s">
        <v>44</v>
      </c>
      <c r="E134" s="189" t="s">
        <v>261</v>
      </c>
      <c r="F134" s="112" t="s">
        <v>124</v>
      </c>
      <c r="G134" s="134" t="s">
        <v>227</v>
      </c>
      <c r="H134" s="48">
        <v>8</v>
      </c>
      <c r="I134" s="48">
        <v>3</v>
      </c>
      <c r="J134" s="2">
        <f t="shared" si="2"/>
        <v>0.375</v>
      </c>
      <c r="K134" s="48">
        <f>+I134+ENERO!K134</f>
        <v>6</v>
      </c>
      <c r="L134" s="5">
        <f t="shared" si="3"/>
        <v>0.75</v>
      </c>
      <c r="N134"/>
      <c r="O134" s="14"/>
      <c r="P134"/>
      <c r="Q134" s="14"/>
    </row>
    <row r="135" spans="2:17" x14ac:dyDescent="0.35">
      <c r="B135" s="49">
        <v>3</v>
      </c>
      <c r="C135" s="50" t="s">
        <v>45</v>
      </c>
      <c r="D135" s="51" t="s">
        <v>46</v>
      </c>
      <c r="E135" s="190"/>
      <c r="F135" s="112" t="s">
        <v>126</v>
      </c>
      <c r="G135" s="131" t="s">
        <v>202</v>
      </c>
      <c r="H135" s="71">
        <v>8</v>
      </c>
      <c r="I135" s="62">
        <v>3</v>
      </c>
      <c r="J135" s="2">
        <f t="shared" si="2"/>
        <v>0.375</v>
      </c>
      <c r="K135" s="62">
        <f>+I135+ENERO!K135</f>
        <v>6</v>
      </c>
      <c r="L135" s="5">
        <f t="shared" si="3"/>
        <v>0.75</v>
      </c>
      <c r="N135"/>
      <c r="O135" s="14"/>
      <c r="P135"/>
      <c r="Q135" s="14"/>
    </row>
    <row r="136" spans="2:17" x14ac:dyDescent="0.35">
      <c r="B136" s="49">
        <v>3</v>
      </c>
      <c r="C136" s="50" t="s">
        <v>78</v>
      </c>
      <c r="D136" s="51" t="s">
        <v>79</v>
      </c>
      <c r="E136" s="190"/>
      <c r="F136" s="112" t="s">
        <v>126</v>
      </c>
      <c r="G136" s="135" t="s">
        <v>227</v>
      </c>
      <c r="H136" s="62">
        <v>8</v>
      </c>
      <c r="I136" s="64">
        <v>3</v>
      </c>
      <c r="J136" s="2">
        <f t="shared" si="2"/>
        <v>0.375</v>
      </c>
      <c r="K136" s="64">
        <f>+I136+ENERO!K136</f>
        <v>6</v>
      </c>
      <c r="L136" s="5">
        <f t="shared" si="3"/>
        <v>0.75</v>
      </c>
      <c r="N136"/>
      <c r="O136" s="14"/>
      <c r="P136"/>
      <c r="Q136" s="14"/>
    </row>
    <row r="137" spans="2:17" x14ac:dyDescent="0.35">
      <c r="B137" s="49">
        <v>3</v>
      </c>
      <c r="C137" s="50" t="s">
        <v>47</v>
      </c>
      <c r="D137" s="51" t="s">
        <v>48</v>
      </c>
      <c r="E137" s="190"/>
      <c r="F137" s="112" t="s">
        <v>127</v>
      </c>
      <c r="G137" s="131" t="s">
        <v>227</v>
      </c>
      <c r="H137" s="62">
        <v>8</v>
      </c>
      <c r="I137" s="62">
        <v>2</v>
      </c>
      <c r="J137" s="2">
        <f t="shared" si="2"/>
        <v>0.25</v>
      </c>
      <c r="K137" s="62">
        <f>+I137+ENERO!K137</f>
        <v>4</v>
      </c>
      <c r="L137" s="5">
        <f t="shared" si="3"/>
        <v>0.5</v>
      </c>
      <c r="N137"/>
      <c r="O137" s="14"/>
      <c r="P137"/>
      <c r="Q137" s="14"/>
    </row>
    <row r="138" spans="2:17" x14ac:dyDescent="0.35">
      <c r="B138" s="49">
        <v>3</v>
      </c>
      <c r="C138" s="50" t="s">
        <v>49</v>
      </c>
      <c r="D138" s="51" t="s">
        <v>50</v>
      </c>
      <c r="E138" s="190"/>
      <c r="F138" s="112" t="s">
        <v>129</v>
      </c>
      <c r="G138" s="131" t="s">
        <v>203</v>
      </c>
      <c r="H138" s="62">
        <v>8</v>
      </c>
      <c r="I138" s="62">
        <v>2</v>
      </c>
      <c r="J138" s="2">
        <f t="shared" si="2"/>
        <v>0.25</v>
      </c>
      <c r="K138" s="62">
        <f>+I138+ENERO!K138</f>
        <v>4</v>
      </c>
      <c r="L138" s="5">
        <f t="shared" si="3"/>
        <v>0.5</v>
      </c>
      <c r="N138"/>
      <c r="O138" s="14"/>
      <c r="P138"/>
      <c r="Q138" s="14"/>
    </row>
    <row r="139" spans="2:17" x14ac:dyDescent="0.35">
      <c r="B139" s="49">
        <v>3</v>
      </c>
      <c r="C139" s="50" t="s">
        <v>51</v>
      </c>
      <c r="D139" s="51" t="s">
        <v>52</v>
      </c>
      <c r="E139" s="190"/>
      <c r="F139" s="112" t="s">
        <v>129</v>
      </c>
      <c r="G139" s="131" t="s">
        <v>204</v>
      </c>
      <c r="H139" s="62">
        <v>8</v>
      </c>
      <c r="I139" s="62">
        <v>3</v>
      </c>
      <c r="J139" s="2">
        <f t="shared" si="2"/>
        <v>0.375</v>
      </c>
      <c r="K139" s="62">
        <f>+I139+ENERO!K139</f>
        <v>6</v>
      </c>
      <c r="L139" s="5">
        <f t="shared" si="3"/>
        <v>0.75</v>
      </c>
      <c r="N139"/>
      <c r="O139" s="14"/>
      <c r="P139"/>
      <c r="Q139" s="14"/>
    </row>
    <row r="140" spans="2:17" x14ac:dyDescent="0.35">
      <c r="B140" s="49">
        <v>5</v>
      </c>
      <c r="C140" s="50" t="s">
        <v>53</v>
      </c>
      <c r="D140" s="51" t="s">
        <v>54</v>
      </c>
      <c r="E140" s="190"/>
      <c r="F140" s="112" t="s">
        <v>129</v>
      </c>
      <c r="G140" s="131" t="s">
        <v>204</v>
      </c>
      <c r="H140" s="74">
        <v>8</v>
      </c>
      <c r="I140" s="62">
        <v>3</v>
      </c>
      <c r="J140" s="2">
        <f t="shared" si="2"/>
        <v>0.375</v>
      </c>
      <c r="K140" s="62">
        <f>+I140+ENERO!K140</f>
        <v>6</v>
      </c>
      <c r="L140" s="5">
        <f t="shared" si="3"/>
        <v>0.75</v>
      </c>
      <c r="N140"/>
      <c r="O140" s="14"/>
      <c r="P140"/>
      <c r="Q140" s="14"/>
    </row>
    <row r="141" spans="2:17" s="24" customFormat="1" x14ac:dyDescent="0.35">
      <c r="B141" s="49">
        <v>5</v>
      </c>
      <c r="C141" s="50" t="s">
        <v>80</v>
      </c>
      <c r="D141" s="51" t="s">
        <v>81</v>
      </c>
      <c r="E141" s="190"/>
      <c r="F141" s="112" t="s">
        <v>129</v>
      </c>
      <c r="G141" s="131" t="s">
        <v>227</v>
      </c>
      <c r="H141" s="62">
        <v>8</v>
      </c>
      <c r="I141" s="62">
        <v>2</v>
      </c>
      <c r="J141" s="2">
        <f t="shared" ref="J141:J153" si="4">IFERROR(I141/H141,0)</f>
        <v>0.25</v>
      </c>
      <c r="K141" s="62">
        <f>+I141+ENERO!K141</f>
        <v>4</v>
      </c>
      <c r="L141" s="5">
        <f t="shared" ref="L141:L153" si="5">IFERROR(K141/H141,0)</f>
        <v>0.5</v>
      </c>
      <c r="N141" s="55"/>
      <c r="P141" s="55"/>
    </row>
    <row r="142" spans="2:17" x14ac:dyDescent="0.35">
      <c r="B142" s="49">
        <v>5</v>
      </c>
      <c r="C142" s="50" t="s">
        <v>82</v>
      </c>
      <c r="D142" s="51" t="s">
        <v>83</v>
      </c>
      <c r="E142" s="190"/>
      <c r="F142" s="112" t="s">
        <v>129</v>
      </c>
      <c r="G142" s="131" t="s">
        <v>205</v>
      </c>
      <c r="H142" s="71">
        <v>8</v>
      </c>
      <c r="I142" s="62">
        <v>3</v>
      </c>
      <c r="J142" s="2">
        <f t="shared" si="4"/>
        <v>0.375</v>
      </c>
      <c r="K142" s="62">
        <f>+I142+ENERO!K142</f>
        <v>6</v>
      </c>
      <c r="L142" s="5">
        <f t="shared" si="5"/>
        <v>0.75</v>
      </c>
      <c r="N142"/>
      <c r="O142" s="14"/>
      <c r="P142"/>
      <c r="Q142" s="14"/>
    </row>
    <row r="143" spans="2:17" x14ac:dyDescent="0.35">
      <c r="B143" s="49">
        <v>5</v>
      </c>
      <c r="C143" s="50" t="s">
        <v>84</v>
      </c>
      <c r="D143" s="51" t="s">
        <v>85</v>
      </c>
      <c r="E143" s="190"/>
      <c r="F143" s="115" t="s">
        <v>129</v>
      </c>
      <c r="G143" s="131" t="s">
        <v>206</v>
      </c>
      <c r="H143" s="62">
        <v>9</v>
      </c>
      <c r="I143" s="62">
        <v>3</v>
      </c>
      <c r="J143" s="2">
        <f t="shared" si="4"/>
        <v>0.33333333333333331</v>
      </c>
      <c r="K143" s="62">
        <f>+I143+ENERO!K143</f>
        <v>6</v>
      </c>
      <c r="L143" s="5">
        <f t="shared" si="5"/>
        <v>0.66666666666666663</v>
      </c>
      <c r="N143"/>
      <c r="O143" s="14"/>
      <c r="P143"/>
      <c r="Q143" s="14"/>
    </row>
    <row r="144" spans="2:17" x14ac:dyDescent="0.35">
      <c r="B144" s="56">
        <v>5</v>
      </c>
      <c r="C144" s="57" t="s">
        <v>55</v>
      </c>
      <c r="D144" s="58" t="s">
        <v>56</v>
      </c>
      <c r="E144" s="191"/>
      <c r="F144" s="116" t="s">
        <v>129</v>
      </c>
      <c r="G144" s="136" t="s">
        <v>206</v>
      </c>
      <c r="H144" s="66">
        <v>9</v>
      </c>
      <c r="I144" s="66">
        <v>3</v>
      </c>
      <c r="J144" s="4">
        <f t="shared" si="4"/>
        <v>0.33333333333333331</v>
      </c>
      <c r="K144" s="66">
        <f>+I144+ENERO!K144</f>
        <v>6</v>
      </c>
      <c r="L144" s="7">
        <f t="shared" si="5"/>
        <v>0.66666666666666663</v>
      </c>
      <c r="N144"/>
      <c r="O144" s="14"/>
      <c r="P144"/>
      <c r="Q144" s="14"/>
    </row>
    <row r="145" spans="2:17" x14ac:dyDescent="0.35">
      <c r="B145" s="75">
        <v>3</v>
      </c>
      <c r="C145" s="76" t="s">
        <v>43</v>
      </c>
      <c r="D145" s="77" t="s">
        <v>44</v>
      </c>
      <c r="E145" s="188" t="s">
        <v>262</v>
      </c>
      <c r="F145" s="112" t="s">
        <v>124</v>
      </c>
      <c r="G145" s="134" t="s">
        <v>195</v>
      </c>
      <c r="H145" s="48">
        <v>10</v>
      </c>
      <c r="I145" s="48">
        <v>4</v>
      </c>
      <c r="J145" s="2">
        <f t="shared" si="4"/>
        <v>0.4</v>
      </c>
      <c r="K145" s="48">
        <f>+I145+ENERO!K145</f>
        <v>7</v>
      </c>
      <c r="L145" s="5">
        <f t="shared" si="5"/>
        <v>0.7</v>
      </c>
      <c r="N145"/>
      <c r="O145" s="14"/>
      <c r="P145"/>
      <c r="Q145" s="14"/>
    </row>
    <row r="146" spans="2:17" x14ac:dyDescent="0.35">
      <c r="B146" s="49">
        <v>3</v>
      </c>
      <c r="C146" s="50" t="s">
        <v>45</v>
      </c>
      <c r="D146" s="51" t="s">
        <v>46</v>
      </c>
      <c r="E146" s="150"/>
      <c r="F146" s="112" t="s">
        <v>126</v>
      </c>
      <c r="G146" s="131" t="s">
        <v>196</v>
      </c>
      <c r="H146" s="71">
        <v>10</v>
      </c>
      <c r="I146" s="62">
        <v>4</v>
      </c>
      <c r="J146" s="2">
        <f t="shared" si="4"/>
        <v>0.4</v>
      </c>
      <c r="K146" s="62">
        <f>+I146+ENERO!K146</f>
        <v>7</v>
      </c>
      <c r="L146" s="5">
        <f t="shared" si="5"/>
        <v>0.7</v>
      </c>
      <c r="N146"/>
      <c r="O146" s="14"/>
      <c r="P146"/>
      <c r="Q146" s="14"/>
    </row>
    <row r="147" spans="2:17" x14ac:dyDescent="0.35">
      <c r="B147" s="49">
        <v>3</v>
      </c>
      <c r="C147" s="50" t="s">
        <v>78</v>
      </c>
      <c r="D147" s="51" t="s">
        <v>79</v>
      </c>
      <c r="E147" s="150"/>
      <c r="F147" s="112" t="s">
        <v>126</v>
      </c>
      <c r="G147" s="135" t="s">
        <v>195</v>
      </c>
      <c r="H147" s="62">
        <v>10</v>
      </c>
      <c r="I147" s="64">
        <v>4</v>
      </c>
      <c r="J147" s="2">
        <f t="shared" si="4"/>
        <v>0.4</v>
      </c>
      <c r="K147" s="64">
        <f>+I147+ENERO!K147</f>
        <v>7</v>
      </c>
      <c r="L147" s="5">
        <f t="shared" si="5"/>
        <v>0.7</v>
      </c>
      <c r="N147"/>
      <c r="O147" s="14"/>
      <c r="P147"/>
      <c r="Q147" s="14"/>
    </row>
    <row r="148" spans="2:17" x14ac:dyDescent="0.35">
      <c r="B148" s="49">
        <v>3</v>
      </c>
      <c r="C148" s="50" t="s">
        <v>47</v>
      </c>
      <c r="D148" s="51" t="s">
        <v>48</v>
      </c>
      <c r="E148" s="150"/>
      <c r="F148" s="112" t="s">
        <v>127</v>
      </c>
      <c r="G148" s="131" t="s">
        <v>195</v>
      </c>
      <c r="H148" s="62">
        <v>10</v>
      </c>
      <c r="I148" s="62">
        <v>3</v>
      </c>
      <c r="J148" s="2">
        <f t="shared" si="4"/>
        <v>0.3</v>
      </c>
      <c r="K148" s="62">
        <f>+I148+ENERO!K148</f>
        <v>7</v>
      </c>
      <c r="L148" s="5">
        <f t="shared" si="5"/>
        <v>0.7</v>
      </c>
      <c r="N148"/>
      <c r="O148" s="14"/>
      <c r="P148"/>
      <c r="Q148" s="14"/>
    </row>
    <row r="149" spans="2:17" x14ac:dyDescent="0.35">
      <c r="B149" s="49">
        <v>3</v>
      </c>
      <c r="C149" s="50" t="s">
        <v>49</v>
      </c>
      <c r="D149" s="51" t="s">
        <v>50</v>
      </c>
      <c r="E149" s="150"/>
      <c r="F149" s="112" t="s">
        <v>129</v>
      </c>
      <c r="G149" s="131" t="s">
        <v>197</v>
      </c>
      <c r="H149" s="62">
        <v>10</v>
      </c>
      <c r="I149" s="62">
        <v>3</v>
      </c>
      <c r="J149" s="2">
        <f t="shared" si="4"/>
        <v>0.3</v>
      </c>
      <c r="K149" s="62">
        <f>+I149+ENERO!K149</f>
        <v>7</v>
      </c>
      <c r="L149" s="5">
        <f t="shared" si="5"/>
        <v>0.7</v>
      </c>
      <c r="N149"/>
      <c r="O149" s="14"/>
      <c r="P149"/>
      <c r="Q149" s="14"/>
    </row>
    <row r="150" spans="2:17" s="24" customFormat="1" x14ac:dyDescent="0.35">
      <c r="B150" s="49">
        <v>3</v>
      </c>
      <c r="C150" s="50" t="s">
        <v>51</v>
      </c>
      <c r="D150" s="51" t="s">
        <v>52</v>
      </c>
      <c r="E150" s="150"/>
      <c r="F150" s="112" t="s">
        <v>129</v>
      </c>
      <c r="G150" s="131" t="s">
        <v>198</v>
      </c>
      <c r="H150" s="62">
        <v>10</v>
      </c>
      <c r="I150" s="62">
        <v>3</v>
      </c>
      <c r="J150" s="2">
        <f t="shared" si="4"/>
        <v>0.3</v>
      </c>
      <c r="K150" s="62">
        <f>+I150+ENERO!K150</f>
        <v>7</v>
      </c>
      <c r="L150" s="5">
        <f t="shared" si="5"/>
        <v>0.7</v>
      </c>
      <c r="N150" s="55"/>
      <c r="P150" s="55"/>
    </row>
    <row r="151" spans="2:17" x14ac:dyDescent="0.35">
      <c r="B151" s="49">
        <v>5</v>
      </c>
      <c r="C151" s="50" t="s">
        <v>53</v>
      </c>
      <c r="D151" s="51" t="s">
        <v>54</v>
      </c>
      <c r="E151" s="150"/>
      <c r="F151" s="112" t="s">
        <v>129</v>
      </c>
      <c r="G151" s="131" t="s">
        <v>198</v>
      </c>
      <c r="H151" s="62">
        <v>10</v>
      </c>
      <c r="I151" s="62">
        <v>2</v>
      </c>
      <c r="J151" s="2">
        <f t="shared" si="4"/>
        <v>0.2</v>
      </c>
      <c r="K151" s="62">
        <f>+I151+ENERO!K151</f>
        <v>6</v>
      </c>
      <c r="L151" s="5">
        <f t="shared" si="5"/>
        <v>0.6</v>
      </c>
      <c r="N151"/>
      <c r="O151" s="14"/>
      <c r="P151"/>
      <c r="Q151" s="14"/>
    </row>
    <row r="152" spans="2:17" x14ac:dyDescent="0.35">
      <c r="B152" s="49">
        <v>5</v>
      </c>
      <c r="C152" s="50" t="s">
        <v>55</v>
      </c>
      <c r="D152" s="51" t="s">
        <v>56</v>
      </c>
      <c r="E152" s="150"/>
      <c r="F152" s="115" t="s">
        <v>129</v>
      </c>
      <c r="G152" s="130" t="s">
        <v>199</v>
      </c>
      <c r="H152" s="62">
        <v>10</v>
      </c>
      <c r="I152" s="62">
        <v>4</v>
      </c>
      <c r="J152" s="2">
        <f t="shared" si="4"/>
        <v>0.4</v>
      </c>
      <c r="K152" s="62">
        <f>+I152+ENERO!K152</f>
        <v>6</v>
      </c>
      <c r="L152" s="5">
        <f t="shared" si="5"/>
        <v>0.6</v>
      </c>
      <c r="N152"/>
      <c r="O152" s="14"/>
      <c r="P152"/>
      <c r="Q152" s="14"/>
    </row>
    <row r="153" spans="2:17" x14ac:dyDescent="0.35">
      <c r="B153" s="56">
        <v>8</v>
      </c>
      <c r="C153" s="57" t="s">
        <v>57</v>
      </c>
      <c r="D153" s="58" t="s">
        <v>58</v>
      </c>
      <c r="E153" s="151"/>
      <c r="F153" s="116" t="s">
        <v>133</v>
      </c>
      <c r="G153" s="132" t="s">
        <v>200</v>
      </c>
      <c r="H153" s="66">
        <v>10</v>
      </c>
      <c r="I153" s="66">
        <v>3</v>
      </c>
      <c r="J153" s="4">
        <f t="shared" si="4"/>
        <v>0.3</v>
      </c>
      <c r="K153" s="66">
        <f>+I153+ENERO!K153</f>
        <v>6</v>
      </c>
      <c r="L153" s="7">
        <f t="shared" si="5"/>
        <v>0.6</v>
      </c>
      <c r="N153"/>
      <c r="O153" s="14"/>
      <c r="P153"/>
      <c r="Q153" s="14"/>
    </row>
    <row r="154" spans="2:17" x14ac:dyDescent="0.35">
      <c r="D154" s="26"/>
      <c r="E154" s="11"/>
      <c r="F154" s="22"/>
      <c r="G154" s="11"/>
      <c r="H154" s="182" t="str">
        <f>+CONCATENATE("TOTAL A ",D7)</f>
        <v>TOTAL A FEBRERO</v>
      </c>
      <c r="I154" s="183"/>
      <c r="J154" s="184"/>
      <c r="K154" s="182" t="s">
        <v>33</v>
      </c>
      <c r="L154" s="184"/>
    </row>
    <row r="155" spans="2:17" x14ac:dyDescent="0.35">
      <c r="D155" s="96"/>
      <c r="E155" s="97"/>
      <c r="F155" s="24"/>
      <c r="G155" s="97"/>
      <c r="H155" s="98">
        <f>+SUM(H13:H153)</f>
        <v>1350</v>
      </c>
      <c r="I155" s="98">
        <f>+SUM(I13:I153)</f>
        <v>450</v>
      </c>
      <c r="J155" s="1">
        <f>IFERROR(I155/H155,0)</f>
        <v>0.33333333333333331</v>
      </c>
      <c r="K155" s="98">
        <f>+SUM(K13:K153)</f>
        <v>900</v>
      </c>
      <c r="L155" s="1">
        <f>IFERROR(K155/H155,0)</f>
        <v>0.66666666666666663</v>
      </c>
    </row>
    <row r="156" spans="2:17" x14ac:dyDescent="0.35">
      <c r="D156" s="96"/>
      <c r="E156" s="97"/>
      <c r="F156" s="24"/>
      <c r="G156" s="97"/>
      <c r="H156" s="99"/>
      <c r="I156" s="100"/>
      <c r="J156" s="8"/>
      <c r="K156" s="100"/>
      <c r="L156" s="8"/>
    </row>
    <row r="157" spans="2:17" ht="16.5" customHeight="1" x14ac:dyDescent="0.35">
      <c r="B157" s="185" t="s">
        <v>34</v>
      </c>
      <c r="C157" s="186"/>
      <c r="D157" s="187" t="s">
        <v>299</v>
      </c>
      <c r="E157" s="187"/>
      <c r="F157" s="187"/>
      <c r="G157" s="187"/>
      <c r="H157" s="187"/>
      <c r="I157" s="187"/>
      <c r="J157" s="187"/>
      <c r="K157" s="187"/>
      <c r="L157" s="187"/>
    </row>
    <row r="158" spans="2:17" ht="118.25" customHeight="1" x14ac:dyDescent="0.35">
      <c r="B158" s="197"/>
      <c r="C158" s="198"/>
      <c r="D158" s="194" t="s">
        <v>338</v>
      </c>
      <c r="E158" s="195"/>
      <c r="F158" s="195"/>
      <c r="G158" s="195"/>
      <c r="H158" s="195"/>
      <c r="I158" s="195"/>
      <c r="J158" s="195"/>
      <c r="K158" s="195"/>
      <c r="L158" s="196"/>
    </row>
    <row r="159" spans="2:17" x14ac:dyDescent="0.35">
      <c r="B159" s="167" t="s">
        <v>36</v>
      </c>
      <c r="C159" s="168"/>
      <c r="D159" s="168"/>
      <c r="E159" s="168"/>
      <c r="F159" s="168"/>
      <c r="G159" s="168"/>
      <c r="H159" s="168"/>
      <c r="I159" s="168"/>
      <c r="J159" s="168"/>
      <c r="K159" s="168"/>
      <c r="L159" s="169"/>
    </row>
    <row r="160" spans="2:17" x14ac:dyDescent="0.35">
      <c r="B160" s="170"/>
      <c r="C160" s="171"/>
      <c r="D160" s="171"/>
      <c r="E160" s="171"/>
      <c r="F160" s="171"/>
      <c r="G160" s="171"/>
      <c r="H160" s="171"/>
      <c r="I160" s="171"/>
      <c r="J160" s="171"/>
      <c r="K160" s="171"/>
      <c r="L160" s="172"/>
    </row>
    <row r="161" spans="1:18" x14ac:dyDescent="0.35">
      <c r="B161" s="173" t="s">
        <v>37</v>
      </c>
      <c r="C161" s="174"/>
      <c r="D161" s="174"/>
      <c r="E161" s="174"/>
      <c r="F161" s="174"/>
      <c r="G161" s="174"/>
      <c r="H161" s="174"/>
      <c r="I161" s="174"/>
      <c r="J161" s="174"/>
      <c r="K161" s="174"/>
      <c r="L161" s="175"/>
    </row>
    <row r="162" spans="1:18" ht="24.5" x14ac:dyDescent="0.45">
      <c r="B162" s="101" t="s">
        <v>38</v>
      </c>
      <c r="C162" s="102"/>
      <c r="D162" s="161" t="s">
        <v>35</v>
      </c>
      <c r="E162" s="162"/>
      <c r="F162" s="162"/>
      <c r="G162" s="162"/>
      <c r="H162" s="162"/>
      <c r="I162" s="162"/>
      <c r="J162" s="162"/>
      <c r="K162" s="162"/>
      <c r="L162" s="163"/>
    </row>
    <row r="163" spans="1:18" ht="24.5" x14ac:dyDescent="0.45">
      <c r="B163" s="101" t="s">
        <v>39</v>
      </c>
      <c r="C163" s="102"/>
      <c r="D163" s="164"/>
      <c r="E163" s="165"/>
      <c r="F163" s="165"/>
      <c r="G163" s="165"/>
      <c r="H163" s="165"/>
      <c r="I163" s="165"/>
      <c r="J163" s="165"/>
      <c r="K163" s="165"/>
      <c r="L163" s="166"/>
    </row>
    <row r="164" spans="1:18" x14ac:dyDescent="0.35">
      <c r="B164" s="176" t="s">
        <v>36</v>
      </c>
      <c r="C164" s="177"/>
      <c r="D164" s="177"/>
      <c r="E164" s="177"/>
      <c r="F164" s="177"/>
      <c r="G164" s="177"/>
      <c r="H164" s="177"/>
      <c r="I164" s="177"/>
      <c r="J164" s="177"/>
      <c r="K164" s="177"/>
      <c r="L164" s="178"/>
    </row>
    <row r="165" spans="1:18" s="12" customFormat="1" ht="14.4" hidden="1" customHeight="1" x14ac:dyDescent="0.35">
      <c r="A165" t="s">
        <v>0</v>
      </c>
      <c r="B165" s="179"/>
      <c r="C165" s="180"/>
      <c r="D165" s="180"/>
      <c r="E165" s="180"/>
      <c r="F165" s="180"/>
      <c r="G165" s="180"/>
      <c r="H165" s="180"/>
      <c r="I165" s="180"/>
      <c r="J165" s="180"/>
      <c r="K165" s="180"/>
      <c r="L165" s="181"/>
      <c r="M165" s="14"/>
      <c r="N165" s="14"/>
      <c r="O165"/>
      <c r="P165" s="14"/>
      <c r="Q165"/>
      <c r="R165" s="14"/>
    </row>
    <row r="166" spans="1:18" s="12" customFormat="1" ht="14.4" hidden="1" customHeight="1" x14ac:dyDescent="0.35">
      <c r="A166" t="s">
        <v>2</v>
      </c>
      <c r="B166" s="173" t="s">
        <v>40</v>
      </c>
      <c r="C166" s="174"/>
      <c r="D166" s="174"/>
      <c r="E166" s="174"/>
      <c r="F166" s="174"/>
      <c r="G166" s="174"/>
      <c r="H166" s="174"/>
      <c r="I166" s="174"/>
      <c r="J166" s="174"/>
      <c r="K166" s="174"/>
      <c r="L166" s="175"/>
      <c r="M166" s="14"/>
      <c r="N166" s="14"/>
      <c r="O166"/>
      <c r="P166" s="14"/>
      <c r="Q166"/>
      <c r="R166" s="14"/>
    </row>
    <row r="167" spans="1:18" s="12" customFormat="1" ht="14.4" hidden="1" customHeight="1" x14ac:dyDescent="0.45">
      <c r="A167" t="s">
        <v>6</v>
      </c>
      <c r="B167" s="101" t="s">
        <v>38</v>
      </c>
      <c r="C167" s="102"/>
      <c r="D167" s="161" t="s">
        <v>35</v>
      </c>
      <c r="E167" s="162"/>
      <c r="F167" s="162"/>
      <c r="G167" s="162"/>
      <c r="H167" s="162"/>
      <c r="I167" s="162"/>
      <c r="J167" s="162"/>
      <c r="K167" s="162"/>
      <c r="L167" s="163"/>
      <c r="M167" s="14"/>
      <c r="N167" s="14"/>
      <c r="O167"/>
      <c r="P167" s="14"/>
      <c r="Q167"/>
      <c r="R167" s="14"/>
    </row>
    <row r="168" spans="1:18" s="12" customFormat="1" ht="14.4" hidden="1" customHeight="1" x14ac:dyDescent="0.45">
      <c r="A168" t="s">
        <v>8</v>
      </c>
      <c r="B168" s="101" t="s">
        <v>39</v>
      </c>
      <c r="C168" s="102"/>
      <c r="D168" s="164"/>
      <c r="E168" s="165"/>
      <c r="F168" s="165"/>
      <c r="G168" s="165"/>
      <c r="H168" s="165"/>
      <c r="I168" s="165"/>
      <c r="J168" s="165"/>
      <c r="K168" s="165"/>
      <c r="L168" s="166"/>
      <c r="M168" s="14"/>
      <c r="N168" s="14"/>
      <c r="O168"/>
      <c r="P168" s="14"/>
      <c r="Q168"/>
      <c r="R168" s="14"/>
    </row>
    <row r="169" spans="1:18" s="12" customFormat="1" ht="14.4" hidden="1" customHeight="1" x14ac:dyDescent="0.35">
      <c r="A169" t="s">
        <v>9</v>
      </c>
      <c r="B169" s="103"/>
      <c r="C169" s="103"/>
      <c r="D169" s="26"/>
      <c r="E169" s="11"/>
      <c r="G169" s="11"/>
      <c r="H169" s="103"/>
      <c r="I169" s="104"/>
      <c r="M169" s="14"/>
      <c r="N169" s="14"/>
      <c r="O169"/>
      <c r="P169" s="14"/>
      <c r="Q169"/>
      <c r="R169" s="14"/>
    </row>
    <row r="170" spans="1:18" s="12" customFormat="1" ht="14.4" hidden="1" customHeight="1" x14ac:dyDescent="0.35">
      <c r="A170" t="s">
        <v>10</v>
      </c>
      <c r="B170" s="103"/>
      <c r="C170" s="103"/>
      <c r="D170" s="26"/>
      <c r="E170" s="11"/>
      <c r="G170" s="11"/>
      <c r="H170" s="103"/>
      <c r="I170" s="104"/>
      <c r="M170" s="14"/>
      <c r="N170" s="14"/>
      <c r="O170"/>
      <c r="P170" s="14"/>
      <c r="Q170"/>
      <c r="R170" s="14"/>
    </row>
    <row r="171" spans="1:18" s="12" customFormat="1" ht="14.4" hidden="1" customHeight="1" x14ac:dyDescent="0.35">
      <c r="A171" t="s">
        <v>11</v>
      </c>
      <c r="B171" s="192"/>
      <c r="C171" s="192"/>
      <c r="D171" s="192"/>
      <c r="E171" s="11"/>
      <c r="G171" s="11"/>
      <c r="H171" s="192"/>
      <c r="I171" s="192"/>
      <c r="J171" s="192"/>
      <c r="K171" s="192"/>
      <c r="M171" s="14"/>
      <c r="N171" s="14"/>
      <c r="O171"/>
      <c r="P171" s="14"/>
      <c r="Q171"/>
      <c r="R171" s="14"/>
    </row>
    <row r="172" spans="1:18" s="12" customFormat="1" ht="14.4" hidden="1" customHeight="1" x14ac:dyDescent="0.35">
      <c r="A172" t="s">
        <v>13</v>
      </c>
      <c r="B172" s="11" t="s">
        <v>41</v>
      </c>
      <c r="C172" s="193"/>
      <c r="D172" s="193"/>
      <c r="E172" s="11"/>
      <c r="G172" s="11"/>
      <c r="H172" s="11" t="s">
        <v>42</v>
      </c>
      <c r="I172" s="193" t="s">
        <v>97</v>
      </c>
      <c r="J172" s="193"/>
      <c r="K172" s="193"/>
      <c r="M172" s="14"/>
      <c r="N172" s="14"/>
      <c r="O172"/>
      <c r="P172" s="14"/>
      <c r="Q172"/>
      <c r="R172" s="14"/>
    </row>
    <row r="173" spans="1:18" s="12" customFormat="1" hidden="1" x14ac:dyDescent="0.35">
      <c r="A173" t="s">
        <v>14</v>
      </c>
      <c r="B173" s="97"/>
      <c r="C173" s="11"/>
      <c r="F173" s="13"/>
      <c r="M173" s="14"/>
      <c r="N173" s="14"/>
      <c r="O173"/>
      <c r="P173" s="14"/>
      <c r="Q173"/>
      <c r="R173" s="14"/>
    </row>
    <row r="174" spans="1:18" s="12" customFormat="1" hidden="1" x14ac:dyDescent="0.35">
      <c r="A174" t="s">
        <v>16</v>
      </c>
      <c r="B174" s="97"/>
      <c r="C174" s="11"/>
      <c r="F174" s="13"/>
      <c r="M174" s="14"/>
      <c r="N174" s="14"/>
      <c r="O174"/>
      <c r="P174" s="14"/>
      <c r="Q174"/>
      <c r="R174" s="14"/>
    </row>
    <row r="175" spans="1:18" s="12" customFormat="1" hidden="1" x14ac:dyDescent="0.35">
      <c r="A175" t="s">
        <v>17</v>
      </c>
      <c r="B175" s="97"/>
      <c r="C175" s="11"/>
      <c r="F175" s="13"/>
      <c r="M175" s="14"/>
      <c r="N175" s="14"/>
      <c r="O175"/>
      <c r="P175" s="14"/>
      <c r="Q175"/>
      <c r="R175" s="14"/>
    </row>
    <row r="176" spans="1:18" s="12" customFormat="1" hidden="1" x14ac:dyDescent="0.35">
      <c r="A176" t="s">
        <v>21</v>
      </c>
      <c r="B176" s="97"/>
      <c r="C176" s="11"/>
      <c r="F176" s="13"/>
      <c r="M176" s="14"/>
      <c r="N176" s="14"/>
      <c r="O176"/>
      <c r="P176" s="14"/>
      <c r="Q176"/>
      <c r="R176" s="14"/>
    </row>
    <row r="177" spans="1:18" s="12" customFormat="1" hidden="1" x14ac:dyDescent="0.35">
      <c r="A177" t="s">
        <v>31</v>
      </c>
      <c r="B177" s="97"/>
      <c r="C177" s="11"/>
      <c r="F177" s="13"/>
      <c r="M177" s="14"/>
      <c r="N177" s="14"/>
      <c r="O177"/>
      <c r="P177" s="14"/>
      <c r="Q177"/>
      <c r="R177" s="14"/>
    </row>
    <row r="178" spans="1:18" x14ac:dyDescent="0.35">
      <c r="B178" s="173" t="s">
        <v>40</v>
      </c>
      <c r="C178" s="174"/>
      <c r="D178" s="174"/>
      <c r="E178" s="174"/>
      <c r="F178" s="174"/>
      <c r="G178" s="174"/>
      <c r="H178" s="174"/>
      <c r="I178" s="174"/>
      <c r="J178" s="174"/>
      <c r="K178" s="174"/>
      <c r="L178" s="175"/>
    </row>
    <row r="179" spans="1:18" ht="24.5" x14ac:dyDescent="0.45">
      <c r="B179" s="101" t="s">
        <v>38</v>
      </c>
      <c r="C179" s="102"/>
      <c r="D179" s="161" t="s">
        <v>35</v>
      </c>
      <c r="E179" s="162"/>
      <c r="F179" s="162"/>
      <c r="G179" s="162"/>
      <c r="H179" s="162"/>
      <c r="I179" s="162"/>
      <c r="J179" s="162"/>
      <c r="K179" s="162"/>
      <c r="L179" s="163"/>
    </row>
    <row r="180" spans="1:18" ht="24.5" x14ac:dyDescent="0.45">
      <c r="B180" s="101" t="s">
        <v>39</v>
      </c>
      <c r="C180" s="102"/>
      <c r="D180" s="164"/>
      <c r="E180" s="165"/>
      <c r="F180" s="165"/>
      <c r="G180" s="165"/>
      <c r="H180" s="165"/>
      <c r="I180" s="165"/>
      <c r="J180" s="165"/>
      <c r="K180" s="165"/>
      <c r="L180" s="166"/>
    </row>
    <row r="181" spans="1:18" x14ac:dyDescent="0.35">
      <c r="B181" s="103"/>
      <c r="C181" s="103"/>
      <c r="D181" s="26"/>
      <c r="E181" s="11"/>
      <c r="F181" s="12"/>
      <c r="G181" s="11"/>
      <c r="H181" s="103"/>
      <c r="I181" s="104"/>
    </row>
    <row r="182" spans="1:18" x14ac:dyDescent="0.35">
      <c r="B182" s="103"/>
      <c r="C182" s="103"/>
      <c r="D182" s="26"/>
      <c r="E182" s="11"/>
      <c r="F182" s="12"/>
      <c r="G182" s="11"/>
      <c r="H182" s="103"/>
      <c r="I182" s="104"/>
    </row>
    <row r="183" spans="1:18" x14ac:dyDescent="0.35">
      <c r="B183" s="192"/>
      <c r="C183" s="192"/>
      <c r="D183" s="192"/>
      <c r="E183" s="11"/>
      <c r="F183" s="12"/>
      <c r="G183" s="11"/>
      <c r="H183" s="192"/>
      <c r="I183" s="192"/>
      <c r="J183" s="192"/>
      <c r="K183" s="192"/>
    </row>
    <row r="184" spans="1:18" ht="18" customHeight="1" x14ac:dyDescent="0.35">
      <c r="B184" s="11" t="s">
        <v>41</v>
      </c>
      <c r="C184" s="193"/>
      <c r="D184" s="193"/>
      <c r="E184" s="11"/>
      <c r="F184" s="12"/>
      <c r="G184" s="11"/>
      <c r="H184" s="11" t="s">
        <v>42</v>
      </c>
      <c r="I184" s="193" t="s">
        <v>334</v>
      </c>
      <c r="J184" s="193"/>
      <c r="K184" s="193"/>
    </row>
  </sheetData>
  <sheetProtection formatCells="0" formatColumns="0" formatRows="0" insertColumns="0" insertRows="0" insertHyperlinks="0" deleteColumns="0" deleteRows="0" sort="0" autoFilter="0" pivotTables="0"/>
  <autoFilter ref="B12:L155"/>
  <mergeCells count="46">
    <mergeCell ref="E21:E31"/>
    <mergeCell ref="B2:L2"/>
    <mergeCell ref="B3:D3"/>
    <mergeCell ref="F3:I3"/>
    <mergeCell ref="J3:L3"/>
    <mergeCell ref="B5:C5"/>
    <mergeCell ref="B7:C7"/>
    <mergeCell ref="B9:C9"/>
    <mergeCell ref="B11:H11"/>
    <mergeCell ref="I11:J11"/>
    <mergeCell ref="K11:L11"/>
    <mergeCell ref="E13:E20"/>
    <mergeCell ref="E134:E144"/>
    <mergeCell ref="E32:E39"/>
    <mergeCell ref="E40:E48"/>
    <mergeCell ref="E49:E54"/>
    <mergeCell ref="E55:E63"/>
    <mergeCell ref="E64:E72"/>
    <mergeCell ref="E73:E81"/>
    <mergeCell ref="E82:E90"/>
    <mergeCell ref="E91:E99"/>
    <mergeCell ref="E100:E110"/>
    <mergeCell ref="E111:E122"/>
    <mergeCell ref="E123:E133"/>
    <mergeCell ref="D167:L168"/>
    <mergeCell ref="E145:E153"/>
    <mergeCell ref="H154:J154"/>
    <mergeCell ref="K154:L154"/>
    <mergeCell ref="B157:C158"/>
    <mergeCell ref="D157:L157"/>
    <mergeCell ref="B183:D183"/>
    <mergeCell ref="H183:K183"/>
    <mergeCell ref="C184:D184"/>
    <mergeCell ref="I184:K184"/>
    <mergeCell ref="D158:L158"/>
    <mergeCell ref="B171:D171"/>
    <mergeCell ref="H171:K171"/>
    <mergeCell ref="C172:D172"/>
    <mergeCell ref="I172:K172"/>
    <mergeCell ref="B178:L178"/>
    <mergeCell ref="D179:L180"/>
    <mergeCell ref="B159:L160"/>
    <mergeCell ref="B161:L161"/>
    <mergeCell ref="D162:L163"/>
    <mergeCell ref="B164:L165"/>
    <mergeCell ref="B166:L166"/>
  </mergeCells>
  <conditionalFormatting sqref="L13:L153">
    <cfRule type="cellIs" dxfId="1" priority="1" operator="equal">
      <formula>1</formula>
    </cfRule>
    <cfRule type="cellIs" dxfId="0" priority="2" operator="greaterThan">
      <formula>1</formula>
    </cfRule>
  </conditionalFormatting>
  <dataValidations count="3">
    <dataValidation type="whole" allowBlank="1" showInputMessage="1" showErrorMessage="1" errorTitle="¡Error!" error="Introduzca un número válido." promptTitle="¡Atención!" prompt="Introduzca un número entre 0 y 30" sqref="I13:I153">
      <formula1>0</formula1>
      <formula2>30</formula2>
    </dataValidation>
    <dataValidation type="list" allowBlank="1" showInputMessage="1" showErrorMessage="1" sqref="D7">
      <formula1>$A$166:$A$177</formula1>
    </dataValidation>
    <dataValidation type="whole" allowBlank="1" showInputMessage="1" showErrorMessage="1" errorTitle="¡Error!" error="Introduzca un número válido." promptTitle="¡Atención!" prompt="Introduzca un número entre 0 y 366" sqref="H156 H13:H153">
      <formula1>0</formula1>
      <formula2>366</formula2>
    </dataValidation>
  </dataValidations>
  <hyperlinks>
    <hyperlink ref="G40" r:id="rId1" display="https://ecopetrol-my.sharepoint.com/:x:/g/personal/jaimejo_martinez_ecopetrol_com_co1/ESf57G1Vg3ZFoMaB5eEQGnYBFVUuVtWPTRWEDqi1z2Emjw?e=SWKSw5"/>
    <hyperlink ref="G43" r:id="rId2" display="https://ecopetrol-my.sharepoint.com/:x:/g/personal/julio_gonzalez_ecopetrol_com_co1/EcqvhrNqXRlIo3fx0toBjC8Basv1HvSygMZn1OymPdSyyg?e=L16uNV"/>
    <hyperlink ref="G46" r:id="rId3" display="https://ecopetrol-my.sharepoint.com/:x:/r/personal/jaimejo_martinez_ecopetrol_com_co1/Documents/Archivos%20de%20chat%20de%20Microsoft%20Teams/Vintage%20Produccion%20Suria%20T2.xlsx?d=wf83e0d33cd724068af98820017aff361&amp;csf=1&amp;web=1&amp;e=edJsN2"/>
    <hyperlink ref="G47" r:id="rId4"/>
    <hyperlink ref="G44" r:id="rId5" display="https://ecopetrol-my.sharepoint.com/:x:/r/personal/carlosan_perdomo_ecopetrol_com_co/Documents/Archivos de chat de Microsoft Teams/9. Septiembre - Curva Caracter%C3%ADsticas T2 Suria 1.xlsx?d=w8b7aca775cb94a74adf96204518b5699&amp;csf=1&amp;web=1&amp;e=xAmTgD"/>
    <hyperlink ref="G20" r:id="rId6"/>
    <hyperlink ref="G19" r:id="rId7"/>
    <hyperlink ref="G18" r:id="rId8"/>
    <hyperlink ref="G17" r:id="rId9"/>
    <hyperlink ref="G16" r:id="rId10"/>
    <hyperlink ref="G15" r:id="rId11"/>
    <hyperlink ref="G14" r:id="rId12"/>
    <hyperlink ref="G13" r:id="rId13"/>
    <hyperlink ref="G64" r:id="rId14"/>
    <hyperlink ref="G65" r:id="rId15"/>
    <hyperlink ref="G66" r:id="rId16"/>
    <hyperlink ref="G67" r:id="rId17"/>
    <hyperlink ref="G68" r:id="rId18"/>
    <hyperlink ref="G69" r:id="rId19"/>
    <hyperlink ref="G70" r:id="rId20"/>
    <hyperlink ref="G71" r:id="rId21"/>
    <hyperlink ref="G72" r:id="rId22"/>
  </hyperlinks>
  <pageMargins left="0.7" right="0.7" top="0.75" bottom="0.75" header="0.3" footer="0.3"/>
  <pageSetup scale="12" orientation="portrait" r:id="rId23"/>
  <drawing r:id="rId24"/>
  <legacyDrawing r:id="rId2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ENERO</vt:lpstr>
      <vt:lpstr>FEBRERO</vt:lpstr>
      <vt:lpstr>ENERO!Área_de_impresión</vt:lpstr>
      <vt:lpstr>FEBRERO!Área_de_impresión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Meridian 0873</dc:creator>
  <cp:lastModifiedBy>Jose Mateo Lopez Cifuentes</cp:lastModifiedBy>
  <dcterms:created xsi:type="dcterms:W3CDTF">2024-01-10T22:00:55Z</dcterms:created>
  <dcterms:modified xsi:type="dcterms:W3CDTF">2026-03-06T20:01:02Z</dcterms:modified>
</cp:coreProperties>
</file>