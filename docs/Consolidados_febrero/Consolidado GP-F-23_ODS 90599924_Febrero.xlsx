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xampp\htdocs\ReportesEcopetrol\docs\Consolidados_febrero\"/>
    </mc:Choice>
  </mc:AlternateContent>
  <bookViews>
    <workbookView xWindow="0" yWindow="0" windowWidth="19200" windowHeight="6600" activeTab="1"/>
  </bookViews>
  <sheets>
    <sheet name="ENERO" sheetId="1" r:id="rId1"/>
    <sheet name="FEBRERO" sheetId="2" r:id="rId2"/>
  </sheets>
  <externalReferences>
    <externalReference r:id="rId3"/>
  </externalReferences>
  <definedNames>
    <definedName name="_xlnm.Print_Area" localSheetId="0">ENERO!$A$1:$M$92</definedName>
    <definedName name="_xlnm.Print_Area" localSheetId="1">FEBRERO!$A$1:$M$92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1" l="1"/>
  <c r="K54" i="2" l="1"/>
  <c r="I69" i="2" l="1"/>
  <c r="H68" i="2"/>
  <c r="J67" i="2"/>
  <c r="J66" i="2"/>
  <c r="J65" i="2"/>
  <c r="J64" i="2"/>
  <c r="J63" i="2"/>
  <c r="J62" i="2"/>
  <c r="J61" i="2"/>
  <c r="J60" i="2"/>
  <c r="J59" i="2"/>
  <c r="J57" i="2"/>
  <c r="J55"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3" i="2"/>
  <c r="J22" i="2"/>
  <c r="J21" i="2"/>
  <c r="J20" i="2"/>
  <c r="J19" i="2"/>
  <c r="J18" i="2"/>
  <c r="J17" i="2"/>
  <c r="J16" i="2"/>
  <c r="J15" i="2"/>
  <c r="J14" i="2"/>
  <c r="J13" i="2"/>
  <c r="H69" i="2" l="1"/>
  <c r="J54" i="2"/>
  <c r="J56" i="2"/>
  <c r="J58" i="2"/>
  <c r="K58" i="1"/>
  <c r="K58" i="2" s="1"/>
  <c r="L58" i="2" s="1"/>
  <c r="H58" i="1"/>
  <c r="J58" i="1" s="1"/>
  <c r="K57" i="1"/>
  <c r="K57" i="2" s="1"/>
  <c r="L57" i="2" s="1"/>
  <c r="H57" i="1"/>
  <c r="J57" i="1" s="1"/>
  <c r="K56" i="1"/>
  <c r="K56" i="2" s="1"/>
  <c r="L56" i="2" s="1"/>
  <c r="H56" i="1"/>
  <c r="J56" i="1" s="1"/>
  <c r="K55" i="1"/>
  <c r="K55" i="2" s="1"/>
  <c r="L55" i="2" s="1"/>
  <c r="H55" i="1"/>
  <c r="J55" i="1" s="1"/>
  <c r="K54" i="1"/>
  <c r="L54" i="2" s="1"/>
  <c r="H54" i="1"/>
  <c r="J54" i="1" s="1"/>
  <c r="J69" i="2" l="1"/>
  <c r="L56" i="1"/>
  <c r="L54" i="1"/>
  <c r="L58" i="1"/>
  <c r="L57" i="1"/>
  <c r="L55" i="1"/>
  <c r="I69" i="1" l="1"/>
  <c r="K67" i="1"/>
  <c r="J67" i="1"/>
  <c r="K66" i="1"/>
  <c r="J66" i="1"/>
  <c r="K65" i="1"/>
  <c r="J65" i="1"/>
  <c r="K64" i="1"/>
  <c r="J64" i="1"/>
  <c r="K63" i="1"/>
  <c r="J63" i="1"/>
  <c r="K62" i="1"/>
  <c r="J62" i="1"/>
  <c r="K61" i="1"/>
  <c r="J61" i="1"/>
  <c r="K60" i="1"/>
  <c r="J60" i="1"/>
  <c r="L61" i="1" l="1"/>
  <c r="K61" i="2"/>
  <c r="L61" i="2" s="1"/>
  <c r="L65" i="1"/>
  <c r="K65" i="2"/>
  <c r="L65" i="2" s="1"/>
  <c r="L67" i="1"/>
  <c r="K67" i="2"/>
  <c r="L67" i="2" s="1"/>
  <c r="L60" i="1"/>
  <c r="K60" i="2"/>
  <c r="L60" i="2" s="1"/>
  <c r="L64" i="1"/>
  <c r="K64" i="2"/>
  <c r="L64" i="2" s="1"/>
  <c r="L62" i="1"/>
  <c r="K62" i="2"/>
  <c r="L62" i="2" s="1"/>
  <c r="L66" i="1"/>
  <c r="K66" i="2"/>
  <c r="L66" i="2" s="1"/>
  <c r="L63" i="1"/>
  <c r="K63" i="2"/>
  <c r="L63" i="2" s="1"/>
  <c r="K59" i="1"/>
  <c r="J59" i="1"/>
  <c r="L59" i="1" l="1"/>
  <c r="K59" i="2"/>
  <c r="L59" i="2" s="1"/>
  <c r="K53" i="1"/>
  <c r="J53" i="1"/>
  <c r="K52" i="1"/>
  <c r="J52" i="1"/>
  <c r="K51" i="1"/>
  <c r="J51" i="1"/>
  <c r="K50" i="1"/>
  <c r="J50" i="1"/>
  <c r="K49" i="1"/>
  <c r="J49" i="1"/>
  <c r="K48" i="1"/>
  <c r="J48" i="1"/>
  <c r="L49" i="1" l="1"/>
  <c r="K49" i="2"/>
  <c r="L49" i="2" s="1"/>
  <c r="L51" i="1"/>
  <c r="K51" i="2"/>
  <c r="L51" i="2" s="1"/>
  <c r="L48" i="1"/>
  <c r="K48" i="2"/>
  <c r="L48" i="2" s="1"/>
  <c r="L52" i="1"/>
  <c r="K52" i="2"/>
  <c r="L52" i="2" s="1"/>
  <c r="L53" i="1"/>
  <c r="K53" i="2"/>
  <c r="L53" i="2" s="1"/>
  <c r="L50" i="1"/>
  <c r="K50" i="2"/>
  <c r="L50" i="2" s="1"/>
  <c r="K26" i="1"/>
  <c r="J26" i="1"/>
  <c r="K25" i="1"/>
  <c r="J25" i="1"/>
  <c r="K24" i="1"/>
  <c r="J24" i="1"/>
  <c r="K23" i="1"/>
  <c r="J23" i="1"/>
  <c r="K22" i="1"/>
  <c r="J22" i="1"/>
  <c r="K21" i="1"/>
  <c r="J21" i="1"/>
  <c r="K20" i="1"/>
  <c r="J20" i="1"/>
  <c r="L21" i="1" l="1"/>
  <c r="K21" i="2"/>
  <c r="L21" i="2" s="1"/>
  <c r="L25" i="1"/>
  <c r="K25" i="2"/>
  <c r="L25" i="2" s="1"/>
  <c r="L26" i="1"/>
  <c r="K26" i="2"/>
  <c r="L26" i="2" s="1"/>
  <c r="L23" i="1"/>
  <c r="K23" i="2"/>
  <c r="L23" i="2" s="1"/>
  <c r="L22" i="1"/>
  <c r="K22" i="2"/>
  <c r="L22" i="2" s="1"/>
  <c r="L20" i="1"/>
  <c r="K20" i="2"/>
  <c r="L20" i="2" s="1"/>
  <c r="L24" i="1"/>
  <c r="K24" i="2"/>
  <c r="L24" i="2" s="1"/>
  <c r="K47" i="1"/>
  <c r="J47" i="1"/>
  <c r="K46" i="1"/>
  <c r="J46" i="1"/>
  <c r="K45" i="1"/>
  <c r="J45" i="1"/>
  <c r="K44" i="1"/>
  <c r="J44" i="1"/>
  <c r="K43" i="1"/>
  <c r="J43" i="1"/>
  <c r="K42" i="1"/>
  <c r="J42" i="1"/>
  <c r="L47" i="1" l="1"/>
  <c r="K47" i="2"/>
  <c r="L47" i="2" s="1"/>
  <c r="L44" i="1"/>
  <c r="K44" i="2"/>
  <c r="L44" i="2" s="1"/>
  <c r="L43" i="1"/>
  <c r="K43" i="2"/>
  <c r="L43" i="2" s="1"/>
  <c r="L45" i="1"/>
  <c r="K45" i="2"/>
  <c r="L45" i="2" s="1"/>
  <c r="L42" i="1"/>
  <c r="K42" i="2"/>
  <c r="L42" i="2" s="1"/>
  <c r="L46" i="1"/>
  <c r="K46" i="2"/>
  <c r="L46" i="2" s="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K27" i="2" s="1"/>
  <c r="L27" i="2" s="1"/>
  <c r="J27" i="1"/>
  <c r="L36" i="1" l="1"/>
  <c r="K36" i="2"/>
  <c r="L36" i="2" s="1"/>
  <c r="L32" i="1"/>
  <c r="K32" i="2"/>
  <c r="L32" i="2" s="1"/>
  <c r="L37" i="1"/>
  <c r="K37" i="2"/>
  <c r="L37" i="2" s="1"/>
  <c r="L28" i="1"/>
  <c r="K28" i="2"/>
  <c r="L28" i="2" s="1"/>
  <c r="L33" i="1"/>
  <c r="K33" i="2"/>
  <c r="L33" i="2" s="1"/>
  <c r="L41" i="1"/>
  <c r="K41" i="2"/>
  <c r="L41" i="2" s="1"/>
  <c r="L40" i="1"/>
  <c r="K40" i="2"/>
  <c r="L40" i="2" s="1"/>
  <c r="L29" i="1"/>
  <c r="K29" i="2"/>
  <c r="L29" i="2" s="1"/>
  <c r="L30" i="1"/>
  <c r="K30" i="2"/>
  <c r="L30" i="2" s="1"/>
  <c r="L34" i="1"/>
  <c r="K34" i="2"/>
  <c r="L34" i="2" s="1"/>
  <c r="L38" i="1"/>
  <c r="K38" i="2"/>
  <c r="L38" i="2" s="1"/>
  <c r="L31" i="1"/>
  <c r="K31" i="2"/>
  <c r="L31" i="2" s="1"/>
  <c r="L35" i="1"/>
  <c r="K35" i="2"/>
  <c r="L35" i="2" s="1"/>
  <c r="L39" i="1"/>
  <c r="K39" i="2"/>
  <c r="L39" i="2" s="1"/>
  <c r="L27" i="1"/>
  <c r="K19" i="1"/>
  <c r="J19" i="1"/>
  <c r="K18" i="1"/>
  <c r="K18" i="2" s="1"/>
  <c r="L18" i="2" s="1"/>
  <c r="J18" i="1"/>
  <c r="K17" i="1"/>
  <c r="J17" i="1"/>
  <c r="K16" i="1"/>
  <c r="J16" i="1"/>
  <c r="K15" i="1"/>
  <c r="J15" i="1"/>
  <c r="K14" i="1"/>
  <c r="J14" i="1"/>
  <c r="K13" i="1"/>
  <c r="K13" i="2" s="1"/>
  <c r="J13" i="1"/>
  <c r="L15" i="1" l="1"/>
  <c r="K15" i="2"/>
  <c r="L15" i="2" s="1"/>
  <c r="L13" i="2"/>
  <c r="L17" i="1"/>
  <c r="K17" i="2"/>
  <c r="L17" i="2" s="1"/>
  <c r="L19" i="1"/>
  <c r="K19" i="2"/>
  <c r="L19" i="2" s="1"/>
  <c r="L16" i="1"/>
  <c r="K16" i="2"/>
  <c r="L16" i="2" s="1"/>
  <c r="K69" i="1"/>
  <c r="L14" i="1"/>
  <c r="K14" i="2"/>
  <c r="L14" i="2" s="1"/>
  <c r="L13" i="1"/>
  <c r="L18" i="1"/>
  <c r="K69" i="2" l="1"/>
  <c r="L69" i="2" s="1"/>
  <c r="H68" i="1"/>
  <c r="L69" i="1" l="1"/>
  <c r="J69" i="1"/>
</calcChain>
</file>

<file path=xl/comments1.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91" authorId="0" shapeId="0">
      <text>
        <r>
          <rPr>
            <sz val="9"/>
            <color indexed="81"/>
            <rFont val="Tahoma"/>
            <family val="2"/>
          </rPr>
          <t>Firma de quién revisa</t>
        </r>
      </text>
    </comment>
    <comment ref="H91" authorId="0" shapeId="0">
      <text>
        <r>
          <rPr>
            <sz val="9"/>
            <color indexed="81"/>
            <rFont val="Tahoma"/>
            <family val="2"/>
          </rPr>
          <t>Firma del interventor</t>
        </r>
      </text>
    </comment>
    <comment ref="C92" authorId="0" shapeId="0">
      <text>
        <r>
          <rPr>
            <sz val="9"/>
            <color rgb="FF000000"/>
            <rFont val="Tahoma"/>
            <family val="2"/>
          </rPr>
          <t>Nombre completo de quién revisa</t>
        </r>
      </text>
    </comment>
    <comment ref="I92" authorId="0" shapeId="0">
      <text>
        <r>
          <rPr>
            <sz val="9"/>
            <color indexed="81"/>
            <rFont val="Tahoma"/>
            <family val="2"/>
          </rPr>
          <t>Nombre completo del interventor</t>
        </r>
      </text>
    </comment>
  </commentList>
</comments>
</file>

<file path=xl/comments2.xml><?xml version="1.0" encoding="utf-8"?>
<comments xmlns="http://schemas.openxmlformats.org/spreadsheetml/2006/main">
  <authors>
    <author>Autor</author>
  </authors>
  <commentList>
    <comment ref="K12" authorId="0" shapeId="0">
      <text>
        <r>
          <rPr>
            <sz val="9"/>
            <color indexed="81"/>
            <rFont val="Tahoma"/>
            <family val="2"/>
          </rPr>
          <t>Días acumulados del último reporte + Días del mes a reportar.</t>
        </r>
      </text>
    </comment>
    <comment ref="B91" authorId="0" shapeId="0">
      <text>
        <r>
          <rPr>
            <sz val="9"/>
            <color indexed="81"/>
            <rFont val="Tahoma"/>
            <family val="2"/>
          </rPr>
          <t>Firma de quién revisa</t>
        </r>
      </text>
    </comment>
    <comment ref="H91" authorId="0" shapeId="0">
      <text>
        <r>
          <rPr>
            <sz val="9"/>
            <color indexed="81"/>
            <rFont val="Tahoma"/>
            <family val="2"/>
          </rPr>
          <t>Firma del interventor</t>
        </r>
      </text>
    </comment>
    <comment ref="C92" authorId="0" shapeId="0">
      <text>
        <r>
          <rPr>
            <sz val="9"/>
            <color rgb="FF000000"/>
            <rFont val="Tahoma"/>
            <family val="2"/>
          </rPr>
          <t>Nombre completo de quién revisa</t>
        </r>
      </text>
    </comment>
    <comment ref="I92" authorId="0" shapeId="0">
      <text>
        <r>
          <rPr>
            <sz val="9"/>
            <color indexed="81"/>
            <rFont val="Tahoma"/>
            <family val="2"/>
          </rPr>
          <t>Nombre completo del interventor</t>
        </r>
      </text>
    </comment>
  </commentList>
</comments>
</file>

<file path=xl/sharedStrings.xml><?xml version="1.0" encoding="utf-8"?>
<sst xmlns="http://schemas.openxmlformats.org/spreadsheetml/2006/main" count="598" uniqueCount="165">
  <si>
    <t>MES</t>
  </si>
  <si>
    <t>REPORTE DE AVANCE</t>
  </si>
  <si>
    <t>ENERO</t>
  </si>
  <si>
    <t>Fecha: 29/06/2022</t>
  </si>
  <si>
    <t>Version: 01</t>
  </si>
  <si>
    <t>GP-F-23</t>
  </si>
  <si>
    <t>FEBRERO</t>
  </si>
  <si>
    <t>Código Orden de servicio</t>
  </si>
  <si>
    <t>MARZO</t>
  </si>
  <si>
    <t>ABRIL</t>
  </si>
  <si>
    <t>MAYO</t>
  </si>
  <si>
    <t>JUNIO</t>
  </si>
  <si>
    <t>Mes a reportar</t>
  </si>
  <si>
    <t>JULIO</t>
  </si>
  <si>
    <t>AGOSTO</t>
  </si>
  <si>
    <t>Fecha reporte</t>
  </si>
  <si>
    <t>SEPTIEMBRE</t>
  </si>
  <si>
    <t>OCTUBRE</t>
  </si>
  <si>
    <t>Clasificación del servicio</t>
  </si>
  <si>
    <t>Reporte mes por servicio</t>
  </si>
  <si>
    <t>Reporte acumulado por servicio</t>
  </si>
  <si>
    <t>NOVIEMBRE</t>
  </si>
  <si>
    <t>Ítem general</t>
  </si>
  <si>
    <t>ítem actividad</t>
  </si>
  <si>
    <t>Descripción de la actividad</t>
  </si>
  <si>
    <t>Soporte</t>
  </si>
  <si>
    <t>Medio de entrega</t>
  </si>
  <si>
    <t>Días contratados</t>
  </si>
  <si>
    <t>Días</t>
  </si>
  <si>
    <t>% avance</t>
  </si>
  <si>
    <t xml:space="preserve">Días </t>
  </si>
  <si>
    <t>DICIEMBRE</t>
  </si>
  <si>
    <t>Digital</t>
  </si>
  <si>
    <t>TOTAL ACUMULADO</t>
  </si>
  <si>
    <t>Observaciones:</t>
  </si>
  <si>
    <t>Describa en este espacio su observación</t>
  </si>
  <si>
    <r>
      <t>¿Se presentó algún aspecto o situación que afecte la ejecución y calidad de los entregables? (</t>
    </r>
    <r>
      <rPr>
        <b/>
        <i/>
        <sz val="9"/>
        <color theme="1"/>
        <rFont val="Verdana"/>
        <family val="2"/>
      </rPr>
      <t>Marque con una X</t>
    </r>
    <r>
      <rPr>
        <b/>
        <sz val="9"/>
        <color theme="1"/>
        <rFont val="Verdana"/>
        <family val="2"/>
      </rPr>
      <t>)</t>
    </r>
  </si>
  <si>
    <t>PROFESIONAL</t>
  </si>
  <si>
    <t>SI</t>
  </si>
  <si>
    <t>NO</t>
  </si>
  <si>
    <t>INTERVENTOR O LIDER</t>
  </si>
  <si>
    <t>Revisa:</t>
  </si>
  <si>
    <t>Interventor:</t>
  </si>
  <si>
    <t>Analizar data histórica de producción, productividad y daño por pozo</t>
  </si>
  <si>
    <t>Base de Datos - Informe de la Evaluación</t>
  </si>
  <si>
    <t>Generación de oportunidades de intervención a Pozos</t>
  </si>
  <si>
    <t>Adelantar   la   evaluación   e   interpretación   de   pozos ac</t>
  </si>
  <si>
    <t>Generar los análisis asociados a candidatización de pozos para optimización de la producción empleando simulación numérica (análisis nodal) de productividad de pozos</t>
  </si>
  <si>
    <t>Generar reportes de soporte en la ejecución de trabajos ejecutados, tales como estimulaciones, fracturamientos hidráulicos, recañoneos, entre otros.</t>
  </si>
  <si>
    <t>Generar reportes de evaluación de los tratamientos de estimulación y optimización de producción implementados en la vigencia respectiva</t>
  </si>
  <si>
    <t>Realizar el seguimiento de producción/ inyección de pozos intervenidos con base en los comportamientos de producción previo y posterior a la intervención</t>
  </si>
  <si>
    <t>Base de Datos Modelo de Balance Informe del modelo</t>
  </si>
  <si>
    <t>Digital, dbase de datos interna
https://ecopetrol.sharepoint.com/sites/CastillaWOs2022/Documentos%20compartidos/Forms/AllItems.aspx?id=%2Fsites%2FCastillaWOs2022%2FDocumentos%20compartidos%2FJustificaciones&amp;viewid=9ecb22f4%2D2d68%2D4a78%2Db78d%2Df5ff342528b5&amp;noAuthRedirect=1</t>
  </si>
  <si>
    <t>Digital, Email a todos los de castilla-sharepoint, desarrollo ing, planeacion
https://ecopetrol.sharepoint.com/sites/CastillaWOs2022/Documentos%20compartidos/Forms/AllItems.aspx?id=%2Fsites%2FCastillaWOs2022%2FDocumentos%20compartidos%2FJustificaciones&amp;viewid=9ecb22f4%2D2d68%2D4a78%2Db78d%2Df5ff342528b5&amp;noAuthRedirect=1</t>
  </si>
  <si>
    <t>Base de Datos Informe de la Evaluación</t>
  </si>
  <si>
    <t>Digital, base de datos interna https://ecopetrol.sharepoint.com/sites/comunidadesdepracticaECP/EstimPozos/GDFE/Forms/AllItems.aspx?csf=1&amp;web=1&amp;e=Mm2usV&amp;cid=a85ef813%2Dc5d9%2D4601%2Dbdf8%2Ddd5fa9d6a721&amp;FolderCTID=0x01200095C6E94CFEA613409C4EA4FF99FD008C&amp;id=%2Fsites%2FcomunidadesdepracticaECP%2FEstimPozos%2FGDFE%2FBarriles%2F2024&amp;viewid=71ccfd21%2D31af%2D497c%2Dbcc1%2D9e157842de62</t>
  </si>
  <si>
    <t>Digita Nodal IFDMl
https://ifdm-ecp.co/auth/login</t>
  </si>
  <si>
    <t>Digital, PJR  post jobs reports en repositorio
https://ecopetrol.sharepoint.com/sites/comunidadesdepracticaECP/EstimPozos/GDFE/Forms/AllItems.aspx?csf=1&amp;web=1&amp;e=Mm2usV&amp;cid=a85ef813%2Dc5d9%2D4601%2Dbdf8%2Ddd5fa9d6a721&amp;FolderCTID=0x01200095C6E94CFEA613409C4EA4FF99FD008C&amp;id=%2Fsites%2FcomunidadesdepracticaECP%2FEstimPozos%2FGDFE%2FBarriles%2F2024&amp;viewid=71ccfd21%2D31af%2D497c%2Dbcc1%2D9e157842de62</t>
  </si>
  <si>
    <t>Digital PJR post jobs analisis en repositorio 
https://ecopetrol.sharepoint.com/sites/comunidadesdepracticaECP/EstimPozos/GDFE/Forms/AllItems.aspx?csf=1&amp;web=1&amp;e=Mm2usV&amp;cid=a85ef813%2Dc5d9%2D4601%2Dbdf8%2Ddd5fa9d6a721&amp;FolderCTID=0x01200095C6E94CFEA613409C4EA4FF99FD008C&amp;id=%2Fsites%2FcomunidadesdepracticaECP%2FEstimPozos%2FGDFE%2FBarriles%2F2024&amp;viewid=71ccfd21%2D31af%2D497c%2Dbcc1%2D9e157842de62</t>
  </si>
  <si>
    <t>Digital, MER (grupo de productividad)
https://ecopetrol.sharepoint.com/sites/comunidadesdepracticaECP/EstimPozos/GDFE/Forms/AllItems.aspx?csf=1&amp;web=1&amp;e=Mm2usV&amp;cid=a85ef813%2Dc5d9%2D4601%2Dbdf8%2Ddd5fa9d6a721&amp;FolderCTID=0x01200095C6E94CFEA613409C4EA4FF99FD008C&amp;id=%2Fsites%2FcomunidadesdepracticaECP%2FEstimPozos%2FGDFE%2FBarriles&amp;viewid=71ccfd21%2D31af%2D497c%2Dbcc1%2D9e157842de62</t>
  </si>
  <si>
    <t>Adelantar la evaluación e interpretación de datos enfocada a candidatización de actividades de reacondicionamiento y optimización de productividad en los activos</t>
  </si>
  <si>
    <t>X</t>
  </si>
  <si>
    <t>Italo Bahamon</t>
  </si>
  <si>
    <t>3.17</t>
  </si>
  <si>
    <t>5.2</t>
  </si>
  <si>
    <t>5.5</t>
  </si>
  <si>
    <t>5.6</t>
  </si>
  <si>
    <t>5.7</t>
  </si>
  <si>
    <t>5.8</t>
  </si>
  <si>
    <t>5.9</t>
  </si>
  <si>
    <t>5.1</t>
  </si>
  <si>
    <t>Generar bases de datos de Eventos de pozos</t>
  </si>
  <si>
    <t>Base de Datos</t>
  </si>
  <si>
    <t>5.3</t>
  </si>
  <si>
    <t>Estimar restricciones de Presión y tasas para la generacion</t>
  </si>
  <si>
    <t>5.4</t>
  </si>
  <si>
    <t>Generar modelo de Pozos</t>
  </si>
  <si>
    <t xml:space="preserve">Adelantar   la   evaluación   e   interpretación   de   datos   </t>
  </si>
  <si>
    <t>5.10</t>
  </si>
  <si>
    <t>Adelantar en análisis y evaluación de datos enfocada a la ejecución de estudios de daño de formación</t>
  </si>
  <si>
    <t>5.11</t>
  </si>
  <si>
    <t>Generar los análisis asociados a la ejecución de estudios de daño de formación empleando simulación numérica (análisis nodal y single well model, análisis de aguas, análisis de crudos, entre otros)</t>
  </si>
  <si>
    <t>7.1</t>
  </si>
  <si>
    <t>Evaluar el estatus de las facilidades (Operatividad) y</t>
  </si>
  <si>
    <t>7.2</t>
  </si>
  <si>
    <t>Evaluar la Integridad de las facilidades existentes</t>
  </si>
  <si>
    <t>7.3</t>
  </si>
  <si>
    <t xml:space="preserve">Generación  de  Opex  y  Capex  para  la  adecuación  de  </t>
  </si>
  <si>
    <t>8.4</t>
  </si>
  <si>
    <t xml:space="preserve">Análisis de resultados y análisis Estadístico - descriptivo de </t>
  </si>
  <si>
    <t>Control de calidad del dato adquirido para valorar representatividad de la prueba en cuestión. De ser válidas, levantamiento de información de entrada para análisis e interpretación (registros de desviación, estado mecánico de cada pozo, caliper/bit size ("), espesor neto (pies TVD), porosidad media (phi), Sw, PVT, producciones asociadas, corte de agua, salinidades, mapa estructural, etc.</t>
  </si>
  <si>
    <t xml:space="preserve">Inventario - Informe de </t>
  </si>
  <si>
    <t>3.16</t>
  </si>
  <si>
    <t>Análisis de Declinaciones por pozo y/o subunidad</t>
  </si>
  <si>
    <t xml:space="preserve">Base de Datos - Perfiles </t>
  </si>
  <si>
    <t xml:space="preserve">Base de Datos - Informe de </t>
  </si>
  <si>
    <t>3.18</t>
  </si>
  <si>
    <t>Generar perfiles de Producción por pozos para pozos existente en escenarios Bajo, Medio y Alto</t>
  </si>
  <si>
    <t xml:space="preserve">Base de Datos - Informe d </t>
  </si>
  <si>
    <t>Base de Datos - Informe d</t>
  </si>
  <si>
    <t xml:space="preserve">Análisis de delta de presión en ingreso de nanofluidos en pozos productores del campo Apiay y Suria de la gerencia GDA </t>
  </si>
  <si>
    <t>C:\Users\C1017211\OneDrive - Ecopetrol S.A\Documentos</t>
  </si>
  <si>
    <t xml:space="preserve">Consolidación de plan de operaciones de estimulación y fractura para el año 2026, con el fin de determinar la actividad proyectada en pro de sostener la productividad de la compañía </t>
  </si>
  <si>
    <t>C:\Users\C1017211\OneDrive - Ecopetrol S.A\Documentos\CP Estimulación de Pozos - GDFE\Barriles\2026</t>
  </si>
  <si>
    <t>Revisión de candidatización de pozos en las genrecias GCL, GDA y GCH y caracterización de daño y estimulación matricial en VRO</t>
  </si>
  <si>
    <t>https://ecopetrol.sharepoint.com/sites/comunidadesdepracticaECP/EstimPozos/GDFE</t>
  </si>
  <si>
    <t>Confirmación de operaciones y trenes de evaluación 
Revisión de data para análisis nodal de los pozos de la campaña MaxPro a implementar en el año 2026</t>
  </si>
  <si>
    <t>C:\Users\C1017211\OneDrive - Ecopetrol S.A\Documentos\CP Estimulación de Pozos - GDFE</t>
  </si>
  <si>
    <t xml:space="preserve">Revisión y consolidación de programas operativos de estimulación matricial, con sus respectivos informes de laboratorio y aseguramiento de operación </t>
  </si>
  <si>
    <t>Revisión y consolidación de reportes finales de intervenciones de estimulación matricial y fracturamiento hidráulico de pozos en las gerencias GCL, GDA y GCH</t>
  </si>
  <si>
    <t>Seguimiento y actualización de la producción incremental de los pozos estimulados y/o fracturados en las gerencias GLC, GDA, GCH para la vigencia 2025 en el archivo Campaña MER 2026.</t>
  </si>
  <si>
    <t>"C:\Users\C1017211\OneDrive - Ecopetrol S.A\Documentos\CP Estimulación de Pozos - GDFE\Barriles\2026\Campaña_MER_2026.xlsm"</t>
  </si>
  <si>
    <t>3.11</t>
  </si>
  <si>
    <t>Análisis e interpretación de datos de pruebas de presión-producción (DSTs, PBU, Pruebas Extendidas Producción, Gradientes Estáticos- Dinámicos PT, etc.) o de presión inyección (Inyectividad, SRT, FOT) aplicadas ya sea en tiempo real, memorizadas o con sarta temporal DST. Integración Probador Formación - Registros Open Hole.</t>
  </si>
  <si>
    <t>Informe del análisis por pozo o prueba</t>
  </si>
  <si>
    <t>1.2</t>
  </si>
  <si>
    <t>Generación Bases de Datos de Pozos (Registros, Topes e información disponible).</t>
  </si>
  <si>
    <t>Base de datos en Excel. Organización de carpetas en la nube (onedrive)</t>
  </si>
  <si>
    <t>3.8</t>
  </si>
  <si>
    <t>Validación y estudio de presiones (Pre-Test) adquiridos a través de probadores de formación.</t>
  </si>
  <si>
    <t>Presentación con concepto técnico</t>
  </si>
  <si>
    <t>3.9</t>
  </si>
  <si>
    <t>Inventario y acceso a raw data de cada prueba de presión-producción o de presión inyección asociada incluyendo sensores involucrados (main+backup) así como job log de cada prueba donde se especifique, a parte de la secuencia operativa, fecha exacta de inicio de prueba (ddmm-yy hh:mm:ss), tipo de sensores empleados, profundidad de lectura tanto MD/TVD.</t>
  </si>
  <si>
    <t>Presentación con concepto técnico y presentación via teams ante el personal interesado</t>
  </si>
  <si>
    <t>3.12</t>
  </si>
  <si>
    <t>Generar Modelo de Presiones partiendo de las pruebas previamente validadas e interpretadas</t>
  </si>
  <si>
    <t>Modelo del sector</t>
  </si>
  <si>
    <t>Base de Datos, presentaciones, informes con conceptos técnicos</t>
  </si>
  <si>
    <t>Profesional a cargo</t>
  </si>
  <si>
    <t>Franklin Alejandro Botero Rivera</t>
  </si>
  <si>
    <t>Maria Alejandra Giraldo Muñoz</t>
  </si>
  <si>
    <t>Javier Enrique Guerrero Arrieta</t>
  </si>
  <si>
    <t>Daniela Molina Landinez</t>
  </si>
  <si>
    <t>Alexandra Katherine Londoño Camacho</t>
  </si>
  <si>
    <t>Lenin Cordoba Rivas</t>
  </si>
  <si>
    <t>Jesus Ernesto Coqueco Vargas</t>
  </si>
  <si>
    <t>3.10</t>
  </si>
  <si>
    <r>
      <rPr>
        <b/>
        <sz val="9"/>
        <color theme="1"/>
        <rFont val="Verdana"/>
        <family val="2"/>
      </rPr>
      <t>5,1 5,2 5,3 5,4 5,5 5,6 5,7 5,8 5,9 5,1 5,11 7,1 7,2 7,3 8,4 Senior (JG):</t>
    </r>
    <r>
      <rPr>
        <sz val="9"/>
        <color theme="1"/>
        <rFont val="Verdana"/>
        <family val="2"/>
      </rPr>
      <t xml:space="preserve">
</t>
    </r>
  </si>
  <si>
    <t xml:space="preserve">3,10 3,16 3,17 3,18 5,9 5,1 Junior (DM):
</t>
  </si>
  <si>
    <r>
      <rPr>
        <b/>
        <sz val="9"/>
        <color theme="1"/>
        <rFont val="Verdana"/>
        <family val="2"/>
      </rPr>
      <t>3,10 3,16 3,17 3,18 5,9 5,1 Junior (AL):</t>
    </r>
    <r>
      <rPr>
        <sz val="9"/>
        <color theme="1"/>
        <rFont val="Verdana"/>
        <family val="2"/>
      </rPr>
      <t xml:space="preserve">
</t>
    </r>
  </si>
  <si>
    <t xml:space="preserve">3.10 3.17 5.1 5.7 5.11 Senior ():
</t>
  </si>
  <si>
    <r>
      <t xml:space="preserve">1.2 3.8 3.9 3.11 3.12 5.5 5.6 5.7 Senior (JC):
</t>
    </r>
    <r>
      <rPr>
        <sz val="9"/>
        <color theme="1"/>
        <rFont val="Verdana"/>
        <family val="2"/>
      </rPr>
      <t>* Se realizó evaluación de 3 registros de calidad de cemento, en diferentes campos de diferentes vicepresidencias (CASTILLA, CASABE, PIEDEMONTE), usando el software Emeraude y aplicativo propio diseñado en Python.
* Se discutió a través de reuniones virtuales las intervenciones a diferentes pozos, en los campos CASTILLA, LLANITO, APIAY, entre otros. Se brindaron las recomendaciones técnicas pertinentes.
* Se prestó apoyo en la realización de los Templates en el Software Emeraude versión 5.60.01, para agilizar el proceso de cargue de los pozos. Se logró una reducción significativa en los tiempos de respuesta gracias al uso de dichos templates.
* La implementación de código de uso libre en Python permitió superar desafíos en el análisis de datos y la interpretación de registros, contribuyendo de manera clave al cumplimiento de los objetivos propuestos.
* Todos los conceptos, interpretaciones, análisis y estudios son enviados a través de Correo electrónico a las diferentes áreas interesadas y son guardados en la siguiente carpeta de OneDrive Dominio Ecopetrol perteneciente al Líder Técnico Alexander Castro. En el formato GP-F-25 (Sección 2, descripción y/o resultados) se detalla pozo a pozo la ubicación de los archivos dentro de la nube: https://ecopetrol-my.sharepoint.com/:f:/r/personal/alexander_castroch_ecopetrol_com_co/Documents/ALEX/Registros?csf=1&amp;web=1&amp;e=tP4gfr</t>
    </r>
  </si>
  <si>
    <r>
      <t xml:space="preserve">3.11 Junior (LC):
</t>
    </r>
    <r>
      <rPr>
        <sz val="9"/>
        <color theme="1"/>
        <rFont val="Verdana"/>
        <family val="2"/>
      </rPr>
      <t>Inicio de contrato laboral desde el 16 de enero.
Por motivos de la descativación de cuenta realizada en diciembre, fue necesario habilitar accesos a cuentas de red, correos, teams,onedrive, etc.
Este proceso fue un poco confuso y tomó alrededor de una semana.</t>
    </r>
    <r>
      <rPr>
        <b/>
        <sz val="9"/>
        <color theme="1"/>
        <rFont val="Verdana"/>
        <family val="2"/>
      </rPr>
      <t xml:space="preserve">
</t>
    </r>
  </si>
  <si>
    <r>
      <rPr>
        <b/>
        <sz val="9"/>
        <color theme="1"/>
        <rFont val="Verdana"/>
        <family val="2"/>
      </rPr>
      <t>3.17 5.2 5.5 5.6 5.7 5.8 5.9 Senior (MG):</t>
    </r>
    <r>
      <rPr>
        <sz val="9"/>
        <color theme="1"/>
        <rFont val="Verdana"/>
        <family val="2"/>
      </rPr>
      <t xml:space="preserve">
Se reportan 15 días del mes de enero, con incio de contrato el día 16 de enero de 2026 y # Contrato 90599924</t>
    </r>
  </si>
  <si>
    <t>-</t>
  </si>
  <si>
    <r>
      <rPr>
        <b/>
        <sz val="9"/>
        <color theme="1"/>
        <rFont val="Verdana"/>
        <family val="2"/>
      </rPr>
      <t xml:space="preserve">3,1 3,16 3,17 3,18 5,9 5,10 Junior (DM)
</t>
    </r>
    <r>
      <rPr>
        <sz val="9"/>
        <color theme="1"/>
        <rFont val="Verdana"/>
        <family val="2"/>
      </rPr>
      <t>Ajustes de sector model en REVEAL para escenarios de eficiencia de tratamientos de nano para control de arena en los pozos de Vigía sur. 
Inicio de recopilación y organización de información para generar un sector model en REVEAL para generar un análisis del pozo K2 GC562_9_BP01, tuvo un problema de arenamiento y necesita comprensión del efecto de la generación y transporte de arena. 
Se prepara presentación para definir el objetivo y alcance del análisis K2 GC562_9_BP01 Sanding Incident con ECP America 
Soporte en reuniones sistemáticas multidisciplinarias jueves de piloto en el campo GCH.</t>
    </r>
  </si>
  <si>
    <t>Por confirmar</t>
  </si>
  <si>
    <t>Todos los conceptos, interpretaciones, análisis y estudios son enviados a través de Correo electrónico a las diferentes áreas interesadas y son guardados en la siguiente carpeta de OneDrive Dominio Ecopetrol perteneciente al Lider Técnico Alexander Castro:
https://ecopetrol-my.sharepoint.com/:f:/r/personal/alexander_castroch_ecopetrol_com_co/Documents/ALEX/Registros?csf=1&amp;web=1&amp;e=tP4gfr</t>
  </si>
  <si>
    <r>
      <t>3.11 Junior (LC):</t>
    </r>
    <r>
      <rPr>
        <sz val="9"/>
        <color theme="1"/>
        <rFont val="Verdana"/>
        <family val="2"/>
      </rPr>
      <t xml:space="preserve">
Los detalles son descritos en el documento GP-F-25 INFORME TÉCNICO.</t>
    </r>
    <r>
      <rPr>
        <b/>
        <sz val="9"/>
        <color theme="1"/>
        <rFont val="Verdana"/>
        <family val="2"/>
      </rPr>
      <t xml:space="preserve">
</t>
    </r>
  </si>
  <si>
    <t>Informe de la Evaluación</t>
  </si>
  <si>
    <t xml:space="preserve">Finalización de presentación de lecciones aprendidas para GDA 2025, Y análisis de inyectividad en K para el campo Chichimene  </t>
  </si>
  <si>
    <t>C:\Users\C1017211\OneDrive - Ecopetrol S.A\Documentos\CP Estimulación de Pozos - GDFE\Barriles\2026\Lecciones Aprendidas GAA 2025</t>
  </si>
  <si>
    <t xml:space="preserve">Consolidación final de plan de operaciones de estimulación y fractura para el año 2026 y certificación MRT, y participación activa en campaña de cierre de brechas en en campo Akacias  </t>
  </si>
  <si>
    <t>Confirmación de operaciones y trenes de evaluación 
Consolidación de escenarios financieros variando costos y productividad de pozos de campaña MaxPro</t>
  </si>
  <si>
    <t xml:space="preserve">Revisión y consolidación de reportes finales de intervenciones de estimulación matricial y fracturamiento hidráulico de pozos en las gerencias GCL, GDA y GCH y consolidación de archivo SRT para documento PJR </t>
  </si>
  <si>
    <t>Seguimiento y actualización de la producción incremental de los pozos estimulados y/o fracturados en las gerencias GLC, GDA, GCH para la actualización del archivo Campaña MER 2026.</t>
  </si>
  <si>
    <t xml:space="preserve">Base de datos en sitio compartido </t>
  </si>
  <si>
    <t>Base de Datos Modelo por pozo</t>
  </si>
  <si>
    <t xml:space="preserve">Base de Datos en sitio compartido </t>
  </si>
  <si>
    <t>Conceptos y/o presentaciones de interpretaciones de pruebas y registros de pozos</t>
  </si>
  <si>
    <r>
      <t xml:space="preserve">3.10 3.17 5.1 5.7 5.11 Senior (LR):
</t>
    </r>
    <r>
      <rPr>
        <sz val="9"/>
        <color theme="1"/>
        <rFont val="Verdana"/>
        <family val="2"/>
      </rPr>
      <t xml:space="preserve">Los detalles son descritos en el documento GP-F-25 INFORME TÉCNICO.
A partir del 13 de Febrero se generó cambio de cargo a Profesional Senior.  </t>
    </r>
    <r>
      <rPr>
        <b/>
        <sz val="9"/>
        <color theme="1"/>
        <rFont val="Verdana"/>
        <family val="2"/>
      </rPr>
      <t xml:space="preserve">   
</t>
    </r>
  </si>
  <si>
    <t>Lenin Córdoba Rivas / Luis Chimones</t>
  </si>
  <si>
    <r>
      <t xml:space="preserve">1.2 3.8 3.9 3.11 3.12 5.5 5.6 5.7 Senior (JC):
</t>
    </r>
    <r>
      <rPr>
        <sz val="9"/>
        <color theme="1"/>
        <rFont val="Verdana"/>
        <family val="2"/>
      </rPr>
      <t>* Se realizó evaluación de 9 registros de calidad de cemento, en diferentes campos de diferentes vicepresidencias (CASTILLA, CASABE, PIEDEMONTE, CHICHIMENE), usando el software Emeraude y aplicativo propio diseñado en Python.
* Se realizó evaluación de 3 registros de ILT + FIUBRA OPTICA usando metodología de transientes creada en Python, para el análisis de perfiles de inyección e integridad. 
* Se realizó evaluación de 1 registro de correlación para posterior toma de decisiones, tras corte de tubería en pozo con BHA inteligente
* Se discutió a través de reuniones virtuales las intervenciones a diferentes pozos, en los campos CASTILLA, CASABE, APIAY, CHICHIMENE entre otros. Se brindaron las recomendaciones técnicas pertinentes.
* Se prestó apoyo en la realización de los Templates en el Software Emeraude versión 5.60.01, para agilizar el proceso de cargue de los pozos. Se logró una reducción significativa en los tiempos de respuesta gracias al uso de dichos templates.
* La implementación de código de uso libre en Python permitió superar desafíos en el análisis de datos y la interpretación de registros, contribuyendo de manera clave al cumplimiento de los objetivos propuestos.
* Todos los conceptos, interpretaciones, análisis y estudios son enviados a través de Correo electrónico a las diferentes áreas interesadas y son guardados en la siguiente carpeta de OneDrive Dominio Ecopetrol perteneciente al Líder Técnico Alexander Castro. En el formato GP-F-25 (Sección 2, descripción y/o resultados) se detalla pozo a pozo la ubicación de los archivos dentro de la nube: 
https://ecopetrol-my.sharepoint.com/:f:/r/personal/alexander_castroch_ecopetrol_com_co/Documents/ALEX/Registros?csf=1&amp;web=1&amp;e=tP4gfr</t>
    </r>
  </si>
  <si>
    <r>
      <t xml:space="preserve">3,1 3,16 3,17 3,18 5,9 5,10 Junior (DM)
</t>
    </r>
    <r>
      <rPr>
        <sz val="9"/>
        <color theme="1"/>
        <rFont val="Verdana"/>
        <family val="2"/>
      </rPr>
      <t>* Actualización y seguimiento del sector model en REVEAL para escenarios de eficiencia de tratamientos de nano para control de arena en los pozos de Vigía sur (VGS-05).
* Continuación de recopilación y organización de información para generar un sector model en REVEAL para generar un análisis del pozo K2 GC562_9_BP01, tuvo un problema de arenamiento y necesita comprensión del efecto de la generación y transporte de arena.
* Soporte en reuniones sistemáticas multidisciplinarias jueves de piloto en el campo GCH y en la elaboración del sector model para en REVEAL para el pozo CHSW-80 incluido archivos prosper</t>
    </r>
  </si>
  <si>
    <t>Richard Disney Zabala Romero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</si>
</sst>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x14ac:knownFonts="1">
    <font>
      <sz val="11"/>
      <color theme="1"/>
      <name val="Calibri"/>
      <family val="2"/>
      <scheme val="minor"/>
    </font>
    <font>
      <sz val="11"/>
      <color theme="1"/>
      <name val="Calibri"/>
      <family val="2"/>
      <scheme val="minor"/>
    </font>
    <font>
      <sz val="9"/>
      <color theme="1"/>
      <name val="Verdana"/>
      <family val="2"/>
    </font>
    <font>
      <sz val="9"/>
      <color theme="1"/>
      <name val="Calibri"/>
      <family val="2"/>
      <scheme val="minor"/>
    </font>
    <font>
      <b/>
      <sz val="9"/>
      <color theme="1"/>
      <name val="Verdana"/>
      <family val="2"/>
    </font>
    <font>
      <b/>
      <i/>
      <sz val="9"/>
      <color theme="1"/>
      <name val="Verdana"/>
      <family val="2"/>
    </font>
    <font>
      <sz val="20"/>
      <color theme="1"/>
      <name val="Verdana"/>
      <family val="2"/>
    </font>
    <font>
      <sz val="9"/>
      <color theme="0" tint="-0.499984740745262"/>
      <name val="Verdana"/>
      <family val="2"/>
    </font>
    <font>
      <sz val="9"/>
      <color indexed="81"/>
      <name val="Tahoma"/>
      <family val="2"/>
    </font>
    <font>
      <sz val="9"/>
      <color rgb="FF000000"/>
      <name val="Tahoma"/>
      <family val="2"/>
    </font>
    <font>
      <sz val="9"/>
      <color rgb="FF000000"/>
      <name val="Verdana"/>
      <family val="2"/>
    </font>
  </fonts>
  <fills count="5">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0" tint="-0.14999847407452621"/>
        <bgColor indexed="64"/>
      </patternFill>
    </fill>
  </fills>
  <borders count="2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s>
  <cellStyleXfs count="2">
    <xf numFmtId="0" fontId="0" fillId="0" borderId="0"/>
    <xf numFmtId="9" fontId="1" fillId="0" borderId="0" applyFont="0" applyFill="0" applyBorder="0" applyAlignment="0" applyProtection="0"/>
  </cellStyleXfs>
  <cellXfs count="127">
    <xf numFmtId="0" fontId="0" fillId="0" borderId="0" xfId="0"/>
    <xf numFmtId="164" fontId="4" fillId="0" borderId="8" xfId="1" applyNumberFormat="1" applyFont="1" applyBorder="1" applyAlignment="1" applyProtection="1">
      <alignment horizontal="center" vertical="center"/>
    </xf>
    <xf numFmtId="0" fontId="3" fillId="0" borderId="0" xfId="0" applyFont="1"/>
    <xf numFmtId="0" fontId="2" fillId="0" borderId="0" xfId="0" applyFont="1"/>
    <xf numFmtId="0" fontId="2" fillId="0" borderId="5" xfId="0" applyFont="1" applyBorder="1"/>
    <xf numFmtId="0" fontId="2" fillId="0" borderId="6" xfId="0" applyFont="1" applyBorder="1"/>
    <xf numFmtId="0" fontId="2" fillId="0" borderId="7" xfId="0" applyFont="1" applyBorder="1"/>
    <xf numFmtId="0" fontId="3" fillId="0" borderId="0" xfId="0" applyFont="1" applyAlignment="1">
      <alignment vertical="center"/>
    </xf>
    <xf numFmtId="0" fontId="4" fillId="2" borderId="8" xfId="0" applyFont="1" applyFill="1" applyBorder="1" applyAlignment="1">
      <alignment horizontal="center" vertical="center"/>
    </xf>
    <xf numFmtId="0" fontId="4" fillId="0" borderId="0" xfId="0" applyFont="1" applyAlignment="1">
      <alignment horizontal="center" vertical="center"/>
    </xf>
    <xf numFmtId="0" fontId="2" fillId="0" borderId="0" xfId="0" applyFont="1" applyAlignment="1">
      <alignment vertical="center"/>
    </xf>
    <xf numFmtId="0" fontId="2" fillId="0" borderId="9" xfId="0" applyFont="1" applyBorder="1" applyAlignment="1">
      <alignment vertical="center"/>
    </xf>
    <xf numFmtId="0" fontId="2" fillId="0" borderId="10" xfId="0" applyFont="1" applyBorder="1"/>
    <xf numFmtId="0" fontId="2" fillId="0" borderId="9" xfId="0" applyFont="1" applyBorder="1"/>
    <xf numFmtId="49" fontId="4" fillId="2" borderId="8" xfId="0" applyNumberFormat="1" applyFont="1" applyFill="1" applyBorder="1" applyAlignment="1">
      <alignment horizontal="center" vertical="center"/>
    </xf>
    <xf numFmtId="49" fontId="4" fillId="0" borderId="0" xfId="0" applyNumberFormat="1" applyFont="1" applyAlignment="1">
      <alignment horizontal="center" vertical="center"/>
    </xf>
    <xf numFmtId="0" fontId="2" fillId="0" borderId="10" xfId="0" applyFont="1" applyBorder="1" applyAlignment="1">
      <alignment horizontal="center" vertical="center" wrapText="1"/>
    </xf>
    <xf numFmtId="0" fontId="2" fillId="0" borderId="0" xfId="0" applyFont="1" applyAlignment="1">
      <alignment horizontal="center" vertical="center" wrapText="1"/>
    </xf>
    <xf numFmtId="14" fontId="4" fillId="2" borderId="8" xfId="0" applyNumberFormat="1" applyFont="1" applyFill="1" applyBorder="1" applyAlignment="1">
      <alignment horizontal="center" vertical="center"/>
    </xf>
    <xf numFmtId="14" fontId="4" fillId="0" borderId="0" xfId="0" applyNumberFormat="1" applyFont="1" applyAlignment="1">
      <alignment horizontal="center" vertical="center"/>
    </xf>
    <xf numFmtId="0" fontId="2" fillId="0" borderId="11" xfId="0" applyFont="1" applyBorder="1"/>
    <xf numFmtId="0" fontId="2" fillId="0" borderId="12" xfId="0" applyFont="1" applyBorder="1"/>
    <xf numFmtId="0" fontId="2" fillId="0" borderId="13" xfId="0" applyFont="1" applyBorder="1"/>
    <xf numFmtId="0" fontId="2" fillId="2" borderId="8" xfId="0" applyFont="1" applyFill="1" applyBorder="1" applyAlignment="1">
      <alignment horizontal="center" vertical="center" wrapText="1"/>
    </xf>
    <xf numFmtId="0" fontId="0" fillId="0" borderId="0" xfId="0" applyAlignment="1">
      <alignment vertical="center"/>
    </xf>
    <xf numFmtId="0" fontId="4" fillId="0" borderId="8" xfId="0" applyFont="1" applyBorder="1" applyAlignment="1">
      <alignment horizontal="center" vertical="center"/>
    </xf>
    <xf numFmtId="1" fontId="4" fillId="0" borderId="8" xfId="0" applyNumberFormat="1" applyFont="1" applyBorder="1" applyAlignment="1">
      <alignment horizontal="center" vertical="center"/>
    </xf>
    <xf numFmtId="0" fontId="4" fillId="4" borderId="2" xfId="0" applyFont="1" applyFill="1" applyBorder="1" applyAlignment="1">
      <alignment vertical="center"/>
    </xf>
    <xf numFmtId="0" fontId="4" fillId="4" borderId="0" xfId="0" applyFont="1" applyFill="1" applyAlignment="1">
      <alignment vertical="center"/>
    </xf>
    <xf numFmtId="0" fontId="4" fillId="4" borderId="4" xfId="0" applyFont="1" applyFill="1" applyBorder="1" applyAlignment="1">
      <alignment vertical="center"/>
    </xf>
    <xf numFmtId="0" fontId="2" fillId="0" borderId="8" xfId="0" applyFont="1" applyBorder="1" applyAlignment="1">
      <alignment horizontal="center" vertical="center"/>
    </xf>
    <xf numFmtId="0" fontId="6" fillId="0" borderId="8" xfId="0" applyFont="1" applyBorder="1" applyAlignment="1">
      <alignment horizontal="center"/>
    </xf>
    <xf numFmtId="0" fontId="0" fillId="0" borderId="0" xfId="0" applyAlignment="1">
      <alignment wrapText="1"/>
    </xf>
    <xf numFmtId="0" fontId="3" fillId="0" borderId="0" xfId="0" applyFont="1" applyAlignment="1">
      <alignment vertical="center" wrapText="1"/>
    </xf>
    <xf numFmtId="0" fontId="2" fillId="0" borderId="1" xfId="0" applyFont="1" applyBorder="1" applyAlignment="1">
      <alignment horizontal="center" vertical="center"/>
    </xf>
    <xf numFmtId="0" fontId="2" fillId="0" borderId="14" xfId="0" applyFont="1" applyBorder="1" applyAlignment="1">
      <alignment horizontal="left" vertical="center"/>
    </xf>
    <xf numFmtId="0" fontId="2" fillId="0" borderId="14" xfId="0" applyFont="1" applyBorder="1" applyAlignment="1">
      <alignment horizontal="center" vertical="center"/>
    </xf>
    <xf numFmtId="0" fontId="2" fillId="3" borderId="1" xfId="0" applyFont="1" applyFill="1" applyBorder="1" applyAlignment="1">
      <alignment horizontal="center" vertical="center"/>
    </xf>
    <xf numFmtId="9" fontId="2" fillId="0" borderId="14" xfId="1" applyFont="1" applyBorder="1" applyAlignment="1" applyProtection="1">
      <alignment horizontal="center" vertical="center"/>
    </xf>
    <xf numFmtId="1" fontId="2" fillId="0" borderId="14" xfId="0" applyNumberFormat="1" applyFont="1" applyBorder="1" applyAlignment="1">
      <alignment horizontal="center" vertical="center"/>
    </xf>
    <xf numFmtId="0" fontId="2" fillId="0" borderId="19" xfId="0" applyFont="1" applyBorder="1" applyAlignment="1">
      <alignment horizontal="center" vertical="center"/>
    </xf>
    <xf numFmtId="0" fontId="2" fillId="0" borderId="15" xfId="0" applyFont="1" applyBorder="1" applyAlignment="1">
      <alignment horizontal="center" vertical="center"/>
    </xf>
    <xf numFmtId="0" fontId="2" fillId="0" borderId="16" xfId="0" applyFont="1" applyBorder="1" applyAlignment="1">
      <alignment horizontal="left" vertical="center"/>
    </xf>
    <xf numFmtId="0" fontId="2" fillId="3" borderId="19" xfId="0" applyFont="1" applyFill="1" applyBorder="1" applyAlignment="1">
      <alignment horizontal="center" vertical="center"/>
    </xf>
    <xf numFmtId="0" fontId="2" fillId="3" borderId="15" xfId="0" applyFont="1" applyFill="1" applyBorder="1" applyAlignment="1">
      <alignment horizontal="center" vertical="center"/>
    </xf>
    <xf numFmtId="9" fontId="2" fillId="0" borderId="20" xfId="1" applyFont="1" applyBorder="1" applyAlignment="1" applyProtection="1">
      <alignment horizontal="center" vertical="center"/>
    </xf>
    <xf numFmtId="1" fontId="2" fillId="0" borderId="20" xfId="0" applyNumberFormat="1" applyFont="1" applyBorder="1" applyAlignment="1">
      <alignment horizontal="center" vertical="center"/>
    </xf>
    <xf numFmtId="0" fontId="2" fillId="0" borderId="15" xfId="0" applyFont="1" applyBorder="1" applyAlignment="1">
      <alignment horizontal="left" vertical="center"/>
    </xf>
    <xf numFmtId="0" fontId="2" fillId="3" borderId="20" xfId="0" applyFont="1" applyFill="1" applyBorder="1" applyAlignment="1">
      <alignment horizontal="center" vertical="center"/>
    </xf>
    <xf numFmtId="1" fontId="2" fillId="0" borderId="16" xfId="0" applyNumberFormat="1" applyFont="1" applyBorder="1" applyAlignment="1">
      <alignment horizontal="center" vertical="center"/>
    </xf>
    <xf numFmtId="9" fontId="2" fillId="0" borderId="15" xfId="1" applyFont="1" applyBorder="1" applyAlignment="1" applyProtection="1">
      <alignment horizontal="center" vertical="center"/>
    </xf>
    <xf numFmtId="1" fontId="2" fillId="0" borderId="15" xfId="0" applyNumberFormat="1" applyFont="1" applyBorder="1" applyAlignment="1">
      <alignment horizontal="center" vertical="center"/>
    </xf>
    <xf numFmtId="0" fontId="2" fillId="0" borderId="17" xfId="0" applyFont="1" applyBorder="1" applyAlignment="1">
      <alignment horizontal="center" vertical="center"/>
    </xf>
    <xf numFmtId="0" fontId="2" fillId="0" borderId="17" xfId="0" applyFont="1" applyBorder="1" applyAlignment="1">
      <alignment horizontal="left" vertical="center"/>
    </xf>
    <xf numFmtId="0" fontId="2" fillId="3" borderId="17" xfId="0" applyFont="1" applyFill="1" applyBorder="1" applyAlignment="1">
      <alignment horizontal="center" vertical="center"/>
    </xf>
    <xf numFmtId="9" fontId="2" fillId="0" borderId="17" xfId="1" applyFont="1" applyBorder="1" applyAlignment="1" applyProtection="1">
      <alignment horizontal="center" vertical="center"/>
    </xf>
    <xf numFmtId="1" fontId="2" fillId="0" borderId="17" xfId="0" applyNumberFormat="1" applyFont="1" applyBorder="1" applyAlignment="1">
      <alignment horizontal="center" vertical="center"/>
    </xf>
    <xf numFmtId="0" fontId="2" fillId="0" borderId="16" xfId="0" applyFont="1" applyBorder="1" applyAlignment="1">
      <alignment horizontal="center" vertical="center"/>
    </xf>
    <xf numFmtId="9" fontId="2" fillId="0" borderId="8" xfId="1" applyFont="1" applyBorder="1" applyAlignment="1" applyProtection="1">
      <alignment horizontal="center" vertical="center"/>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2" fillId="0" borderId="20" xfId="0" applyFont="1" applyBorder="1" applyAlignment="1">
      <alignment horizontal="left" vertical="center"/>
    </xf>
    <xf numFmtId="0" fontId="10" fillId="0" borderId="17" xfId="0" applyFont="1" applyBorder="1" applyAlignment="1">
      <alignment horizontal="left" vertical="center"/>
    </xf>
    <xf numFmtId="9" fontId="2" fillId="0" borderId="1" xfId="1" applyFont="1" applyBorder="1" applyAlignment="1" applyProtection="1">
      <alignment horizontal="center" vertical="center"/>
    </xf>
    <xf numFmtId="9" fontId="2" fillId="0" borderId="19" xfId="1" applyFont="1" applyBorder="1" applyAlignment="1" applyProtection="1">
      <alignment horizontal="center" vertical="center"/>
    </xf>
    <xf numFmtId="1" fontId="2" fillId="0" borderId="19" xfId="0" applyNumberFormat="1" applyFont="1" applyBorder="1" applyAlignment="1">
      <alignment horizontal="center" vertical="center"/>
    </xf>
    <xf numFmtId="0" fontId="2" fillId="0" borderId="1" xfId="0" applyFont="1" applyBorder="1" applyAlignment="1">
      <alignment horizontal="left" vertical="center"/>
    </xf>
    <xf numFmtId="0" fontId="2" fillId="0" borderId="19" xfId="0" applyFont="1" applyBorder="1" applyAlignment="1">
      <alignment horizontal="left" vertical="center"/>
    </xf>
    <xf numFmtId="0" fontId="2" fillId="3" borderId="14" xfId="0" applyFont="1" applyFill="1" applyBorder="1" applyAlignment="1">
      <alignment horizontal="center" vertical="center"/>
    </xf>
    <xf numFmtId="0" fontId="10" fillId="0" borderId="20" xfId="0" applyFont="1" applyBorder="1" applyAlignment="1">
      <alignment horizontal="left" vertical="center"/>
    </xf>
    <xf numFmtId="0" fontId="2" fillId="3" borderId="16" xfId="0" applyFont="1" applyFill="1" applyBorder="1" applyAlignment="1">
      <alignment horizontal="center" vertical="center"/>
    </xf>
    <xf numFmtId="0" fontId="2" fillId="0" borderId="8" xfId="0" applyFont="1" applyBorder="1" applyAlignment="1">
      <alignment horizontal="left" vertical="center"/>
    </xf>
    <xf numFmtId="0" fontId="10" fillId="0" borderId="8" xfId="0" applyFont="1" applyBorder="1" applyAlignment="1">
      <alignment horizontal="left" vertical="center"/>
    </xf>
    <xf numFmtId="0" fontId="2" fillId="3" borderId="8" xfId="0" applyFont="1" applyFill="1" applyBorder="1" applyAlignment="1">
      <alignment horizontal="center" vertical="center"/>
    </xf>
    <xf numFmtId="1" fontId="2" fillId="0" borderId="8" xfId="0" applyNumberFormat="1" applyFont="1" applyBorder="1" applyAlignment="1">
      <alignment horizontal="center" vertical="center"/>
    </xf>
    <xf numFmtId="0" fontId="10" fillId="0" borderId="19" xfId="0" applyFont="1" applyBorder="1" applyAlignment="1">
      <alignment horizontal="left" vertical="center"/>
    </xf>
    <xf numFmtId="0" fontId="2" fillId="0" borderId="0" xfId="0" applyFont="1" applyAlignment="1">
      <alignment wrapText="1"/>
    </xf>
    <xf numFmtId="0" fontId="4"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0" xfId="0" applyFont="1" applyAlignment="1">
      <alignment vertical="center" wrapText="1"/>
    </xf>
    <xf numFmtId="0" fontId="4" fillId="4" borderId="0" xfId="0" applyFont="1" applyFill="1" applyAlignment="1">
      <alignment vertical="center" wrapText="1"/>
    </xf>
    <xf numFmtId="0" fontId="2" fillId="0" borderId="0" xfId="0" applyFont="1" applyAlignment="1">
      <alignment horizontal="center" wrapText="1"/>
    </xf>
    <xf numFmtId="0" fontId="10" fillId="0" borderId="15" xfId="0" applyFont="1" applyBorder="1" applyAlignment="1" applyProtection="1">
      <alignment horizontal="left" vertical="center"/>
      <protection locked="0"/>
    </xf>
    <xf numFmtId="0" fontId="10" fillId="0" borderId="14" xfId="0" applyFont="1" applyBorder="1" applyAlignment="1" applyProtection="1">
      <alignment horizontal="left" vertical="center"/>
      <protection locked="0"/>
    </xf>
    <xf numFmtId="0" fontId="2" fillId="3" borderId="19"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protection locked="0"/>
    </xf>
    <xf numFmtId="0" fontId="2" fillId="3" borderId="15" xfId="0" applyFont="1" applyFill="1" applyBorder="1" applyAlignment="1" applyProtection="1">
      <alignment horizontal="center" vertical="center"/>
      <protection locked="0"/>
    </xf>
    <xf numFmtId="0" fontId="2" fillId="3" borderId="20" xfId="0" applyFont="1" applyFill="1" applyBorder="1" applyAlignment="1" applyProtection="1">
      <alignment horizontal="center" vertical="center"/>
      <protection locked="0"/>
    </xf>
    <xf numFmtId="0" fontId="2" fillId="3" borderId="17" xfId="0" applyFont="1" applyFill="1" applyBorder="1" applyAlignment="1" applyProtection="1">
      <alignment horizontal="center" vertical="center"/>
      <protection locked="0"/>
    </xf>
    <xf numFmtId="0" fontId="2" fillId="3" borderId="1" xfId="0" applyFont="1" applyFill="1" applyBorder="1" applyAlignment="1" applyProtection="1">
      <alignment horizontal="center" vertical="center" wrapText="1"/>
      <protection locked="0"/>
    </xf>
    <xf numFmtId="0" fontId="2" fillId="3" borderId="15"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3" borderId="17" xfId="0" applyFont="1" applyFill="1" applyBorder="1" applyAlignment="1" applyProtection="1">
      <alignment horizontal="center" vertical="center" wrapText="1"/>
      <protection locked="0"/>
    </xf>
    <xf numFmtId="0" fontId="10" fillId="0" borderId="17" xfId="0" applyFont="1" applyBorder="1" applyAlignment="1" applyProtection="1">
      <alignment horizontal="left" vertical="center"/>
      <protection locked="0"/>
    </xf>
    <xf numFmtId="0" fontId="2" fillId="0" borderId="14" xfId="0" applyFont="1" applyBorder="1" applyAlignment="1" applyProtection="1">
      <alignment horizontal="left" vertical="center"/>
      <protection locked="0"/>
    </xf>
    <xf numFmtId="0" fontId="2" fillId="0" borderId="15" xfId="0" applyFont="1" applyBorder="1" applyAlignment="1" applyProtection="1">
      <alignment horizontal="left" vertical="center"/>
      <protection locked="0"/>
    </xf>
    <xf numFmtId="0" fontId="2" fillId="0" borderId="20" xfId="0" applyFont="1" applyBorder="1" applyAlignment="1" applyProtection="1">
      <alignment horizontal="left" vertical="center"/>
      <protection locked="0"/>
    </xf>
    <xf numFmtId="0" fontId="10" fillId="0" borderId="19" xfId="0" applyFont="1" applyBorder="1" applyAlignment="1" applyProtection="1">
      <alignment horizontal="left" vertical="center"/>
      <protection locked="0"/>
    </xf>
    <xf numFmtId="0" fontId="2" fillId="0" borderId="17" xfId="0" applyFont="1" applyBorder="1" applyAlignment="1" applyProtection="1">
      <alignment horizontal="left" vertical="center"/>
      <protection locked="0"/>
    </xf>
    <xf numFmtId="0" fontId="2" fillId="0" borderId="19" xfId="0" applyFont="1" applyBorder="1" applyAlignment="1" applyProtection="1">
      <alignment horizontal="left" vertical="center"/>
      <protection locked="0"/>
    </xf>
    <xf numFmtId="0" fontId="10" fillId="0" borderId="8" xfId="0" applyFont="1" applyBorder="1" applyAlignment="1" applyProtection="1">
      <alignment horizontal="left" vertical="center"/>
      <protection locked="0"/>
    </xf>
    <xf numFmtId="0" fontId="2" fillId="0" borderId="8" xfId="0" applyFont="1" applyBorder="1" applyAlignment="1" applyProtection="1">
      <alignment horizontal="left" vertical="center"/>
      <protection locked="0"/>
    </xf>
    <xf numFmtId="0" fontId="2" fillId="0" borderId="1"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8" xfId="0" applyFont="1" applyBorder="1" applyAlignment="1">
      <alignment horizontal="center" vertical="center" wrapText="1"/>
    </xf>
    <xf numFmtId="0" fontId="2" fillId="2" borderId="8" xfId="0" applyFont="1" applyFill="1" applyBorder="1" applyAlignment="1">
      <alignment horizontal="center" vertical="center" wrapText="1"/>
    </xf>
    <xf numFmtId="0" fontId="2" fillId="2" borderId="8" xfId="0" applyFont="1" applyFill="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2" fillId="0" borderId="6" xfId="0" applyFont="1" applyBorder="1" applyAlignment="1">
      <alignment horizontal="center" vertical="center"/>
    </xf>
    <xf numFmtId="0" fontId="2" fillId="0" borderId="0" xfId="0" applyFont="1" applyAlignment="1">
      <alignment horizontal="center" vertical="center"/>
    </xf>
    <xf numFmtId="0" fontId="4" fillId="2" borderId="8"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8" xfId="0" applyFont="1" applyFill="1" applyBorder="1" applyAlignment="1">
      <alignment horizontal="left" vertical="top"/>
    </xf>
    <xf numFmtId="0" fontId="4" fillId="3" borderId="8" xfId="0" applyFont="1" applyFill="1" applyBorder="1" applyAlignment="1">
      <alignment horizontal="center" vertical="center" wrapText="1"/>
    </xf>
    <xf numFmtId="0" fontId="7" fillId="0" borderId="8" xfId="0" applyFont="1" applyBorder="1" applyAlignment="1">
      <alignment horizontal="left" vertical="top" wrapText="1"/>
    </xf>
    <xf numFmtId="0" fontId="4" fillId="0" borderId="8" xfId="0" applyFont="1" applyBorder="1" applyAlignment="1">
      <alignment horizontal="center" vertical="center" wrapText="1"/>
    </xf>
    <xf numFmtId="0" fontId="2" fillId="2" borderId="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4" fillId="2" borderId="18" xfId="0" applyFont="1" applyFill="1" applyBorder="1" applyAlignment="1">
      <alignment horizontal="center" vertical="center"/>
    </xf>
    <xf numFmtId="0" fontId="2" fillId="0" borderId="12" xfId="0" applyFont="1" applyBorder="1" applyAlignment="1">
      <alignment horizontal="center"/>
    </xf>
  </cellXfs>
  <cellStyles count="2">
    <cellStyle name="Normal" xfId="0" builtinId="0"/>
    <cellStyle name="Porcentaje" xfId="1" builtinId="5"/>
  </cellStyles>
  <dxfs count="2">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23888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4331" y="194787"/>
          <a:ext cx="2388869" cy="6217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59531</xdr:colOff>
      <xdr:row>1</xdr:row>
      <xdr:rowOff>11907</xdr:rowOff>
    </xdr:from>
    <xdr:to>
      <xdr:col>3</xdr:col>
      <xdr:colOff>878680</xdr:colOff>
      <xdr:row>2</xdr:row>
      <xdr:rowOff>8854</xdr:rowOff>
    </xdr:to>
    <xdr:pic>
      <xdr:nvPicPr>
        <xdr:cNvPr id="2" name="Picture 17" descr="logo_meridian">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0383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59531</xdr:colOff>
      <xdr:row>1</xdr:row>
      <xdr:rowOff>11907</xdr:rowOff>
    </xdr:from>
    <xdr:to>
      <xdr:col>3</xdr:col>
      <xdr:colOff>878680</xdr:colOff>
      <xdr:row>2</xdr:row>
      <xdr:rowOff>8854</xdr:rowOff>
    </xdr:to>
    <xdr:pic>
      <xdr:nvPicPr>
        <xdr:cNvPr id="3" name="Picture 17" descr="logo_meridian">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8606" y="240507"/>
          <a:ext cx="2038349" cy="6255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10_PROYECTOS\3_CONTRATOS\ECOPETROL%203037132\Documentos_a_env&#237;ar_por_ODS\2026\ODS%2090599924_Richard%20Zabala\Carolina%20Leon%20V\GP-F-23_Base%20Carolina%20Leon%20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sheetName val="FEBRERO"/>
      <sheetName val="MARZO"/>
      <sheetName val="ABRIL"/>
      <sheetName val="MAYO"/>
      <sheetName val="JUNIO"/>
      <sheetName val="JULIO"/>
      <sheetName val="AGOSTO"/>
      <sheetName val="SEPTIEMBRE"/>
      <sheetName val="OCTUBRE"/>
      <sheetName val="NOVIEMBRE"/>
      <sheetName val="DICIEMBRE"/>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ecopetrol.sharepoint.com/:x:/r/sites/comunidadesdepracticaECP/EstimPozos/_layouts/15/Doc.aspx?sourcedoc=%7B6388FF53-1262-4B83-A404-4DBBE323A8A9%7D&amp;file=Campa%C3%B1a_MER_2025.xlsm&amp;action=default&amp;mobileredirect=true"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36"/>
  <sheetViews>
    <sheetView showGridLines="0" view="pageBreakPreview" zoomScaleNormal="100" zoomScaleSheetLayoutView="100" workbookViewId="0">
      <selection activeCell="B2" sqref="B2:L2"/>
    </sheetView>
  </sheetViews>
  <sheetFormatPr baseColWidth="10" defaultColWidth="8.6328125" defaultRowHeight="14.5" x14ac:dyDescent="0.35"/>
  <cols>
    <col min="1" max="1" width="3.36328125" style="2" customWidth="1"/>
    <col min="2" max="2" width="9.6328125" style="3" customWidth="1"/>
    <col min="3" max="3" width="8.54296875" style="3" customWidth="1"/>
    <col min="4" max="4" width="43.36328125" style="3" customWidth="1"/>
    <col min="5" max="5" width="19.54296875" style="76" customWidth="1"/>
    <col min="6" max="6" width="14.08984375" style="3" bestFit="1" customWidth="1"/>
    <col min="7" max="7" width="51.90625" style="3" customWidth="1"/>
    <col min="8" max="8" width="13.6328125" style="3" customWidth="1"/>
    <col min="9" max="9" width="13.453125" style="3" customWidth="1"/>
    <col min="10" max="10" width="10.453125" style="3" customWidth="1"/>
    <col min="11" max="11" width="12.453125" style="3" customWidth="1"/>
    <col min="12" max="12" width="12.36328125" style="3" customWidth="1"/>
    <col min="13" max="13" width="3.3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ht="18" customHeight="1" x14ac:dyDescent="0.35">
      <c r="Q1" t="s">
        <v>0</v>
      </c>
    </row>
    <row r="2" spans="2:17" ht="49.5" customHeight="1" x14ac:dyDescent="0.35">
      <c r="B2" s="107" t="s">
        <v>1</v>
      </c>
      <c r="C2" s="107"/>
      <c r="D2" s="107"/>
      <c r="E2" s="107"/>
      <c r="F2" s="107"/>
      <c r="G2" s="107"/>
      <c r="H2" s="107"/>
      <c r="I2" s="107"/>
      <c r="J2" s="107"/>
      <c r="K2" s="107"/>
      <c r="L2" s="107"/>
      <c r="Q2" t="s">
        <v>2</v>
      </c>
    </row>
    <row r="3" spans="2:17" ht="18.75" customHeight="1" x14ac:dyDescent="0.35">
      <c r="B3" s="108" t="s">
        <v>3</v>
      </c>
      <c r="C3" s="109"/>
      <c r="D3" s="109"/>
      <c r="E3" s="77"/>
      <c r="F3" s="109" t="s">
        <v>4</v>
      </c>
      <c r="G3" s="109"/>
      <c r="H3" s="109"/>
      <c r="I3" s="109"/>
      <c r="J3" s="109" t="s">
        <v>5</v>
      </c>
      <c r="K3" s="109"/>
      <c r="L3" s="110"/>
    </row>
    <row r="4" spans="2:17" x14ac:dyDescent="0.35">
      <c r="B4" s="4"/>
      <c r="C4" s="5"/>
      <c r="L4" s="6"/>
      <c r="Q4" t="s">
        <v>6</v>
      </c>
    </row>
    <row r="5" spans="2:17" s="7" customFormat="1" ht="27.65" customHeight="1" x14ac:dyDescent="0.35">
      <c r="B5" s="105" t="s">
        <v>7</v>
      </c>
      <c r="C5" s="105"/>
      <c r="D5" s="8">
        <v>90599924</v>
      </c>
      <c r="E5" s="32"/>
      <c r="F5" s="9"/>
      <c r="G5" s="9"/>
      <c r="H5" s="10"/>
      <c r="I5" s="10"/>
      <c r="J5" s="10"/>
      <c r="K5" s="10"/>
      <c r="L5" s="11"/>
      <c r="O5"/>
      <c r="Q5" t="s">
        <v>8</v>
      </c>
    </row>
    <row r="6" spans="2:17" x14ac:dyDescent="0.35">
      <c r="B6" s="12"/>
      <c r="E6" s="32"/>
      <c r="L6" s="13"/>
      <c r="Q6" t="s">
        <v>9</v>
      </c>
    </row>
    <row r="7" spans="2:17" s="7" customFormat="1" x14ac:dyDescent="0.35">
      <c r="B7" s="105" t="s">
        <v>12</v>
      </c>
      <c r="C7" s="105"/>
      <c r="D7" s="14" t="s">
        <v>2</v>
      </c>
      <c r="E7" s="32"/>
      <c r="F7" s="15"/>
      <c r="G7" s="15"/>
      <c r="H7" s="10"/>
      <c r="I7" s="10"/>
      <c r="J7" s="10"/>
      <c r="K7" s="10"/>
      <c r="L7" s="11"/>
      <c r="O7"/>
      <c r="Q7" t="s">
        <v>13</v>
      </c>
    </row>
    <row r="8" spans="2:17" s="7" customFormat="1" x14ac:dyDescent="0.35">
      <c r="B8" s="16"/>
      <c r="C8" s="17"/>
      <c r="D8" s="15"/>
      <c r="E8" s="32"/>
      <c r="F8" s="15"/>
      <c r="G8" s="15"/>
      <c r="H8" s="10"/>
      <c r="I8" s="10"/>
      <c r="J8" s="10"/>
      <c r="K8" s="10"/>
      <c r="L8" s="11"/>
      <c r="O8"/>
      <c r="Q8" t="s">
        <v>14</v>
      </c>
    </row>
    <row r="9" spans="2:17" s="7" customFormat="1" x14ac:dyDescent="0.35">
      <c r="B9" s="105" t="s">
        <v>15</v>
      </c>
      <c r="C9" s="105"/>
      <c r="D9" s="18">
        <v>46052</v>
      </c>
      <c r="E9" s="32"/>
      <c r="F9" s="19"/>
      <c r="G9" s="19"/>
      <c r="H9" s="10"/>
      <c r="I9" s="10"/>
      <c r="J9" s="10"/>
      <c r="K9" s="10"/>
      <c r="L9" s="11"/>
      <c r="O9"/>
      <c r="Q9" t="s">
        <v>16</v>
      </c>
    </row>
    <row r="10" spans="2:17" x14ac:dyDescent="0.35">
      <c r="B10" s="20"/>
      <c r="C10" s="21"/>
      <c r="L10" s="22"/>
      <c r="Q10" t="s">
        <v>17</v>
      </c>
    </row>
    <row r="11" spans="2:17" ht="26.9" customHeight="1" x14ac:dyDescent="0.35">
      <c r="B11" s="106" t="s">
        <v>18</v>
      </c>
      <c r="C11" s="106"/>
      <c r="D11" s="106"/>
      <c r="E11" s="106"/>
      <c r="F11" s="106"/>
      <c r="G11" s="106"/>
      <c r="H11" s="106"/>
      <c r="I11" s="105" t="s">
        <v>19</v>
      </c>
      <c r="J11" s="105"/>
      <c r="K11" s="105" t="s">
        <v>20</v>
      </c>
      <c r="L11" s="105"/>
      <c r="Q11" t="s">
        <v>21</v>
      </c>
    </row>
    <row r="12" spans="2:17" ht="57.65" customHeight="1" x14ac:dyDescent="0.35">
      <c r="B12" s="23" t="s">
        <v>22</v>
      </c>
      <c r="C12" s="23" t="s">
        <v>23</v>
      </c>
      <c r="D12" s="23" t="s">
        <v>24</v>
      </c>
      <c r="E12" s="23" t="s">
        <v>128</v>
      </c>
      <c r="F12" s="23" t="s">
        <v>25</v>
      </c>
      <c r="G12" s="23" t="s">
        <v>26</v>
      </c>
      <c r="H12" s="23" t="s">
        <v>27</v>
      </c>
      <c r="I12" s="23" t="s">
        <v>28</v>
      </c>
      <c r="J12" s="23" t="s">
        <v>29</v>
      </c>
      <c r="K12" s="23" t="s">
        <v>30</v>
      </c>
      <c r="L12" s="23" t="s">
        <v>29</v>
      </c>
      <c r="Q12" t="s">
        <v>31</v>
      </c>
    </row>
    <row r="13" spans="2:17" x14ac:dyDescent="0.35">
      <c r="B13" s="34">
        <v>3</v>
      </c>
      <c r="C13" s="34" t="s">
        <v>63</v>
      </c>
      <c r="D13" s="35" t="s">
        <v>43</v>
      </c>
      <c r="E13" s="102" t="s">
        <v>129</v>
      </c>
      <c r="F13" s="59" t="s">
        <v>51</v>
      </c>
      <c r="G13" s="35" t="s">
        <v>52</v>
      </c>
      <c r="H13" s="37">
        <v>33</v>
      </c>
      <c r="I13" s="37">
        <v>2</v>
      </c>
      <c r="J13" s="38">
        <f t="shared" ref="J13:J67" si="0">IFERROR(I13/H13,0)</f>
        <v>6.0606060606060608E-2</v>
      </c>
      <c r="K13" s="39">
        <f>I13</f>
        <v>2</v>
      </c>
      <c r="L13" s="38">
        <f>IFERROR(K13/H13,0)</f>
        <v>6.0606060606060608E-2</v>
      </c>
    </row>
    <row r="14" spans="2:17" x14ac:dyDescent="0.35">
      <c r="B14" s="40">
        <v>5</v>
      </c>
      <c r="C14" s="41" t="s">
        <v>64</v>
      </c>
      <c r="D14" s="42" t="s">
        <v>45</v>
      </c>
      <c r="E14" s="103"/>
      <c r="F14" s="60" t="s">
        <v>44</v>
      </c>
      <c r="G14" s="47" t="s">
        <v>53</v>
      </c>
      <c r="H14" s="43">
        <v>32</v>
      </c>
      <c r="I14" s="44">
        <v>3</v>
      </c>
      <c r="J14" s="45">
        <f t="shared" si="0"/>
        <v>9.375E-2</v>
      </c>
      <c r="K14" s="46">
        <f>I14</f>
        <v>3</v>
      </c>
      <c r="L14" s="45">
        <f>IFERROR(K14/H14,0)</f>
        <v>9.375E-2</v>
      </c>
    </row>
    <row r="15" spans="2:17" x14ac:dyDescent="0.35">
      <c r="B15" s="41">
        <v>5</v>
      </c>
      <c r="C15" s="41" t="s">
        <v>65</v>
      </c>
      <c r="D15" s="47" t="s">
        <v>60</v>
      </c>
      <c r="E15" s="103"/>
      <c r="F15" s="60" t="s">
        <v>54</v>
      </c>
      <c r="G15" s="61" t="s">
        <v>55</v>
      </c>
      <c r="H15" s="44">
        <v>32</v>
      </c>
      <c r="I15" s="48">
        <v>3</v>
      </c>
      <c r="J15" s="45">
        <f t="shared" si="0"/>
        <v>9.375E-2</v>
      </c>
      <c r="K15" s="49">
        <f>I15</f>
        <v>3</v>
      </c>
      <c r="L15" s="45">
        <f>IFERROR(K15/H15,0)</f>
        <v>9.375E-2</v>
      </c>
    </row>
    <row r="16" spans="2:17" x14ac:dyDescent="0.35">
      <c r="B16" s="41">
        <v>5</v>
      </c>
      <c r="C16" s="41" t="s">
        <v>66</v>
      </c>
      <c r="D16" s="47" t="s">
        <v>47</v>
      </c>
      <c r="E16" s="103"/>
      <c r="F16" s="60" t="s">
        <v>54</v>
      </c>
      <c r="G16" s="47" t="s">
        <v>56</v>
      </c>
      <c r="H16" s="44">
        <v>32</v>
      </c>
      <c r="I16" s="44">
        <v>1</v>
      </c>
      <c r="J16" s="50">
        <f t="shared" si="0"/>
        <v>3.125E-2</v>
      </c>
      <c r="K16" s="51">
        <f t="shared" ref="K16:K19" si="1">I16</f>
        <v>1</v>
      </c>
      <c r="L16" s="50">
        <f t="shared" ref="L16:L19" si="2">IFERROR(K16/H16,0)</f>
        <v>3.125E-2</v>
      </c>
    </row>
    <row r="17" spans="2:17" s="7" customFormat="1" x14ac:dyDescent="0.35">
      <c r="B17" s="41">
        <v>5</v>
      </c>
      <c r="C17" s="41" t="s">
        <v>67</v>
      </c>
      <c r="D17" s="47" t="s">
        <v>48</v>
      </c>
      <c r="E17" s="103"/>
      <c r="F17" s="60" t="s">
        <v>54</v>
      </c>
      <c r="G17" s="47" t="s">
        <v>57</v>
      </c>
      <c r="H17" s="44">
        <v>32</v>
      </c>
      <c r="I17" s="44">
        <v>2</v>
      </c>
      <c r="J17" s="50">
        <f t="shared" si="0"/>
        <v>6.25E-2</v>
      </c>
      <c r="K17" s="51">
        <f t="shared" si="1"/>
        <v>2</v>
      </c>
      <c r="L17" s="50">
        <f t="shared" si="2"/>
        <v>6.25E-2</v>
      </c>
      <c r="O17" s="24"/>
      <c r="Q17" s="24"/>
    </row>
    <row r="18" spans="2:17" x14ac:dyDescent="0.35">
      <c r="B18" s="41">
        <v>5</v>
      </c>
      <c r="C18" s="41" t="s">
        <v>68</v>
      </c>
      <c r="D18" s="47" t="s">
        <v>49</v>
      </c>
      <c r="E18" s="103"/>
      <c r="F18" s="60" t="s">
        <v>54</v>
      </c>
      <c r="G18" s="47" t="s">
        <v>58</v>
      </c>
      <c r="H18" s="44">
        <v>32</v>
      </c>
      <c r="I18" s="44">
        <v>2</v>
      </c>
      <c r="J18" s="50">
        <f t="shared" si="0"/>
        <v>6.25E-2</v>
      </c>
      <c r="K18" s="51">
        <f t="shared" si="1"/>
        <v>2</v>
      </c>
      <c r="L18" s="50">
        <f t="shared" si="2"/>
        <v>6.25E-2</v>
      </c>
    </row>
    <row r="19" spans="2:17" x14ac:dyDescent="0.35">
      <c r="B19" s="52">
        <v>5</v>
      </c>
      <c r="C19" s="52" t="s">
        <v>69</v>
      </c>
      <c r="D19" s="53" t="s">
        <v>50</v>
      </c>
      <c r="E19" s="104"/>
      <c r="F19" s="62" t="s">
        <v>54</v>
      </c>
      <c r="G19" s="53" t="s">
        <v>59</v>
      </c>
      <c r="H19" s="54">
        <v>32</v>
      </c>
      <c r="I19" s="54">
        <v>2</v>
      </c>
      <c r="J19" s="55">
        <f t="shared" si="0"/>
        <v>6.25E-2</v>
      </c>
      <c r="K19" s="56">
        <f t="shared" si="1"/>
        <v>2</v>
      </c>
      <c r="L19" s="55">
        <f t="shared" si="2"/>
        <v>6.25E-2</v>
      </c>
    </row>
    <row r="20" spans="2:17" x14ac:dyDescent="0.35">
      <c r="B20" s="34">
        <v>3</v>
      </c>
      <c r="C20" s="34" t="s">
        <v>63</v>
      </c>
      <c r="D20" s="35" t="s">
        <v>43</v>
      </c>
      <c r="E20" s="102" t="s">
        <v>130</v>
      </c>
      <c r="F20" s="59" t="s">
        <v>100</v>
      </c>
      <c r="G20" s="66" t="s">
        <v>101</v>
      </c>
      <c r="H20" s="37">
        <v>32</v>
      </c>
      <c r="I20" s="37">
        <v>3</v>
      </c>
      <c r="J20" s="38">
        <f t="shared" si="0"/>
        <v>9.375E-2</v>
      </c>
      <c r="K20" s="39">
        <f>I20</f>
        <v>3</v>
      </c>
      <c r="L20" s="38">
        <f>IFERROR(K20/H20,0)</f>
        <v>9.375E-2</v>
      </c>
    </row>
    <row r="21" spans="2:17" x14ac:dyDescent="0.35">
      <c r="B21" s="40">
        <v>5</v>
      </c>
      <c r="C21" s="41" t="s">
        <v>64</v>
      </c>
      <c r="D21" s="42" t="s">
        <v>45</v>
      </c>
      <c r="E21" s="103"/>
      <c r="F21" s="60" t="s">
        <v>102</v>
      </c>
      <c r="G21" s="67" t="s">
        <v>103</v>
      </c>
      <c r="H21" s="43">
        <v>32</v>
      </c>
      <c r="I21" s="44">
        <v>3</v>
      </c>
      <c r="J21" s="45">
        <f t="shared" si="0"/>
        <v>9.375E-2</v>
      </c>
      <c r="K21" s="46">
        <f>I21</f>
        <v>3</v>
      </c>
      <c r="L21" s="45">
        <f>IFERROR(K21/H21,0)</f>
        <v>9.375E-2</v>
      </c>
    </row>
    <row r="22" spans="2:17" x14ac:dyDescent="0.35">
      <c r="B22" s="41">
        <v>5</v>
      </c>
      <c r="C22" s="41" t="s">
        <v>65</v>
      </c>
      <c r="D22" s="47" t="s">
        <v>46</v>
      </c>
      <c r="E22" s="103"/>
      <c r="F22" s="60" t="s">
        <v>104</v>
      </c>
      <c r="G22" s="47" t="s">
        <v>105</v>
      </c>
      <c r="H22" s="44">
        <v>32</v>
      </c>
      <c r="I22" s="48">
        <v>3</v>
      </c>
      <c r="J22" s="45">
        <f t="shared" si="0"/>
        <v>9.375E-2</v>
      </c>
      <c r="K22" s="49">
        <f>I22</f>
        <v>3</v>
      </c>
      <c r="L22" s="45">
        <f>IFERROR(K22/H22,0)</f>
        <v>9.375E-2</v>
      </c>
    </row>
    <row r="23" spans="2:17" x14ac:dyDescent="0.35">
      <c r="B23" s="41">
        <v>5</v>
      </c>
      <c r="C23" s="41" t="s">
        <v>66</v>
      </c>
      <c r="D23" s="47" t="s">
        <v>47</v>
      </c>
      <c r="E23" s="103"/>
      <c r="F23" s="60" t="s">
        <v>106</v>
      </c>
      <c r="G23" s="47" t="s">
        <v>107</v>
      </c>
      <c r="H23" s="44">
        <v>32</v>
      </c>
      <c r="I23" s="44">
        <v>1</v>
      </c>
      <c r="J23" s="50">
        <f t="shared" si="0"/>
        <v>3.125E-2</v>
      </c>
      <c r="K23" s="51">
        <f t="shared" ref="K23:K26" si="3">I23</f>
        <v>1</v>
      </c>
      <c r="L23" s="50">
        <f t="shared" ref="L23:L26" si="4">IFERROR(K23/H23,0)</f>
        <v>3.125E-2</v>
      </c>
    </row>
    <row r="24" spans="2:17" s="7" customFormat="1" x14ac:dyDescent="0.35">
      <c r="B24" s="41">
        <v>5</v>
      </c>
      <c r="C24" s="41" t="s">
        <v>67</v>
      </c>
      <c r="D24" s="47" t="s">
        <v>48</v>
      </c>
      <c r="E24" s="103"/>
      <c r="F24" s="60" t="s">
        <v>108</v>
      </c>
      <c r="G24" s="47" t="s">
        <v>107</v>
      </c>
      <c r="H24" s="44">
        <v>32</v>
      </c>
      <c r="I24" s="44">
        <v>2</v>
      </c>
      <c r="J24" s="50">
        <f t="shared" si="0"/>
        <v>6.25E-2</v>
      </c>
      <c r="K24" s="51">
        <f t="shared" si="3"/>
        <v>2</v>
      </c>
      <c r="L24" s="50">
        <f t="shared" si="4"/>
        <v>6.25E-2</v>
      </c>
      <c r="O24" s="24"/>
      <c r="Q24" s="24"/>
    </row>
    <row r="25" spans="2:17" x14ac:dyDescent="0.35">
      <c r="B25" s="41">
        <v>5</v>
      </c>
      <c r="C25" s="41" t="s">
        <v>68</v>
      </c>
      <c r="D25" s="47" t="s">
        <v>49</v>
      </c>
      <c r="E25" s="103"/>
      <c r="F25" s="60" t="s">
        <v>109</v>
      </c>
      <c r="G25" s="47" t="s">
        <v>107</v>
      </c>
      <c r="H25" s="44">
        <v>32</v>
      </c>
      <c r="I25" s="44">
        <v>2</v>
      </c>
      <c r="J25" s="50">
        <f t="shared" si="0"/>
        <v>6.25E-2</v>
      </c>
      <c r="K25" s="51">
        <f t="shared" si="3"/>
        <v>2</v>
      </c>
      <c r="L25" s="50">
        <f t="shared" si="4"/>
        <v>6.25E-2</v>
      </c>
    </row>
    <row r="26" spans="2:17" x14ac:dyDescent="0.35">
      <c r="B26" s="52">
        <v>5</v>
      </c>
      <c r="C26" s="52" t="s">
        <v>69</v>
      </c>
      <c r="D26" s="53" t="s">
        <v>50</v>
      </c>
      <c r="E26" s="104"/>
      <c r="F26" s="62" t="s">
        <v>110</v>
      </c>
      <c r="G26" s="53" t="s">
        <v>111</v>
      </c>
      <c r="H26" s="54">
        <v>33</v>
      </c>
      <c r="I26" s="54">
        <v>1</v>
      </c>
      <c r="J26" s="55">
        <f t="shared" si="0"/>
        <v>3.0303030303030304E-2</v>
      </c>
      <c r="K26" s="56">
        <f t="shared" si="3"/>
        <v>1</v>
      </c>
      <c r="L26" s="55">
        <f t="shared" si="4"/>
        <v>3.0303030303030304E-2</v>
      </c>
    </row>
    <row r="27" spans="2:17" x14ac:dyDescent="0.35">
      <c r="B27" s="34">
        <v>5</v>
      </c>
      <c r="C27" s="34" t="s">
        <v>70</v>
      </c>
      <c r="D27" s="35" t="s">
        <v>71</v>
      </c>
      <c r="E27" s="102" t="s">
        <v>131</v>
      </c>
      <c r="F27" s="66" t="s">
        <v>144</v>
      </c>
      <c r="G27" s="66" t="s">
        <v>144</v>
      </c>
      <c r="H27" s="68">
        <v>15</v>
      </c>
      <c r="I27" s="37">
        <v>0</v>
      </c>
      <c r="J27" s="38">
        <f t="shared" si="0"/>
        <v>0</v>
      </c>
      <c r="K27" s="39">
        <f>I27</f>
        <v>0</v>
      </c>
      <c r="L27" s="38">
        <f>IFERROR(K27/H27,0)</f>
        <v>0</v>
      </c>
    </row>
    <row r="28" spans="2:17" x14ac:dyDescent="0.35">
      <c r="B28" s="40">
        <v>5</v>
      </c>
      <c r="C28" s="41" t="s">
        <v>64</v>
      </c>
      <c r="D28" s="42" t="s">
        <v>45</v>
      </c>
      <c r="E28" s="103"/>
      <c r="F28" s="60" t="s">
        <v>44</v>
      </c>
      <c r="G28" s="67" t="s">
        <v>32</v>
      </c>
      <c r="H28" s="43">
        <v>15</v>
      </c>
      <c r="I28" s="44">
        <v>5</v>
      </c>
      <c r="J28" s="45">
        <f t="shared" si="0"/>
        <v>0.33333333333333331</v>
      </c>
      <c r="K28" s="46">
        <f>I28</f>
        <v>5</v>
      </c>
      <c r="L28" s="45">
        <f>IFERROR(K28/H28,0)</f>
        <v>0.33333333333333331</v>
      </c>
    </row>
    <row r="29" spans="2:17" x14ac:dyDescent="0.35">
      <c r="B29" s="41">
        <v>5</v>
      </c>
      <c r="C29" s="41" t="s">
        <v>73</v>
      </c>
      <c r="D29" s="47" t="s">
        <v>74</v>
      </c>
      <c r="E29" s="103"/>
      <c r="F29" s="47" t="s">
        <v>144</v>
      </c>
      <c r="G29" s="47" t="s">
        <v>144</v>
      </c>
      <c r="H29" s="44">
        <v>15</v>
      </c>
      <c r="I29" s="48">
        <v>0</v>
      </c>
      <c r="J29" s="45">
        <f t="shared" si="0"/>
        <v>0</v>
      </c>
      <c r="K29" s="49">
        <f>I29</f>
        <v>0</v>
      </c>
      <c r="L29" s="45">
        <f>IFERROR(K29/H29,0)</f>
        <v>0</v>
      </c>
    </row>
    <row r="30" spans="2:17" x14ac:dyDescent="0.35">
      <c r="B30" s="41">
        <v>5</v>
      </c>
      <c r="C30" s="41" t="s">
        <v>75</v>
      </c>
      <c r="D30" s="47" t="s">
        <v>76</v>
      </c>
      <c r="E30" s="103"/>
      <c r="F30" s="47" t="s">
        <v>144</v>
      </c>
      <c r="G30" s="47" t="s">
        <v>144</v>
      </c>
      <c r="H30" s="44">
        <v>15</v>
      </c>
      <c r="I30" s="44">
        <v>0</v>
      </c>
      <c r="J30" s="50">
        <f t="shared" si="0"/>
        <v>0</v>
      </c>
      <c r="K30" s="51">
        <f t="shared" ref="K30:K35" si="5">I30</f>
        <v>0</v>
      </c>
      <c r="L30" s="50">
        <f t="shared" ref="L30:L35" si="6">IFERROR(K30/H30,0)</f>
        <v>0</v>
      </c>
    </row>
    <row r="31" spans="2:17" s="7" customFormat="1" x14ac:dyDescent="0.35">
      <c r="B31" s="41">
        <v>5</v>
      </c>
      <c r="C31" s="41" t="s">
        <v>65</v>
      </c>
      <c r="D31" s="47" t="s">
        <v>77</v>
      </c>
      <c r="E31" s="103"/>
      <c r="F31" s="60" t="s">
        <v>44</v>
      </c>
      <c r="G31" s="47" t="s">
        <v>32</v>
      </c>
      <c r="H31" s="44">
        <v>15</v>
      </c>
      <c r="I31" s="44">
        <v>7</v>
      </c>
      <c r="J31" s="50">
        <f t="shared" si="0"/>
        <v>0.46666666666666667</v>
      </c>
      <c r="K31" s="51">
        <f t="shared" si="5"/>
        <v>7</v>
      </c>
      <c r="L31" s="50">
        <f t="shared" si="6"/>
        <v>0.46666666666666667</v>
      </c>
      <c r="O31" s="24"/>
      <c r="Q31" s="24"/>
    </row>
    <row r="32" spans="2:17" x14ac:dyDescent="0.35">
      <c r="B32" s="41">
        <v>5</v>
      </c>
      <c r="C32" s="41" t="s">
        <v>66</v>
      </c>
      <c r="D32" s="47" t="s">
        <v>47</v>
      </c>
      <c r="E32" s="103"/>
      <c r="F32" s="60" t="s">
        <v>44</v>
      </c>
      <c r="G32" s="47" t="s">
        <v>32</v>
      </c>
      <c r="H32" s="44">
        <v>15</v>
      </c>
      <c r="I32" s="44">
        <v>3</v>
      </c>
      <c r="J32" s="50">
        <f t="shared" si="0"/>
        <v>0.2</v>
      </c>
      <c r="K32" s="51">
        <f t="shared" si="5"/>
        <v>3</v>
      </c>
      <c r="L32" s="50">
        <f t="shared" si="6"/>
        <v>0.2</v>
      </c>
    </row>
    <row r="33" spans="2:17" x14ac:dyDescent="0.35">
      <c r="B33" s="41">
        <v>5</v>
      </c>
      <c r="C33" s="41" t="s">
        <v>67</v>
      </c>
      <c r="D33" s="47" t="s">
        <v>48</v>
      </c>
      <c r="E33" s="103"/>
      <c r="F33" s="47" t="s">
        <v>144</v>
      </c>
      <c r="G33" s="47" t="s">
        <v>144</v>
      </c>
      <c r="H33" s="44">
        <v>15</v>
      </c>
      <c r="I33" s="44">
        <v>0</v>
      </c>
      <c r="J33" s="50">
        <f t="shared" si="0"/>
        <v>0</v>
      </c>
      <c r="K33" s="51">
        <f t="shared" si="5"/>
        <v>0</v>
      </c>
      <c r="L33" s="50">
        <f t="shared" si="6"/>
        <v>0</v>
      </c>
    </row>
    <row r="34" spans="2:17" x14ac:dyDescent="0.35">
      <c r="B34" s="41">
        <v>5</v>
      </c>
      <c r="C34" s="41" t="s">
        <v>68</v>
      </c>
      <c r="D34" s="47" t="s">
        <v>49</v>
      </c>
      <c r="E34" s="103"/>
      <c r="F34" s="47" t="s">
        <v>144</v>
      </c>
      <c r="G34" s="47" t="s">
        <v>144</v>
      </c>
      <c r="H34" s="44">
        <v>15</v>
      </c>
      <c r="I34" s="44">
        <v>0</v>
      </c>
      <c r="J34" s="50">
        <f t="shared" si="0"/>
        <v>0</v>
      </c>
      <c r="K34" s="51">
        <f t="shared" si="5"/>
        <v>0</v>
      </c>
      <c r="L34" s="50">
        <f t="shared" si="6"/>
        <v>0</v>
      </c>
    </row>
    <row r="35" spans="2:17" x14ac:dyDescent="0.35">
      <c r="B35" s="41">
        <v>5</v>
      </c>
      <c r="C35" s="41" t="s">
        <v>69</v>
      </c>
      <c r="D35" s="47" t="s">
        <v>50</v>
      </c>
      <c r="E35" s="103"/>
      <c r="F35" s="47" t="s">
        <v>144</v>
      </c>
      <c r="G35" s="47" t="s">
        <v>144</v>
      </c>
      <c r="H35" s="44">
        <v>15</v>
      </c>
      <c r="I35" s="44">
        <v>0</v>
      </c>
      <c r="J35" s="50">
        <f t="shared" si="0"/>
        <v>0</v>
      </c>
      <c r="K35" s="51">
        <f t="shared" si="5"/>
        <v>0</v>
      </c>
      <c r="L35" s="50">
        <f t="shared" si="6"/>
        <v>0</v>
      </c>
    </row>
    <row r="36" spans="2:17" x14ac:dyDescent="0.35">
      <c r="B36" s="57">
        <v>5</v>
      </c>
      <c r="C36" s="57" t="s">
        <v>78</v>
      </c>
      <c r="D36" s="61" t="s">
        <v>79</v>
      </c>
      <c r="E36" s="103"/>
      <c r="F36" s="42" t="s">
        <v>144</v>
      </c>
      <c r="G36" s="42" t="s">
        <v>144</v>
      </c>
      <c r="H36" s="44">
        <v>15</v>
      </c>
      <c r="I36" s="70">
        <v>0</v>
      </c>
      <c r="J36" s="45">
        <f t="shared" si="0"/>
        <v>0</v>
      </c>
      <c r="K36" s="46">
        <f>I36</f>
        <v>0</v>
      </c>
      <c r="L36" s="45">
        <f>IFERROR(K36/H36,0)</f>
        <v>0</v>
      </c>
    </row>
    <row r="37" spans="2:17" x14ac:dyDescent="0.35">
      <c r="B37" s="40">
        <v>5</v>
      </c>
      <c r="C37" s="41" t="s">
        <v>80</v>
      </c>
      <c r="D37" s="42" t="s">
        <v>81</v>
      </c>
      <c r="E37" s="103"/>
      <c r="F37" s="67" t="s">
        <v>144</v>
      </c>
      <c r="G37" s="67" t="s">
        <v>144</v>
      </c>
      <c r="H37" s="44">
        <v>15</v>
      </c>
      <c r="I37" s="44">
        <v>0</v>
      </c>
      <c r="J37" s="45">
        <f t="shared" si="0"/>
        <v>0</v>
      </c>
      <c r="K37" s="46">
        <f>I37</f>
        <v>0</v>
      </c>
      <c r="L37" s="45">
        <f>IFERROR(K37/H37,0)</f>
        <v>0</v>
      </c>
    </row>
    <row r="38" spans="2:17" x14ac:dyDescent="0.35">
      <c r="B38" s="41">
        <v>7</v>
      </c>
      <c r="C38" s="41" t="s">
        <v>82</v>
      </c>
      <c r="D38" s="47" t="s">
        <v>83</v>
      </c>
      <c r="E38" s="103"/>
      <c r="F38" s="47" t="s">
        <v>144</v>
      </c>
      <c r="G38" s="47" t="s">
        <v>144</v>
      </c>
      <c r="H38" s="44">
        <v>15</v>
      </c>
      <c r="I38" s="48">
        <v>0</v>
      </c>
      <c r="J38" s="45">
        <f t="shared" si="0"/>
        <v>0</v>
      </c>
      <c r="K38" s="49">
        <f>I38</f>
        <v>0</v>
      </c>
      <c r="L38" s="45">
        <f>IFERROR(K38/H38,0)</f>
        <v>0</v>
      </c>
    </row>
    <row r="39" spans="2:17" x14ac:dyDescent="0.35">
      <c r="B39" s="41">
        <v>7</v>
      </c>
      <c r="C39" s="41" t="s">
        <v>84</v>
      </c>
      <c r="D39" s="47" t="s">
        <v>85</v>
      </c>
      <c r="E39" s="103"/>
      <c r="F39" s="47" t="s">
        <v>144</v>
      </c>
      <c r="G39" s="47" t="s">
        <v>144</v>
      </c>
      <c r="H39" s="44">
        <v>15</v>
      </c>
      <c r="I39" s="44">
        <v>0</v>
      </c>
      <c r="J39" s="50">
        <f t="shared" si="0"/>
        <v>0</v>
      </c>
      <c r="K39" s="51">
        <f t="shared" ref="K39:K41" si="7">I39</f>
        <v>0</v>
      </c>
      <c r="L39" s="50">
        <f t="shared" ref="L39:L41" si="8">IFERROR(K39/H39,0)</f>
        <v>0</v>
      </c>
    </row>
    <row r="40" spans="2:17" s="7" customFormat="1" x14ac:dyDescent="0.35">
      <c r="B40" s="41">
        <v>7</v>
      </c>
      <c r="C40" s="41" t="s">
        <v>86</v>
      </c>
      <c r="D40" s="47" t="s">
        <v>87</v>
      </c>
      <c r="E40" s="103"/>
      <c r="F40" s="47" t="s">
        <v>144</v>
      </c>
      <c r="G40" s="47" t="s">
        <v>144</v>
      </c>
      <c r="H40" s="44">
        <v>15</v>
      </c>
      <c r="I40" s="44">
        <v>0</v>
      </c>
      <c r="J40" s="50">
        <f t="shared" si="0"/>
        <v>0</v>
      </c>
      <c r="K40" s="51">
        <f t="shared" si="7"/>
        <v>0</v>
      </c>
      <c r="L40" s="50">
        <f t="shared" si="8"/>
        <v>0</v>
      </c>
      <c r="O40" s="24"/>
      <c r="Q40" s="24"/>
    </row>
    <row r="41" spans="2:17" x14ac:dyDescent="0.35">
      <c r="B41" s="52">
        <v>8</v>
      </c>
      <c r="C41" s="52" t="s">
        <v>88</v>
      </c>
      <c r="D41" s="53" t="s">
        <v>89</v>
      </c>
      <c r="E41" s="104"/>
      <c r="F41" s="53" t="s">
        <v>144</v>
      </c>
      <c r="G41" s="53" t="s">
        <v>144</v>
      </c>
      <c r="H41" s="54">
        <v>15</v>
      </c>
      <c r="I41" s="54">
        <v>0</v>
      </c>
      <c r="J41" s="55">
        <f t="shared" si="0"/>
        <v>0</v>
      </c>
      <c r="K41" s="56">
        <f t="shared" si="7"/>
        <v>0</v>
      </c>
      <c r="L41" s="55">
        <f t="shared" si="8"/>
        <v>0</v>
      </c>
    </row>
    <row r="42" spans="2:17" x14ac:dyDescent="0.35">
      <c r="B42" s="57">
        <v>3</v>
      </c>
      <c r="C42" s="57" t="s">
        <v>136</v>
      </c>
      <c r="D42" s="61" t="s">
        <v>90</v>
      </c>
      <c r="E42" s="102" t="s">
        <v>132</v>
      </c>
      <c r="F42" s="69" t="s">
        <v>91</v>
      </c>
      <c r="G42" s="42" t="s">
        <v>32</v>
      </c>
      <c r="H42" s="70">
        <v>37</v>
      </c>
      <c r="I42" s="70">
        <v>1</v>
      </c>
      <c r="J42" s="45">
        <f t="shared" si="0"/>
        <v>2.7027027027027029E-2</v>
      </c>
      <c r="K42" s="46">
        <f>I42</f>
        <v>1</v>
      </c>
      <c r="L42" s="45">
        <f>IFERROR(K42/H42,0)</f>
        <v>2.7027027027027029E-2</v>
      </c>
    </row>
    <row r="43" spans="2:17" x14ac:dyDescent="0.35">
      <c r="B43" s="40">
        <v>3</v>
      </c>
      <c r="C43" s="41" t="s">
        <v>92</v>
      </c>
      <c r="D43" s="42" t="s">
        <v>93</v>
      </c>
      <c r="E43" s="103"/>
      <c r="F43" s="60" t="s">
        <v>94</v>
      </c>
      <c r="G43" s="67" t="s">
        <v>32</v>
      </c>
      <c r="H43" s="43">
        <v>37</v>
      </c>
      <c r="I43" s="44">
        <v>2</v>
      </c>
      <c r="J43" s="45">
        <f t="shared" si="0"/>
        <v>5.4054054054054057E-2</v>
      </c>
      <c r="K43" s="46">
        <f>I43</f>
        <v>2</v>
      </c>
      <c r="L43" s="45">
        <f>IFERROR(K43/H43,0)</f>
        <v>5.4054054054054057E-2</v>
      </c>
    </row>
    <row r="44" spans="2:17" x14ac:dyDescent="0.35">
      <c r="B44" s="41">
        <v>3</v>
      </c>
      <c r="C44" s="41" t="s">
        <v>63</v>
      </c>
      <c r="D44" s="47" t="s">
        <v>43</v>
      </c>
      <c r="E44" s="103"/>
      <c r="F44" s="60" t="s">
        <v>95</v>
      </c>
      <c r="G44" s="47" t="s">
        <v>32</v>
      </c>
      <c r="H44" s="44">
        <v>37</v>
      </c>
      <c r="I44" s="48">
        <v>2</v>
      </c>
      <c r="J44" s="45">
        <f t="shared" si="0"/>
        <v>5.4054054054054057E-2</v>
      </c>
      <c r="K44" s="49">
        <f>I44</f>
        <v>2</v>
      </c>
      <c r="L44" s="45">
        <f>IFERROR(K44/H44,0)</f>
        <v>5.4054054054054057E-2</v>
      </c>
    </row>
    <row r="45" spans="2:17" x14ac:dyDescent="0.35">
      <c r="B45" s="41">
        <v>3</v>
      </c>
      <c r="C45" s="41" t="s">
        <v>96</v>
      </c>
      <c r="D45" s="47" t="s">
        <v>97</v>
      </c>
      <c r="E45" s="103"/>
      <c r="F45" s="60" t="s">
        <v>95</v>
      </c>
      <c r="G45" s="47" t="s">
        <v>32</v>
      </c>
      <c r="H45" s="44">
        <v>38</v>
      </c>
      <c r="I45" s="44">
        <v>4</v>
      </c>
      <c r="J45" s="50">
        <f t="shared" si="0"/>
        <v>0.10526315789473684</v>
      </c>
      <c r="K45" s="51">
        <f t="shared" ref="K45:K47" si="9">I45</f>
        <v>4</v>
      </c>
      <c r="L45" s="50">
        <f t="shared" ref="L45:L47" si="10">IFERROR(K45/H45,0)</f>
        <v>0.10526315789473684</v>
      </c>
    </row>
    <row r="46" spans="2:17" s="7" customFormat="1" x14ac:dyDescent="0.35">
      <c r="B46" s="41">
        <v>5</v>
      </c>
      <c r="C46" s="41" t="s">
        <v>69</v>
      </c>
      <c r="D46" s="47" t="s">
        <v>50</v>
      </c>
      <c r="E46" s="103"/>
      <c r="F46" s="60" t="s">
        <v>98</v>
      </c>
      <c r="G46" s="47" t="s">
        <v>32</v>
      </c>
      <c r="H46" s="44">
        <v>38</v>
      </c>
      <c r="I46" s="44">
        <v>3</v>
      </c>
      <c r="J46" s="50">
        <f t="shared" si="0"/>
        <v>7.8947368421052627E-2</v>
      </c>
      <c r="K46" s="51">
        <f t="shared" si="9"/>
        <v>3</v>
      </c>
      <c r="L46" s="50">
        <f t="shared" si="10"/>
        <v>7.8947368421052627E-2</v>
      </c>
      <c r="O46" s="24"/>
      <c r="Q46" s="24"/>
    </row>
    <row r="47" spans="2:17" x14ac:dyDescent="0.35">
      <c r="B47" s="52">
        <v>5</v>
      </c>
      <c r="C47" s="52" t="s">
        <v>78</v>
      </c>
      <c r="D47" s="53" t="s">
        <v>79</v>
      </c>
      <c r="E47" s="104"/>
      <c r="F47" s="62" t="s">
        <v>99</v>
      </c>
      <c r="G47" s="53" t="s">
        <v>32</v>
      </c>
      <c r="H47" s="54">
        <v>38</v>
      </c>
      <c r="I47" s="54">
        <v>3</v>
      </c>
      <c r="J47" s="55">
        <f t="shared" si="0"/>
        <v>7.8947368421052627E-2</v>
      </c>
      <c r="K47" s="56">
        <f t="shared" si="9"/>
        <v>3</v>
      </c>
      <c r="L47" s="55">
        <f t="shared" si="10"/>
        <v>7.8947368421052627E-2</v>
      </c>
    </row>
    <row r="48" spans="2:17" x14ac:dyDescent="0.35">
      <c r="B48" s="34">
        <v>3</v>
      </c>
      <c r="C48" s="34" t="s">
        <v>136</v>
      </c>
      <c r="D48" s="35" t="s">
        <v>90</v>
      </c>
      <c r="E48" s="102" t="s">
        <v>133</v>
      </c>
      <c r="F48" s="59" t="s">
        <v>91</v>
      </c>
      <c r="G48" s="66" t="s">
        <v>32</v>
      </c>
      <c r="H48" s="37">
        <v>38</v>
      </c>
      <c r="I48" s="37">
        <v>5</v>
      </c>
      <c r="J48" s="38">
        <f t="shared" si="0"/>
        <v>0.13157894736842105</v>
      </c>
      <c r="K48" s="39">
        <f>I48</f>
        <v>5</v>
      </c>
      <c r="L48" s="38">
        <f>IFERROR(K48/H48,0)</f>
        <v>0.13157894736842105</v>
      </c>
    </row>
    <row r="49" spans="2:17" x14ac:dyDescent="0.35">
      <c r="B49" s="40">
        <v>3</v>
      </c>
      <c r="C49" s="41" t="s">
        <v>92</v>
      </c>
      <c r="D49" s="42" t="s">
        <v>93</v>
      </c>
      <c r="E49" s="103"/>
      <c r="F49" s="60" t="s">
        <v>94</v>
      </c>
      <c r="G49" s="67" t="s">
        <v>32</v>
      </c>
      <c r="H49" s="43">
        <v>38</v>
      </c>
      <c r="I49" s="44">
        <v>2</v>
      </c>
      <c r="J49" s="45">
        <f t="shared" si="0"/>
        <v>5.2631578947368418E-2</v>
      </c>
      <c r="K49" s="46">
        <f>I49</f>
        <v>2</v>
      </c>
      <c r="L49" s="45">
        <f>IFERROR(K49/H49,0)</f>
        <v>5.2631578947368418E-2</v>
      </c>
    </row>
    <row r="50" spans="2:17" x14ac:dyDescent="0.35">
      <c r="B50" s="41">
        <v>3</v>
      </c>
      <c r="C50" s="41" t="s">
        <v>63</v>
      </c>
      <c r="D50" s="47" t="s">
        <v>43</v>
      </c>
      <c r="E50" s="103"/>
      <c r="F50" s="60" t="s">
        <v>95</v>
      </c>
      <c r="G50" s="47" t="s">
        <v>32</v>
      </c>
      <c r="H50" s="44">
        <v>38</v>
      </c>
      <c r="I50" s="48">
        <v>1</v>
      </c>
      <c r="J50" s="45">
        <f t="shared" si="0"/>
        <v>2.6315789473684209E-2</v>
      </c>
      <c r="K50" s="49">
        <f>I50</f>
        <v>1</v>
      </c>
      <c r="L50" s="45">
        <f>IFERROR(K50/H50,0)</f>
        <v>2.6315789473684209E-2</v>
      </c>
    </row>
    <row r="51" spans="2:17" x14ac:dyDescent="0.35">
      <c r="B51" s="41">
        <v>3</v>
      </c>
      <c r="C51" s="41" t="s">
        <v>96</v>
      </c>
      <c r="D51" s="47" t="s">
        <v>97</v>
      </c>
      <c r="E51" s="103"/>
      <c r="F51" s="60" t="s">
        <v>95</v>
      </c>
      <c r="G51" s="47" t="s">
        <v>32</v>
      </c>
      <c r="H51" s="44">
        <v>37</v>
      </c>
      <c r="I51" s="44">
        <v>1</v>
      </c>
      <c r="J51" s="50">
        <f t="shared" si="0"/>
        <v>2.7027027027027029E-2</v>
      </c>
      <c r="K51" s="51">
        <f t="shared" ref="K51:K53" si="11">I51</f>
        <v>1</v>
      </c>
      <c r="L51" s="50">
        <f t="shared" ref="L51:L53" si="12">IFERROR(K51/H51,0)</f>
        <v>2.7027027027027029E-2</v>
      </c>
    </row>
    <row r="52" spans="2:17" s="7" customFormat="1" x14ac:dyDescent="0.35">
      <c r="B52" s="41">
        <v>5</v>
      </c>
      <c r="C52" s="41" t="s">
        <v>69</v>
      </c>
      <c r="D52" s="47" t="s">
        <v>50</v>
      </c>
      <c r="E52" s="103"/>
      <c r="F52" s="60" t="s">
        <v>98</v>
      </c>
      <c r="G52" s="47" t="s">
        <v>32</v>
      </c>
      <c r="H52" s="44">
        <v>37</v>
      </c>
      <c r="I52" s="44">
        <v>1</v>
      </c>
      <c r="J52" s="50">
        <f t="shared" si="0"/>
        <v>2.7027027027027029E-2</v>
      </c>
      <c r="K52" s="51">
        <f t="shared" si="11"/>
        <v>1</v>
      </c>
      <c r="L52" s="50">
        <f t="shared" si="12"/>
        <v>2.7027027027027029E-2</v>
      </c>
      <c r="O52" s="24"/>
      <c r="Q52" s="24"/>
    </row>
    <row r="53" spans="2:17" x14ac:dyDescent="0.35">
      <c r="B53" s="52">
        <v>5</v>
      </c>
      <c r="C53" s="52" t="s">
        <v>78</v>
      </c>
      <c r="D53" s="53" t="s">
        <v>79</v>
      </c>
      <c r="E53" s="104"/>
      <c r="F53" s="62" t="s">
        <v>99</v>
      </c>
      <c r="G53" s="53" t="s">
        <v>32</v>
      </c>
      <c r="H53" s="54">
        <v>37</v>
      </c>
      <c r="I53" s="54">
        <v>5</v>
      </c>
      <c r="J53" s="55">
        <f t="shared" si="0"/>
        <v>0.13513513513513514</v>
      </c>
      <c r="K53" s="56">
        <f t="shared" si="11"/>
        <v>5</v>
      </c>
      <c r="L53" s="55">
        <f t="shared" si="12"/>
        <v>0.13513513513513514</v>
      </c>
    </row>
    <row r="54" spans="2:17" x14ac:dyDescent="0.35">
      <c r="B54" s="34">
        <v>3</v>
      </c>
      <c r="C54" s="34" t="s">
        <v>136</v>
      </c>
      <c r="D54" s="35" t="s">
        <v>90</v>
      </c>
      <c r="E54" s="102" t="s">
        <v>146</v>
      </c>
      <c r="F54" s="59" t="s">
        <v>144</v>
      </c>
      <c r="G54" s="35" t="s">
        <v>144</v>
      </c>
      <c r="H54" s="37">
        <f>[1]ENERO!G54</f>
        <v>0</v>
      </c>
      <c r="I54" s="37">
        <v>0</v>
      </c>
      <c r="J54" s="63">
        <f t="shared" ref="J54:J58" si="13">IFERROR(I54/H54,0)</f>
        <v>0</v>
      </c>
      <c r="K54" s="39">
        <f>I54+[1]NOVIEMBRE!J54</f>
        <v>0</v>
      </c>
      <c r="L54" s="63">
        <f>IFERROR(K54/H54,0)</f>
        <v>0</v>
      </c>
      <c r="N54"/>
      <c r="O54" s="2"/>
      <c r="P54"/>
      <c r="Q54" s="2"/>
    </row>
    <row r="55" spans="2:17" x14ac:dyDescent="0.35">
      <c r="B55" s="40">
        <v>3</v>
      </c>
      <c r="C55" s="41" t="s">
        <v>63</v>
      </c>
      <c r="D55" s="42" t="s">
        <v>43</v>
      </c>
      <c r="E55" s="103"/>
      <c r="F55" s="60" t="s">
        <v>144</v>
      </c>
      <c r="G55" s="47" t="s">
        <v>144</v>
      </c>
      <c r="H55" s="43">
        <f>[1]ENERO!G55</f>
        <v>0</v>
      </c>
      <c r="I55" s="44">
        <v>0</v>
      </c>
      <c r="J55" s="50">
        <f t="shared" si="13"/>
        <v>0</v>
      </c>
      <c r="K55" s="51">
        <f>I55+[1]NOVIEMBRE!J55</f>
        <v>0</v>
      </c>
      <c r="L55" s="50">
        <f>IFERROR(K55/H55,0)</f>
        <v>0</v>
      </c>
      <c r="N55"/>
      <c r="O55" s="2"/>
      <c r="P55"/>
      <c r="Q55" s="2"/>
    </row>
    <row r="56" spans="2:17" x14ac:dyDescent="0.35">
      <c r="B56" s="41">
        <v>5</v>
      </c>
      <c r="C56" s="41" t="s">
        <v>70</v>
      </c>
      <c r="D56" s="47" t="s">
        <v>71</v>
      </c>
      <c r="E56" s="103"/>
      <c r="F56" s="60" t="s">
        <v>144</v>
      </c>
      <c r="G56" s="61" t="s">
        <v>144</v>
      </c>
      <c r="H56" s="44">
        <f>[1]ENERO!G56</f>
        <v>0</v>
      </c>
      <c r="I56" s="48">
        <v>0</v>
      </c>
      <c r="J56" s="45">
        <f t="shared" si="13"/>
        <v>0</v>
      </c>
      <c r="K56" s="49">
        <f>I56+[1]NOVIEMBRE!J56</f>
        <v>0</v>
      </c>
      <c r="L56" s="50">
        <f>IFERROR(K56/H56,0)</f>
        <v>0</v>
      </c>
      <c r="N56"/>
      <c r="O56" s="2"/>
      <c r="P56"/>
      <c r="Q56" s="2"/>
    </row>
    <row r="57" spans="2:17" x14ac:dyDescent="0.35">
      <c r="B57" s="40">
        <v>5</v>
      </c>
      <c r="C57" s="40" t="s">
        <v>67</v>
      </c>
      <c r="D57" s="67" t="s">
        <v>48</v>
      </c>
      <c r="E57" s="103"/>
      <c r="F57" s="75" t="s">
        <v>144</v>
      </c>
      <c r="G57" s="67" t="s">
        <v>144</v>
      </c>
      <c r="H57" s="43">
        <f>[1]ENERO!G57</f>
        <v>0</v>
      </c>
      <c r="I57" s="43">
        <v>0</v>
      </c>
      <c r="J57" s="64">
        <f t="shared" si="13"/>
        <v>0</v>
      </c>
      <c r="K57" s="65">
        <f>I57+[1]NOVIEMBRE!J57</f>
        <v>0</v>
      </c>
      <c r="L57" s="64">
        <f t="shared" ref="L57:L58" si="14">IFERROR(K57/H57,0)</f>
        <v>0</v>
      </c>
      <c r="N57"/>
      <c r="O57" s="2"/>
      <c r="P57"/>
      <c r="Q57" s="2"/>
    </row>
    <row r="58" spans="2:17" s="7" customFormat="1" x14ac:dyDescent="0.35">
      <c r="B58" s="52">
        <v>5</v>
      </c>
      <c r="C58" s="52" t="s">
        <v>80</v>
      </c>
      <c r="D58" s="53" t="s">
        <v>81</v>
      </c>
      <c r="E58" s="104"/>
      <c r="F58" s="62" t="s">
        <v>144</v>
      </c>
      <c r="G58" s="53" t="s">
        <v>144</v>
      </c>
      <c r="H58" s="54">
        <f>[1]ENERO!G58</f>
        <v>0</v>
      </c>
      <c r="I58" s="54">
        <v>0</v>
      </c>
      <c r="J58" s="55">
        <f t="shared" si="13"/>
        <v>0</v>
      </c>
      <c r="K58" s="56">
        <f>I58+[1]NOVIEMBRE!J58</f>
        <v>0</v>
      </c>
      <c r="L58" s="55">
        <f t="shared" si="14"/>
        <v>0</v>
      </c>
      <c r="N58" s="24"/>
      <c r="P58" s="24"/>
    </row>
    <row r="59" spans="2:17" x14ac:dyDescent="0.35">
      <c r="B59" s="30">
        <v>3</v>
      </c>
      <c r="C59" s="30" t="s">
        <v>112</v>
      </c>
      <c r="D59" s="71" t="s">
        <v>113</v>
      </c>
      <c r="E59" s="78" t="s">
        <v>134</v>
      </c>
      <c r="F59" s="72" t="s">
        <v>114</v>
      </c>
      <c r="G59" s="71" t="s">
        <v>32</v>
      </c>
      <c r="H59" s="73">
        <v>225</v>
      </c>
      <c r="I59" s="73">
        <v>15</v>
      </c>
      <c r="J59" s="58">
        <f t="shared" si="0"/>
        <v>6.6666666666666666E-2</v>
      </c>
      <c r="K59" s="74">
        <f>I59</f>
        <v>15</v>
      </c>
      <c r="L59" s="58">
        <f>IFERROR(K59/H59,0)</f>
        <v>6.6666666666666666E-2</v>
      </c>
    </row>
    <row r="60" spans="2:17" x14ac:dyDescent="0.35">
      <c r="B60" s="36">
        <v>1</v>
      </c>
      <c r="C60" s="36" t="s">
        <v>115</v>
      </c>
      <c r="D60" s="35" t="s">
        <v>116</v>
      </c>
      <c r="E60" s="102" t="s">
        <v>135</v>
      </c>
      <c r="F60" s="59" t="s">
        <v>117</v>
      </c>
      <c r="G60" s="35" t="s">
        <v>147</v>
      </c>
      <c r="H60" s="37">
        <v>15</v>
      </c>
      <c r="I60" s="37">
        <v>1</v>
      </c>
      <c r="J60" s="38">
        <f t="shared" si="0"/>
        <v>6.6666666666666666E-2</v>
      </c>
      <c r="K60" s="39">
        <f>I60</f>
        <v>1</v>
      </c>
      <c r="L60" s="38">
        <f>IFERROR(K60/H60,0)</f>
        <v>6.6666666666666666E-2</v>
      </c>
    </row>
    <row r="61" spans="2:17" x14ac:dyDescent="0.35">
      <c r="B61" s="41">
        <v>3</v>
      </c>
      <c r="C61" s="41" t="s">
        <v>118</v>
      </c>
      <c r="D61" s="47" t="s">
        <v>119</v>
      </c>
      <c r="E61" s="103"/>
      <c r="F61" s="60" t="s">
        <v>120</v>
      </c>
      <c r="G61" s="47" t="s">
        <v>147</v>
      </c>
      <c r="H61" s="43">
        <v>15</v>
      </c>
      <c r="I61" s="44">
        <v>1</v>
      </c>
      <c r="J61" s="45">
        <f t="shared" si="0"/>
        <v>6.6666666666666666E-2</v>
      </c>
      <c r="K61" s="46">
        <f>I61</f>
        <v>1</v>
      </c>
      <c r="L61" s="45">
        <f>IFERROR(K61/H61,0)</f>
        <v>6.6666666666666666E-2</v>
      </c>
    </row>
    <row r="62" spans="2:17" x14ac:dyDescent="0.35">
      <c r="B62" s="41">
        <v>3</v>
      </c>
      <c r="C62" s="41" t="s">
        <v>121</v>
      </c>
      <c r="D62" s="47" t="s">
        <v>122</v>
      </c>
      <c r="E62" s="103"/>
      <c r="F62" s="60" t="s">
        <v>117</v>
      </c>
      <c r="G62" s="47" t="s">
        <v>147</v>
      </c>
      <c r="H62" s="44">
        <v>30</v>
      </c>
      <c r="I62" s="48">
        <v>2</v>
      </c>
      <c r="J62" s="45">
        <f t="shared" si="0"/>
        <v>6.6666666666666666E-2</v>
      </c>
      <c r="K62" s="49">
        <f>I62</f>
        <v>2</v>
      </c>
      <c r="L62" s="45">
        <f>IFERROR(K62/H62,0)</f>
        <v>6.6666666666666666E-2</v>
      </c>
    </row>
    <row r="63" spans="2:17" x14ac:dyDescent="0.35">
      <c r="B63" s="41">
        <v>3</v>
      </c>
      <c r="C63" s="41" t="s">
        <v>112</v>
      </c>
      <c r="D63" s="47" t="s">
        <v>113</v>
      </c>
      <c r="E63" s="103"/>
      <c r="F63" s="60" t="s">
        <v>123</v>
      </c>
      <c r="G63" s="47" t="s">
        <v>147</v>
      </c>
      <c r="H63" s="44">
        <v>35</v>
      </c>
      <c r="I63" s="44">
        <v>2</v>
      </c>
      <c r="J63" s="50">
        <f t="shared" si="0"/>
        <v>5.7142857142857141E-2</v>
      </c>
      <c r="K63" s="51">
        <f t="shared" ref="K63:K67" si="15">I63</f>
        <v>2</v>
      </c>
      <c r="L63" s="50">
        <f t="shared" ref="L63:L67" si="16">IFERROR(K63/H63,0)</f>
        <v>5.7142857142857141E-2</v>
      </c>
    </row>
    <row r="64" spans="2:17" s="7" customFormat="1" x14ac:dyDescent="0.35">
      <c r="B64" s="41">
        <v>3</v>
      </c>
      <c r="C64" s="41" t="s">
        <v>124</v>
      </c>
      <c r="D64" s="47" t="s">
        <v>125</v>
      </c>
      <c r="E64" s="103"/>
      <c r="F64" s="60" t="s">
        <v>126</v>
      </c>
      <c r="G64" s="47" t="s">
        <v>147</v>
      </c>
      <c r="H64" s="44">
        <v>30</v>
      </c>
      <c r="I64" s="44">
        <v>2</v>
      </c>
      <c r="J64" s="50">
        <f t="shared" si="0"/>
        <v>6.6666666666666666E-2</v>
      </c>
      <c r="K64" s="51">
        <f t="shared" si="15"/>
        <v>2</v>
      </c>
      <c r="L64" s="50">
        <f t="shared" si="16"/>
        <v>6.6666666666666666E-2</v>
      </c>
      <c r="O64" s="24"/>
      <c r="Q64" s="24"/>
    </row>
    <row r="65" spans="2:17" x14ac:dyDescent="0.35">
      <c r="B65" s="41">
        <v>5</v>
      </c>
      <c r="C65" s="41" t="s">
        <v>65</v>
      </c>
      <c r="D65" s="47" t="s">
        <v>60</v>
      </c>
      <c r="E65" s="103"/>
      <c r="F65" s="60" t="s">
        <v>54</v>
      </c>
      <c r="G65" s="47" t="s">
        <v>147</v>
      </c>
      <c r="H65" s="44">
        <v>30</v>
      </c>
      <c r="I65" s="44">
        <v>2</v>
      </c>
      <c r="J65" s="50">
        <f t="shared" si="0"/>
        <v>6.6666666666666666E-2</v>
      </c>
      <c r="K65" s="51">
        <f t="shared" si="15"/>
        <v>2</v>
      </c>
      <c r="L65" s="50">
        <f t="shared" si="16"/>
        <v>6.6666666666666666E-2</v>
      </c>
    </row>
    <row r="66" spans="2:17" x14ac:dyDescent="0.35">
      <c r="B66" s="41">
        <v>5</v>
      </c>
      <c r="C66" s="41" t="s">
        <v>66</v>
      </c>
      <c r="D66" s="47" t="s">
        <v>47</v>
      </c>
      <c r="E66" s="103"/>
      <c r="F66" s="60" t="s">
        <v>54</v>
      </c>
      <c r="G66" s="47" t="s">
        <v>147</v>
      </c>
      <c r="H66" s="44">
        <v>35</v>
      </c>
      <c r="I66" s="44">
        <v>3</v>
      </c>
      <c r="J66" s="50">
        <f t="shared" si="0"/>
        <v>8.5714285714285715E-2</v>
      </c>
      <c r="K66" s="51">
        <f t="shared" si="15"/>
        <v>3</v>
      </c>
      <c r="L66" s="50">
        <f t="shared" si="16"/>
        <v>8.5714285714285715E-2</v>
      </c>
    </row>
    <row r="67" spans="2:17" x14ac:dyDescent="0.35">
      <c r="B67" s="52">
        <v>5</v>
      </c>
      <c r="C67" s="52" t="s">
        <v>67</v>
      </c>
      <c r="D67" s="53" t="s">
        <v>48</v>
      </c>
      <c r="E67" s="104"/>
      <c r="F67" s="62" t="s">
        <v>127</v>
      </c>
      <c r="G67" s="53" t="s">
        <v>147</v>
      </c>
      <c r="H67" s="54">
        <v>35</v>
      </c>
      <c r="I67" s="54">
        <v>2</v>
      </c>
      <c r="J67" s="55">
        <f t="shared" si="0"/>
        <v>5.7142857142857141E-2</v>
      </c>
      <c r="K67" s="56">
        <f t="shared" si="15"/>
        <v>2</v>
      </c>
      <c r="L67" s="55">
        <f t="shared" si="16"/>
        <v>5.7142857142857141E-2</v>
      </c>
    </row>
    <row r="68" spans="2:17" x14ac:dyDescent="0.35">
      <c r="B68" s="10"/>
      <c r="C68" s="10"/>
      <c r="D68" s="10"/>
      <c r="E68" s="79"/>
      <c r="F68" s="10"/>
      <c r="G68" s="17"/>
      <c r="H68" s="125" t="str">
        <f>+CONCATENATE("TOTAL A ",D7)</f>
        <v>TOTAL A ENERO</v>
      </c>
      <c r="I68" s="125"/>
      <c r="J68" s="125"/>
      <c r="K68" s="125" t="s">
        <v>33</v>
      </c>
      <c r="L68" s="125"/>
    </row>
    <row r="69" spans="2:17" s="7" customFormat="1" ht="16.5" customHeight="1" x14ac:dyDescent="0.35">
      <c r="B69" s="10"/>
      <c r="C69" s="10"/>
      <c r="E69" s="33"/>
      <c r="H69" s="25">
        <f>+SUM(H13:H67)</f>
        <v>1575</v>
      </c>
      <c r="I69" s="25">
        <f>+SUM(I13:I67)</f>
        <v>105</v>
      </c>
      <c r="J69" s="1">
        <f>IFERROR(I69/H69,0)</f>
        <v>6.6666666666666666E-2</v>
      </c>
      <c r="K69" s="26">
        <f>+SUM(K13:K67)</f>
        <v>105</v>
      </c>
      <c r="L69" s="1">
        <f>IFERROR(K69/H69,0)</f>
        <v>6.6666666666666666E-2</v>
      </c>
      <c r="O69"/>
      <c r="Q69"/>
    </row>
    <row r="71" spans="2:17" ht="69" customHeight="1" x14ac:dyDescent="0.35">
      <c r="B71" s="119" t="s">
        <v>34</v>
      </c>
      <c r="C71" s="120"/>
      <c r="D71" s="114" t="s">
        <v>145</v>
      </c>
      <c r="E71" s="114"/>
      <c r="F71" s="115"/>
      <c r="G71" s="115"/>
      <c r="H71" s="115"/>
      <c r="I71" s="115"/>
      <c r="J71" s="115"/>
      <c r="K71" s="115"/>
      <c r="L71" s="115"/>
    </row>
    <row r="72" spans="2:17" ht="27.75" customHeight="1" x14ac:dyDescent="0.35">
      <c r="B72" s="121"/>
      <c r="C72" s="122"/>
      <c r="D72" s="114" t="s">
        <v>143</v>
      </c>
      <c r="E72" s="114"/>
      <c r="F72" s="115"/>
      <c r="G72" s="115"/>
      <c r="H72" s="115"/>
      <c r="I72" s="115"/>
      <c r="J72" s="115"/>
      <c r="K72" s="115"/>
      <c r="L72" s="115"/>
    </row>
    <row r="73" spans="2:17" ht="48" customHeight="1" x14ac:dyDescent="0.35">
      <c r="B73" s="121"/>
      <c r="C73" s="122"/>
      <c r="D73" s="114" t="s">
        <v>137</v>
      </c>
      <c r="E73" s="114"/>
      <c r="F73" s="115"/>
      <c r="G73" s="115"/>
      <c r="H73" s="115"/>
      <c r="I73" s="115"/>
      <c r="J73" s="115"/>
      <c r="K73" s="115"/>
      <c r="L73" s="115"/>
    </row>
    <row r="74" spans="2:17" ht="48" customHeight="1" x14ac:dyDescent="0.35">
      <c r="B74" s="121"/>
      <c r="C74" s="122"/>
      <c r="D74" s="113" t="s">
        <v>138</v>
      </c>
      <c r="E74" s="114"/>
      <c r="F74" s="115"/>
      <c r="G74" s="115"/>
      <c r="H74" s="115"/>
      <c r="I74" s="115"/>
      <c r="J74" s="115"/>
      <c r="K74" s="115"/>
      <c r="L74" s="115"/>
    </row>
    <row r="75" spans="2:17" ht="48" customHeight="1" x14ac:dyDescent="0.35">
      <c r="B75" s="121"/>
      <c r="C75" s="122"/>
      <c r="D75" s="114" t="s">
        <v>139</v>
      </c>
      <c r="E75" s="114"/>
      <c r="F75" s="115"/>
      <c r="G75" s="115"/>
      <c r="H75" s="115"/>
      <c r="I75" s="115"/>
      <c r="J75" s="115"/>
      <c r="K75" s="115"/>
      <c r="L75" s="115"/>
    </row>
    <row r="76" spans="2:17" ht="48" customHeight="1" x14ac:dyDescent="0.35">
      <c r="B76" s="121"/>
      <c r="C76" s="122"/>
      <c r="D76" s="113" t="s">
        <v>140</v>
      </c>
      <c r="E76" s="114"/>
      <c r="F76" s="115"/>
      <c r="G76" s="115"/>
      <c r="H76" s="115"/>
      <c r="I76" s="115"/>
      <c r="J76" s="115"/>
      <c r="K76" s="115"/>
      <c r="L76" s="115"/>
    </row>
    <row r="77" spans="2:17" ht="48" customHeight="1" x14ac:dyDescent="0.35">
      <c r="B77" s="121"/>
      <c r="C77" s="122"/>
      <c r="D77" s="113" t="s">
        <v>142</v>
      </c>
      <c r="E77" s="114"/>
      <c r="F77" s="115"/>
      <c r="G77" s="115"/>
      <c r="H77" s="115"/>
      <c r="I77" s="115"/>
      <c r="J77" s="115"/>
      <c r="K77" s="115"/>
      <c r="L77" s="115"/>
    </row>
    <row r="78" spans="2:17" ht="93.65" customHeight="1" x14ac:dyDescent="0.35">
      <c r="B78" s="123"/>
      <c r="C78" s="124"/>
      <c r="D78" s="113" t="s">
        <v>141</v>
      </c>
      <c r="E78" s="114"/>
      <c r="F78" s="115"/>
      <c r="G78" s="115"/>
      <c r="H78" s="115"/>
      <c r="I78" s="115"/>
      <c r="J78" s="115"/>
      <c r="K78" s="115"/>
      <c r="L78" s="115"/>
    </row>
    <row r="79" spans="2:17" x14ac:dyDescent="0.35">
      <c r="B79" s="116" t="s">
        <v>36</v>
      </c>
      <c r="C79" s="116"/>
      <c r="D79" s="116"/>
      <c r="E79" s="116"/>
      <c r="F79" s="116"/>
      <c r="G79" s="116"/>
      <c r="H79" s="116"/>
      <c r="I79" s="116"/>
      <c r="J79" s="116"/>
      <c r="K79" s="116"/>
      <c r="L79" s="116"/>
    </row>
    <row r="80" spans="2:17" ht="20.149999999999999" customHeight="1" x14ac:dyDescent="0.35">
      <c r="B80" s="116"/>
      <c r="C80" s="116"/>
      <c r="D80" s="116"/>
      <c r="E80" s="116"/>
      <c r="F80" s="116"/>
      <c r="G80" s="116"/>
      <c r="H80" s="116"/>
      <c r="I80" s="116"/>
      <c r="J80" s="116"/>
      <c r="K80" s="116"/>
      <c r="L80" s="116"/>
    </row>
    <row r="81" spans="2:12" ht="19.399999999999999" customHeight="1" x14ac:dyDescent="0.35">
      <c r="B81" s="27" t="s">
        <v>37</v>
      </c>
      <c r="C81" s="28"/>
      <c r="D81" s="28"/>
      <c r="E81" s="80"/>
      <c r="F81" s="28"/>
      <c r="G81" s="28"/>
      <c r="H81" s="28"/>
      <c r="I81" s="28"/>
      <c r="J81" s="28"/>
      <c r="K81" s="28"/>
      <c r="L81" s="29"/>
    </row>
    <row r="82" spans="2:12" ht="20.149999999999999" customHeight="1" x14ac:dyDescent="0.45">
      <c r="B82" s="30" t="s">
        <v>38</v>
      </c>
      <c r="C82" s="31"/>
      <c r="D82" s="117" t="s">
        <v>35</v>
      </c>
      <c r="E82" s="117"/>
      <c r="F82" s="117"/>
      <c r="G82" s="117"/>
      <c r="H82" s="117"/>
      <c r="I82" s="117"/>
      <c r="J82" s="117"/>
      <c r="K82" s="117"/>
      <c r="L82" s="117"/>
    </row>
    <row r="83" spans="2:12" ht="20.149999999999999" customHeight="1" x14ac:dyDescent="0.45">
      <c r="B83" s="30" t="s">
        <v>39</v>
      </c>
      <c r="C83" s="31" t="s">
        <v>61</v>
      </c>
      <c r="D83" s="117"/>
      <c r="E83" s="117"/>
      <c r="F83" s="117"/>
      <c r="G83" s="117"/>
      <c r="H83" s="117"/>
      <c r="I83" s="117"/>
      <c r="J83" s="117"/>
      <c r="K83" s="117"/>
      <c r="L83" s="117"/>
    </row>
    <row r="84" spans="2:12" x14ac:dyDescent="0.35">
      <c r="B84" s="118" t="s">
        <v>36</v>
      </c>
      <c r="C84" s="118"/>
      <c r="D84" s="118"/>
      <c r="E84" s="118"/>
      <c r="F84" s="118"/>
      <c r="G84" s="118"/>
      <c r="H84" s="118"/>
      <c r="I84" s="118"/>
      <c r="J84" s="118"/>
      <c r="K84" s="118"/>
      <c r="L84" s="118"/>
    </row>
    <row r="85" spans="2:12" ht="15" customHeight="1" x14ac:dyDescent="0.35">
      <c r="B85" s="118"/>
      <c r="C85" s="118"/>
      <c r="D85" s="118"/>
      <c r="E85" s="118"/>
      <c r="F85" s="118"/>
      <c r="G85" s="118"/>
      <c r="H85" s="118"/>
      <c r="I85" s="118"/>
      <c r="J85" s="118"/>
      <c r="K85" s="118"/>
      <c r="L85" s="118"/>
    </row>
    <row r="86" spans="2:12" x14ac:dyDescent="0.35">
      <c r="B86" s="27" t="s">
        <v>40</v>
      </c>
      <c r="C86" s="28"/>
      <c r="D86" s="28"/>
      <c r="E86" s="80"/>
      <c r="F86" s="28"/>
      <c r="G86" s="28"/>
      <c r="H86" s="28"/>
      <c r="I86" s="28"/>
      <c r="J86" s="28"/>
      <c r="K86" s="28"/>
      <c r="L86" s="29"/>
    </row>
    <row r="87" spans="2:12" ht="20.149999999999999" customHeight="1" x14ac:dyDescent="0.45">
      <c r="B87" s="30" t="s">
        <v>38</v>
      </c>
      <c r="C87" s="31"/>
      <c r="D87" s="117" t="s">
        <v>35</v>
      </c>
      <c r="E87" s="117"/>
      <c r="F87" s="117"/>
      <c r="G87" s="117"/>
      <c r="H87" s="117"/>
      <c r="I87" s="117"/>
      <c r="J87" s="117"/>
      <c r="K87" s="117"/>
      <c r="L87" s="117"/>
    </row>
    <row r="88" spans="2:12" ht="20.149999999999999" customHeight="1" x14ac:dyDescent="0.45">
      <c r="B88" s="30" t="s">
        <v>39</v>
      </c>
      <c r="C88" s="31"/>
      <c r="D88" s="117"/>
      <c r="E88" s="117"/>
      <c r="F88" s="117"/>
      <c r="G88" s="117"/>
      <c r="H88" s="117"/>
      <c r="I88" s="117"/>
      <c r="J88" s="117"/>
      <c r="K88" s="117"/>
      <c r="L88" s="117"/>
    </row>
    <row r="91" spans="2:12" ht="19.5" customHeight="1" x14ac:dyDescent="0.35">
      <c r="B91" s="126" t="s">
        <v>62</v>
      </c>
      <c r="C91" s="126"/>
      <c r="D91" s="126"/>
      <c r="E91" s="81"/>
      <c r="H91" s="126"/>
      <c r="I91" s="126"/>
      <c r="J91" s="126"/>
      <c r="K91" s="126"/>
    </row>
    <row r="92" spans="2:12" ht="18" customHeight="1" x14ac:dyDescent="0.35">
      <c r="B92" s="10" t="s">
        <v>41</v>
      </c>
      <c r="C92" s="111"/>
      <c r="D92" s="111"/>
      <c r="E92" s="17"/>
      <c r="H92" s="10" t="s">
        <v>42</v>
      </c>
      <c r="I92" s="112" t="s">
        <v>164</v>
      </c>
      <c r="J92" s="112"/>
      <c r="K92" s="112"/>
    </row>
    <row r="124" spans="1:18" s="3" customFormat="1" hidden="1" x14ac:dyDescent="0.35">
      <c r="A124" t="s">
        <v>0</v>
      </c>
      <c r="B124" s="2"/>
      <c r="E124" s="76"/>
      <c r="M124" s="2"/>
      <c r="N124" s="2"/>
      <c r="O124"/>
      <c r="P124" s="2"/>
      <c r="Q124"/>
      <c r="R124" s="2"/>
    </row>
    <row r="125" spans="1:18" s="3" customFormat="1" hidden="1" x14ac:dyDescent="0.35">
      <c r="A125" t="s">
        <v>2</v>
      </c>
      <c r="B125" s="2"/>
      <c r="E125" s="76"/>
      <c r="M125" s="2"/>
      <c r="N125" s="2"/>
      <c r="O125"/>
      <c r="P125" s="2"/>
      <c r="Q125"/>
      <c r="R125" s="2"/>
    </row>
    <row r="126" spans="1:18" s="3" customFormat="1" hidden="1" x14ac:dyDescent="0.35">
      <c r="A126" t="s">
        <v>6</v>
      </c>
      <c r="B126" s="2"/>
      <c r="E126" s="76"/>
      <c r="M126" s="2"/>
      <c r="N126" s="2"/>
      <c r="O126"/>
      <c r="P126" s="2"/>
      <c r="Q126"/>
      <c r="R126" s="2"/>
    </row>
    <row r="127" spans="1:18" s="3" customFormat="1" hidden="1" x14ac:dyDescent="0.35">
      <c r="A127" t="s">
        <v>8</v>
      </c>
      <c r="B127" s="7"/>
      <c r="E127" s="76"/>
      <c r="M127" s="2"/>
      <c r="N127" s="2"/>
      <c r="O127"/>
      <c r="P127" s="2"/>
      <c r="Q127"/>
      <c r="R127" s="2"/>
    </row>
    <row r="128" spans="1:18" s="3" customFormat="1" hidden="1" x14ac:dyDescent="0.35">
      <c r="A128" t="s">
        <v>9</v>
      </c>
      <c r="B128" s="2"/>
      <c r="E128" s="76"/>
      <c r="M128" s="2"/>
      <c r="N128" s="2"/>
      <c r="O128"/>
      <c r="P128" s="2"/>
      <c r="Q128"/>
      <c r="R128" s="2"/>
    </row>
    <row r="129" spans="1:18" s="3" customFormat="1" hidden="1" x14ac:dyDescent="0.35">
      <c r="A129" t="s">
        <v>10</v>
      </c>
      <c r="B129" s="7"/>
      <c r="E129" s="76"/>
      <c r="M129" s="2"/>
      <c r="N129" s="2"/>
      <c r="O129"/>
      <c r="P129" s="2"/>
      <c r="Q129"/>
      <c r="R129" s="2"/>
    </row>
    <row r="130" spans="1:18" s="3" customFormat="1" hidden="1" x14ac:dyDescent="0.35">
      <c r="A130" t="s">
        <v>11</v>
      </c>
      <c r="B130" s="7"/>
      <c r="E130" s="76"/>
      <c r="M130" s="2"/>
      <c r="N130" s="2"/>
      <c r="O130"/>
      <c r="P130" s="2"/>
      <c r="Q130"/>
      <c r="R130" s="2"/>
    </row>
    <row r="131" spans="1:18" s="3" customFormat="1" hidden="1" x14ac:dyDescent="0.35">
      <c r="A131" t="s">
        <v>13</v>
      </c>
      <c r="B131" s="7"/>
      <c r="E131" s="76"/>
      <c r="M131" s="2"/>
      <c r="N131" s="2"/>
      <c r="O131"/>
      <c r="P131" s="2"/>
      <c r="Q131"/>
      <c r="R131" s="2"/>
    </row>
    <row r="132" spans="1:18" s="3" customFormat="1" hidden="1" x14ac:dyDescent="0.35">
      <c r="A132" t="s">
        <v>14</v>
      </c>
      <c r="B132" s="7"/>
      <c r="E132" s="76"/>
      <c r="M132" s="2"/>
      <c r="N132" s="2"/>
      <c r="O132"/>
      <c r="P132" s="2"/>
      <c r="Q132"/>
      <c r="R132" s="2"/>
    </row>
    <row r="133" spans="1:18" s="3" customFormat="1" hidden="1" x14ac:dyDescent="0.35">
      <c r="A133" t="s">
        <v>16</v>
      </c>
      <c r="B133" s="7"/>
      <c r="E133" s="76"/>
      <c r="M133" s="2"/>
      <c r="N133" s="2"/>
      <c r="O133"/>
      <c r="P133" s="2"/>
      <c r="Q133"/>
      <c r="R133" s="2"/>
    </row>
    <row r="134" spans="1:18" s="3" customFormat="1" hidden="1" x14ac:dyDescent="0.35">
      <c r="A134" t="s">
        <v>17</v>
      </c>
      <c r="B134" s="2"/>
      <c r="E134" s="76"/>
      <c r="M134" s="2"/>
      <c r="N134" s="2"/>
      <c r="O134"/>
      <c r="P134" s="2"/>
      <c r="Q134"/>
      <c r="R134" s="2"/>
    </row>
    <row r="135" spans="1:18" s="3" customFormat="1" hidden="1" x14ac:dyDescent="0.35">
      <c r="A135" t="s">
        <v>21</v>
      </c>
      <c r="B135" s="2"/>
      <c r="E135" s="76"/>
      <c r="M135" s="2"/>
      <c r="N135" s="2"/>
      <c r="O135"/>
      <c r="P135" s="2"/>
      <c r="Q135"/>
      <c r="R135" s="2"/>
    </row>
    <row r="136" spans="1:18" s="3" customFormat="1" hidden="1" x14ac:dyDescent="0.35">
      <c r="A136" t="s">
        <v>31</v>
      </c>
      <c r="B136" s="2"/>
      <c r="E136" s="76"/>
      <c r="M136" s="2"/>
      <c r="N136" s="2"/>
      <c r="O136"/>
      <c r="P136" s="2"/>
      <c r="Q136"/>
      <c r="R136" s="2"/>
    </row>
  </sheetData>
  <sheetProtection formatCells="0" formatColumns="0" formatRows="0" insertColumns="0" insertRows="0" insertHyperlinks="0" deleteColumns="0" deleteRows="0" sort="0" autoFilter="0" pivotTables="0"/>
  <mergeCells count="36">
    <mergeCell ref="H68:J68"/>
    <mergeCell ref="K68:L68"/>
    <mergeCell ref="E48:E53"/>
    <mergeCell ref="B91:D91"/>
    <mergeCell ref="H91:K91"/>
    <mergeCell ref="C92:D92"/>
    <mergeCell ref="I92:K92"/>
    <mergeCell ref="D78:L78"/>
    <mergeCell ref="B79:L80"/>
    <mergeCell ref="D82:L83"/>
    <mergeCell ref="B84:L85"/>
    <mergeCell ref="D87:L88"/>
    <mergeCell ref="B71:C78"/>
    <mergeCell ref="D77:L77"/>
    <mergeCell ref="D75:L75"/>
    <mergeCell ref="D74:L74"/>
    <mergeCell ref="D76:L76"/>
    <mergeCell ref="D73:L73"/>
    <mergeCell ref="D72:L72"/>
    <mergeCell ref="D71:L71"/>
    <mergeCell ref="I11:J11"/>
    <mergeCell ref="K11:L11"/>
    <mergeCell ref="B2:L2"/>
    <mergeCell ref="B3:D3"/>
    <mergeCell ref="F3:I3"/>
    <mergeCell ref="J3:L3"/>
    <mergeCell ref="B5:C5"/>
    <mergeCell ref="E20:E26"/>
    <mergeCell ref="E13:E19"/>
    <mergeCell ref="E60:E67"/>
    <mergeCell ref="B7:C7"/>
    <mergeCell ref="B9:C9"/>
    <mergeCell ref="B11:H11"/>
    <mergeCell ref="E27:E41"/>
    <mergeCell ref="E42:E47"/>
    <mergeCell ref="E54:E58"/>
  </mergeCells>
  <conditionalFormatting sqref="L13:L67">
    <cfRule type="cellIs" dxfId="1" priority="1" operator="greaterThan">
      <formula>1</formula>
    </cfRule>
  </conditionalFormatting>
  <dataValidations count="3">
    <dataValidation type="whole" allowBlank="1" showInputMessage="1" showErrorMessage="1" errorTitle="¡Error!" error="Introduzca un número válido." promptTitle="¡Atención!" prompt="Introduzca un número entre 0 y 366" sqref="H13:H67">
      <formula1>0</formula1>
      <formula2>366</formula2>
    </dataValidation>
    <dataValidation type="list" allowBlank="1" showInputMessage="1" showErrorMessage="1" sqref="D7">
      <formula1>$A$125:$A$136</formula1>
    </dataValidation>
    <dataValidation type="whole" allowBlank="1" showInputMessage="1" showErrorMessage="1" errorTitle="¡Error!" error="Introduzca un número válido." promptTitle="¡Atención!" prompt="Introduzca un número entre 0 y 30" sqref="I13:I67">
      <formula1>0</formula1>
      <formula2>30</formula2>
    </dataValidation>
  </dataValidations>
  <pageMargins left="0.7" right="0.7" top="0.75" bottom="0.75" header="0.3" footer="0.3"/>
  <pageSetup scale="27" orientation="portrait" r:id="rId1"/>
  <ignoredErrors>
    <ignoredError sqref="J69" formula="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36"/>
  <sheetViews>
    <sheetView showGridLines="0" tabSelected="1" view="pageBreakPreview" zoomScaleNormal="100" zoomScaleSheetLayoutView="100" workbookViewId="0">
      <selection activeCell="B2" sqref="B2:L2"/>
    </sheetView>
  </sheetViews>
  <sheetFormatPr baseColWidth="10" defaultColWidth="8.6328125" defaultRowHeight="14.5" x14ac:dyDescent="0.35"/>
  <cols>
    <col min="1" max="1" width="3.36328125" style="2" customWidth="1"/>
    <col min="2" max="2" width="9.6328125" style="3" customWidth="1"/>
    <col min="3" max="3" width="8.54296875" style="3" customWidth="1"/>
    <col min="4" max="4" width="43.36328125" style="3" customWidth="1"/>
    <col min="5" max="5" width="19.54296875" style="76" customWidth="1"/>
    <col min="6" max="6" width="14.08984375" style="3" bestFit="1" customWidth="1"/>
    <col min="7" max="7" width="51.90625" style="3" customWidth="1"/>
    <col min="8" max="8" width="13.6328125" style="3" customWidth="1"/>
    <col min="9" max="9" width="13.453125" style="3" customWidth="1"/>
    <col min="10" max="10" width="10.453125" style="3" customWidth="1"/>
    <col min="11" max="11" width="12.453125" style="3" customWidth="1"/>
    <col min="12" max="12" width="12.36328125" style="3" customWidth="1"/>
    <col min="13" max="13" width="3.36328125" style="2" customWidth="1"/>
    <col min="14" max="14" width="16.453125" style="2" customWidth="1"/>
    <col min="16" max="16" width="16.453125" style="2" customWidth="1"/>
    <col min="17" max="17" width="0" hidden="1" customWidth="1"/>
    <col min="18" max="18" width="16.453125" style="2" customWidth="1"/>
    <col min="19" max="16384" width="8.6328125" style="2"/>
  </cols>
  <sheetData>
    <row r="1" spans="2:17" ht="18" customHeight="1" x14ac:dyDescent="0.35">
      <c r="Q1" t="s">
        <v>0</v>
      </c>
    </row>
    <row r="2" spans="2:17" ht="49.5" customHeight="1" x14ac:dyDescent="0.35">
      <c r="B2" s="107" t="s">
        <v>1</v>
      </c>
      <c r="C2" s="107"/>
      <c r="D2" s="107"/>
      <c r="E2" s="107"/>
      <c r="F2" s="107"/>
      <c r="G2" s="107"/>
      <c r="H2" s="107"/>
      <c r="I2" s="107"/>
      <c r="J2" s="107"/>
      <c r="K2" s="107"/>
      <c r="L2" s="107"/>
      <c r="Q2" t="s">
        <v>2</v>
      </c>
    </row>
    <row r="3" spans="2:17" ht="18.75" customHeight="1" x14ac:dyDescent="0.35">
      <c r="B3" s="108" t="s">
        <v>3</v>
      </c>
      <c r="C3" s="109"/>
      <c r="D3" s="109"/>
      <c r="E3" s="77"/>
      <c r="F3" s="109" t="s">
        <v>4</v>
      </c>
      <c r="G3" s="109"/>
      <c r="H3" s="109"/>
      <c r="I3" s="109"/>
      <c r="J3" s="109" t="s">
        <v>5</v>
      </c>
      <c r="K3" s="109"/>
      <c r="L3" s="110"/>
    </row>
    <row r="4" spans="2:17" x14ac:dyDescent="0.35">
      <c r="B4" s="4"/>
      <c r="C4" s="5"/>
      <c r="L4" s="6"/>
      <c r="Q4" t="s">
        <v>6</v>
      </c>
    </row>
    <row r="5" spans="2:17" s="7" customFormat="1" ht="27.65" customHeight="1" x14ac:dyDescent="0.35">
      <c r="B5" s="105" t="s">
        <v>7</v>
      </c>
      <c r="C5" s="105"/>
      <c r="D5" s="8">
        <v>90599924</v>
      </c>
      <c r="E5" s="32"/>
      <c r="F5" s="9"/>
      <c r="G5" s="9"/>
      <c r="H5" s="10"/>
      <c r="I5" s="10"/>
      <c r="J5" s="10"/>
      <c r="K5" s="10"/>
      <c r="L5" s="11"/>
      <c r="O5"/>
      <c r="Q5" t="s">
        <v>8</v>
      </c>
    </row>
    <row r="6" spans="2:17" x14ac:dyDescent="0.35">
      <c r="B6" s="12"/>
      <c r="E6" s="32"/>
      <c r="L6" s="13"/>
      <c r="Q6" t="s">
        <v>9</v>
      </c>
    </row>
    <row r="7" spans="2:17" s="7" customFormat="1" x14ac:dyDescent="0.35">
      <c r="B7" s="105" t="s">
        <v>12</v>
      </c>
      <c r="C7" s="105"/>
      <c r="D7" s="14" t="s">
        <v>6</v>
      </c>
      <c r="E7" s="32"/>
      <c r="F7" s="15"/>
      <c r="G7" s="15"/>
      <c r="H7" s="10"/>
      <c r="I7" s="10"/>
      <c r="J7" s="10"/>
      <c r="K7" s="10"/>
      <c r="L7" s="11"/>
      <c r="O7"/>
      <c r="Q7" t="s">
        <v>13</v>
      </c>
    </row>
    <row r="8" spans="2:17" s="7" customFormat="1" x14ac:dyDescent="0.35">
      <c r="B8" s="16"/>
      <c r="C8" s="17"/>
      <c r="D8" s="15"/>
      <c r="E8" s="32"/>
      <c r="F8" s="15"/>
      <c r="G8" s="15"/>
      <c r="H8" s="10"/>
      <c r="I8" s="10"/>
      <c r="J8" s="10"/>
      <c r="K8" s="10"/>
      <c r="L8" s="11"/>
      <c r="O8"/>
      <c r="Q8" t="s">
        <v>14</v>
      </c>
    </row>
    <row r="9" spans="2:17" s="7" customFormat="1" x14ac:dyDescent="0.35">
      <c r="B9" s="105" t="s">
        <v>15</v>
      </c>
      <c r="C9" s="105"/>
      <c r="D9" s="18">
        <v>46081</v>
      </c>
      <c r="E9" s="32"/>
      <c r="F9" s="19"/>
      <c r="G9" s="19"/>
      <c r="H9" s="10"/>
      <c r="I9" s="10"/>
      <c r="J9" s="10"/>
      <c r="K9" s="10"/>
      <c r="L9" s="11"/>
      <c r="O9"/>
      <c r="Q9" t="s">
        <v>16</v>
      </c>
    </row>
    <row r="10" spans="2:17" x14ac:dyDescent="0.35">
      <c r="B10" s="20"/>
      <c r="C10" s="21"/>
      <c r="L10" s="22"/>
      <c r="Q10" t="s">
        <v>17</v>
      </c>
    </row>
    <row r="11" spans="2:17" ht="26.9" customHeight="1" x14ac:dyDescent="0.35">
      <c r="B11" s="106" t="s">
        <v>18</v>
      </c>
      <c r="C11" s="106"/>
      <c r="D11" s="106"/>
      <c r="E11" s="106"/>
      <c r="F11" s="106"/>
      <c r="G11" s="106"/>
      <c r="H11" s="106"/>
      <c r="I11" s="105" t="s">
        <v>19</v>
      </c>
      <c r="J11" s="105"/>
      <c r="K11" s="105" t="s">
        <v>20</v>
      </c>
      <c r="L11" s="105"/>
      <c r="Q11" t="s">
        <v>21</v>
      </c>
    </row>
    <row r="12" spans="2:17" ht="57.65" customHeight="1" x14ac:dyDescent="0.35">
      <c r="B12" s="23" t="s">
        <v>22</v>
      </c>
      <c r="C12" s="23" t="s">
        <v>23</v>
      </c>
      <c r="D12" s="23" t="s">
        <v>24</v>
      </c>
      <c r="E12" s="23" t="s">
        <v>128</v>
      </c>
      <c r="F12" s="23" t="s">
        <v>25</v>
      </c>
      <c r="G12" s="23" t="s">
        <v>26</v>
      </c>
      <c r="H12" s="23" t="s">
        <v>27</v>
      </c>
      <c r="I12" s="23" t="s">
        <v>28</v>
      </c>
      <c r="J12" s="23" t="s">
        <v>29</v>
      </c>
      <c r="K12" s="23" t="s">
        <v>30</v>
      </c>
      <c r="L12" s="23" t="s">
        <v>29</v>
      </c>
      <c r="Q12" t="s">
        <v>31</v>
      </c>
    </row>
    <row r="13" spans="2:17" x14ac:dyDescent="0.35">
      <c r="B13" s="34">
        <v>3</v>
      </c>
      <c r="C13" s="34" t="s">
        <v>63</v>
      </c>
      <c r="D13" s="35" t="s">
        <v>43</v>
      </c>
      <c r="E13" s="102" t="s">
        <v>129</v>
      </c>
      <c r="F13" s="82" t="s">
        <v>44</v>
      </c>
      <c r="G13" s="94" t="s">
        <v>52</v>
      </c>
      <c r="H13" s="85">
        <v>33</v>
      </c>
      <c r="I13" s="85">
        <v>5</v>
      </c>
      <c r="J13" s="38">
        <f t="shared" ref="J13:J67" si="0">IFERROR(I13/H13,0)</f>
        <v>0.15151515151515152</v>
      </c>
      <c r="K13" s="39">
        <f>I13+ENERO!K13</f>
        <v>7</v>
      </c>
      <c r="L13" s="38">
        <f>IFERROR(K13/H13,0)</f>
        <v>0.21212121212121213</v>
      </c>
    </row>
    <row r="14" spans="2:17" x14ac:dyDescent="0.35">
      <c r="B14" s="40">
        <v>5</v>
      </c>
      <c r="C14" s="41" t="s">
        <v>64</v>
      </c>
      <c r="D14" s="42" t="s">
        <v>45</v>
      </c>
      <c r="E14" s="103"/>
      <c r="F14" s="82" t="s">
        <v>44</v>
      </c>
      <c r="G14" s="95" t="s">
        <v>53</v>
      </c>
      <c r="H14" s="84">
        <v>32</v>
      </c>
      <c r="I14" s="86">
        <v>5</v>
      </c>
      <c r="J14" s="45">
        <f t="shared" si="0"/>
        <v>0.15625</v>
      </c>
      <c r="K14" s="46">
        <f>I14+ENERO!K14</f>
        <v>8</v>
      </c>
      <c r="L14" s="45">
        <f>IFERROR(K14/H14,0)</f>
        <v>0.25</v>
      </c>
    </row>
    <row r="15" spans="2:17" x14ac:dyDescent="0.35">
      <c r="B15" s="41">
        <v>5</v>
      </c>
      <c r="C15" s="41" t="s">
        <v>65</v>
      </c>
      <c r="D15" s="47" t="s">
        <v>60</v>
      </c>
      <c r="E15" s="103"/>
      <c r="F15" s="82" t="s">
        <v>44</v>
      </c>
      <c r="G15" s="96" t="s">
        <v>55</v>
      </c>
      <c r="H15" s="86">
        <v>32</v>
      </c>
      <c r="I15" s="87">
        <v>6</v>
      </c>
      <c r="J15" s="45">
        <f t="shared" si="0"/>
        <v>0.1875</v>
      </c>
      <c r="K15" s="49">
        <f>I15+ENERO!K15</f>
        <v>9</v>
      </c>
      <c r="L15" s="45">
        <f>IFERROR(K15/H15,0)</f>
        <v>0.28125</v>
      </c>
    </row>
    <row r="16" spans="2:17" x14ac:dyDescent="0.35">
      <c r="B16" s="41">
        <v>5</v>
      </c>
      <c r="C16" s="41" t="s">
        <v>66</v>
      </c>
      <c r="D16" s="47" t="s">
        <v>47</v>
      </c>
      <c r="E16" s="103"/>
      <c r="F16" s="82" t="s">
        <v>44</v>
      </c>
      <c r="G16" s="95" t="s">
        <v>56</v>
      </c>
      <c r="H16" s="86">
        <v>32</v>
      </c>
      <c r="I16" s="86">
        <v>2</v>
      </c>
      <c r="J16" s="50">
        <f t="shared" si="0"/>
        <v>6.25E-2</v>
      </c>
      <c r="K16" s="51">
        <f>I16+ENERO!K16</f>
        <v>3</v>
      </c>
      <c r="L16" s="50">
        <f t="shared" ref="L16:L19" si="1">IFERROR(K16/H16,0)</f>
        <v>9.375E-2</v>
      </c>
    </row>
    <row r="17" spans="2:17" s="7" customFormat="1" x14ac:dyDescent="0.35">
      <c r="B17" s="41">
        <v>5</v>
      </c>
      <c r="C17" s="41" t="s">
        <v>67</v>
      </c>
      <c r="D17" s="47" t="s">
        <v>48</v>
      </c>
      <c r="E17" s="103"/>
      <c r="F17" s="82" t="s">
        <v>44</v>
      </c>
      <c r="G17" s="95" t="s">
        <v>57</v>
      </c>
      <c r="H17" s="86">
        <v>32</v>
      </c>
      <c r="I17" s="86">
        <v>4</v>
      </c>
      <c r="J17" s="50">
        <f t="shared" si="0"/>
        <v>0.125</v>
      </c>
      <c r="K17" s="51">
        <f>I17+ENERO!K17</f>
        <v>6</v>
      </c>
      <c r="L17" s="50">
        <f t="shared" si="1"/>
        <v>0.1875</v>
      </c>
      <c r="O17" s="24"/>
      <c r="Q17" s="24"/>
    </row>
    <row r="18" spans="2:17" x14ac:dyDescent="0.35">
      <c r="B18" s="41">
        <v>5</v>
      </c>
      <c r="C18" s="41" t="s">
        <v>68</v>
      </c>
      <c r="D18" s="47" t="s">
        <v>49</v>
      </c>
      <c r="E18" s="103"/>
      <c r="F18" s="97" t="s">
        <v>44</v>
      </c>
      <c r="G18" s="95" t="s">
        <v>58</v>
      </c>
      <c r="H18" s="84">
        <v>32</v>
      </c>
      <c r="I18" s="86">
        <v>4</v>
      </c>
      <c r="J18" s="50">
        <f t="shared" si="0"/>
        <v>0.125</v>
      </c>
      <c r="K18" s="51">
        <f>I18+ENERO!K18</f>
        <v>6</v>
      </c>
      <c r="L18" s="50">
        <f t="shared" si="1"/>
        <v>0.1875</v>
      </c>
    </row>
    <row r="19" spans="2:17" x14ac:dyDescent="0.35">
      <c r="B19" s="52">
        <v>5</v>
      </c>
      <c r="C19" s="52" t="s">
        <v>69</v>
      </c>
      <c r="D19" s="53" t="s">
        <v>50</v>
      </c>
      <c r="E19" s="104"/>
      <c r="F19" s="93" t="s">
        <v>44</v>
      </c>
      <c r="G19" s="98" t="s">
        <v>59</v>
      </c>
      <c r="H19" s="88">
        <v>32</v>
      </c>
      <c r="I19" s="88">
        <v>4</v>
      </c>
      <c r="J19" s="55">
        <f t="shared" si="0"/>
        <v>0.125</v>
      </c>
      <c r="K19" s="56">
        <f>I19+ENERO!K19</f>
        <v>6</v>
      </c>
      <c r="L19" s="55">
        <f t="shared" si="1"/>
        <v>0.1875</v>
      </c>
    </row>
    <row r="20" spans="2:17" x14ac:dyDescent="0.35">
      <c r="B20" s="34">
        <v>3</v>
      </c>
      <c r="C20" s="34" t="s">
        <v>63</v>
      </c>
      <c r="D20" s="35" t="s">
        <v>43</v>
      </c>
      <c r="E20" s="102" t="s">
        <v>130</v>
      </c>
      <c r="F20" s="83" t="s">
        <v>150</v>
      </c>
      <c r="G20" s="94" t="s">
        <v>151</v>
      </c>
      <c r="H20" s="85">
        <v>32</v>
      </c>
      <c r="I20" s="85">
        <v>6</v>
      </c>
      <c r="J20" s="38">
        <f t="shared" si="0"/>
        <v>0.1875</v>
      </c>
      <c r="K20" s="39">
        <f>I20+ENERO!K20</f>
        <v>9</v>
      </c>
      <c r="L20" s="38">
        <f>IFERROR(K20/H20,0)</f>
        <v>0.28125</v>
      </c>
    </row>
    <row r="21" spans="2:17" x14ac:dyDescent="0.35">
      <c r="B21" s="40">
        <v>5</v>
      </c>
      <c r="C21" s="41" t="s">
        <v>64</v>
      </c>
      <c r="D21" s="42" t="s">
        <v>45</v>
      </c>
      <c r="E21" s="103"/>
      <c r="F21" s="82" t="s">
        <v>152</v>
      </c>
      <c r="G21" s="95" t="s">
        <v>103</v>
      </c>
      <c r="H21" s="84">
        <v>32</v>
      </c>
      <c r="I21" s="86">
        <v>4</v>
      </c>
      <c r="J21" s="45">
        <f t="shared" si="0"/>
        <v>0.125</v>
      </c>
      <c r="K21" s="46">
        <f>I21+ENERO!K21</f>
        <v>7</v>
      </c>
      <c r="L21" s="45">
        <f>IFERROR(K21/H21,0)</f>
        <v>0.21875</v>
      </c>
    </row>
    <row r="22" spans="2:17" x14ac:dyDescent="0.35">
      <c r="B22" s="41">
        <v>5</v>
      </c>
      <c r="C22" s="41" t="s">
        <v>65</v>
      </c>
      <c r="D22" s="47" t="s">
        <v>46</v>
      </c>
      <c r="E22" s="103"/>
      <c r="F22" s="82" t="s">
        <v>104</v>
      </c>
      <c r="G22" s="95" t="s">
        <v>105</v>
      </c>
      <c r="H22" s="86">
        <v>32</v>
      </c>
      <c r="I22" s="87">
        <v>4</v>
      </c>
      <c r="J22" s="45">
        <f t="shared" si="0"/>
        <v>0.125</v>
      </c>
      <c r="K22" s="49">
        <f>I22+ENERO!K22</f>
        <v>7</v>
      </c>
      <c r="L22" s="45">
        <f>IFERROR(K22/H22,0)</f>
        <v>0.21875</v>
      </c>
    </row>
    <row r="23" spans="2:17" x14ac:dyDescent="0.35">
      <c r="B23" s="41">
        <v>5</v>
      </c>
      <c r="C23" s="41" t="s">
        <v>66</v>
      </c>
      <c r="D23" s="47" t="s">
        <v>47</v>
      </c>
      <c r="E23" s="103"/>
      <c r="F23" s="82" t="s">
        <v>153</v>
      </c>
      <c r="G23" s="95" t="s">
        <v>107</v>
      </c>
      <c r="H23" s="86">
        <v>32</v>
      </c>
      <c r="I23" s="86">
        <v>4</v>
      </c>
      <c r="J23" s="50">
        <f t="shared" si="0"/>
        <v>0.125</v>
      </c>
      <c r="K23" s="51">
        <f>I23+ENERO!K23</f>
        <v>5</v>
      </c>
      <c r="L23" s="50">
        <f t="shared" ref="L23:L26" si="2">IFERROR(K23/H23,0)</f>
        <v>0.15625</v>
      </c>
    </row>
    <row r="24" spans="2:17" s="7" customFormat="1" x14ac:dyDescent="0.35">
      <c r="B24" s="41">
        <v>5</v>
      </c>
      <c r="C24" s="41" t="s">
        <v>67</v>
      </c>
      <c r="D24" s="47" t="s">
        <v>48</v>
      </c>
      <c r="E24" s="103"/>
      <c r="F24" s="82" t="s">
        <v>108</v>
      </c>
      <c r="G24" s="95" t="s">
        <v>107</v>
      </c>
      <c r="H24" s="86">
        <v>32</v>
      </c>
      <c r="I24" s="86">
        <v>4</v>
      </c>
      <c r="J24" s="50">
        <f t="shared" si="0"/>
        <v>0.125</v>
      </c>
      <c r="K24" s="51">
        <f>I24+ENERO!K24</f>
        <v>6</v>
      </c>
      <c r="L24" s="50">
        <f t="shared" si="2"/>
        <v>0.1875</v>
      </c>
      <c r="O24" s="24"/>
      <c r="Q24" s="24"/>
    </row>
    <row r="25" spans="2:17" x14ac:dyDescent="0.35">
      <c r="B25" s="41">
        <v>5</v>
      </c>
      <c r="C25" s="41" t="s">
        <v>68</v>
      </c>
      <c r="D25" s="47" t="s">
        <v>49</v>
      </c>
      <c r="E25" s="103"/>
      <c r="F25" s="82" t="s">
        <v>154</v>
      </c>
      <c r="G25" s="95" t="s">
        <v>107</v>
      </c>
      <c r="H25" s="84">
        <v>32</v>
      </c>
      <c r="I25" s="84">
        <v>4</v>
      </c>
      <c r="J25" s="50">
        <f t="shared" si="0"/>
        <v>0.125</v>
      </c>
      <c r="K25" s="51">
        <f>I25+ENERO!K25</f>
        <v>6</v>
      </c>
      <c r="L25" s="50">
        <f t="shared" si="2"/>
        <v>0.1875</v>
      </c>
    </row>
    <row r="26" spans="2:17" x14ac:dyDescent="0.35">
      <c r="B26" s="52">
        <v>5</v>
      </c>
      <c r="C26" s="52" t="s">
        <v>69</v>
      </c>
      <c r="D26" s="53" t="s">
        <v>50</v>
      </c>
      <c r="E26" s="104"/>
      <c r="F26" s="93" t="s">
        <v>155</v>
      </c>
      <c r="G26" s="93" t="s">
        <v>111</v>
      </c>
      <c r="H26" s="88">
        <v>33</v>
      </c>
      <c r="I26" s="88">
        <v>4</v>
      </c>
      <c r="J26" s="55">
        <f t="shared" si="0"/>
        <v>0.12121212121212122</v>
      </c>
      <c r="K26" s="56">
        <f>I26+ENERO!K26</f>
        <v>5</v>
      </c>
      <c r="L26" s="55">
        <f t="shared" si="2"/>
        <v>0.15151515151515152</v>
      </c>
    </row>
    <row r="27" spans="2:17" x14ac:dyDescent="0.35">
      <c r="B27" s="34">
        <v>5</v>
      </c>
      <c r="C27" s="34" t="s">
        <v>70</v>
      </c>
      <c r="D27" s="35" t="s">
        <v>71</v>
      </c>
      <c r="E27" s="102" t="s">
        <v>131</v>
      </c>
      <c r="F27" s="66" t="s">
        <v>72</v>
      </c>
      <c r="G27" s="66" t="s">
        <v>32</v>
      </c>
      <c r="H27" s="68">
        <v>15</v>
      </c>
      <c r="I27" s="37">
        <v>5</v>
      </c>
      <c r="J27" s="38">
        <f t="shared" si="0"/>
        <v>0.33333333333333331</v>
      </c>
      <c r="K27" s="39">
        <f>I27+ENERO!K27</f>
        <v>5</v>
      </c>
      <c r="L27" s="38">
        <f>IFERROR(K27/H27,0)</f>
        <v>0.33333333333333331</v>
      </c>
    </row>
    <row r="28" spans="2:17" x14ac:dyDescent="0.35">
      <c r="B28" s="40">
        <v>5</v>
      </c>
      <c r="C28" s="41" t="s">
        <v>64</v>
      </c>
      <c r="D28" s="42" t="s">
        <v>45</v>
      </c>
      <c r="E28" s="103"/>
      <c r="F28" s="60" t="s">
        <v>144</v>
      </c>
      <c r="G28" s="67" t="s">
        <v>144</v>
      </c>
      <c r="H28" s="43">
        <v>15</v>
      </c>
      <c r="I28" s="44">
        <v>0</v>
      </c>
      <c r="J28" s="45">
        <f t="shared" si="0"/>
        <v>0</v>
      </c>
      <c r="K28" s="46">
        <f>I28+ENERO!K28</f>
        <v>5</v>
      </c>
      <c r="L28" s="45">
        <f>IFERROR(K28/H28,0)</f>
        <v>0.33333333333333331</v>
      </c>
    </row>
    <row r="29" spans="2:17" x14ac:dyDescent="0.35">
      <c r="B29" s="41">
        <v>5</v>
      </c>
      <c r="C29" s="41" t="s">
        <v>73</v>
      </c>
      <c r="D29" s="47" t="s">
        <v>74</v>
      </c>
      <c r="E29" s="103"/>
      <c r="F29" s="47" t="s">
        <v>44</v>
      </c>
      <c r="G29" s="47" t="s">
        <v>32</v>
      </c>
      <c r="H29" s="44">
        <v>15</v>
      </c>
      <c r="I29" s="48">
        <v>7</v>
      </c>
      <c r="J29" s="45">
        <f t="shared" si="0"/>
        <v>0.46666666666666667</v>
      </c>
      <c r="K29" s="49">
        <f>I29+ENERO!K29</f>
        <v>7</v>
      </c>
      <c r="L29" s="45">
        <f>IFERROR(K29/H29,0)</f>
        <v>0.46666666666666667</v>
      </c>
    </row>
    <row r="30" spans="2:17" x14ac:dyDescent="0.35">
      <c r="B30" s="41">
        <v>5</v>
      </c>
      <c r="C30" s="41" t="s">
        <v>75</v>
      </c>
      <c r="D30" s="47" t="s">
        <v>76</v>
      </c>
      <c r="E30" s="103"/>
      <c r="F30" s="47" t="s">
        <v>44</v>
      </c>
      <c r="G30" s="47" t="s">
        <v>32</v>
      </c>
      <c r="H30" s="44">
        <v>15</v>
      </c>
      <c r="I30" s="44">
        <v>6</v>
      </c>
      <c r="J30" s="50">
        <f t="shared" si="0"/>
        <v>0.4</v>
      </c>
      <c r="K30" s="51">
        <f>I30+ENERO!K30</f>
        <v>6</v>
      </c>
      <c r="L30" s="50">
        <f t="shared" ref="L30:L35" si="3">IFERROR(K30/H30,0)</f>
        <v>0.4</v>
      </c>
    </row>
    <row r="31" spans="2:17" s="7" customFormat="1" x14ac:dyDescent="0.35">
      <c r="B31" s="41">
        <v>5</v>
      </c>
      <c r="C31" s="41" t="s">
        <v>65</v>
      </c>
      <c r="D31" s="47" t="s">
        <v>77</v>
      </c>
      <c r="E31" s="103"/>
      <c r="F31" s="60" t="s">
        <v>44</v>
      </c>
      <c r="G31" s="47" t="s">
        <v>32</v>
      </c>
      <c r="H31" s="44">
        <v>15</v>
      </c>
      <c r="I31" s="44">
        <v>3</v>
      </c>
      <c r="J31" s="50">
        <f t="shared" si="0"/>
        <v>0.2</v>
      </c>
      <c r="K31" s="51">
        <f>I31+ENERO!K31</f>
        <v>10</v>
      </c>
      <c r="L31" s="50">
        <f t="shared" si="3"/>
        <v>0.66666666666666663</v>
      </c>
      <c r="O31" s="24"/>
      <c r="Q31" s="24"/>
    </row>
    <row r="32" spans="2:17" x14ac:dyDescent="0.35">
      <c r="B32" s="41">
        <v>5</v>
      </c>
      <c r="C32" s="41" t="s">
        <v>66</v>
      </c>
      <c r="D32" s="47" t="s">
        <v>47</v>
      </c>
      <c r="E32" s="103"/>
      <c r="F32" s="60" t="s">
        <v>44</v>
      </c>
      <c r="G32" s="47" t="s">
        <v>32</v>
      </c>
      <c r="H32" s="44">
        <v>15</v>
      </c>
      <c r="I32" s="44">
        <v>7</v>
      </c>
      <c r="J32" s="50">
        <f t="shared" si="0"/>
        <v>0.46666666666666667</v>
      </c>
      <c r="K32" s="51">
        <f>I32+ENERO!K32</f>
        <v>10</v>
      </c>
      <c r="L32" s="50">
        <f t="shared" si="3"/>
        <v>0.66666666666666663</v>
      </c>
    </row>
    <row r="33" spans="2:17" x14ac:dyDescent="0.35">
      <c r="B33" s="41">
        <v>5</v>
      </c>
      <c r="C33" s="41" t="s">
        <v>67</v>
      </c>
      <c r="D33" s="47" t="s">
        <v>48</v>
      </c>
      <c r="E33" s="103"/>
      <c r="F33" s="47" t="s">
        <v>144</v>
      </c>
      <c r="G33" s="47" t="s">
        <v>144</v>
      </c>
      <c r="H33" s="44">
        <v>15</v>
      </c>
      <c r="I33" s="44">
        <v>0</v>
      </c>
      <c r="J33" s="50">
        <f t="shared" si="0"/>
        <v>0</v>
      </c>
      <c r="K33" s="51">
        <f>I33+ENERO!K33</f>
        <v>0</v>
      </c>
      <c r="L33" s="50">
        <f t="shared" si="3"/>
        <v>0</v>
      </c>
    </row>
    <row r="34" spans="2:17" x14ac:dyDescent="0.35">
      <c r="B34" s="41">
        <v>5</v>
      </c>
      <c r="C34" s="41" t="s">
        <v>68</v>
      </c>
      <c r="D34" s="47" t="s">
        <v>49</v>
      </c>
      <c r="E34" s="103"/>
      <c r="F34" s="47" t="s">
        <v>144</v>
      </c>
      <c r="G34" s="47" t="s">
        <v>144</v>
      </c>
      <c r="H34" s="44">
        <v>15</v>
      </c>
      <c r="I34" s="44">
        <v>0</v>
      </c>
      <c r="J34" s="50">
        <f t="shared" si="0"/>
        <v>0</v>
      </c>
      <c r="K34" s="51">
        <f>I34+ENERO!K34</f>
        <v>0</v>
      </c>
      <c r="L34" s="50">
        <f t="shared" si="3"/>
        <v>0</v>
      </c>
    </row>
    <row r="35" spans="2:17" x14ac:dyDescent="0.35">
      <c r="B35" s="41">
        <v>5</v>
      </c>
      <c r="C35" s="41" t="s">
        <v>69</v>
      </c>
      <c r="D35" s="47" t="s">
        <v>50</v>
      </c>
      <c r="E35" s="103"/>
      <c r="F35" s="47" t="s">
        <v>144</v>
      </c>
      <c r="G35" s="47" t="s">
        <v>144</v>
      </c>
      <c r="H35" s="44">
        <v>15</v>
      </c>
      <c r="I35" s="44">
        <v>0</v>
      </c>
      <c r="J35" s="50">
        <f t="shared" si="0"/>
        <v>0</v>
      </c>
      <c r="K35" s="51">
        <f>I35+ENERO!K35</f>
        <v>0</v>
      </c>
      <c r="L35" s="50">
        <f t="shared" si="3"/>
        <v>0</v>
      </c>
    </row>
    <row r="36" spans="2:17" x14ac:dyDescent="0.35">
      <c r="B36" s="57">
        <v>5</v>
      </c>
      <c r="C36" s="57" t="s">
        <v>78</v>
      </c>
      <c r="D36" s="61" t="s">
        <v>79</v>
      </c>
      <c r="E36" s="103"/>
      <c r="F36" s="42" t="s">
        <v>144</v>
      </c>
      <c r="G36" s="42" t="s">
        <v>144</v>
      </c>
      <c r="H36" s="44">
        <v>15</v>
      </c>
      <c r="I36" s="70">
        <v>0</v>
      </c>
      <c r="J36" s="45">
        <f t="shared" si="0"/>
        <v>0</v>
      </c>
      <c r="K36" s="46">
        <f>I36+ENERO!K36</f>
        <v>0</v>
      </c>
      <c r="L36" s="45">
        <f>IFERROR(K36/H36,0)</f>
        <v>0</v>
      </c>
    </row>
    <row r="37" spans="2:17" x14ac:dyDescent="0.35">
      <c r="B37" s="40">
        <v>5</v>
      </c>
      <c r="C37" s="41" t="s">
        <v>80</v>
      </c>
      <c r="D37" s="42" t="s">
        <v>81</v>
      </c>
      <c r="E37" s="103"/>
      <c r="F37" s="67" t="s">
        <v>144</v>
      </c>
      <c r="G37" s="67" t="s">
        <v>144</v>
      </c>
      <c r="H37" s="44">
        <v>15</v>
      </c>
      <c r="I37" s="44">
        <v>0</v>
      </c>
      <c r="J37" s="45">
        <f t="shared" si="0"/>
        <v>0</v>
      </c>
      <c r="K37" s="46">
        <f>I37+ENERO!K37</f>
        <v>0</v>
      </c>
      <c r="L37" s="45">
        <f>IFERROR(K37/H37,0)</f>
        <v>0</v>
      </c>
    </row>
    <row r="38" spans="2:17" x14ac:dyDescent="0.35">
      <c r="B38" s="41">
        <v>7</v>
      </c>
      <c r="C38" s="41" t="s">
        <v>82</v>
      </c>
      <c r="D38" s="47" t="s">
        <v>83</v>
      </c>
      <c r="E38" s="103"/>
      <c r="F38" s="47" t="s">
        <v>144</v>
      </c>
      <c r="G38" s="47" t="s">
        <v>144</v>
      </c>
      <c r="H38" s="44">
        <v>15</v>
      </c>
      <c r="I38" s="48">
        <v>0</v>
      </c>
      <c r="J38" s="45">
        <f t="shared" si="0"/>
        <v>0</v>
      </c>
      <c r="K38" s="49">
        <f>I38+ENERO!K38</f>
        <v>0</v>
      </c>
      <c r="L38" s="45">
        <f>IFERROR(K38/H38,0)</f>
        <v>0</v>
      </c>
    </row>
    <row r="39" spans="2:17" x14ac:dyDescent="0.35">
      <c r="B39" s="41">
        <v>7</v>
      </c>
      <c r="C39" s="41" t="s">
        <v>84</v>
      </c>
      <c r="D39" s="47" t="s">
        <v>85</v>
      </c>
      <c r="E39" s="103"/>
      <c r="F39" s="47" t="s">
        <v>149</v>
      </c>
      <c r="G39" s="47" t="s">
        <v>32</v>
      </c>
      <c r="H39" s="44">
        <v>15</v>
      </c>
      <c r="I39" s="44">
        <v>2</v>
      </c>
      <c r="J39" s="50">
        <f t="shared" si="0"/>
        <v>0.13333333333333333</v>
      </c>
      <c r="K39" s="51">
        <f>I39+ENERO!K39</f>
        <v>2</v>
      </c>
      <c r="L39" s="50">
        <f t="shared" ref="L39:L41" si="4">IFERROR(K39/H39,0)</f>
        <v>0.13333333333333333</v>
      </c>
    </row>
    <row r="40" spans="2:17" s="7" customFormat="1" x14ac:dyDescent="0.35">
      <c r="B40" s="41">
        <v>7</v>
      </c>
      <c r="C40" s="41" t="s">
        <v>86</v>
      </c>
      <c r="D40" s="47" t="s">
        <v>87</v>
      </c>
      <c r="E40" s="103"/>
      <c r="F40" s="42" t="s">
        <v>144</v>
      </c>
      <c r="G40" s="42" t="s">
        <v>144</v>
      </c>
      <c r="H40" s="44">
        <v>15</v>
      </c>
      <c r="I40" s="44">
        <v>0</v>
      </c>
      <c r="J40" s="50">
        <f t="shared" si="0"/>
        <v>0</v>
      </c>
      <c r="K40" s="51">
        <f>I40+ENERO!K40</f>
        <v>0</v>
      </c>
      <c r="L40" s="50">
        <f t="shared" si="4"/>
        <v>0</v>
      </c>
      <c r="O40" s="24"/>
      <c r="Q40" s="24"/>
    </row>
    <row r="41" spans="2:17" x14ac:dyDescent="0.35">
      <c r="B41" s="52">
        <v>8</v>
      </c>
      <c r="C41" s="52" t="s">
        <v>88</v>
      </c>
      <c r="D41" s="53" t="s">
        <v>89</v>
      </c>
      <c r="E41" s="104"/>
      <c r="F41" s="53" t="s">
        <v>144</v>
      </c>
      <c r="G41" s="53" t="s">
        <v>144</v>
      </c>
      <c r="H41" s="54">
        <v>15</v>
      </c>
      <c r="I41" s="54">
        <v>0</v>
      </c>
      <c r="J41" s="55">
        <f t="shared" si="0"/>
        <v>0</v>
      </c>
      <c r="K41" s="56">
        <f>I41+ENERO!K41</f>
        <v>0</v>
      </c>
      <c r="L41" s="55">
        <f t="shared" si="4"/>
        <v>0</v>
      </c>
    </row>
    <row r="42" spans="2:17" x14ac:dyDescent="0.35">
      <c r="B42" s="57">
        <v>3</v>
      </c>
      <c r="C42" s="57" t="s">
        <v>136</v>
      </c>
      <c r="D42" s="61" t="s">
        <v>90</v>
      </c>
      <c r="E42" s="102" t="s">
        <v>132</v>
      </c>
      <c r="F42" s="69" t="s">
        <v>91</v>
      </c>
      <c r="G42" s="42" t="s">
        <v>32</v>
      </c>
      <c r="H42" s="70">
        <v>37</v>
      </c>
      <c r="I42" s="89">
        <v>5</v>
      </c>
      <c r="J42" s="45">
        <f t="shared" si="0"/>
        <v>0.13513513513513514</v>
      </c>
      <c r="K42" s="46">
        <f>I42+ENERO!K42</f>
        <v>6</v>
      </c>
      <c r="L42" s="45">
        <f>IFERROR(K42/H42,0)</f>
        <v>0.16216216216216217</v>
      </c>
    </row>
    <row r="43" spans="2:17" x14ac:dyDescent="0.35">
      <c r="B43" s="40">
        <v>3</v>
      </c>
      <c r="C43" s="41" t="s">
        <v>92</v>
      </c>
      <c r="D43" s="42" t="s">
        <v>93</v>
      </c>
      <c r="E43" s="103"/>
      <c r="F43" s="60" t="s">
        <v>94</v>
      </c>
      <c r="G43" s="67" t="s">
        <v>32</v>
      </c>
      <c r="H43" s="43">
        <v>37</v>
      </c>
      <c r="I43" s="90">
        <v>6</v>
      </c>
      <c r="J43" s="45">
        <f t="shared" si="0"/>
        <v>0.16216216216216217</v>
      </c>
      <c r="K43" s="46">
        <f>I43+ENERO!K43</f>
        <v>8</v>
      </c>
      <c r="L43" s="45">
        <f>IFERROR(K43/H43,0)</f>
        <v>0.21621621621621623</v>
      </c>
    </row>
    <row r="44" spans="2:17" x14ac:dyDescent="0.35">
      <c r="B44" s="41">
        <v>3</v>
      </c>
      <c r="C44" s="41" t="s">
        <v>63</v>
      </c>
      <c r="D44" s="47" t="s">
        <v>43</v>
      </c>
      <c r="E44" s="103"/>
      <c r="F44" s="60" t="s">
        <v>95</v>
      </c>
      <c r="G44" s="47" t="s">
        <v>32</v>
      </c>
      <c r="H44" s="44">
        <v>37</v>
      </c>
      <c r="I44" s="91">
        <v>8</v>
      </c>
      <c r="J44" s="45">
        <f t="shared" si="0"/>
        <v>0.21621621621621623</v>
      </c>
      <c r="K44" s="49">
        <f>I44+ENERO!K44</f>
        <v>10</v>
      </c>
      <c r="L44" s="45">
        <f>IFERROR(K44/H44,0)</f>
        <v>0.27027027027027029</v>
      </c>
    </row>
    <row r="45" spans="2:17" x14ac:dyDescent="0.35">
      <c r="B45" s="41">
        <v>3</v>
      </c>
      <c r="C45" s="41" t="s">
        <v>96</v>
      </c>
      <c r="D45" s="47" t="s">
        <v>97</v>
      </c>
      <c r="E45" s="103"/>
      <c r="F45" s="60" t="s">
        <v>95</v>
      </c>
      <c r="G45" s="47" t="s">
        <v>32</v>
      </c>
      <c r="H45" s="44">
        <v>38</v>
      </c>
      <c r="I45" s="90">
        <v>6</v>
      </c>
      <c r="J45" s="50">
        <f t="shared" si="0"/>
        <v>0.15789473684210525</v>
      </c>
      <c r="K45" s="51">
        <f>I45+ENERO!K45</f>
        <v>10</v>
      </c>
      <c r="L45" s="50">
        <f t="shared" ref="L45:L47" si="5">IFERROR(K45/H45,0)</f>
        <v>0.26315789473684209</v>
      </c>
    </row>
    <row r="46" spans="2:17" s="7" customFormat="1" x14ac:dyDescent="0.35">
      <c r="B46" s="41">
        <v>5</v>
      </c>
      <c r="C46" s="41" t="s">
        <v>69</v>
      </c>
      <c r="D46" s="47" t="s">
        <v>50</v>
      </c>
      <c r="E46" s="103"/>
      <c r="F46" s="60" t="s">
        <v>98</v>
      </c>
      <c r="G46" s="47" t="s">
        <v>32</v>
      </c>
      <c r="H46" s="44">
        <v>38</v>
      </c>
      <c r="I46" s="90">
        <v>3</v>
      </c>
      <c r="J46" s="50">
        <f t="shared" si="0"/>
        <v>7.8947368421052627E-2</v>
      </c>
      <c r="K46" s="51">
        <f>I46+ENERO!K46</f>
        <v>6</v>
      </c>
      <c r="L46" s="50">
        <f t="shared" si="5"/>
        <v>0.15789473684210525</v>
      </c>
      <c r="O46" s="24"/>
      <c r="Q46" s="24"/>
    </row>
    <row r="47" spans="2:17" x14ac:dyDescent="0.35">
      <c r="B47" s="52">
        <v>5</v>
      </c>
      <c r="C47" s="52" t="s">
        <v>78</v>
      </c>
      <c r="D47" s="53" t="s">
        <v>79</v>
      </c>
      <c r="E47" s="104"/>
      <c r="F47" s="62" t="s">
        <v>99</v>
      </c>
      <c r="G47" s="53" t="s">
        <v>32</v>
      </c>
      <c r="H47" s="54">
        <v>38</v>
      </c>
      <c r="I47" s="92">
        <v>2</v>
      </c>
      <c r="J47" s="55">
        <f t="shared" si="0"/>
        <v>5.2631578947368418E-2</v>
      </c>
      <c r="K47" s="56">
        <f>I47+ENERO!K47</f>
        <v>5</v>
      </c>
      <c r="L47" s="55">
        <f t="shared" si="5"/>
        <v>0.13157894736842105</v>
      </c>
    </row>
    <row r="48" spans="2:17" x14ac:dyDescent="0.35">
      <c r="B48" s="34">
        <v>3</v>
      </c>
      <c r="C48" s="34" t="s">
        <v>136</v>
      </c>
      <c r="D48" s="35" t="s">
        <v>90</v>
      </c>
      <c r="E48" s="102" t="s">
        <v>133</v>
      </c>
      <c r="F48" s="82" t="s">
        <v>91</v>
      </c>
      <c r="G48" s="94" t="s">
        <v>32</v>
      </c>
      <c r="H48" s="85">
        <v>38</v>
      </c>
      <c r="I48" s="85">
        <v>5</v>
      </c>
      <c r="J48" s="38">
        <f t="shared" si="0"/>
        <v>0.13157894736842105</v>
      </c>
      <c r="K48" s="39">
        <f>I48+ENERO!K48</f>
        <v>10</v>
      </c>
      <c r="L48" s="38">
        <f>IFERROR(K48/H48,0)</f>
        <v>0.26315789473684209</v>
      </c>
    </row>
    <row r="49" spans="2:17" x14ac:dyDescent="0.35">
      <c r="B49" s="40">
        <v>3</v>
      </c>
      <c r="C49" s="41" t="s">
        <v>92</v>
      </c>
      <c r="D49" s="42" t="s">
        <v>93</v>
      </c>
      <c r="E49" s="103"/>
      <c r="F49" s="82" t="s">
        <v>94</v>
      </c>
      <c r="G49" s="95" t="s">
        <v>32</v>
      </c>
      <c r="H49" s="84">
        <v>38</v>
      </c>
      <c r="I49" s="86">
        <v>7</v>
      </c>
      <c r="J49" s="45">
        <f t="shared" si="0"/>
        <v>0.18421052631578946</v>
      </c>
      <c r="K49" s="46">
        <f>I49+ENERO!K49</f>
        <v>9</v>
      </c>
      <c r="L49" s="45">
        <f>IFERROR(K49/H49,0)</f>
        <v>0.23684210526315788</v>
      </c>
    </row>
    <row r="50" spans="2:17" x14ac:dyDescent="0.35">
      <c r="B50" s="41">
        <v>3</v>
      </c>
      <c r="C50" s="41" t="s">
        <v>63</v>
      </c>
      <c r="D50" s="47" t="s">
        <v>43</v>
      </c>
      <c r="E50" s="103"/>
      <c r="F50" s="82" t="s">
        <v>95</v>
      </c>
      <c r="G50" s="96" t="s">
        <v>32</v>
      </c>
      <c r="H50" s="86">
        <v>38</v>
      </c>
      <c r="I50" s="87">
        <v>5</v>
      </c>
      <c r="J50" s="45">
        <f t="shared" si="0"/>
        <v>0.13157894736842105</v>
      </c>
      <c r="K50" s="49">
        <f>I50+ENERO!K50</f>
        <v>6</v>
      </c>
      <c r="L50" s="45">
        <f>IFERROR(K50/H50,0)</f>
        <v>0.15789473684210525</v>
      </c>
    </row>
    <row r="51" spans="2:17" x14ac:dyDescent="0.35">
      <c r="B51" s="41">
        <v>3</v>
      </c>
      <c r="C51" s="41" t="s">
        <v>96</v>
      </c>
      <c r="D51" s="47" t="s">
        <v>97</v>
      </c>
      <c r="E51" s="103"/>
      <c r="F51" s="82" t="s">
        <v>95</v>
      </c>
      <c r="G51" s="95" t="s">
        <v>32</v>
      </c>
      <c r="H51" s="86">
        <v>37</v>
      </c>
      <c r="I51" s="86">
        <v>3</v>
      </c>
      <c r="J51" s="50">
        <f t="shared" si="0"/>
        <v>8.1081081081081086E-2</v>
      </c>
      <c r="K51" s="51">
        <f>I51+ENERO!K51</f>
        <v>4</v>
      </c>
      <c r="L51" s="50">
        <f t="shared" ref="L51:L53" si="6">IFERROR(K51/H51,0)</f>
        <v>0.10810810810810811</v>
      </c>
    </row>
    <row r="52" spans="2:17" s="7" customFormat="1" x14ac:dyDescent="0.35">
      <c r="B52" s="41">
        <v>5</v>
      </c>
      <c r="C52" s="41" t="s">
        <v>69</v>
      </c>
      <c r="D52" s="47" t="s">
        <v>50</v>
      </c>
      <c r="E52" s="103"/>
      <c r="F52" s="97" t="s">
        <v>98</v>
      </c>
      <c r="G52" s="99" t="s">
        <v>32</v>
      </c>
      <c r="H52" s="84">
        <v>37</v>
      </c>
      <c r="I52" s="84">
        <v>2</v>
      </c>
      <c r="J52" s="50">
        <f t="shared" si="0"/>
        <v>5.4054054054054057E-2</v>
      </c>
      <c r="K52" s="51">
        <f>I52+ENERO!K52</f>
        <v>3</v>
      </c>
      <c r="L52" s="50">
        <f t="shared" si="6"/>
        <v>8.1081081081081086E-2</v>
      </c>
      <c r="O52" s="24"/>
      <c r="Q52" s="24"/>
    </row>
    <row r="53" spans="2:17" x14ac:dyDescent="0.35">
      <c r="B53" s="52">
        <v>5</v>
      </c>
      <c r="C53" s="52" t="s">
        <v>78</v>
      </c>
      <c r="D53" s="53" t="s">
        <v>79</v>
      </c>
      <c r="E53" s="104"/>
      <c r="F53" s="93" t="s">
        <v>99</v>
      </c>
      <c r="G53" s="98" t="s">
        <v>32</v>
      </c>
      <c r="H53" s="88">
        <v>37</v>
      </c>
      <c r="I53" s="88">
        <v>8</v>
      </c>
      <c r="J53" s="55">
        <f t="shared" si="0"/>
        <v>0.21621621621621623</v>
      </c>
      <c r="K53" s="56">
        <f>I53+ENERO!K53</f>
        <v>13</v>
      </c>
      <c r="L53" s="55">
        <f t="shared" si="6"/>
        <v>0.35135135135135137</v>
      </c>
    </row>
    <row r="54" spans="2:17" x14ac:dyDescent="0.35">
      <c r="B54" s="34">
        <v>3</v>
      </c>
      <c r="C54" s="34" t="s">
        <v>136</v>
      </c>
      <c r="D54" s="35" t="s">
        <v>90</v>
      </c>
      <c r="E54" s="102" t="s">
        <v>134</v>
      </c>
      <c r="F54" s="59" t="s">
        <v>156</v>
      </c>
      <c r="G54" s="35" t="s">
        <v>32</v>
      </c>
      <c r="H54" s="37">
        <v>39</v>
      </c>
      <c r="I54" s="37">
        <v>6</v>
      </c>
      <c r="J54" s="63">
        <f t="shared" si="0"/>
        <v>0.15384615384615385</v>
      </c>
      <c r="K54" s="39">
        <f>I54+ENERO!K54</f>
        <v>6</v>
      </c>
      <c r="L54" s="63">
        <f>IFERROR(K54/H54,0)</f>
        <v>0.15384615384615385</v>
      </c>
      <c r="N54"/>
      <c r="O54" s="2"/>
      <c r="P54"/>
      <c r="Q54" s="2"/>
    </row>
    <row r="55" spans="2:17" x14ac:dyDescent="0.35">
      <c r="B55" s="40">
        <v>3</v>
      </c>
      <c r="C55" s="41" t="s">
        <v>63</v>
      </c>
      <c r="D55" s="42" t="s">
        <v>43</v>
      </c>
      <c r="E55" s="103"/>
      <c r="F55" s="60" t="s">
        <v>157</v>
      </c>
      <c r="G55" s="47" t="s">
        <v>32</v>
      </c>
      <c r="H55" s="43">
        <v>39</v>
      </c>
      <c r="I55" s="44">
        <v>3</v>
      </c>
      <c r="J55" s="50">
        <f t="shared" si="0"/>
        <v>7.6923076923076927E-2</v>
      </c>
      <c r="K55" s="51">
        <f>I55+ENERO!K55</f>
        <v>3</v>
      </c>
      <c r="L55" s="50">
        <f>IFERROR(K55/H55,0)</f>
        <v>7.6923076923076927E-2</v>
      </c>
      <c r="N55"/>
      <c r="O55" s="2"/>
      <c r="P55"/>
      <c r="Q55" s="2"/>
    </row>
    <row r="56" spans="2:17" x14ac:dyDescent="0.35">
      <c r="B56" s="41">
        <v>5</v>
      </c>
      <c r="C56" s="41" t="s">
        <v>70</v>
      </c>
      <c r="D56" s="47" t="s">
        <v>71</v>
      </c>
      <c r="E56" s="103"/>
      <c r="F56" s="60" t="s">
        <v>158</v>
      </c>
      <c r="G56" s="61" t="s">
        <v>32</v>
      </c>
      <c r="H56" s="44">
        <v>40</v>
      </c>
      <c r="I56" s="48">
        <v>3</v>
      </c>
      <c r="J56" s="45">
        <f t="shared" si="0"/>
        <v>7.4999999999999997E-2</v>
      </c>
      <c r="K56" s="49">
        <f>I56+ENERO!K56</f>
        <v>3</v>
      </c>
      <c r="L56" s="50">
        <f>IFERROR(K56/H56,0)</f>
        <v>7.4999999999999997E-2</v>
      </c>
      <c r="N56"/>
      <c r="O56" s="2"/>
      <c r="P56"/>
      <c r="Q56" s="2"/>
    </row>
    <row r="57" spans="2:17" x14ac:dyDescent="0.35">
      <c r="B57" s="40">
        <v>5</v>
      </c>
      <c r="C57" s="40" t="s">
        <v>67</v>
      </c>
      <c r="D57" s="67" t="s">
        <v>48</v>
      </c>
      <c r="E57" s="103"/>
      <c r="F57" s="75" t="s">
        <v>159</v>
      </c>
      <c r="G57" s="67" t="s">
        <v>32</v>
      </c>
      <c r="H57" s="43">
        <v>40</v>
      </c>
      <c r="I57" s="43">
        <v>4</v>
      </c>
      <c r="J57" s="64">
        <f t="shared" si="0"/>
        <v>0.1</v>
      </c>
      <c r="K57" s="65">
        <f>I57+ENERO!K57</f>
        <v>4</v>
      </c>
      <c r="L57" s="64">
        <f t="shared" ref="L57:L58" si="7">IFERROR(K57/H57,0)</f>
        <v>0.1</v>
      </c>
      <c r="N57"/>
      <c r="O57" s="2"/>
      <c r="P57"/>
      <c r="Q57" s="2"/>
    </row>
    <row r="58" spans="2:17" s="7" customFormat="1" x14ac:dyDescent="0.35">
      <c r="B58" s="52">
        <v>5</v>
      </c>
      <c r="C58" s="52" t="s">
        <v>80</v>
      </c>
      <c r="D58" s="53" t="s">
        <v>81</v>
      </c>
      <c r="E58" s="104"/>
      <c r="F58" s="62" t="s">
        <v>54</v>
      </c>
      <c r="G58" s="53" t="s">
        <v>32</v>
      </c>
      <c r="H58" s="54">
        <v>40</v>
      </c>
      <c r="I58" s="54">
        <v>2</v>
      </c>
      <c r="J58" s="55">
        <f t="shared" si="0"/>
        <v>0.05</v>
      </c>
      <c r="K58" s="56">
        <f>I58+ENERO!K58</f>
        <v>2</v>
      </c>
      <c r="L58" s="55">
        <f t="shared" si="7"/>
        <v>0.05</v>
      </c>
      <c r="N58" s="24"/>
      <c r="P58" s="24"/>
    </row>
    <row r="59" spans="2:17" ht="23" x14ac:dyDescent="0.35">
      <c r="B59" s="30">
        <v>3</v>
      </c>
      <c r="C59" s="30" t="s">
        <v>112</v>
      </c>
      <c r="D59" s="71" t="s">
        <v>113</v>
      </c>
      <c r="E59" s="78" t="s">
        <v>161</v>
      </c>
      <c r="F59" s="100" t="s">
        <v>114</v>
      </c>
      <c r="G59" s="101" t="s">
        <v>32</v>
      </c>
      <c r="H59" s="73">
        <v>225</v>
      </c>
      <c r="I59" s="73">
        <v>30</v>
      </c>
      <c r="J59" s="58">
        <f t="shared" si="0"/>
        <v>0.13333333333333333</v>
      </c>
      <c r="K59" s="74">
        <f>I59+ENERO!K59</f>
        <v>45</v>
      </c>
      <c r="L59" s="58">
        <f>IFERROR(K59/H59,0)</f>
        <v>0.2</v>
      </c>
    </row>
    <row r="60" spans="2:17" x14ac:dyDescent="0.35">
      <c r="B60" s="36">
        <v>1</v>
      </c>
      <c r="C60" s="36" t="s">
        <v>115</v>
      </c>
      <c r="D60" s="35" t="s">
        <v>116</v>
      </c>
      <c r="E60" s="102" t="s">
        <v>135</v>
      </c>
      <c r="F60" s="82" t="s">
        <v>117</v>
      </c>
      <c r="G60" s="95" t="s">
        <v>147</v>
      </c>
      <c r="H60" s="37">
        <v>15</v>
      </c>
      <c r="I60" s="37">
        <v>2</v>
      </c>
      <c r="J60" s="38">
        <f t="shared" si="0"/>
        <v>0.13333333333333333</v>
      </c>
      <c r="K60" s="39">
        <f>I60+ENERO!K60</f>
        <v>3</v>
      </c>
      <c r="L60" s="38">
        <f>IFERROR(K60/H60,0)</f>
        <v>0.2</v>
      </c>
    </row>
    <row r="61" spans="2:17" x14ac:dyDescent="0.35">
      <c r="B61" s="41">
        <v>3</v>
      </c>
      <c r="C61" s="41" t="s">
        <v>118</v>
      </c>
      <c r="D61" s="47" t="s">
        <v>119</v>
      </c>
      <c r="E61" s="103"/>
      <c r="F61" s="82" t="s">
        <v>120</v>
      </c>
      <c r="G61" s="95" t="s">
        <v>147</v>
      </c>
      <c r="H61" s="43">
        <v>15</v>
      </c>
      <c r="I61" s="44">
        <v>3</v>
      </c>
      <c r="J61" s="45">
        <f t="shared" si="0"/>
        <v>0.2</v>
      </c>
      <c r="K61" s="46">
        <f>I61+ENERO!K61</f>
        <v>4</v>
      </c>
      <c r="L61" s="45">
        <f>IFERROR(K61/H61,0)</f>
        <v>0.26666666666666666</v>
      </c>
    </row>
    <row r="62" spans="2:17" x14ac:dyDescent="0.35">
      <c r="B62" s="41">
        <v>3</v>
      </c>
      <c r="C62" s="41" t="s">
        <v>121</v>
      </c>
      <c r="D62" s="47" t="s">
        <v>122</v>
      </c>
      <c r="E62" s="103"/>
      <c r="F62" s="82" t="s">
        <v>117</v>
      </c>
      <c r="G62" s="95" t="s">
        <v>147</v>
      </c>
      <c r="H62" s="44">
        <v>30</v>
      </c>
      <c r="I62" s="48">
        <v>5</v>
      </c>
      <c r="J62" s="45">
        <f t="shared" si="0"/>
        <v>0.16666666666666666</v>
      </c>
      <c r="K62" s="49">
        <f>I62+ENERO!K62</f>
        <v>7</v>
      </c>
      <c r="L62" s="45">
        <f>IFERROR(K62/H62,0)</f>
        <v>0.23333333333333334</v>
      </c>
    </row>
    <row r="63" spans="2:17" x14ac:dyDescent="0.35">
      <c r="B63" s="41">
        <v>3</v>
      </c>
      <c r="C63" s="41" t="s">
        <v>112</v>
      </c>
      <c r="D63" s="47" t="s">
        <v>113</v>
      </c>
      <c r="E63" s="103"/>
      <c r="F63" s="82" t="s">
        <v>123</v>
      </c>
      <c r="G63" s="95" t="s">
        <v>147</v>
      </c>
      <c r="H63" s="44">
        <v>35</v>
      </c>
      <c r="I63" s="44">
        <v>5</v>
      </c>
      <c r="J63" s="50">
        <f t="shared" si="0"/>
        <v>0.14285714285714285</v>
      </c>
      <c r="K63" s="51">
        <f>I63+ENERO!K63</f>
        <v>7</v>
      </c>
      <c r="L63" s="50">
        <f t="shared" ref="L63:L67" si="8">IFERROR(K63/H63,0)</f>
        <v>0.2</v>
      </c>
    </row>
    <row r="64" spans="2:17" s="7" customFormat="1" x14ac:dyDescent="0.35">
      <c r="B64" s="41">
        <v>3</v>
      </c>
      <c r="C64" s="41" t="s">
        <v>124</v>
      </c>
      <c r="D64" s="47" t="s">
        <v>125</v>
      </c>
      <c r="E64" s="103"/>
      <c r="F64" s="82" t="s">
        <v>126</v>
      </c>
      <c r="G64" s="95" t="s">
        <v>147</v>
      </c>
      <c r="H64" s="44">
        <v>30</v>
      </c>
      <c r="I64" s="44">
        <v>4</v>
      </c>
      <c r="J64" s="50">
        <f t="shared" si="0"/>
        <v>0.13333333333333333</v>
      </c>
      <c r="K64" s="51">
        <f>I64+ENERO!K64</f>
        <v>6</v>
      </c>
      <c r="L64" s="50">
        <f t="shared" si="8"/>
        <v>0.2</v>
      </c>
      <c r="O64" s="24"/>
      <c r="Q64" s="24"/>
    </row>
    <row r="65" spans="2:17" x14ac:dyDescent="0.35">
      <c r="B65" s="41">
        <v>5</v>
      </c>
      <c r="C65" s="41" t="s">
        <v>65</v>
      </c>
      <c r="D65" s="47" t="s">
        <v>60</v>
      </c>
      <c r="E65" s="103"/>
      <c r="F65" s="82" t="s">
        <v>54</v>
      </c>
      <c r="G65" s="95" t="s">
        <v>147</v>
      </c>
      <c r="H65" s="44">
        <v>30</v>
      </c>
      <c r="I65" s="44">
        <v>3</v>
      </c>
      <c r="J65" s="50">
        <f t="shared" si="0"/>
        <v>0.1</v>
      </c>
      <c r="K65" s="51">
        <f>I65+ENERO!K65</f>
        <v>5</v>
      </c>
      <c r="L65" s="50">
        <f t="shared" si="8"/>
        <v>0.16666666666666666</v>
      </c>
    </row>
    <row r="66" spans="2:17" x14ac:dyDescent="0.35">
      <c r="B66" s="41">
        <v>5</v>
      </c>
      <c r="C66" s="41" t="s">
        <v>66</v>
      </c>
      <c r="D66" s="47" t="s">
        <v>47</v>
      </c>
      <c r="E66" s="103"/>
      <c r="F66" s="82" t="s">
        <v>54</v>
      </c>
      <c r="G66" s="95" t="s">
        <v>147</v>
      </c>
      <c r="H66" s="44">
        <v>35</v>
      </c>
      <c r="I66" s="44">
        <v>4</v>
      </c>
      <c r="J66" s="50">
        <f t="shared" si="0"/>
        <v>0.11428571428571428</v>
      </c>
      <c r="K66" s="51">
        <f>I66+ENERO!K66</f>
        <v>7</v>
      </c>
      <c r="L66" s="50">
        <f t="shared" si="8"/>
        <v>0.2</v>
      </c>
    </row>
    <row r="67" spans="2:17" x14ac:dyDescent="0.35">
      <c r="B67" s="52">
        <v>5</v>
      </c>
      <c r="C67" s="52" t="s">
        <v>67</v>
      </c>
      <c r="D67" s="53" t="s">
        <v>48</v>
      </c>
      <c r="E67" s="104"/>
      <c r="F67" s="82" t="s">
        <v>127</v>
      </c>
      <c r="G67" s="95" t="s">
        <v>147</v>
      </c>
      <c r="H67" s="54">
        <v>35</v>
      </c>
      <c r="I67" s="54">
        <v>4</v>
      </c>
      <c r="J67" s="55">
        <f t="shared" si="0"/>
        <v>0.11428571428571428</v>
      </c>
      <c r="K67" s="56">
        <f>I67+ENERO!K67</f>
        <v>6</v>
      </c>
      <c r="L67" s="55">
        <f t="shared" si="8"/>
        <v>0.17142857142857143</v>
      </c>
    </row>
    <row r="68" spans="2:17" x14ac:dyDescent="0.35">
      <c r="B68" s="10"/>
      <c r="C68" s="10"/>
      <c r="D68" s="10"/>
      <c r="E68" s="79"/>
      <c r="F68" s="10"/>
      <c r="G68" s="17"/>
      <c r="H68" s="125" t="str">
        <f>+CONCATENATE("TOTAL A ",D7)</f>
        <v>TOTAL A FEBRERO</v>
      </c>
      <c r="I68" s="125"/>
      <c r="J68" s="125"/>
      <c r="K68" s="125" t="s">
        <v>33</v>
      </c>
      <c r="L68" s="125"/>
    </row>
    <row r="69" spans="2:17" s="7" customFormat="1" ht="16.5" customHeight="1" x14ac:dyDescent="0.35">
      <c r="B69" s="10"/>
      <c r="C69" s="10"/>
      <c r="E69" s="33"/>
      <c r="H69" s="25">
        <f>+SUM(H13:H67)</f>
        <v>1773</v>
      </c>
      <c r="I69" s="25">
        <f>+SUM(I13:I67)</f>
        <v>228</v>
      </c>
      <c r="J69" s="1">
        <f>IFERROR(I69/H69,0)</f>
        <v>0.12859560067681894</v>
      </c>
      <c r="K69" s="26">
        <f>+SUM(K13:K67)</f>
        <v>333</v>
      </c>
      <c r="L69" s="1">
        <f>IFERROR(K69/H69,0)</f>
        <v>0.18781725888324874</v>
      </c>
      <c r="O69"/>
      <c r="Q69"/>
    </row>
    <row r="71" spans="2:17" ht="59.25" customHeight="1" x14ac:dyDescent="0.35">
      <c r="B71" s="119" t="s">
        <v>34</v>
      </c>
      <c r="C71" s="120"/>
      <c r="D71" s="113" t="s">
        <v>163</v>
      </c>
      <c r="E71" s="114"/>
      <c r="F71" s="115"/>
      <c r="G71" s="115"/>
      <c r="H71" s="115"/>
      <c r="I71" s="115"/>
      <c r="J71" s="115"/>
      <c r="K71" s="115"/>
      <c r="L71" s="115"/>
    </row>
    <row r="72" spans="2:17" ht="27.75" customHeight="1" x14ac:dyDescent="0.35">
      <c r="B72" s="121"/>
      <c r="C72" s="122"/>
      <c r="D72" s="114" t="s">
        <v>143</v>
      </c>
      <c r="E72" s="114"/>
      <c r="F72" s="115"/>
      <c r="G72" s="115"/>
      <c r="H72" s="115"/>
      <c r="I72" s="115"/>
      <c r="J72" s="115"/>
      <c r="K72" s="115"/>
      <c r="L72" s="115"/>
    </row>
    <row r="73" spans="2:17" ht="17.399999999999999" customHeight="1" x14ac:dyDescent="0.35">
      <c r="B73" s="121"/>
      <c r="C73" s="122"/>
      <c r="D73" s="114" t="s">
        <v>137</v>
      </c>
      <c r="E73" s="114"/>
      <c r="F73" s="115"/>
      <c r="G73" s="115"/>
      <c r="H73" s="115"/>
      <c r="I73" s="115"/>
      <c r="J73" s="115"/>
      <c r="K73" s="115"/>
      <c r="L73" s="115"/>
    </row>
    <row r="74" spans="2:17" ht="17.399999999999999" customHeight="1" x14ac:dyDescent="0.35">
      <c r="B74" s="121"/>
      <c r="C74" s="122"/>
      <c r="D74" s="113" t="s">
        <v>138</v>
      </c>
      <c r="E74" s="114"/>
      <c r="F74" s="115"/>
      <c r="G74" s="115"/>
      <c r="H74" s="115"/>
      <c r="I74" s="115"/>
      <c r="J74" s="115"/>
      <c r="K74" s="115"/>
      <c r="L74" s="115"/>
    </row>
    <row r="75" spans="2:17" ht="18.649999999999999" customHeight="1" x14ac:dyDescent="0.35">
      <c r="B75" s="121"/>
      <c r="C75" s="122"/>
      <c r="D75" s="114" t="s">
        <v>139</v>
      </c>
      <c r="E75" s="114"/>
      <c r="F75" s="115"/>
      <c r="G75" s="115"/>
      <c r="H75" s="115"/>
      <c r="I75" s="115"/>
      <c r="J75" s="115"/>
      <c r="K75" s="115"/>
      <c r="L75" s="115"/>
    </row>
    <row r="76" spans="2:17" ht="35.25" customHeight="1" x14ac:dyDescent="0.35">
      <c r="B76" s="121"/>
      <c r="C76" s="122"/>
      <c r="D76" s="113" t="s">
        <v>160</v>
      </c>
      <c r="E76" s="114"/>
      <c r="F76" s="115"/>
      <c r="G76" s="115"/>
      <c r="H76" s="115"/>
      <c r="I76" s="115"/>
      <c r="J76" s="115"/>
      <c r="K76" s="115"/>
      <c r="L76" s="115"/>
    </row>
    <row r="77" spans="2:17" ht="27" customHeight="1" x14ac:dyDescent="0.35">
      <c r="B77" s="121"/>
      <c r="C77" s="122"/>
      <c r="D77" s="113" t="s">
        <v>148</v>
      </c>
      <c r="E77" s="114"/>
      <c r="F77" s="115"/>
      <c r="G77" s="115"/>
      <c r="H77" s="115"/>
      <c r="I77" s="115"/>
      <c r="J77" s="115"/>
      <c r="K77" s="115"/>
      <c r="L77" s="115"/>
    </row>
    <row r="78" spans="2:17" ht="139.75" customHeight="1" x14ac:dyDescent="0.35">
      <c r="B78" s="123"/>
      <c r="C78" s="124"/>
      <c r="D78" s="113" t="s">
        <v>162</v>
      </c>
      <c r="E78" s="114"/>
      <c r="F78" s="115"/>
      <c r="G78" s="115"/>
      <c r="H78" s="115"/>
      <c r="I78" s="115"/>
      <c r="J78" s="115"/>
      <c r="K78" s="115"/>
      <c r="L78" s="115"/>
    </row>
    <row r="79" spans="2:17" x14ac:dyDescent="0.35">
      <c r="B79" s="116" t="s">
        <v>36</v>
      </c>
      <c r="C79" s="116"/>
      <c r="D79" s="116"/>
      <c r="E79" s="116"/>
      <c r="F79" s="116"/>
      <c r="G79" s="116"/>
      <c r="H79" s="116"/>
      <c r="I79" s="116"/>
      <c r="J79" s="116"/>
      <c r="K79" s="116"/>
      <c r="L79" s="116"/>
    </row>
    <row r="80" spans="2:17" ht="20.149999999999999" customHeight="1" x14ac:dyDescent="0.35">
      <c r="B80" s="116"/>
      <c r="C80" s="116"/>
      <c r="D80" s="116"/>
      <c r="E80" s="116"/>
      <c r="F80" s="116"/>
      <c r="G80" s="116"/>
      <c r="H80" s="116"/>
      <c r="I80" s="116"/>
      <c r="J80" s="116"/>
      <c r="K80" s="116"/>
      <c r="L80" s="116"/>
    </row>
    <row r="81" spans="2:12" ht="19.399999999999999" customHeight="1" x14ac:dyDescent="0.35">
      <c r="B81" s="27" t="s">
        <v>37</v>
      </c>
      <c r="C81" s="28"/>
      <c r="D81" s="28"/>
      <c r="E81" s="80"/>
      <c r="F81" s="28"/>
      <c r="G81" s="28"/>
      <c r="H81" s="28"/>
      <c r="I81" s="28"/>
      <c r="J81" s="28"/>
      <c r="K81" s="28"/>
      <c r="L81" s="29"/>
    </row>
    <row r="82" spans="2:12" ht="20.149999999999999" customHeight="1" x14ac:dyDescent="0.45">
      <c r="B82" s="30" t="s">
        <v>38</v>
      </c>
      <c r="C82" s="31"/>
      <c r="D82" s="117" t="s">
        <v>35</v>
      </c>
      <c r="E82" s="117"/>
      <c r="F82" s="117"/>
      <c r="G82" s="117"/>
      <c r="H82" s="117"/>
      <c r="I82" s="117"/>
      <c r="J82" s="117"/>
      <c r="K82" s="117"/>
      <c r="L82" s="117"/>
    </row>
    <row r="83" spans="2:12" ht="20.149999999999999" customHeight="1" x14ac:dyDescent="0.45">
      <c r="B83" s="30" t="s">
        <v>39</v>
      </c>
      <c r="C83" s="31" t="s">
        <v>61</v>
      </c>
      <c r="D83" s="117"/>
      <c r="E83" s="117"/>
      <c r="F83" s="117"/>
      <c r="G83" s="117"/>
      <c r="H83" s="117"/>
      <c r="I83" s="117"/>
      <c r="J83" s="117"/>
      <c r="K83" s="117"/>
      <c r="L83" s="117"/>
    </row>
    <row r="84" spans="2:12" x14ac:dyDescent="0.35">
      <c r="B84" s="118" t="s">
        <v>36</v>
      </c>
      <c r="C84" s="118"/>
      <c r="D84" s="118"/>
      <c r="E84" s="118"/>
      <c r="F84" s="118"/>
      <c r="G84" s="118"/>
      <c r="H84" s="118"/>
      <c r="I84" s="118"/>
      <c r="J84" s="118"/>
      <c r="K84" s="118"/>
      <c r="L84" s="118"/>
    </row>
    <row r="85" spans="2:12" ht="15" customHeight="1" x14ac:dyDescent="0.35">
      <c r="B85" s="118"/>
      <c r="C85" s="118"/>
      <c r="D85" s="118"/>
      <c r="E85" s="118"/>
      <c r="F85" s="118"/>
      <c r="G85" s="118"/>
      <c r="H85" s="118"/>
      <c r="I85" s="118"/>
      <c r="J85" s="118"/>
      <c r="K85" s="118"/>
      <c r="L85" s="118"/>
    </row>
    <row r="86" spans="2:12" x14ac:dyDescent="0.35">
      <c r="B86" s="27" t="s">
        <v>40</v>
      </c>
      <c r="C86" s="28"/>
      <c r="D86" s="28"/>
      <c r="E86" s="80"/>
      <c r="F86" s="28"/>
      <c r="G86" s="28"/>
      <c r="H86" s="28"/>
      <c r="I86" s="28"/>
      <c r="J86" s="28"/>
      <c r="K86" s="28"/>
      <c r="L86" s="29"/>
    </row>
    <row r="87" spans="2:12" ht="20.149999999999999" customHeight="1" x14ac:dyDescent="0.45">
      <c r="B87" s="30" t="s">
        <v>38</v>
      </c>
      <c r="C87" s="31"/>
      <c r="D87" s="117" t="s">
        <v>35</v>
      </c>
      <c r="E87" s="117"/>
      <c r="F87" s="117"/>
      <c r="G87" s="117"/>
      <c r="H87" s="117"/>
      <c r="I87" s="117"/>
      <c r="J87" s="117"/>
      <c r="K87" s="117"/>
      <c r="L87" s="117"/>
    </row>
    <row r="88" spans="2:12" ht="20.149999999999999" customHeight="1" x14ac:dyDescent="0.45">
      <c r="B88" s="30" t="s">
        <v>39</v>
      </c>
      <c r="C88" s="31"/>
      <c r="D88" s="117"/>
      <c r="E88" s="117"/>
      <c r="F88" s="117"/>
      <c r="G88" s="117"/>
      <c r="H88" s="117"/>
      <c r="I88" s="117"/>
      <c r="J88" s="117"/>
      <c r="K88" s="117"/>
      <c r="L88" s="117"/>
    </row>
    <row r="91" spans="2:12" ht="19.5" customHeight="1" x14ac:dyDescent="0.35">
      <c r="B91" s="126" t="s">
        <v>62</v>
      </c>
      <c r="C91" s="126"/>
      <c r="D91" s="126"/>
      <c r="E91" s="81"/>
      <c r="H91" s="126"/>
      <c r="I91" s="126"/>
      <c r="J91" s="126"/>
      <c r="K91" s="126"/>
    </row>
    <row r="92" spans="2:12" ht="18" customHeight="1" x14ac:dyDescent="0.35">
      <c r="B92" s="10" t="s">
        <v>41</v>
      </c>
      <c r="C92" s="111"/>
      <c r="D92" s="111"/>
      <c r="E92" s="17"/>
      <c r="H92" s="10" t="s">
        <v>42</v>
      </c>
      <c r="I92" s="112" t="s">
        <v>164</v>
      </c>
      <c r="J92" s="112"/>
      <c r="K92" s="112"/>
    </row>
    <row r="124" spans="1:18" s="3" customFormat="1" hidden="1" x14ac:dyDescent="0.35">
      <c r="A124" t="s">
        <v>0</v>
      </c>
      <c r="B124" s="2"/>
      <c r="E124" s="76"/>
      <c r="M124" s="2"/>
      <c r="N124" s="2"/>
      <c r="O124"/>
      <c r="P124" s="2"/>
      <c r="Q124"/>
      <c r="R124" s="2"/>
    </row>
    <row r="125" spans="1:18" s="3" customFormat="1" hidden="1" x14ac:dyDescent="0.35">
      <c r="A125" t="s">
        <v>2</v>
      </c>
      <c r="B125" s="2"/>
      <c r="E125" s="76"/>
      <c r="M125" s="2"/>
      <c r="N125" s="2"/>
      <c r="O125"/>
      <c r="P125" s="2"/>
      <c r="Q125"/>
      <c r="R125" s="2"/>
    </row>
    <row r="126" spans="1:18" s="3" customFormat="1" hidden="1" x14ac:dyDescent="0.35">
      <c r="A126" t="s">
        <v>6</v>
      </c>
      <c r="B126" s="2"/>
      <c r="E126" s="76"/>
      <c r="M126" s="2"/>
      <c r="N126" s="2"/>
      <c r="O126"/>
      <c r="P126" s="2"/>
      <c r="Q126"/>
      <c r="R126" s="2"/>
    </row>
    <row r="127" spans="1:18" s="3" customFormat="1" hidden="1" x14ac:dyDescent="0.35">
      <c r="A127" t="s">
        <v>8</v>
      </c>
      <c r="B127" s="7"/>
      <c r="E127" s="76"/>
      <c r="M127" s="2"/>
      <c r="N127" s="2"/>
      <c r="O127"/>
      <c r="P127" s="2"/>
      <c r="Q127"/>
      <c r="R127" s="2"/>
    </row>
    <row r="128" spans="1:18" s="3" customFormat="1" hidden="1" x14ac:dyDescent="0.35">
      <c r="A128" t="s">
        <v>9</v>
      </c>
      <c r="B128" s="2"/>
      <c r="E128" s="76"/>
      <c r="M128" s="2"/>
      <c r="N128" s="2"/>
      <c r="O128"/>
      <c r="P128" s="2"/>
      <c r="Q128"/>
      <c r="R128" s="2"/>
    </row>
    <row r="129" spans="1:18" s="3" customFormat="1" hidden="1" x14ac:dyDescent="0.35">
      <c r="A129" t="s">
        <v>10</v>
      </c>
      <c r="B129" s="7"/>
      <c r="E129" s="76"/>
      <c r="M129" s="2"/>
      <c r="N129" s="2"/>
      <c r="O129"/>
      <c r="P129" s="2"/>
      <c r="Q129"/>
      <c r="R129" s="2"/>
    </row>
    <row r="130" spans="1:18" s="3" customFormat="1" hidden="1" x14ac:dyDescent="0.35">
      <c r="A130" t="s">
        <v>11</v>
      </c>
      <c r="B130" s="7"/>
      <c r="E130" s="76"/>
      <c r="M130" s="2"/>
      <c r="N130" s="2"/>
      <c r="O130"/>
      <c r="P130" s="2"/>
      <c r="Q130"/>
      <c r="R130" s="2"/>
    </row>
    <row r="131" spans="1:18" s="3" customFormat="1" hidden="1" x14ac:dyDescent="0.35">
      <c r="A131" t="s">
        <v>13</v>
      </c>
      <c r="B131" s="7"/>
      <c r="E131" s="76"/>
      <c r="M131" s="2"/>
      <c r="N131" s="2"/>
      <c r="O131"/>
      <c r="P131" s="2"/>
      <c r="Q131"/>
      <c r="R131" s="2"/>
    </row>
    <row r="132" spans="1:18" s="3" customFormat="1" hidden="1" x14ac:dyDescent="0.35">
      <c r="A132" t="s">
        <v>14</v>
      </c>
      <c r="B132" s="7"/>
      <c r="E132" s="76"/>
      <c r="M132" s="2"/>
      <c r="N132" s="2"/>
      <c r="O132"/>
      <c r="P132" s="2"/>
      <c r="Q132"/>
      <c r="R132" s="2"/>
    </row>
    <row r="133" spans="1:18" s="3" customFormat="1" hidden="1" x14ac:dyDescent="0.35">
      <c r="A133" t="s">
        <v>16</v>
      </c>
      <c r="B133" s="7"/>
      <c r="E133" s="76"/>
      <c r="M133" s="2"/>
      <c r="N133" s="2"/>
      <c r="O133"/>
      <c r="P133" s="2"/>
      <c r="Q133"/>
      <c r="R133" s="2"/>
    </row>
    <row r="134" spans="1:18" s="3" customFormat="1" hidden="1" x14ac:dyDescent="0.35">
      <c r="A134" t="s">
        <v>17</v>
      </c>
      <c r="B134" s="2"/>
      <c r="E134" s="76"/>
      <c r="M134" s="2"/>
      <c r="N134" s="2"/>
      <c r="O134"/>
      <c r="P134" s="2"/>
      <c r="Q134"/>
      <c r="R134" s="2"/>
    </row>
    <row r="135" spans="1:18" s="3" customFormat="1" hidden="1" x14ac:dyDescent="0.35">
      <c r="A135" t="s">
        <v>21</v>
      </c>
      <c r="B135" s="2"/>
      <c r="E135" s="76"/>
      <c r="M135" s="2"/>
      <c r="N135" s="2"/>
      <c r="O135"/>
      <c r="P135" s="2"/>
      <c r="Q135"/>
      <c r="R135" s="2"/>
    </row>
    <row r="136" spans="1:18" s="3" customFormat="1" hidden="1" x14ac:dyDescent="0.35">
      <c r="A136" t="s">
        <v>31</v>
      </c>
      <c r="B136" s="2"/>
      <c r="E136" s="76"/>
      <c r="M136" s="2"/>
      <c r="N136" s="2"/>
      <c r="O136"/>
      <c r="P136" s="2"/>
      <c r="Q136"/>
      <c r="R136" s="2"/>
    </row>
  </sheetData>
  <sheetProtection formatCells="0" formatColumns="0" formatRows="0" insertColumns="0" insertRows="0" insertHyperlinks="0" deleteColumns="0" deleteRows="0" sort="0" autoFilter="0" pivotTables="0"/>
  <mergeCells count="36">
    <mergeCell ref="E20:E26"/>
    <mergeCell ref="B2:L2"/>
    <mergeCell ref="B3:D3"/>
    <mergeCell ref="F3:I3"/>
    <mergeCell ref="J3:L3"/>
    <mergeCell ref="B5:C5"/>
    <mergeCell ref="B7:C7"/>
    <mergeCell ref="B9:C9"/>
    <mergeCell ref="B11:H11"/>
    <mergeCell ref="I11:J11"/>
    <mergeCell ref="K11:L11"/>
    <mergeCell ref="E13:E19"/>
    <mergeCell ref="E27:E41"/>
    <mergeCell ref="E42:E47"/>
    <mergeCell ref="E48:E53"/>
    <mergeCell ref="E54:E58"/>
    <mergeCell ref="E60:E67"/>
    <mergeCell ref="K68:L68"/>
    <mergeCell ref="B71:C78"/>
    <mergeCell ref="D71:L71"/>
    <mergeCell ref="D72:L72"/>
    <mergeCell ref="D73:L73"/>
    <mergeCell ref="D74:L74"/>
    <mergeCell ref="D75:L75"/>
    <mergeCell ref="D76:L76"/>
    <mergeCell ref="D77:L77"/>
    <mergeCell ref="D78:L78"/>
    <mergeCell ref="H68:J68"/>
    <mergeCell ref="C92:D92"/>
    <mergeCell ref="I92:K92"/>
    <mergeCell ref="B79:L80"/>
    <mergeCell ref="D82:L83"/>
    <mergeCell ref="B84:L85"/>
    <mergeCell ref="D87:L88"/>
    <mergeCell ref="B91:D91"/>
    <mergeCell ref="H91:K91"/>
  </mergeCells>
  <conditionalFormatting sqref="L13:L67">
    <cfRule type="cellIs" dxfId="0" priority="1" operator="greaterThan">
      <formula>1</formula>
    </cfRule>
  </conditionalFormatting>
  <dataValidations count="3">
    <dataValidation type="whole" allowBlank="1" showInputMessage="1" showErrorMessage="1" errorTitle="¡Error!" error="Introduzca un número válido." promptTitle="¡Atención!" prompt="Introduzca un número entre 0 y 30" sqref="I13:I67">
      <formula1>0</formula1>
      <formula2>30</formula2>
    </dataValidation>
    <dataValidation type="list" allowBlank="1" showInputMessage="1" showErrorMessage="1" sqref="D7">
      <formula1>$A$125:$A$136</formula1>
    </dataValidation>
    <dataValidation type="whole" allowBlank="1" showInputMessage="1" showErrorMessage="1" errorTitle="¡Error!" error="Introduzca un número válido." promptTitle="¡Atención!" prompt="Introduzca un número entre 0 y 366" sqref="H13:H67">
      <formula1>0</formula1>
      <formula2>366</formula2>
    </dataValidation>
  </dataValidations>
  <hyperlinks>
    <hyperlink ref="G26" r:id="rId1" display="https://ecopetrol.sharepoint.com/:x:/r/sites/comunidadesdepracticaECP/EstimPozos/_layouts/15/Doc.aspx?sourcedoc=%7B6388FF53-1262-4B83-A404-4DBBE323A8A9%7D&amp;file=Campa%C3%B1a_MER_2025.xlsm&amp;action=default&amp;mobileredirect=true"/>
  </hyperlinks>
  <pageMargins left="0.7" right="0.7" top="0.75" bottom="0.75" header="0.3" footer="0.3"/>
  <pageSetup scale="27"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ENERO</vt:lpstr>
      <vt:lpstr>FEBRERO</vt:lpstr>
      <vt:lpstr>ENERO!Área_de_impresión</vt:lpstr>
      <vt:lpstr>FEBRERO!Área_de_impresión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Meridian 0873</dc:creator>
  <cp:lastModifiedBy>Jose Mateo Lopez Cifuentes</cp:lastModifiedBy>
  <dcterms:created xsi:type="dcterms:W3CDTF">2024-01-10T22:00:55Z</dcterms:created>
  <dcterms:modified xsi:type="dcterms:W3CDTF">2026-03-06T20:03:37Z</dcterms:modified>
</cp:coreProperties>
</file>