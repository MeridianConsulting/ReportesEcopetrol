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40_GES_PROY\48_PROYECTOS\ECOPETROL 3037132\2_EJECUCION\9_ODS\2026\9_90600752\1_Entregables\2_Febrero\"/>
    </mc:Choice>
  </mc:AlternateContent>
  <xr:revisionPtr revIDLastSave="0" documentId="14_{19D753BE-76B8-48DB-94BC-DCF021188A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ERO" sheetId="16" r:id="rId1"/>
    <sheet name="FEBRERO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7" l="1"/>
  <c r="H61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61" i="17" l="1"/>
  <c r="I61" i="16"/>
  <c r="H61" i="16"/>
  <c r="J61" i="16" l="1"/>
  <c r="K17" i="16" l="1"/>
  <c r="K17" i="17" s="1"/>
  <c r="L17" i="17" s="1"/>
  <c r="K16" i="16"/>
  <c r="K16" i="17" s="1"/>
  <c r="L16" i="17" s="1"/>
  <c r="K15" i="16"/>
  <c r="K15" i="17" s="1"/>
  <c r="L15" i="17" s="1"/>
  <c r="K14" i="16"/>
  <c r="K14" i="17" s="1"/>
  <c r="L14" i="17" s="1"/>
  <c r="K13" i="16"/>
  <c r="K13" i="17" s="1"/>
  <c r="L13" i="17" s="1"/>
  <c r="J13" i="16" l="1"/>
  <c r="J14" i="16"/>
  <c r="J15" i="16"/>
  <c r="J16" i="16"/>
  <c r="J17" i="16"/>
  <c r="K59" i="16" l="1"/>
  <c r="K59" i="17" s="1"/>
  <c r="J59" i="16"/>
  <c r="K58" i="16"/>
  <c r="K58" i="17" s="1"/>
  <c r="L58" i="17" s="1"/>
  <c r="J58" i="16"/>
  <c r="K57" i="16"/>
  <c r="K57" i="17" s="1"/>
  <c r="L57" i="17" s="1"/>
  <c r="J57" i="16"/>
  <c r="K56" i="16"/>
  <c r="K56" i="17" s="1"/>
  <c r="L56" i="17" s="1"/>
  <c r="J56" i="16"/>
  <c r="K55" i="16"/>
  <c r="K55" i="17" s="1"/>
  <c r="L55" i="17" s="1"/>
  <c r="J55" i="16"/>
  <c r="K54" i="16"/>
  <c r="K54" i="17" s="1"/>
  <c r="L54" i="17" s="1"/>
  <c r="J54" i="16"/>
  <c r="K53" i="16"/>
  <c r="K53" i="17" s="1"/>
  <c r="L53" i="17" s="1"/>
  <c r="J53" i="16"/>
  <c r="K52" i="16"/>
  <c r="K52" i="17" s="1"/>
  <c r="L52" i="17" s="1"/>
  <c r="J52" i="16"/>
  <c r="K51" i="16"/>
  <c r="K51" i="17" s="1"/>
  <c r="L51" i="17" s="1"/>
  <c r="J51" i="16"/>
  <c r="K50" i="16"/>
  <c r="K50" i="17" s="1"/>
  <c r="L50" i="17" s="1"/>
  <c r="J50" i="16"/>
  <c r="K49" i="16"/>
  <c r="K49" i="17" s="1"/>
  <c r="L49" i="17" s="1"/>
  <c r="J49" i="16"/>
  <c r="K48" i="16"/>
  <c r="K48" i="17" s="1"/>
  <c r="L48" i="17" s="1"/>
  <c r="J48" i="16"/>
  <c r="K47" i="16"/>
  <c r="K47" i="17" s="1"/>
  <c r="L47" i="17" s="1"/>
  <c r="J47" i="16"/>
  <c r="K46" i="16"/>
  <c r="K46" i="17" s="1"/>
  <c r="L46" i="17" s="1"/>
  <c r="J46" i="16"/>
  <c r="K45" i="16"/>
  <c r="K45" i="17" s="1"/>
  <c r="L45" i="17" s="1"/>
  <c r="J45" i="16"/>
  <c r="K44" i="16"/>
  <c r="K44" i="17" s="1"/>
  <c r="L44" i="17" s="1"/>
  <c r="J44" i="16"/>
  <c r="K43" i="16"/>
  <c r="K43" i="17" s="1"/>
  <c r="L43" i="17" s="1"/>
  <c r="J43" i="16"/>
  <c r="L59" i="17" l="1"/>
  <c r="L45" i="16"/>
  <c r="L49" i="16"/>
  <c r="L57" i="16"/>
  <c r="L46" i="16"/>
  <c r="L50" i="16"/>
  <c r="L54" i="16"/>
  <c r="L58" i="16"/>
  <c r="L53" i="16"/>
  <c r="L43" i="16"/>
  <c r="L47" i="16"/>
  <c r="L51" i="16"/>
  <c r="L59" i="16"/>
  <c r="L55" i="16"/>
  <c r="L44" i="16"/>
  <c r="L48" i="16"/>
  <c r="L52" i="16"/>
  <c r="L56" i="16"/>
  <c r="K42" i="16"/>
  <c r="K42" i="17" s="1"/>
  <c r="L42" i="17" s="1"/>
  <c r="J42" i="16"/>
  <c r="K41" i="16"/>
  <c r="K41" i="17" s="1"/>
  <c r="L41" i="17" s="1"/>
  <c r="J41" i="16"/>
  <c r="K40" i="16"/>
  <c r="K40" i="17" s="1"/>
  <c r="L40" i="17" s="1"/>
  <c r="J40" i="16"/>
  <c r="K39" i="16"/>
  <c r="K39" i="17" s="1"/>
  <c r="L39" i="17" s="1"/>
  <c r="J39" i="16"/>
  <c r="K38" i="16"/>
  <c r="K38" i="17" s="1"/>
  <c r="L38" i="17" s="1"/>
  <c r="J38" i="16"/>
  <c r="L39" i="16" l="1"/>
  <c r="L42" i="16"/>
  <c r="L40" i="16"/>
  <c r="L38" i="16"/>
  <c r="L41" i="16"/>
  <c r="K37" i="16"/>
  <c r="K37" i="17" s="1"/>
  <c r="L37" i="17" s="1"/>
  <c r="J37" i="16"/>
  <c r="K36" i="16"/>
  <c r="K36" i="17" s="1"/>
  <c r="L36" i="17" s="1"/>
  <c r="J36" i="16"/>
  <c r="K35" i="16"/>
  <c r="K35" i="17" s="1"/>
  <c r="L35" i="17" s="1"/>
  <c r="J35" i="16"/>
  <c r="K34" i="16"/>
  <c r="K34" i="17" s="1"/>
  <c r="L34" i="17" s="1"/>
  <c r="J34" i="16"/>
  <c r="K33" i="16"/>
  <c r="K33" i="17" s="1"/>
  <c r="L33" i="17" s="1"/>
  <c r="J33" i="16"/>
  <c r="K32" i="16"/>
  <c r="K32" i="17" s="1"/>
  <c r="L32" i="17" s="1"/>
  <c r="J32" i="16"/>
  <c r="K31" i="16"/>
  <c r="K31" i="17" s="1"/>
  <c r="L31" i="17" s="1"/>
  <c r="J31" i="16"/>
  <c r="K30" i="16"/>
  <c r="K30" i="17" s="1"/>
  <c r="L30" i="17" s="1"/>
  <c r="J30" i="16"/>
  <c r="K29" i="16"/>
  <c r="K29" i="17" s="1"/>
  <c r="L29" i="17" s="1"/>
  <c r="J29" i="16"/>
  <c r="K28" i="16"/>
  <c r="K28" i="17" s="1"/>
  <c r="L28" i="17" s="1"/>
  <c r="J28" i="16"/>
  <c r="K27" i="16"/>
  <c r="K27" i="17" s="1"/>
  <c r="L27" i="17" s="1"/>
  <c r="J27" i="16"/>
  <c r="K26" i="16"/>
  <c r="K26" i="17" s="1"/>
  <c r="L26" i="17" s="1"/>
  <c r="J26" i="16"/>
  <c r="K25" i="16"/>
  <c r="K25" i="17" s="1"/>
  <c r="L25" i="17" s="1"/>
  <c r="J25" i="16"/>
  <c r="K24" i="16"/>
  <c r="K24" i="17" s="1"/>
  <c r="L24" i="17" s="1"/>
  <c r="J24" i="16"/>
  <c r="K23" i="16"/>
  <c r="K23" i="17" s="1"/>
  <c r="L23" i="17" s="1"/>
  <c r="J23" i="16"/>
  <c r="K22" i="16"/>
  <c r="K22" i="17" s="1"/>
  <c r="L22" i="17" s="1"/>
  <c r="J22" i="16"/>
  <c r="K21" i="16"/>
  <c r="K21" i="17" s="1"/>
  <c r="L21" i="17" s="1"/>
  <c r="J21" i="16"/>
  <c r="K20" i="16"/>
  <c r="K20" i="17" s="1"/>
  <c r="L20" i="17" s="1"/>
  <c r="J20" i="16"/>
  <c r="K19" i="16"/>
  <c r="K19" i="17" s="1"/>
  <c r="L19" i="17" s="1"/>
  <c r="J19" i="16"/>
  <c r="K18" i="16"/>
  <c r="K18" i="17" s="1"/>
  <c r="J18" i="16"/>
  <c r="L18" i="17" l="1"/>
  <c r="K61" i="17"/>
  <c r="L61" i="17" s="1"/>
  <c r="L25" i="16"/>
  <c r="L29" i="16"/>
  <c r="L33" i="16"/>
  <c r="L37" i="16"/>
  <c r="L21" i="16"/>
  <c r="L22" i="16"/>
  <c r="L26" i="16"/>
  <c r="L30" i="16"/>
  <c r="L19" i="16"/>
  <c r="L23" i="16"/>
  <c r="L27" i="16"/>
  <c r="L35" i="16"/>
  <c r="L31" i="16"/>
  <c r="L34" i="16"/>
  <c r="L20" i="16"/>
  <c r="L24" i="16"/>
  <c r="L28" i="16"/>
  <c r="L32" i="16"/>
  <c r="L36" i="16"/>
  <c r="L18" i="16"/>
  <c r="K61" i="16"/>
  <c r="L61" i="16" s="1"/>
  <c r="L17" i="16"/>
  <c r="L16" i="16"/>
  <c r="L15" i="16"/>
  <c r="L14" i="16"/>
  <c r="L1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12" authorId="0" shapeId="0" xr:uid="{00000000-0006-0000-0000-000001000000}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78" authorId="0" shapeId="0" xr:uid="{00000000-0006-0000-0000-000002000000}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79" authorId="0" shapeId="0" xr:uid="{00000000-0006-0000-0000-000003000000}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I79" authorId="0" shapeId="0" xr:uid="{00000000-0006-0000-0000-000004000000}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12" authorId="0" shapeId="0" xr:uid="{00000000-0006-0000-0100-000001000000}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78" authorId="0" shapeId="0" xr:uid="{00000000-0006-0000-0100-000002000000}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79" authorId="0" shapeId="0" xr:uid="{00000000-0006-0000-0100-000003000000}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I79" authorId="0" shapeId="0" xr:uid="{00000000-0006-0000-0100-000004000000}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<sst xmlns="http://schemas.openxmlformats.org/spreadsheetml/2006/main" count="508" uniqueCount="176">
  <si>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</si>
  <si>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</si>
  <si>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</si>
  <si>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</si>
  <si>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</si>
  <si>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</si>
  <si>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</si>
  <si>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</si>
  <si>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</si>
  <si>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</si>
  <si>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</si>
  <si>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</si>
  <si>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</si>
  <si>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</si>
  <si>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</si>
  <si>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</si>
  <si>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</si>
  <si>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</si>
  <si>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</si>
  <si>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</si>
  <si>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</si>
  <si>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</si>
  <si>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</si>
  <si>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</si>
  <si>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</si>
  <si>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</si>
  <si>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</si>
  <si>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</si>
  <si>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</si>
  <si>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</si>
  <si>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</si>
  <si>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</si>
  <si>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</si>
  <si>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</si>
  <si>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</si>
  <si>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</si>
  <si>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</si>
  <si>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</si>
  <si>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</si>
  <si>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</si>
  <si>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</si>
  <si>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3.13</t>
  </si>
  <si>
    <t>Generar base de datos de producción (OFM o la que se requiera)</t>
  </si>
  <si>
    <t>Base de Datos</t>
  </si>
  <si>
    <t>3.16</t>
  </si>
  <si>
    <t>Análisis de Declinaciones por pozo y/o subunidad</t>
  </si>
  <si>
    <t>3.17</t>
  </si>
  <si>
    <t>Analizar data histórica de producción, productividad y daño por pozo</t>
  </si>
  <si>
    <t>Base de Datos - Informe de la Evaluación</t>
  </si>
  <si>
    <t>3.18</t>
  </si>
  <si>
    <t>5.2</t>
  </si>
  <si>
    <t>Generación de oportunidades de intervención a Pozos</t>
  </si>
  <si>
    <t>5.3</t>
  </si>
  <si>
    <t>Estimar restricciones de Presión y tasas para la generación de perfiles de producción</t>
  </si>
  <si>
    <t>5.4</t>
  </si>
  <si>
    <t>Generar modelo de Pozos</t>
  </si>
  <si>
    <t>5.5</t>
  </si>
  <si>
    <t>Adelantar la evaluación e interpretación de datos enfocada a candidatización de actividades de reacondicionamiento y optimización de productividad en los activos</t>
  </si>
  <si>
    <t>5.6</t>
  </si>
  <si>
    <t>Generar los análisis asociados a candidatización de pozos para optimización de la producción empleando simulación numérica (análisis nodal) de productividad de pozos</t>
  </si>
  <si>
    <t>5.7</t>
  </si>
  <si>
    <t>Generar reportes de soporte en la ejecución de trabajos ejecutados, tales como estimulaciones, fracturamientos hidráulicos, recañoneos, entre otros.</t>
  </si>
  <si>
    <t>5.9</t>
  </si>
  <si>
    <t>5.10</t>
  </si>
  <si>
    <t>Adelantar en análisis y evaluación de datos enfocada a la ejecución de estudios de daño de formación</t>
  </si>
  <si>
    <t>5.11</t>
  </si>
  <si>
    <t>Generar los análisis asociados a la ejecución de estudios de daño de formación empleando simulación numérica (análisis nodal y single well model, análisis de aguas, análisis de crudos, entre otros)</t>
  </si>
  <si>
    <t>Profesional Acargo</t>
  </si>
  <si>
    <t>Días contratados Acta de Inicio</t>
  </si>
  <si>
    <t>1.2</t>
  </si>
  <si>
    <t>1.5</t>
  </si>
  <si>
    <t>1.12</t>
  </si>
  <si>
    <t>1.15</t>
  </si>
  <si>
    <t>1.16</t>
  </si>
  <si>
    <t>Generación Bases de Datos de Pozos (Registros, Topes e información disponible)</t>
  </si>
  <si>
    <t>Digitalización, digitación y/o captura de información geológica (Mapas, Raw Data, topes, etc.)</t>
  </si>
  <si>
    <t>Generación de mapas de facies</t>
  </si>
  <si>
    <t>Carga de información para poblar el modelo geocelular (direccionales, coordenadas, surveys, topes, data de presión, estados mecánicos, evento de pozos, etc.)</t>
  </si>
  <si>
    <t>Georeferenciación de Mapas, pozos, Imágenes satélite, etc. y Definición de CRS (Cordinates Reference System)</t>
  </si>
  <si>
    <t>Mapas en formato digital - Informe</t>
  </si>
  <si>
    <t>Modelo poblado</t>
  </si>
  <si>
    <t>Información georeferenciada</t>
  </si>
  <si>
    <t>Mapas en formato digital</t>
  </si>
  <si>
    <t>Base de Datos - Perfiles Generados - Informe del análisis</t>
  </si>
  <si>
    <t>Generar perfiles de Producción por pozos para pozos existente en escenarios Bajo, Medio y Alto</t>
  </si>
  <si>
    <t>Realizar el seguimiento de producción/ inyección de pozos intervenidos con base en los comportamientos de producción previo y posterior a la intervención</t>
  </si>
  <si>
    <t>Análisis de declinaciones de 10 pozos productores de los campos Cupiagua, Cupiagua Sur, Cusiana, Recetor y Recetor West</t>
  </si>
  <si>
    <t>Seguimiento diario de la producción e inyección de los campos Cupiagua, Cupiagua Sur, Recetor y Recetor West</t>
  </si>
  <si>
    <t>Apoyo en el diligenciamiento de Formatos Declaración de Gas para el nodo Cupiagua</t>
  </si>
  <si>
    <t>Apoyo en planeación de intervenciones en pozos CPT32</t>
  </si>
  <si>
    <t>Apoyo en el aseguramiento del proceso POP del nodo Cupiagua para pronóstico del mes de abril</t>
  </si>
  <si>
    <t>Análisis para campos del nodo Cupiagua</t>
  </si>
  <si>
    <t>Análisis para la planeación de instalación SLA en el pozo CPSXL5</t>
  </si>
  <si>
    <t>Actualización de los modelos wellflo de los pozos del nodo Cupiagua</t>
  </si>
  <si>
    <t xml:space="preserve"> Apoyo en diligenciamiento de Informe Técnico Anual para el campo Bonanza.</t>
  </si>
  <si>
    <t>Actualización de cálculo y seguimiento a Beneficios RPSC Cupiagua.</t>
  </si>
  <si>
    <t>Análisis e interpretación de resultados de las intervenciones de los pozos CPT32.</t>
  </si>
  <si>
    <t>Informe trimestral 4Q 2025 PPI Recetor</t>
  </si>
  <si>
    <t>GNO:\25- OFM\OFM_GNO</t>
  </si>
  <si>
    <t>GNO:\17- Monitoreo tren piedemonte\02. Cupiagua\4. Botoneras Declinaciones\Archivos PERA</t>
  </si>
  <si>
    <t>GNO:\17- Monitoreo tren piedemonte\02. Cupiagua\1. Gráficas de Seguimiento  
Archivo «Seguimiento actualizada_CPS-CP-REC»</t>
  </si>
  <si>
    <t xml:space="preserve">GNO:\12- Declaración Gas MME\2026\20260123
</t>
  </si>
  <si>
    <t>GNO:\17- Monitoreo tren piedemonte\02. Cupiagua\7. Seguimiento Pozos y Actividades\Actividades Subsuelo 2025</t>
  </si>
  <si>
    <t>GNO:\17- Monitoreo Tren Piedemonte\02. Cupiagua\17. Producción oficial\POP
Archivo «Potenciales POP Abril 2026»</t>
  </si>
  <si>
    <t>GNO:\17- Monitoreo tren piedemonte\02. Cupiagua\3. Modelos Análisis Nodal</t>
  </si>
  <si>
    <t>GNO:\17- Monitoreo tren piedemonte\02. Cupiagua\3. Modelos Análisis Nodal\2025
Archivo «CPSXL5_20260122»</t>
  </si>
  <si>
    <t>https://ecopetrol.sharepoint.com/:w:/s/ingenieriapiedemonte</t>
  </si>
  <si>
    <t>GNO:\17- Monitoreo tren piedemonte\02. Cupiagua\26. RPSC Nodo Cupiagua
Archivo «Seguimiento RPSC Cupiagua»</t>
  </si>
  <si>
    <t>GNO:\17- Monitoreo tren piedemonte\02. Cupiagua\24. Informe trimestral PPI RECETOR</t>
  </si>
  <si>
    <t>Análisis de declinaciones para los pozos probados en la ruta del mes deEnero del Campo Pauto Floreña</t>
  </si>
  <si>
    <t>Seguimiento diario de la producción e inyección de Pauto &amp; Floreña-Floreña Mirador</t>
  </si>
  <si>
    <t xml:space="preserve">
Cálculo beneficio estimado para oportunidades WR 2026 (PBC) Espumas FRIP10z y PSB1x. 
Portafolio Basica P&amp;F- Perfiles 1P,2P y 3P y cargue portafolio Plan plurianual 2026-2028
</t>
  </si>
  <si>
    <t>Seguimiento post intervención pozo FRIP15(Huff&amp;Puff), FRP12 Prueba de Inyectividad +ILT y FRIP10z prueba de potencial de producción. Trabajos Cerrados en etapa de Flow Back para estimar beneficio Real. Adicional seguimeinto trabajo INYECCIÓN espumas FRIP10z</t>
  </si>
  <si>
    <t xml:space="preserve">Actualización del archivo compilado de presiones  y PLTs/ILTs 
</t>
  </si>
  <si>
    <t>Actualización de los modelos wellflo de los pozos</t>
  </si>
  <si>
    <t>Seguimiento beneficio espumas PSC2 y Gas Funcionalizado FRI9</t>
  </si>
  <si>
    <t>IMR Pauto-Floreña y Pauto Recetor
Docuento Soporte de Reservas  Pauto-Mirador Floreña- Floreña y Pauto Recetor</t>
  </si>
  <si>
    <t>Seguimiento trabajos de inyección de espumas en pozos PSC2-FRIf14  y Gas Funcionalizado FRI9. 2026 Seguimiento Inyección Espumas FRIP10Z</t>
  </si>
  <si>
    <t>Análisis de estudios de daño de formación para oportunidades de intervencion de pozos - WR 2026</t>
  </si>
  <si>
    <t xml:space="preserve">
Calculo PPI – Revisión adicional solicitudes ANH Curva Básica</t>
  </si>
  <si>
    <t>https://ecopetrol.sharepoint.com/sites/VRO/GDP/Ingenieria/Monitoreo%20Yacimiento/Forms/Agrupada.aspx?ovuser=a4305987%2Dcf78%2D4f93%2D9d64%2Dbf18af65397b%2Cjuanma%2Ecordoba%40ecopetrol%2Ecom%2Eco&amp;OR=Teams%2DHL&amp;CT=1737372375925&amp;clickparams=eyJBcHBOYW1lIjoiVGVhbXMtRGVza3RvcCIsIkFwcFZlcnNpb24iOiI0OS8yNDEyMDEwMDIxNyIsIkhhc0ZlZGVyYXRlZFVzZXIiOmZhbHNlfQ%3D%3D</t>
  </si>
  <si>
    <t>\\10.100.25.60\sya\GNO\17- Monitoreo tren piedemonte\03. Pauto-Floreña\8. Seguimiento producción e intervenciones</t>
  </si>
  <si>
    <t>https://ecopetrol.sharepoint.com/sites/Pauto-FlorenaSurveillanceDesarrollo/Documentos%20compartidos/Forms/AllItems.aspx?id=%2Fsites%2FPauto%2DFlorenaSurveillanceDesarrollo%2FDocumentos%20compartidos%2F03%2EReservas%2F02%2EAuditoria%2F2024%2FNororiente&amp;viewid=2713cc4a%2D3ca2%2D4026%2Da073%2D4f5bc39c5d33
\\10.100.25.60\sya\GNO\17- Monitoreo Tren Piedemonte\03. Pauto-Floreña\10. OPEX PBC\Perfiles Trabajos Pendientes 2026</t>
  </si>
  <si>
    <t>Reuniones sistemáticas Miercoles y Viernes para identificar oportunidades de intervenciones, candidatos y comportamiento de producción de pozos.</t>
  </si>
  <si>
    <t>\\10.100.25.60\sya\GNO\17- Monitoreo tren piedemonte\03. Pauto-Floreña\8. Seguimiento producción e intervenciones
\\10.100.25.60\sya\GNO\17- Monitoreo Tren Piedemonte\03. Pauto-Floreña\5. Seguimiento Potenciales
\\10.100.25.60\sya\GNO\17- Monitoreo Tren Piedemonte\03. Pauto-Floreña\3. Presiones de Yacimiento</t>
  </si>
  <si>
    <t>\\corp1-b\UP_SDLA\PIT\NODALES POZOS\01. Nodales Liquidación\05. PAUTO-FLOREÑA</t>
  </si>
  <si>
    <t>\\10.100.25.60\sya\GNO\17- Monitoreo Tren Piedemonte\03. Pauto-Floreña\8. Seguimiento producción e intervenciones\Trabajos 2025- Beneficios
Reunión sistemática con coordinación de subsuelo. Miercoles semanal</t>
  </si>
  <si>
    <t>\\10.100.25.60\sya\GNO\11- Informes ANH\ITA - Informe Tecnico Anual\2024
\\10.100.25.60\sya\GNO\10- Reservas\2025\Verificaciones Trimestrales\2T\IMR
https://ecopetrol.sharepoint.com/sites/gcres/conso/Forms/AllItems.aspx?csf=1&amp;web=1&amp;e=u6UlHL&amp;ovuser=a4305987%2Dcf78%2D4f93%2D9d64%2Dbf18af65397b%2Cjuanma%2Ecordoba%40ecopetrol%2Ecom%2Eco&amp;OR=Teams%2DHL&amp;CT=1759961209255&amp;clickparams=eyJBcHBOYW1lIjoiVGVhbXMtRGVza3RvcCIsIkFwcFZlcnNpb24iOiI0OS8yNTA5MTExNjAxNSIsIkhhc0ZlZGVyYXRlZFVzZXIiOmZhbHNlfQ%3D%3D&amp;CID=9b80cda1%2Dc032%2Da000%2D5046%2D24992f67c05a&amp;cidOR=SPO&amp;FolderCTID=0x012000F43B3E17D39EE041BED79D8DE5CC10B7&amp;id=%2Fsites%2Fgcres%2Fconso%2F04%2E%20Reservas%20y%20Recursos%202T%202025%2FGDG%2FReservas%2F03%2E%20IMR%20Final</t>
  </si>
  <si>
    <t>https://ecopetrol.sharepoint.com/sites/VRO/GDP/Ingenieria/Monitoreo%20Yacimiento/Forms/Agrupada.aspx?ovuser=a4305987%2Dcf78%2D4f93%2D9d64%2Dbf18af65397b%2Cjuanma%2Ecordoba%40ecopetrol%2Ecom%2Eco&amp;OR=Teams%2DHL&amp;CT=1737372375925&amp;clickparams=eyJBcHBOYW1lIjoiVGVhbXMtRGVza3RvcCIsIkFwcFZlcnNpb24iOiI0OS8yNDEyMDEwMDIxNyIsIkhhc0ZlZGVyYXRlZFVzZXIiOmZhbHNlfQ%3D%3D
\\10.100.25.60\sya\GNO\17- Monitoreo Tren Piedemonte\03. Pauto-Floreña\8. Seguimiento producción e intervenciones\Trabajos 2025- Beneficios</t>
  </si>
  <si>
    <t>\\10.100.25.60\sya\GNO\17- Monitoreo tren piedemonte\03. Pauto-Floreña\8. Seguimiento producción e intervenciones\Daño de formación
Sesiónes multidisciplinarias con Ingenieria para evaluar la masificación de trabajos implementados con casos exitosos. (Reunion semanal Miercoles)</t>
  </si>
  <si>
    <t>\\10.100.25.60\sya\GNO\17- Monitoreo tren piedemonte\03. Pauto-Floreña\8. Seguimiento producción e intervenciones\Daño de formación
https://ecopetrol.sharepoint.com/sites/Pauto-FlorenaSurveillanceDesarrollo/Documentos%20compartidos/Forms/AllItems.aspx?id=%2Fsites%2FPauto%2DFlorenaSurveillanceDesarrollo%2FDocumentos%20compartidos%2F03%2EReservas%2F01%2EVerificaciones%20Trimestrales%2F2025%2F2T&amp;viewid=2713cc4a%2D3ca2%2D4026%2Da073%2D4f5bc39c5d33&amp;ovuser=a4305987%2Dcf78%2D4f93%2D9d64%2Dbf18af65397b%2Cjuanma%2Ecordoba%40ecopetrol%2Ecom%2Eco&amp;OR=Teams%2DHL&amp;CT=1706903410593&amp;clickparams=eyJBcHBOYW1lIjoiVGVhbXMtRGVza3RvcCIsIkFwcFZlcnNpb24iOiIyNy8yMzExMzAyNjIwMiIsIkhhc0ZlZGVyYXRlZFVzZXIiOmZhbHNlfQ%3D%3D&amp;noAuthRedirect=1
\\10.100.25.60\sya\GNO\11- Informes ANH\PPI - Proyectos de Producción Incremental\Piedemonte\2025</t>
  </si>
  <si>
    <t>1.1</t>
  </si>
  <si>
    <t>Generar Modelo Estático del yacimiento integrando la información disponible.</t>
  </si>
  <si>
    <t>Modelo Estático - Informe de Modelo - Cálculo de Volúmenes in Place</t>
  </si>
  <si>
    <t>1.7</t>
  </si>
  <si>
    <t>Generación Modelo Geocelular</t>
  </si>
  <si>
    <t>Modelo Geocelular - Informe del Modelo</t>
  </si>
  <si>
    <t>1.14</t>
  </si>
  <si>
    <t>Generación de grid estructurales</t>
  </si>
  <si>
    <t>Malla de Geomodelamiento</t>
  </si>
  <si>
    <t>1.17</t>
  </si>
  <si>
    <t>Calculo probabilístico de Volúmenes In situ.</t>
  </si>
  <si>
    <t>Calculo Volumétrico - Bases de Datos</t>
  </si>
  <si>
    <r>
      <t xml:space="preserve">3.13 3.16 3.17 3.18 5.2 5.3 5.4 5.5 5.6 5.7 5.9 5.1 5.11 Junior (GV):
</t>
    </r>
    <r>
      <rPr>
        <sz val="9"/>
        <color theme="1"/>
        <rFont val="Verdana"/>
        <family val="2"/>
      </rPr>
      <t>Durante el mes de enero, el profesional cumplió con las actividades propias del equipo de implementación y aseguramiento de la gerencia de Gas, asignado a los campo Cupiagua, Cupiagua Sur, Recetor y Recetor West, las cuales se representan principalmente en el seguimiento diario de la producción e inyección de los campos, análisis de declinaciones de pozos productores, análisis e interpretación de resultados de las intervenciones a pozos, actualización de presiones tomadas en 2025, apoyo en planeación de intervenciones en pozos, generación de perfiles de producción, actualización de seguimiento a Beneficios RPSC Cupiagua; actividades ejecutadas con el fin de identificar optimizaciones, intervenciones, procesos o acciones para mantenimiento de la producción básica.  Adicionalmente, se realizó nueva asignación para la realización de las actividades contratadas en el campo Bonanza.</t>
    </r>
  </si>
  <si>
    <r>
      <t>3.16 3.17 3.18 5.2 5.3 5.4 5.5 5.6 5.7 5.9 5.10 5.11 Senior (JC):</t>
    </r>
    <r>
      <rPr>
        <sz val="9"/>
        <color theme="1"/>
        <rFont val="Verdana"/>
        <family val="2"/>
      </rPr>
      <t xml:space="preserve">
1. Informe Técnico Anual 2025. (ITA 2025)
2. Seguimiento prueba de inyección de agua FRN2. Estimada febrero 2026 
3. Seguimiento Intervención Inyección Espumas FRIp10Z (GI) – Fecha Inicio: 18 Enero2026
4. Piloto de Reinyección de gas Floreña  9 de diciembre hasta 31 enero 2026. Maximizar la captura de valor mediante la comercialización del gas proveniente de Pauto-Floreña, aprovechando ajustes estratégicos en la reinyección durante coyunturas específicas de baja demanda en ventas de gas.
5. Seguimiento pozo FRIP15(Huff &amp; Puff), FRP12 Prueba de Infectividad. Pozos en etapa de Flow Back, pendiente estimación de Beneficios Reales.
6. Seguimiento beneficios Gas Funcionalizado FRI9 y Espumas PSC2. Espumas FRIf14 y DANY FRC6.
7. Estimaciones potenciales de producción febrero 2026 y continuo manejo de la estrategia de Inyección.
8. Estimación de declinaciones para los pozos probados en la ruta del mes de enero 2026</t>
    </r>
  </si>
  <si>
    <t>Juan Mateo Cordoba Wagner</t>
  </si>
  <si>
    <t>Gabriel Eduardo Velez Barrera</t>
  </si>
  <si>
    <t>Maria Himelda Murillo Lopez</t>
  </si>
  <si>
    <t>José Andrés Anaya Mancipe</t>
  </si>
  <si>
    <t>Análisis de declinaciones para los pozos probados en la ruta del mes de Febrero del Campo Pauto Floreña &amp; Campo Cusiana</t>
  </si>
  <si>
    <t>Seguimiento diario de la producción e inyección de Pauto &amp; Floreña-Floreña Mirador y Campo Cusiana</t>
  </si>
  <si>
    <t xml:space="preserve">Cálculo beneficio estimado para oportunidades WR 2026 (PBC) Espumas FRIP10z y PSB1x. 
</t>
  </si>
  <si>
    <t>Seguimiento post intervención pozos FRIP15 &amp;FRTp12 (Huff&amp;Puff). Seguimiento trabajo INYECCIÓN espumas FRIP10z e Inyección FRN2 WI</t>
  </si>
  <si>
    <t>Seguimiento beneficio espumas PSC2 y Gas Funcionalizado FRI9.
Prueba de WI en pozo FRN2</t>
  </si>
  <si>
    <t>IMR Pauto-Floreña y Pauto Recetor
Docuento Soporte de Reservas  Pauto-Mirador Floreña- Floreña y Pauto Recetor
Documentos IRR + Tablas IRR Campos Pauto-Mirador Floreña- Floreña y Pauto Recetor</t>
  </si>
  <si>
    <t>\\10.100.25.60\sya\GNO\17- Monitoreo tren piedemonte\03. Pauto-Floreña\8. Seguimiento producción e intervenciones
\\10.100.25.60\sya\GNO\17- Monitoreo Tren Piedemonte\01. Cusiana\04. Seguimiento</t>
  </si>
  <si>
    <r>
      <t>3.16 3.17 3.18 5.2 5.3 5.4 5.5 5.6 5.7 5.9 5.10 5.11 Senior (JC):</t>
    </r>
    <r>
      <rPr>
        <sz val="9"/>
        <color theme="1"/>
        <rFont val="Verdana"/>
        <family val="2"/>
      </rPr>
      <t xml:space="preserve">
</t>
    </r>
  </si>
  <si>
    <t>Análisis de declinaciones de 15 pozos productores del campo Bonanza.</t>
  </si>
  <si>
    <t>Apoyo en revisión de Perfiles de los 13 WO-Finales campo Bonanza</t>
  </si>
  <si>
    <t>Apoyo en planeación de intervenciones en 13 pozos del campo Bonanza</t>
  </si>
  <si>
    <t>Apoyo en el aseguramiento del proceso POP del nodo Cupiagua para pronóstico del mes de mayo</t>
  </si>
  <si>
    <t>Revisión de material pozo a pozo con miras al ejercicio Well Review 2026.</t>
  </si>
  <si>
    <t>Apoyo en construcción de PPT del KOM del Plan Integrado de Desarrollo para el campo Bonanza.</t>
  </si>
  <si>
    <t>Revisión y actualización del archivo compilado de presiones tomadas en los pozos del campo Bonanza</t>
  </si>
  <si>
    <t>Apoyo en preparación de informe trimestral 4Q 2025 PPI Recetor</t>
  </si>
  <si>
    <t>GDY:\02. CAMPO BONANZA\12. SEGUIMIENTO\Declinaciones</t>
  </si>
  <si>
    <t>GDY:\02. CAMPO BONANZA\05. INGENIERIA\14. PERFILES</t>
  </si>
  <si>
    <t>GDY:\02. CAMPO BONANZA\05. INGENIERIA\10. PROPUESTA  WO_ECONOMICOS</t>
  </si>
  <si>
    <t>GNO:\17- Monitoreo Tren Piedemonte\02. Cupiagua\17. Producción oficial\POP</t>
  </si>
  <si>
    <t>GDY:\02. CAMPO BONANZA\07. POZOS</t>
  </si>
  <si>
    <t>https://ecopetrol.sharepoint.com/sites/PROVINCIABONANZAPID2026/Documentos%20compartidos/Forms/AllItems.aspx?viewid=8a0b27ea%2Df322%2D4eb8%2Dbe9d%2D8adc5775cbe9&amp;ovuser=a4305987%2Dcf78%2D4f93%2D9d64%2Dbf18af65397b%2Cgabriel%2Evelez%40ecopetrol%2Ecom%2Eco&amp;OR=Teams%2DHL&amp;CT=1772026216891&amp;clickparams=eyJBcHBOYW1lIjoiVGVhbXMtRGVza3RvcCIsIkFwcFZlcnNpb24iOiI0OS8yNjAyMDEwMTExNyIsIkhhc0ZlZGVyYXRlZFVzZXIiOmZhbHNlfQ%3D%3D&amp;id=%2Fsites%2FPROVINCIABONANZAPID2026%2FDocumentos%20compartidos%2F0%2E%20General%2FPresentaci%C3%B3n%20KOM%20Provincia%20%26%20Bonanza%2Epdf&amp;parent=%2Fsites%2FPROVINCIABONANZAPID2026%2FDocumentos%20compartidos%2F0%2E%20General
Archivo «Seguimiento RPSC Cupiagua»</t>
  </si>
  <si>
    <t>GDY:\02. CAMPO BONANZA\12. SEGUIMIENTO\PRESIONES</t>
  </si>
  <si>
    <t>GNO:\17- Monitoreo tren piedemonte\02. Cupiagua\24. Informe trimestral PPI RECETOR\2025</t>
  </si>
  <si>
    <r>
      <t xml:space="preserve">3.13 3.16 3.17 3.18 5.2 5.3 5.4 5.5 5.6 5.7 5.9 5.1 5.11 Junior (GV):
</t>
    </r>
    <r>
      <rPr>
        <sz val="9"/>
        <color theme="1"/>
        <rFont val="Verdana"/>
        <family val="2"/>
      </rPr>
      <t xml:space="preserve">Durante el mes de febrero, el profesional cumplió con las actividades propias del equipo de Desarrollo de la gerencia de Gas, asignado al campo Bonanza, dando apoyo ocasional a Piedemonte Sur, las cuales se representan principalmente en el seguimiento diario de la producción e inyección de los campos, análisis de declinaciones de pozos productores, análisis e interpretación de resultados de las intervenciones a pozos, actualización de presiones tomadas, apoyo en planeación de intervenciones en pozos, generación de perfiles de producción; actividades ejecutadas con el fin de identificar optimizaciones, intervenciones, procesos o acciones para mantenimiento de la producción básica. </t>
    </r>
  </si>
  <si>
    <t>Mario Ardila Moreno</t>
  </si>
  <si>
    <t>Carolina David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</si>
</sst>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7" xfId="0" applyFont="1" applyBorder="1" applyAlignment="1">
      <alignment horizontal="center" vertical="center"/>
    </xf>
    <xf numFmtId="164" fontId="4" fillId="0" borderId="7" xfId="1" applyNumberFormat="1" applyFont="1" applyBorder="1" applyAlignment="1" applyProtection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2" fillId="3" borderId="21" xfId="0" applyFont="1" applyFill="1" applyBorder="1" applyAlignment="1" applyProtection="1">
      <alignment horizontal="center" vertical="center" wrapText="1"/>
      <protection locked="0"/>
    </xf>
    <xf numFmtId="0" fontId="2" fillId="3" borderId="24" xfId="0" applyFont="1" applyFill="1" applyBorder="1" applyAlignment="1" applyProtection="1">
      <alignment horizontal="center" vertical="center" wrapText="1"/>
      <protection locked="0"/>
    </xf>
    <xf numFmtId="0" fontId="2" fillId="3" borderId="25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 applyProtection="1">
      <alignment horizontal="center" vertical="center" wrapText="1"/>
      <protection locked="0"/>
    </xf>
    <xf numFmtId="0" fontId="2" fillId="3" borderId="21" xfId="0" applyFont="1" applyFill="1" applyBorder="1" applyAlignment="1">
      <alignment horizontal="center" vertical="center" wrapText="1"/>
    </xf>
    <xf numFmtId="9" fontId="2" fillId="0" borderId="21" xfId="1" applyFont="1" applyBorder="1" applyAlignment="1" applyProtection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9" fontId="2" fillId="0" borderId="22" xfId="1" applyFont="1" applyBorder="1" applyAlignment="1" applyProtection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9" fontId="2" fillId="0" borderId="24" xfId="1" applyFont="1" applyBorder="1" applyAlignment="1" applyProtection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9" fontId="2" fillId="0" borderId="23" xfId="1" applyFont="1" applyBorder="1" applyAlignment="1" applyProtection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9" fontId="2" fillId="0" borderId="21" xfId="1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9" fontId="2" fillId="0" borderId="23" xfId="1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9" fontId="2" fillId="0" borderId="22" xfId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showGridLines="0" view="pageBreakPreview" zoomScaleNormal="80" zoomScaleSheetLayoutView="100" workbookViewId="0">
      <selection activeCell="B2" sqref="B2:L2"/>
    </sheetView>
  </sheetViews>
  <sheetFormatPr baseColWidth="10" defaultColWidth="8.6640625" defaultRowHeight="14.4" x14ac:dyDescent="0.3"/>
  <cols>
    <col min="1" max="1" width="4.44140625" style="2" customWidth="1"/>
    <col min="2" max="2" width="9.33203125" style="1" customWidth="1"/>
    <col min="3" max="3" width="7.33203125" style="1" customWidth="1"/>
    <col min="4" max="4" width="43.109375" style="1" customWidth="1"/>
    <col min="5" max="5" width="14.109375" style="1" bestFit="1" customWidth="1"/>
    <col min="6" max="6" width="14.109375" style="1" customWidth="1"/>
    <col min="7" max="7" width="13.44140625" style="1" customWidth="1"/>
    <col min="8" max="8" width="13.6640625" style="1" customWidth="1"/>
    <col min="9" max="9" width="13.44140625" style="1" customWidth="1"/>
    <col min="10" max="10" width="10.44140625" style="1" customWidth="1"/>
    <col min="11" max="11" width="12.44140625" style="1" customWidth="1"/>
    <col min="12" max="12" width="12.33203125" style="1" customWidth="1"/>
    <col min="13" max="13" width="6.6640625" style="2" customWidth="1"/>
    <col min="14" max="14" width="16.44140625" style="2" customWidth="1"/>
    <col min="16" max="16" width="16.44140625" style="2" customWidth="1"/>
    <col min="17" max="17" width="0" hidden="1" customWidth="1"/>
    <col min="18" max="18" width="16.44140625" style="2" customWidth="1"/>
    <col min="19" max="16384" width="8.6640625" style="2"/>
  </cols>
  <sheetData>
    <row r="1" spans="2:17" x14ac:dyDescent="0.3">
      <c r="Q1" t="s">
        <v>0</v>
      </c>
    </row>
    <row r="2" spans="2:17" ht="49.5" customHeight="1" x14ac:dyDescent="0.3">
      <c r="B2" s="95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Q2" t="s">
        <v>2</v>
      </c>
    </row>
    <row r="3" spans="2:17" ht="18.75" customHeight="1" x14ac:dyDescent="0.3">
      <c r="B3" s="96" t="s">
        <v>3</v>
      </c>
      <c r="C3" s="97"/>
      <c r="D3" s="97"/>
      <c r="E3" s="97" t="s">
        <v>4</v>
      </c>
      <c r="F3" s="97"/>
      <c r="G3" s="97"/>
      <c r="H3" s="97"/>
      <c r="I3" s="97"/>
      <c r="J3" s="97" t="s">
        <v>5</v>
      </c>
      <c r="K3" s="97"/>
      <c r="L3" s="98"/>
    </row>
    <row r="4" spans="2:17" x14ac:dyDescent="0.3">
      <c r="B4" s="21"/>
      <c r="C4" s="3"/>
      <c r="L4" s="22"/>
      <c r="Q4" t="s">
        <v>6</v>
      </c>
    </row>
    <row r="5" spans="2:17" s="5" customFormat="1" ht="27.6" customHeight="1" x14ac:dyDescent="0.3">
      <c r="B5" s="99" t="s">
        <v>7</v>
      </c>
      <c r="C5" s="99"/>
      <c r="D5" s="17">
        <v>90600752</v>
      </c>
      <c r="E5" s="18"/>
      <c r="F5" s="18"/>
      <c r="G5" s="18"/>
      <c r="H5" s="18"/>
      <c r="I5" s="4"/>
      <c r="J5" s="4"/>
      <c r="K5" s="4"/>
      <c r="L5" s="23"/>
      <c r="O5"/>
      <c r="Q5" t="s">
        <v>8</v>
      </c>
    </row>
    <row r="6" spans="2:17" s="5" customFormat="1" x14ac:dyDescent="0.3">
      <c r="B6" s="24"/>
      <c r="C6" s="4"/>
      <c r="D6" s="4"/>
      <c r="E6" s="4"/>
      <c r="F6" s="4"/>
      <c r="G6" s="4"/>
      <c r="H6" s="4"/>
      <c r="I6" s="4"/>
      <c r="J6" s="4"/>
      <c r="K6" s="4"/>
      <c r="L6" s="23"/>
      <c r="O6"/>
      <c r="Q6" t="s">
        <v>11</v>
      </c>
    </row>
    <row r="7" spans="2:17" s="5" customFormat="1" x14ac:dyDescent="0.3">
      <c r="B7" s="99" t="s">
        <v>12</v>
      </c>
      <c r="C7" s="99"/>
      <c r="D7" s="6" t="s">
        <v>2</v>
      </c>
      <c r="E7" s="25"/>
      <c r="F7" s="25"/>
      <c r="G7" s="25"/>
      <c r="H7" s="25"/>
      <c r="I7" s="4"/>
      <c r="J7" s="4"/>
      <c r="K7" s="4"/>
      <c r="L7" s="23"/>
      <c r="O7"/>
      <c r="Q7" t="s">
        <v>13</v>
      </c>
    </row>
    <row r="8" spans="2:17" s="5" customFormat="1" x14ac:dyDescent="0.3">
      <c r="B8" s="26"/>
      <c r="C8" s="7"/>
      <c r="D8" s="25"/>
      <c r="E8" s="25"/>
      <c r="F8" s="25"/>
      <c r="G8" s="25"/>
      <c r="H8" s="25"/>
      <c r="I8" s="4"/>
      <c r="J8" s="4"/>
      <c r="K8" s="4"/>
      <c r="L8" s="23"/>
      <c r="O8"/>
      <c r="Q8" t="s">
        <v>14</v>
      </c>
    </row>
    <row r="9" spans="2:17" s="5" customFormat="1" x14ac:dyDescent="0.3">
      <c r="B9" s="99" t="s">
        <v>15</v>
      </c>
      <c r="C9" s="99"/>
      <c r="D9" s="8">
        <v>46053</v>
      </c>
      <c r="E9" s="27"/>
      <c r="F9" s="27"/>
      <c r="G9" s="27"/>
      <c r="H9" s="27"/>
      <c r="I9" s="4"/>
      <c r="J9" s="4"/>
      <c r="K9" s="4"/>
      <c r="L9" s="23"/>
      <c r="O9"/>
      <c r="Q9" t="s">
        <v>16</v>
      </c>
    </row>
    <row r="10" spans="2:17" x14ac:dyDescent="0.3">
      <c r="B10" s="28"/>
      <c r="L10" s="29"/>
      <c r="Q10" t="s">
        <v>17</v>
      </c>
    </row>
    <row r="11" spans="2:17" ht="26.85" customHeight="1" x14ac:dyDescent="0.3">
      <c r="B11" s="100" t="s">
        <v>18</v>
      </c>
      <c r="C11" s="100"/>
      <c r="D11" s="100"/>
      <c r="E11" s="100"/>
      <c r="F11" s="100"/>
      <c r="G11" s="100"/>
      <c r="H11" s="100"/>
      <c r="I11" s="99" t="s">
        <v>19</v>
      </c>
      <c r="J11" s="99"/>
      <c r="K11" s="99" t="s">
        <v>20</v>
      </c>
      <c r="L11" s="99"/>
      <c r="Q11" t="s">
        <v>21</v>
      </c>
    </row>
    <row r="12" spans="2:17" ht="57.6" customHeight="1" x14ac:dyDescent="0.3">
      <c r="B12" s="34" t="s">
        <v>22</v>
      </c>
      <c r="C12" s="34" t="s">
        <v>23</v>
      </c>
      <c r="D12" s="34" t="s">
        <v>24</v>
      </c>
      <c r="E12" s="34" t="s">
        <v>25</v>
      </c>
      <c r="F12" s="34" t="s">
        <v>67</v>
      </c>
      <c r="G12" s="34" t="s">
        <v>26</v>
      </c>
      <c r="H12" s="34" t="s">
        <v>68</v>
      </c>
      <c r="I12" s="34" t="s">
        <v>27</v>
      </c>
      <c r="J12" s="34" t="s">
        <v>28</v>
      </c>
      <c r="K12" s="34" t="s">
        <v>29</v>
      </c>
      <c r="L12" s="34" t="s">
        <v>28</v>
      </c>
      <c r="Q12" t="s">
        <v>30</v>
      </c>
    </row>
    <row r="13" spans="2:17" x14ac:dyDescent="0.3">
      <c r="B13" s="52">
        <v>3</v>
      </c>
      <c r="C13" s="52" t="s">
        <v>41</v>
      </c>
      <c r="D13" s="67" t="s">
        <v>42</v>
      </c>
      <c r="E13" s="51" t="s">
        <v>43</v>
      </c>
      <c r="F13" s="101" t="s">
        <v>148</v>
      </c>
      <c r="G13" s="51" t="s">
        <v>31</v>
      </c>
      <c r="H13" s="52">
        <v>18</v>
      </c>
      <c r="I13" s="52">
        <v>2</v>
      </c>
      <c r="J13" s="68">
        <f t="shared" ref="J13:J17" si="0">IFERROR(I13/H13,0)</f>
        <v>0.1111111111111111</v>
      </c>
      <c r="K13" s="52">
        <f t="shared" ref="K13:K20" si="1">I13</f>
        <v>2</v>
      </c>
      <c r="L13" s="68">
        <f t="shared" ref="L13:L17" si="2">IFERROR(K13/H13,0)</f>
        <v>0.1111111111111111</v>
      </c>
    </row>
    <row r="14" spans="2:17" x14ac:dyDescent="0.3">
      <c r="B14" s="56">
        <v>3</v>
      </c>
      <c r="C14" s="56" t="s">
        <v>44</v>
      </c>
      <c r="D14" s="65" t="s">
        <v>45</v>
      </c>
      <c r="E14" s="55" t="s">
        <v>83</v>
      </c>
      <c r="F14" s="102"/>
      <c r="G14" s="55" t="s">
        <v>31</v>
      </c>
      <c r="H14" s="56">
        <v>18</v>
      </c>
      <c r="I14" s="56">
        <v>1</v>
      </c>
      <c r="J14" s="66">
        <f t="shared" si="0"/>
        <v>5.5555555555555552E-2</v>
      </c>
      <c r="K14" s="56">
        <f t="shared" si="1"/>
        <v>1</v>
      </c>
      <c r="L14" s="66">
        <f t="shared" si="2"/>
        <v>5.5555555555555552E-2</v>
      </c>
    </row>
    <row r="15" spans="2:17" x14ac:dyDescent="0.3">
      <c r="B15" s="56">
        <v>3</v>
      </c>
      <c r="C15" s="56" t="s">
        <v>46</v>
      </c>
      <c r="D15" s="65" t="s">
        <v>47</v>
      </c>
      <c r="E15" s="55" t="s">
        <v>48</v>
      </c>
      <c r="F15" s="102"/>
      <c r="G15" s="55" t="s">
        <v>31</v>
      </c>
      <c r="H15" s="56">
        <v>18</v>
      </c>
      <c r="I15" s="56">
        <v>1</v>
      </c>
      <c r="J15" s="66">
        <f t="shared" si="0"/>
        <v>5.5555555555555552E-2</v>
      </c>
      <c r="K15" s="56">
        <f t="shared" si="1"/>
        <v>1</v>
      </c>
      <c r="L15" s="66">
        <f t="shared" si="2"/>
        <v>5.5555555555555552E-2</v>
      </c>
    </row>
    <row r="16" spans="2:17" x14ac:dyDescent="0.3">
      <c r="B16" s="56">
        <v>3</v>
      </c>
      <c r="C16" s="56" t="s">
        <v>49</v>
      </c>
      <c r="D16" s="65" t="s">
        <v>84</v>
      </c>
      <c r="E16" s="55" t="s">
        <v>48</v>
      </c>
      <c r="F16" s="102"/>
      <c r="G16" s="55" t="s">
        <v>31</v>
      </c>
      <c r="H16" s="56">
        <v>18</v>
      </c>
      <c r="I16" s="56">
        <v>1</v>
      </c>
      <c r="J16" s="66">
        <f t="shared" si="0"/>
        <v>5.5555555555555552E-2</v>
      </c>
      <c r="K16" s="56">
        <f t="shared" si="1"/>
        <v>1</v>
      </c>
      <c r="L16" s="66">
        <f t="shared" si="2"/>
        <v>5.5555555555555552E-2</v>
      </c>
    </row>
    <row r="17" spans="2:17" s="5" customFormat="1" x14ac:dyDescent="0.3">
      <c r="B17" s="56">
        <v>5</v>
      </c>
      <c r="C17" s="62" t="s">
        <v>50</v>
      </c>
      <c r="D17" s="64" t="s">
        <v>51</v>
      </c>
      <c r="E17" s="55" t="s">
        <v>48</v>
      </c>
      <c r="F17" s="102"/>
      <c r="G17" s="55" t="s">
        <v>31</v>
      </c>
      <c r="H17" s="56">
        <v>18</v>
      </c>
      <c r="I17" s="56">
        <v>2</v>
      </c>
      <c r="J17" s="66">
        <f t="shared" si="0"/>
        <v>0.1111111111111111</v>
      </c>
      <c r="K17" s="56">
        <f t="shared" si="1"/>
        <v>2</v>
      </c>
      <c r="L17" s="66">
        <f t="shared" si="2"/>
        <v>0.1111111111111111</v>
      </c>
      <c r="O17" s="9"/>
      <c r="Q17" s="9"/>
    </row>
    <row r="18" spans="2:17" x14ac:dyDescent="0.3">
      <c r="B18" s="61">
        <v>5</v>
      </c>
      <c r="C18" s="56" t="s">
        <v>52</v>
      </c>
      <c r="D18" s="65" t="s">
        <v>53</v>
      </c>
      <c r="E18" s="108" t="s">
        <v>48</v>
      </c>
      <c r="F18" s="102"/>
      <c r="G18" s="110" t="s">
        <v>31</v>
      </c>
      <c r="H18" s="74">
        <v>18</v>
      </c>
      <c r="I18" s="42">
        <v>2</v>
      </c>
      <c r="J18" s="43">
        <f t="shared" ref="J18:J59" si="3">IFERROR(I18/H18,0)</f>
        <v>0.1111111111111111</v>
      </c>
      <c r="K18" s="44">
        <f t="shared" si="1"/>
        <v>2</v>
      </c>
      <c r="L18" s="43">
        <f>IFERROR(K18/H18,0)</f>
        <v>0.1111111111111111</v>
      </c>
    </row>
    <row r="19" spans="2:17" x14ac:dyDescent="0.3">
      <c r="B19" s="53">
        <v>5</v>
      </c>
      <c r="C19" s="56" t="s">
        <v>54</v>
      </c>
      <c r="D19" s="65" t="s">
        <v>55</v>
      </c>
      <c r="E19" s="55" t="s">
        <v>48</v>
      </c>
      <c r="F19" s="102"/>
      <c r="G19" s="111" t="s">
        <v>31</v>
      </c>
      <c r="H19" s="75">
        <v>18</v>
      </c>
      <c r="I19" s="36">
        <v>2</v>
      </c>
      <c r="J19" s="37">
        <f t="shared" si="3"/>
        <v>0.1111111111111111</v>
      </c>
      <c r="K19" s="38">
        <f t="shared" si="1"/>
        <v>2</v>
      </c>
      <c r="L19" s="37">
        <f>IFERROR(K19/H19,0)</f>
        <v>0.1111111111111111</v>
      </c>
    </row>
    <row r="20" spans="2:17" x14ac:dyDescent="0.3">
      <c r="B20" s="53">
        <v>5</v>
      </c>
      <c r="C20" s="56" t="s">
        <v>56</v>
      </c>
      <c r="D20" s="65" t="s">
        <v>57</v>
      </c>
      <c r="E20" s="108" t="s">
        <v>48</v>
      </c>
      <c r="F20" s="102"/>
      <c r="G20" s="111" t="s">
        <v>31</v>
      </c>
      <c r="H20" s="75">
        <v>17</v>
      </c>
      <c r="I20" s="36">
        <v>1</v>
      </c>
      <c r="J20" s="37">
        <f t="shared" si="3"/>
        <v>5.8823529411764705E-2</v>
      </c>
      <c r="K20" s="38">
        <f t="shared" si="1"/>
        <v>1</v>
      </c>
      <c r="L20" s="37">
        <f>IFERROR(K20/H20,0)</f>
        <v>5.8823529411764705E-2</v>
      </c>
    </row>
    <row r="21" spans="2:17" x14ac:dyDescent="0.3">
      <c r="B21" s="53">
        <v>5</v>
      </c>
      <c r="C21" s="62" t="s">
        <v>58</v>
      </c>
      <c r="D21" s="64" t="s">
        <v>59</v>
      </c>
      <c r="E21" s="55" t="s">
        <v>48</v>
      </c>
      <c r="F21" s="102"/>
      <c r="G21" s="111" t="s">
        <v>31</v>
      </c>
      <c r="H21" s="75">
        <v>17</v>
      </c>
      <c r="I21" s="36">
        <v>1</v>
      </c>
      <c r="J21" s="37">
        <f t="shared" si="3"/>
        <v>5.8823529411764705E-2</v>
      </c>
      <c r="K21" s="38">
        <f t="shared" ref="K21:K26" si="4">I21</f>
        <v>1</v>
      </c>
      <c r="L21" s="37">
        <f t="shared" ref="L21:L26" si="5">IFERROR(K21/H21,0)</f>
        <v>5.8823529411764705E-2</v>
      </c>
    </row>
    <row r="22" spans="2:17" s="5" customFormat="1" x14ac:dyDescent="0.3">
      <c r="B22" s="53">
        <v>5</v>
      </c>
      <c r="C22" s="56" t="s">
        <v>60</v>
      </c>
      <c r="D22" s="65" t="s">
        <v>61</v>
      </c>
      <c r="E22" s="55" t="s">
        <v>48</v>
      </c>
      <c r="F22" s="102"/>
      <c r="G22" s="111" t="s">
        <v>31</v>
      </c>
      <c r="H22" s="75">
        <v>17</v>
      </c>
      <c r="I22" s="36">
        <v>2</v>
      </c>
      <c r="J22" s="37">
        <f t="shared" si="3"/>
        <v>0.11764705882352941</v>
      </c>
      <c r="K22" s="38">
        <f t="shared" si="4"/>
        <v>2</v>
      </c>
      <c r="L22" s="37">
        <f t="shared" si="5"/>
        <v>0.11764705882352941</v>
      </c>
      <c r="O22" s="9"/>
      <c r="Q22" s="9"/>
    </row>
    <row r="23" spans="2:17" x14ac:dyDescent="0.3">
      <c r="B23" s="53">
        <v>5</v>
      </c>
      <c r="C23" s="56" t="s">
        <v>62</v>
      </c>
      <c r="D23" s="65" t="s">
        <v>85</v>
      </c>
      <c r="E23" s="55" t="s">
        <v>48</v>
      </c>
      <c r="F23" s="102"/>
      <c r="G23" s="111" t="s">
        <v>31</v>
      </c>
      <c r="H23" s="75">
        <v>17</v>
      </c>
      <c r="I23" s="36">
        <v>1</v>
      </c>
      <c r="J23" s="37">
        <f t="shared" si="3"/>
        <v>5.8823529411764705E-2</v>
      </c>
      <c r="K23" s="38">
        <f t="shared" si="4"/>
        <v>1</v>
      </c>
      <c r="L23" s="37">
        <f t="shared" si="5"/>
        <v>5.8823529411764705E-2</v>
      </c>
    </row>
    <row r="24" spans="2:17" x14ac:dyDescent="0.3">
      <c r="B24" s="53">
        <v>5</v>
      </c>
      <c r="C24" s="56" t="s">
        <v>63</v>
      </c>
      <c r="D24" s="65" t="s">
        <v>64</v>
      </c>
      <c r="E24" s="55" t="s">
        <v>48</v>
      </c>
      <c r="F24" s="102"/>
      <c r="G24" s="111" t="s">
        <v>31</v>
      </c>
      <c r="H24" s="75">
        <v>17</v>
      </c>
      <c r="I24" s="36">
        <v>1</v>
      </c>
      <c r="J24" s="37">
        <f t="shared" si="3"/>
        <v>5.8823529411764705E-2</v>
      </c>
      <c r="K24" s="38">
        <f t="shared" si="4"/>
        <v>1</v>
      </c>
      <c r="L24" s="37">
        <f t="shared" si="5"/>
        <v>5.8823529411764705E-2</v>
      </c>
    </row>
    <row r="25" spans="2:17" x14ac:dyDescent="0.3">
      <c r="B25" s="57">
        <v>5</v>
      </c>
      <c r="C25" s="63" t="s">
        <v>65</v>
      </c>
      <c r="D25" s="69" t="s">
        <v>66</v>
      </c>
      <c r="E25" s="109" t="s">
        <v>48</v>
      </c>
      <c r="F25" s="103"/>
      <c r="G25" s="112" t="s">
        <v>31</v>
      </c>
      <c r="H25" s="76">
        <v>17</v>
      </c>
      <c r="I25" s="39">
        <v>1</v>
      </c>
      <c r="J25" s="40">
        <f t="shared" si="3"/>
        <v>5.8823529411764705E-2</v>
      </c>
      <c r="K25" s="41">
        <f t="shared" si="4"/>
        <v>1</v>
      </c>
      <c r="L25" s="40">
        <f t="shared" si="5"/>
        <v>5.8823529411764705E-2</v>
      </c>
    </row>
    <row r="26" spans="2:17" x14ac:dyDescent="0.3">
      <c r="B26" s="71">
        <v>3</v>
      </c>
      <c r="C26" s="52" t="s">
        <v>41</v>
      </c>
      <c r="D26" s="51" t="s">
        <v>42</v>
      </c>
      <c r="E26" s="104" t="s">
        <v>43</v>
      </c>
      <c r="F26" s="101" t="s">
        <v>146</v>
      </c>
      <c r="G26" s="106" t="s">
        <v>98</v>
      </c>
      <c r="H26" s="47">
        <v>15</v>
      </c>
      <c r="I26" s="30">
        <v>1</v>
      </c>
      <c r="J26" s="46">
        <f t="shared" si="3"/>
        <v>6.6666666666666666E-2</v>
      </c>
      <c r="K26" s="47">
        <f t="shared" si="4"/>
        <v>1</v>
      </c>
      <c r="L26" s="46">
        <f t="shared" si="5"/>
        <v>6.6666666666666666E-2</v>
      </c>
    </row>
    <row r="27" spans="2:17" x14ac:dyDescent="0.3">
      <c r="B27" s="72">
        <v>3</v>
      </c>
      <c r="C27" s="56" t="s">
        <v>44</v>
      </c>
      <c r="D27" s="55" t="s">
        <v>45</v>
      </c>
      <c r="E27" s="105" t="s">
        <v>86</v>
      </c>
      <c r="F27" s="102"/>
      <c r="G27" s="107" t="s">
        <v>99</v>
      </c>
      <c r="H27" s="38">
        <v>23</v>
      </c>
      <c r="I27" s="31">
        <v>2</v>
      </c>
      <c r="J27" s="37">
        <f t="shared" si="3"/>
        <v>8.6956521739130432E-2</v>
      </c>
      <c r="K27" s="38">
        <f>I27</f>
        <v>2</v>
      </c>
      <c r="L27" s="37">
        <f>IFERROR(K27/H27,0)</f>
        <v>8.6956521739130432E-2</v>
      </c>
    </row>
    <row r="28" spans="2:17" x14ac:dyDescent="0.3">
      <c r="B28" s="72">
        <v>3</v>
      </c>
      <c r="C28" s="56" t="s">
        <v>46</v>
      </c>
      <c r="D28" s="55" t="s">
        <v>47</v>
      </c>
      <c r="E28" s="105" t="s">
        <v>87</v>
      </c>
      <c r="F28" s="102"/>
      <c r="G28" s="107" t="s">
        <v>100</v>
      </c>
      <c r="H28" s="38">
        <v>23</v>
      </c>
      <c r="I28" s="32">
        <v>2</v>
      </c>
      <c r="J28" s="37">
        <f t="shared" si="3"/>
        <v>8.6956521739130432E-2</v>
      </c>
      <c r="K28" s="38">
        <f>I28</f>
        <v>2</v>
      </c>
      <c r="L28" s="37">
        <f>IFERROR(K28/H28,0)</f>
        <v>8.6956521739130432E-2</v>
      </c>
    </row>
    <row r="29" spans="2:17" x14ac:dyDescent="0.3">
      <c r="B29" s="72">
        <v>3</v>
      </c>
      <c r="C29" s="56" t="s">
        <v>49</v>
      </c>
      <c r="D29" s="55" t="s">
        <v>84</v>
      </c>
      <c r="E29" s="105" t="s">
        <v>88</v>
      </c>
      <c r="F29" s="102"/>
      <c r="G29" s="107" t="s">
        <v>101</v>
      </c>
      <c r="H29" s="38">
        <v>23</v>
      </c>
      <c r="I29" s="31">
        <v>2</v>
      </c>
      <c r="J29" s="37">
        <f t="shared" si="3"/>
        <v>8.6956521739130432E-2</v>
      </c>
      <c r="K29" s="38">
        <f>I29</f>
        <v>2</v>
      </c>
      <c r="L29" s="37">
        <f>IFERROR(K29/H29,0)</f>
        <v>8.6956521739130432E-2</v>
      </c>
    </row>
    <row r="30" spans="2:17" x14ac:dyDescent="0.3">
      <c r="B30" s="72">
        <v>5</v>
      </c>
      <c r="C30" s="56" t="s">
        <v>50</v>
      </c>
      <c r="D30" s="55" t="s">
        <v>51</v>
      </c>
      <c r="E30" s="105" t="s">
        <v>89</v>
      </c>
      <c r="F30" s="102"/>
      <c r="G30" s="107" t="s">
        <v>102</v>
      </c>
      <c r="H30" s="38">
        <v>15</v>
      </c>
      <c r="I30" s="31">
        <v>1</v>
      </c>
      <c r="J30" s="37">
        <f t="shared" si="3"/>
        <v>6.6666666666666666E-2</v>
      </c>
      <c r="K30" s="38">
        <f t="shared" ref="K30:K37" si="6">I30</f>
        <v>1</v>
      </c>
      <c r="L30" s="37">
        <f t="shared" ref="L30:L37" si="7">IFERROR(K30/H30,0)</f>
        <v>6.6666666666666666E-2</v>
      </c>
    </row>
    <row r="31" spans="2:17" x14ac:dyDescent="0.3">
      <c r="B31" s="72">
        <v>5</v>
      </c>
      <c r="C31" s="56" t="s">
        <v>52</v>
      </c>
      <c r="D31" s="55" t="s">
        <v>53</v>
      </c>
      <c r="E31" s="105" t="s">
        <v>90</v>
      </c>
      <c r="F31" s="102"/>
      <c r="G31" s="107" t="s">
        <v>103</v>
      </c>
      <c r="H31" s="38">
        <v>22</v>
      </c>
      <c r="I31" s="31">
        <v>1</v>
      </c>
      <c r="J31" s="37">
        <f t="shared" si="3"/>
        <v>4.5454545454545456E-2</v>
      </c>
      <c r="K31" s="38">
        <f t="shared" si="6"/>
        <v>1</v>
      </c>
      <c r="L31" s="37">
        <f t="shared" si="7"/>
        <v>4.5454545454545456E-2</v>
      </c>
    </row>
    <row r="32" spans="2:17" s="5" customFormat="1" x14ac:dyDescent="0.3">
      <c r="B32" s="72">
        <v>5</v>
      </c>
      <c r="C32" s="56" t="s">
        <v>54</v>
      </c>
      <c r="D32" s="55" t="s">
        <v>55</v>
      </c>
      <c r="E32" s="105" t="s">
        <v>91</v>
      </c>
      <c r="F32" s="102"/>
      <c r="G32" s="107" t="s">
        <v>104</v>
      </c>
      <c r="H32" s="38">
        <v>23</v>
      </c>
      <c r="I32" s="31">
        <v>2</v>
      </c>
      <c r="J32" s="37">
        <f t="shared" si="3"/>
        <v>8.6956521739130432E-2</v>
      </c>
      <c r="K32" s="38">
        <f t="shared" si="6"/>
        <v>2</v>
      </c>
      <c r="L32" s="37">
        <f t="shared" si="7"/>
        <v>8.6956521739130432E-2</v>
      </c>
      <c r="O32" s="9"/>
      <c r="Q32" s="9"/>
    </row>
    <row r="33" spans="2:17" x14ac:dyDescent="0.3">
      <c r="B33" s="72">
        <v>5</v>
      </c>
      <c r="C33" s="56" t="s">
        <v>56</v>
      </c>
      <c r="D33" s="55" t="s">
        <v>57</v>
      </c>
      <c r="E33" s="105" t="s">
        <v>92</v>
      </c>
      <c r="F33" s="102"/>
      <c r="G33" s="107" t="s">
        <v>105</v>
      </c>
      <c r="H33" s="38">
        <v>15</v>
      </c>
      <c r="I33" s="31">
        <v>1</v>
      </c>
      <c r="J33" s="37">
        <f t="shared" si="3"/>
        <v>6.6666666666666666E-2</v>
      </c>
      <c r="K33" s="38">
        <f t="shared" si="6"/>
        <v>1</v>
      </c>
      <c r="L33" s="37">
        <f t="shared" si="7"/>
        <v>6.6666666666666666E-2</v>
      </c>
    </row>
    <row r="34" spans="2:17" x14ac:dyDescent="0.3">
      <c r="B34" s="72">
        <v>5</v>
      </c>
      <c r="C34" s="56" t="s">
        <v>58</v>
      </c>
      <c r="D34" s="55" t="s">
        <v>59</v>
      </c>
      <c r="E34" s="105" t="s">
        <v>93</v>
      </c>
      <c r="F34" s="102"/>
      <c r="G34" s="107" t="s">
        <v>104</v>
      </c>
      <c r="H34" s="38">
        <v>15</v>
      </c>
      <c r="I34" s="31">
        <v>1</v>
      </c>
      <c r="J34" s="37">
        <f t="shared" si="3"/>
        <v>6.6666666666666666E-2</v>
      </c>
      <c r="K34" s="38">
        <f t="shared" si="6"/>
        <v>1</v>
      </c>
      <c r="L34" s="37">
        <f t="shared" si="7"/>
        <v>6.6666666666666666E-2</v>
      </c>
    </row>
    <row r="35" spans="2:17" x14ac:dyDescent="0.3">
      <c r="B35" s="72">
        <v>5</v>
      </c>
      <c r="C35" s="56" t="s">
        <v>60</v>
      </c>
      <c r="D35" s="55" t="s">
        <v>61</v>
      </c>
      <c r="E35" s="55" t="s">
        <v>94</v>
      </c>
      <c r="F35" s="102"/>
      <c r="G35" s="107" t="s">
        <v>106</v>
      </c>
      <c r="H35" s="38">
        <v>15</v>
      </c>
      <c r="I35" s="33">
        <v>1</v>
      </c>
      <c r="J35" s="37">
        <f t="shared" si="3"/>
        <v>6.6666666666666666E-2</v>
      </c>
      <c r="K35" s="38">
        <f t="shared" si="6"/>
        <v>1</v>
      </c>
      <c r="L35" s="37">
        <f t="shared" si="7"/>
        <v>6.6666666666666666E-2</v>
      </c>
    </row>
    <row r="36" spans="2:17" x14ac:dyDescent="0.3">
      <c r="B36" s="72">
        <v>5</v>
      </c>
      <c r="C36" s="56" t="s">
        <v>62</v>
      </c>
      <c r="D36" s="55" t="s">
        <v>85</v>
      </c>
      <c r="E36" s="55" t="s">
        <v>95</v>
      </c>
      <c r="F36" s="102"/>
      <c r="G36" s="107" t="s">
        <v>107</v>
      </c>
      <c r="H36" s="38">
        <v>23</v>
      </c>
      <c r="I36" s="31">
        <v>2</v>
      </c>
      <c r="J36" s="37">
        <f t="shared" si="3"/>
        <v>8.6956521739130432E-2</v>
      </c>
      <c r="K36" s="38">
        <f t="shared" si="6"/>
        <v>2</v>
      </c>
      <c r="L36" s="37">
        <f t="shared" si="7"/>
        <v>8.6956521739130432E-2</v>
      </c>
    </row>
    <row r="37" spans="2:17" x14ac:dyDescent="0.3">
      <c r="B37" s="72">
        <v>5</v>
      </c>
      <c r="C37" s="56" t="s">
        <v>63</v>
      </c>
      <c r="D37" s="55" t="s">
        <v>64</v>
      </c>
      <c r="E37" s="55" t="s">
        <v>96</v>
      </c>
      <c r="F37" s="102"/>
      <c r="G37" s="55" t="s">
        <v>102</v>
      </c>
      <c r="H37" s="56">
        <v>8</v>
      </c>
      <c r="I37" s="32">
        <v>1</v>
      </c>
      <c r="J37" s="66">
        <f t="shared" si="3"/>
        <v>0.125</v>
      </c>
      <c r="K37" s="56">
        <f t="shared" si="6"/>
        <v>1</v>
      </c>
      <c r="L37" s="66">
        <f t="shared" si="7"/>
        <v>0.125</v>
      </c>
    </row>
    <row r="38" spans="2:17" x14ac:dyDescent="0.3">
      <c r="B38" s="73">
        <v>5</v>
      </c>
      <c r="C38" s="60" t="s">
        <v>65</v>
      </c>
      <c r="D38" s="59" t="s">
        <v>66</v>
      </c>
      <c r="E38" s="59" t="s">
        <v>97</v>
      </c>
      <c r="F38" s="103"/>
      <c r="G38" s="59" t="s">
        <v>108</v>
      </c>
      <c r="H38" s="60">
        <v>8</v>
      </c>
      <c r="I38" s="35">
        <v>1</v>
      </c>
      <c r="J38" s="70">
        <f t="shared" si="3"/>
        <v>0.125</v>
      </c>
      <c r="K38" s="60">
        <f>I38</f>
        <v>1</v>
      </c>
      <c r="L38" s="70">
        <f>IFERROR(K38/H38,0)</f>
        <v>0.125</v>
      </c>
    </row>
    <row r="39" spans="2:17" x14ac:dyDescent="0.3">
      <c r="B39" s="49">
        <v>3</v>
      </c>
      <c r="C39" s="50" t="s">
        <v>44</v>
      </c>
      <c r="D39" s="51" t="s">
        <v>45</v>
      </c>
      <c r="E39" s="51" t="s">
        <v>109</v>
      </c>
      <c r="F39" s="84" t="s">
        <v>145</v>
      </c>
      <c r="G39" s="51" t="s">
        <v>120</v>
      </c>
      <c r="H39" s="52">
        <v>19</v>
      </c>
      <c r="I39" s="52">
        <v>2</v>
      </c>
      <c r="J39" s="68">
        <f t="shared" si="3"/>
        <v>0.10526315789473684</v>
      </c>
      <c r="K39" s="52">
        <f>I39</f>
        <v>2</v>
      </c>
      <c r="L39" s="68">
        <f>IFERROR(K39/H39,0)</f>
        <v>0.10526315789473684</v>
      </c>
    </row>
    <row r="40" spans="2:17" x14ac:dyDescent="0.3">
      <c r="B40" s="53">
        <v>3</v>
      </c>
      <c r="C40" s="54" t="s">
        <v>46</v>
      </c>
      <c r="D40" s="55" t="s">
        <v>47</v>
      </c>
      <c r="E40" s="55" t="s">
        <v>110</v>
      </c>
      <c r="F40" s="85"/>
      <c r="G40" s="55" t="s">
        <v>121</v>
      </c>
      <c r="H40" s="56">
        <v>19</v>
      </c>
      <c r="I40" s="56">
        <v>2</v>
      </c>
      <c r="J40" s="66">
        <f t="shared" si="3"/>
        <v>0.10526315789473684</v>
      </c>
      <c r="K40" s="56">
        <f>I40</f>
        <v>2</v>
      </c>
      <c r="L40" s="66">
        <f>IFERROR(K40/H40,0)</f>
        <v>0.10526315789473684</v>
      </c>
    </row>
    <row r="41" spans="2:17" x14ac:dyDescent="0.3">
      <c r="B41" s="53">
        <v>3</v>
      </c>
      <c r="C41" s="54" t="s">
        <v>49</v>
      </c>
      <c r="D41" s="55" t="s">
        <v>84</v>
      </c>
      <c r="E41" s="55" t="s">
        <v>111</v>
      </c>
      <c r="F41" s="85"/>
      <c r="G41" s="55" t="s">
        <v>122</v>
      </c>
      <c r="H41" s="56">
        <v>19</v>
      </c>
      <c r="I41" s="56">
        <v>2</v>
      </c>
      <c r="J41" s="66">
        <f t="shared" si="3"/>
        <v>0.10526315789473684</v>
      </c>
      <c r="K41" s="56">
        <f t="shared" ref="K41:K42" si="8">I41</f>
        <v>2</v>
      </c>
      <c r="L41" s="66">
        <f t="shared" ref="L41:L42" si="9">IFERROR(K41/H41,0)</f>
        <v>0.10526315789473684</v>
      </c>
    </row>
    <row r="42" spans="2:17" s="5" customFormat="1" x14ac:dyDescent="0.3">
      <c r="B42" s="53">
        <v>5</v>
      </c>
      <c r="C42" s="54" t="s">
        <v>50</v>
      </c>
      <c r="D42" s="55" t="s">
        <v>51</v>
      </c>
      <c r="E42" s="55" t="s">
        <v>112</v>
      </c>
      <c r="F42" s="85"/>
      <c r="G42" s="55" t="s">
        <v>123</v>
      </c>
      <c r="H42" s="56">
        <v>19</v>
      </c>
      <c r="I42" s="56">
        <v>2</v>
      </c>
      <c r="J42" s="66">
        <f t="shared" si="3"/>
        <v>0.10526315789473684</v>
      </c>
      <c r="K42" s="56">
        <f t="shared" si="8"/>
        <v>2</v>
      </c>
      <c r="L42" s="66">
        <f t="shared" si="9"/>
        <v>0.10526315789473684</v>
      </c>
      <c r="O42" s="9"/>
      <c r="Q42" s="9"/>
    </row>
    <row r="43" spans="2:17" x14ac:dyDescent="0.3">
      <c r="B43" s="53">
        <v>5</v>
      </c>
      <c r="C43" s="54" t="s">
        <v>52</v>
      </c>
      <c r="D43" s="55" t="s">
        <v>53</v>
      </c>
      <c r="E43" s="55" t="s">
        <v>113</v>
      </c>
      <c r="F43" s="85"/>
      <c r="G43" s="55" t="s">
        <v>124</v>
      </c>
      <c r="H43" s="56">
        <v>19</v>
      </c>
      <c r="I43" s="56">
        <v>2</v>
      </c>
      <c r="J43" s="66">
        <f t="shared" si="3"/>
        <v>0.10526315789473684</v>
      </c>
      <c r="K43" s="56">
        <f>I43</f>
        <v>2</v>
      </c>
      <c r="L43" s="66">
        <f>IFERROR(K43/H43,0)</f>
        <v>0.10526315789473684</v>
      </c>
    </row>
    <row r="44" spans="2:17" x14ac:dyDescent="0.3">
      <c r="B44" s="53">
        <v>5</v>
      </c>
      <c r="C44" s="54" t="s">
        <v>54</v>
      </c>
      <c r="D44" s="55" t="s">
        <v>55</v>
      </c>
      <c r="E44" s="55" t="s">
        <v>114</v>
      </c>
      <c r="F44" s="85"/>
      <c r="G44" s="55" t="s">
        <v>125</v>
      </c>
      <c r="H44" s="56">
        <v>19</v>
      </c>
      <c r="I44" s="56">
        <v>2</v>
      </c>
      <c r="J44" s="66">
        <f t="shared" si="3"/>
        <v>0.10526315789473684</v>
      </c>
      <c r="K44" s="56">
        <f>I44</f>
        <v>2</v>
      </c>
      <c r="L44" s="66">
        <f>IFERROR(K44/H44,0)</f>
        <v>0.10526315789473684</v>
      </c>
    </row>
    <row r="45" spans="2:17" x14ac:dyDescent="0.3">
      <c r="B45" s="53">
        <v>5</v>
      </c>
      <c r="C45" s="54" t="s">
        <v>56</v>
      </c>
      <c r="D45" s="55" t="s">
        <v>57</v>
      </c>
      <c r="E45" s="55" t="s">
        <v>115</v>
      </c>
      <c r="F45" s="85"/>
      <c r="G45" s="55" t="s">
        <v>126</v>
      </c>
      <c r="H45" s="56">
        <v>19</v>
      </c>
      <c r="I45" s="56">
        <v>1</v>
      </c>
      <c r="J45" s="66">
        <f t="shared" si="3"/>
        <v>5.2631578947368418E-2</v>
      </c>
      <c r="K45" s="56">
        <f>I45</f>
        <v>1</v>
      </c>
      <c r="L45" s="66">
        <f>IFERROR(K45/H45,0)</f>
        <v>5.2631578947368418E-2</v>
      </c>
    </row>
    <row r="46" spans="2:17" x14ac:dyDescent="0.3">
      <c r="B46" s="53">
        <v>5</v>
      </c>
      <c r="C46" s="54" t="s">
        <v>58</v>
      </c>
      <c r="D46" s="55" t="s">
        <v>59</v>
      </c>
      <c r="E46" s="55" t="s">
        <v>114</v>
      </c>
      <c r="F46" s="85"/>
      <c r="G46" s="55" t="s">
        <v>125</v>
      </c>
      <c r="H46" s="56">
        <v>19</v>
      </c>
      <c r="I46" s="56">
        <v>1</v>
      </c>
      <c r="J46" s="66">
        <f t="shared" si="3"/>
        <v>5.2631578947368418E-2</v>
      </c>
      <c r="K46" s="56">
        <f t="shared" ref="K46:K51" si="10">I46</f>
        <v>1</v>
      </c>
      <c r="L46" s="66">
        <f t="shared" ref="L46:L51" si="11">IFERROR(K46/H46,0)</f>
        <v>5.2631578947368418E-2</v>
      </c>
    </row>
    <row r="47" spans="2:17" x14ac:dyDescent="0.3">
      <c r="B47" s="53">
        <v>5</v>
      </c>
      <c r="C47" s="54" t="s">
        <v>60</v>
      </c>
      <c r="D47" s="55" t="s">
        <v>61</v>
      </c>
      <c r="E47" s="55" t="s">
        <v>116</v>
      </c>
      <c r="F47" s="85"/>
      <c r="G47" s="55" t="s">
        <v>127</v>
      </c>
      <c r="H47" s="56">
        <v>19</v>
      </c>
      <c r="I47" s="56">
        <v>1</v>
      </c>
      <c r="J47" s="66">
        <f t="shared" si="3"/>
        <v>5.2631578947368418E-2</v>
      </c>
      <c r="K47" s="56">
        <f t="shared" si="10"/>
        <v>1</v>
      </c>
      <c r="L47" s="66">
        <f t="shared" si="11"/>
        <v>5.2631578947368418E-2</v>
      </c>
    </row>
    <row r="48" spans="2:17" s="5" customFormat="1" x14ac:dyDescent="0.3">
      <c r="B48" s="53">
        <v>5</v>
      </c>
      <c r="C48" s="54" t="s">
        <v>62</v>
      </c>
      <c r="D48" s="55" t="s">
        <v>85</v>
      </c>
      <c r="E48" s="55" t="s">
        <v>117</v>
      </c>
      <c r="F48" s="85"/>
      <c r="G48" s="55" t="s">
        <v>128</v>
      </c>
      <c r="H48" s="56">
        <v>19</v>
      </c>
      <c r="I48" s="56">
        <v>1</v>
      </c>
      <c r="J48" s="66">
        <f t="shared" si="3"/>
        <v>5.2631578947368418E-2</v>
      </c>
      <c r="K48" s="56">
        <f t="shared" si="10"/>
        <v>1</v>
      </c>
      <c r="L48" s="66">
        <f t="shared" si="11"/>
        <v>5.2631578947368418E-2</v>
      </c>
      <c r="O48" s="9"/>
      <c r="Q48" s="9"/>
    </row>
    <row r="49" spans="2:17" x14ac:dyDescent="0.3">
      <c r="B49" s="53">
        <v>5</v>
      </c>
      <c r="C49" s="54" t="s">
        <v>63</v>
      </c>
      <c r="D49" s="55" t="s">
        <v>64</v>
      </c>
      <c r="E49" s="55" t="s">
        <v>118</v>
      </c>
      <c r="F49" s="85"/>
      <c r="G49" s="55" t="s">
        <v>129</v>
      </c>
      <c r="H49" s="56">
        <v>19</v>
      </c>
      <c r="I49" s="56">
        <v>1</v>
      </c>
      <c r="J49" s="66">
        <f t="shared" si="3"/>
        <v>5.2631578947368418E-2</v>
      </c>
      <c r="K49" s="56">
        <f t="shared" si="10"/>
        <v>1</v>
      </c>
      <c r="L49" s="66">
        <f t="shared" si="11"/>
        <v>5.2631578947368418E-2</v>
      </c>
    </row>
    <row r="50" spans="2:17" x14ac:dyDescent="0.3">
      <c r="B50" s="57">
        <v>5</v>
      </c>
      <c r="C50" s="58" t="s">
        <v>65</v>
      </c>
      <c r="D50" s="59" t="s">
        <v>66</v>
      </c>
      <c r="E50" s="59" t="s">
        <v>119</v>
      </c>
      <c r="F50" s="86"/>
      <c r="G50" s="59" t="s">
        <v>130</v>
      </c>
      <c r="H50" s="60">
        <v>19</v>
      </c>
      <c r="I50" s="60">
        <v>1</v>
      </c>
      <c r="J50" s="70">
        <f t="shared" si="3"/>
        <v>5.2631578947368418E-2</v>
      </c>
      <c r="K50" s="60">
        <f t="shared" si="10"/>
        <v>1</v>
      </c>
      <c r="L50" s="70">
        <f t="shared" si="11"/>
        <v>5.2631578947368418E-2</v>
      </c>
    </row>
    <row r="51" spans="2:17" x14ac:dyDescent="0.3">
      <c r="B51" s="49">
        <v>1</v>
      </c>
      <c r="C51" s="50" t="s">
        <v>131</v>
      </c>
      <c r="D51" s="51" t="s">
        <v>132</v>
      </c>
      <c r="E51" s="51" t="s">
        <v>133</v>
      </c>
      <c r="F51" s="101" t="s">
        <v>147</v>
      </c>
      <c r="G51" s="113" t="s">
        <v>31</v>
      </c>
      <c r="H51" s="47">
        <v>25</v>
      </c>
      <c r="I51" s="45">
        <v>1</v>
      </c>
      <c r="J51" s="46">
        <f t="shared" si="3"/>
        <v>0.04</v>
      </c>
      <c r="K51" s="47">
        <f t="shared" si="10"/>
        <v>1</v>
      </c>
      <c r="L51" s="46">
        <f t="shared" si="11"/>
        <v>0.04</v>
      </c>
    </row>
    <row r="52" spans="2:17" x14ac:dyDescent="0.3">
      <c r="B52" s="53">
        <v>1</v>
      </c>
      <c r="C52" s="54" t="s">
        <v>69</v>
      </c>
      <c r="D52" s="55" t="s">
        <v>74</v>
      </c>
      <c r="E52" s="55" t="s">
        <v>43</v>
      </c>
      <c r="F52" s="102"/>
      <c r="G52" s="111" t="s">
        <v>31</v>
      </c>
      <c r="H52" s="38">
        <v>25</v>
      </c>
      <c r="I52" s="36">
        <v>2</v>
      </c>
      <c r="J52" s="37">
        <f t="shared" si="3"/>
        <v>0.08</v>
      </c>
      <c r="K52" s="38">
        <f>I52</f>
        <v>2</v>
      </c>
      <c r="L52" s="37">
        <f>IFERROR(K52/H52,0)</f>
        <v>0.08</v>
      </c>
    </row>
    <row r="53" spans="2:17" x14ac:dyDescent="0.3">
      <c r="B53" s="53">
        <v>1</v>
      </c>
      <c r="C53" s="54" t="s">
        <v>70</v>
      </c>
      <c r="D53" s="55" t="s">
        <v>75</v>
      </c>
      <c r="E53" s="55" t="s">
        <v>82</v>
      </c>
      <c r="F53" s="102"/>
      <c r="G53" s="111" t="s">
        <v>31</v>
      </c>
      <c r="H53" s="38">
        <v>25</v>
      </c>
      <c r="I53" s="36">
        <v>3</v>
      </c>
      <c r="J53" s="37">
        <f t="shared" si="3"/>
        <v>0.12</v>
      </c>
      <c r="K53" s="38">
        <f>I53</f>
        <v>3</v>
      </c>
      <c r="L53" s="37">
        <f>IFERROR(K53/H53,0)</f>
        <v>0.12</v>
      </c>
    </row>
    <row r="54" spans="2:17" x14ac:dyDescent="0.3">
      <c r="B54" s="53">
        <v>1</v>
      </c>
      <c r="C54" s="54" t="s">
        <v>134</v>
      </c>
      <c r="D54" s="55" t="s">
        <v>135</v>
      </c>
      <c r="E54" s="55" t="s">
        <v>136</v>
      </c>
      <c r="F54" s="102"/>
      <c r="G54" s="111" t="s">
        <v>31</v>
      </c>
      <c r="H54" s="38">
        <v>25</v>
      </c>
      <c r="I54" s="36">
        <v>2</v>
      </c>
      <c r="J54" s="37">
        <f t="shared" si="3"/>
        <v>0.08</v>
      </c>
      <c r="K54" s="38">
        <f>I54</f>
        <v>2</v>
      </c>
      <c r="L54" s="37">
        <f>IFERROR(K54/H54,0)</f>
        <v>0.08</v>
      </c>
    </row>
    <row r="55" spans="2:17" x14ac:dyDescent="0.3">
      <c r="B55" s="53">
        <v>1</v>
      </c>
      <c r="C55" s="54" t="s">
        <v>71</v>
      </c>
      <c r="D55" s="55" t="s">
        <v>76</v>
      </c>
      <c r="E55" s="55" t="s">
        <v>79</v>
      </c>
      <c r="F55" s="102"/>
      <c r="G55" s="111" t="s">
        <v>31</v>
      </c>
      <c r="H55" s="38">
        <v>25</v>
      </c>
      <c r="I55" s="36">
        <v>1</v>
      </c>
      <c r="J55" s="37">
        <f t="shared" si="3"/>
        <v>0.04</v>
      </c>
      <c r="K55" s="38">
        <f t="shared" ref="K55:K59" si="12">I55</f>
        <v>1</v>
      </c>
      <c r="L55" s="37">
        <f t="shared" ref="L55:L59" si="13">IFERROR(K55/H55,0)</f>
        <v>0.04</v>
      </c>
    </row>
    <row r="56" spans="2:17" x14ac:dyDescent="0.3">
      <c r="B56" s="53">
        <v>1</v>
      </c>
      <c r="C56" s="54" t="s">
        <v>137</v>
      </c>
      <c r="D56" s="55" t="s">
        <v>138</v>
      </c>
      <c r="E56" s="55" t="s">
        <v>139</v>
      </c>
      <c r="F56" s="102"/>
      <c r="G56" s="111" t="s">
        <v>31</v>
      </c>
      <c r="H56" s="38">
        <v>26</v>
      </c>
      <c r="I56" s="36">
        <v>1</v>
      </c>
      <c r="J56" s="37">
        <f t="shared" si="3"/>
        <v>3.8461538461538464E-2</v>
      </c>
      <c r="K56" s="38">
        <f t="shared" si="12"/>
        <v>1</v>
      </c>
      <c r="L56" s="37">
        <f t="shared" si="13"/>
        <v>3.8461538461538464E-2</v>
      </c>
    </row>
    <row r="57" spans="2:17" x14ac:dyDescent="0.3">
      <c r="B57" s="53">
        <v>1</v>
      </c>
      <c r="C57" s="54" t="s">
        <v>72</v>
      </c>
      <c r="D57" s="55" t="s">
        <v>77</v>
      </c>
      <c r="E57" s="55" t="s">
        <v>80</v>
      </c>
      <c r="F57" s="102"/>
      <c r="G57" s="111" t="s">
        <v>31</v>
      </c>
      <c r="H57" s="38">
        <v>26</v>
      </c>
      <c r="I57" s="36">
        <v>4</v>
      </c>
      <c r="J57" s="37">
        <f t="shared" si="3"/>
        <v>0.15384615384615385</v>
      </c>
      <c r="K57" s="38">
        <f t="shared" si="12"/>
        <v>4</v>
      </c>
      <c r="L57" s="37">
        <f t="shared" si="13"/>
        <v>0.15384615384615385</v>
      </c>
    </row>
    <row r="58" spans="2:17" s="5" customFormat="1" x14ac:dyDescent="0.3">
      <c r="B58" s="53">
        <v>1</v>
      </c>
      <c r="C58" s="54" t="s">
        <v>73</v>
      </c>
      <c r="D58" s="55" t="s">
        <v>78</v>
      </c>
      <c r="E58" s="55" t="s">
        <v>81</v>
      </c>
      <c r="F58" s="102"/>
      <c r="G58" s="111" t="s">
        <v>31</v>
      </c>
      <c r="H58" s="38">
        <v>26</v>
      </c>
      <c r="I58" s="36">
        <v>2</v>
      </c>
      <c r="J58" s="37">
        <f t="shared" si="3"/>
        <v>7.6923076923076927E-2</v>
      </c>
      <c r="K58" s="38">
        <f t="shared" si="12"/>
        <v>2</v>
      </c>
      <c r="L58" s="37">
        <f t="shared" si="13"/>
        <v>7.6923076923076927E-2</v>
      </c>
      <c r="O58" s="9"/>
      <c r="Q58" s="9"/>
    </row>
    <row r="59" spans="2:17" x14ac:dyDescent="0.3">
      <c r="B59" s="57">
        <v>1</v>
      </c>
      <c r="C59" s="58" t="s">
        <v>140</v>
      </c>
      <c r="D59" s="59" t="s">
        <v>141</v>
      </c>
      <c r="E59" s="59" t="s">
        <v>142</v>
      </c>
      <c r="F59" s="103"/>
      <c r="G59" s="112" t="s">
        <v>31</v>
      </c>
      <c r="H59" s="41">
        <v>25</v>
      </c>
      <c r="I59" s="39">
        <v>2</v>
      </c>
      <c r="J59" s="40">
        <f t="shared" si="3"/>
        <v>0.08</v>
      </c>
      <c r="K59" s="41">
        <f t="shared" si="12"/>
        <v>2</v>
      </c>
      <c r="L59" s="40">
        <f t="shared" si="13"/>
        <v>0.08</v>
      </c>
    </row>
    <row r="60" spans="2:17" s="5" customFormat="1" ht="23.25" customHeight="1" x14ac:dyDescent="0.3">
      <c r="B60" s="4"/>
      <c r="C60" s="4"/>
      <c r="D60" s="4"/>
      <c r="E60" s="4"/>
      <c r="F60" s="4"/>
      <c r="G60" s="7"/>
      <c r="H60" s="87" t="s">
        <v>32</v>
      </c>
      <c r="I60" s="87"/>
      <c r="J60" s="87"/>
      <c r="K60" s="87"/>
      <c r="L60" s="87"/>
      <c r="O60"/>
      <c r="Q60"/>
    </row>
    <row r="61" spans="2:17" s="5" customFormat="1" ht="16.5" customHeight="1" x14ac:dyDescent="0.3">
      <c r="B61" s="4"/>
      <c r="C61" s="4"/>
      <c r="H61" s="10">
        <f>+SUM(H13:H59)</f>
        <v>912</v>
      </c>
      <c r="I61" s="10">
        <f>+SUM(I13:I59)</f>
        <v>72</v>
      </c>
      <c r="J61" s="11">
        <f>IFERROR(I61/H61,0)</f>
        <v>7.8947368421052627E-2</v>
      </c>
      <c r="K61" s="48">
        <f>+SUM(K13:K59)</f>
        <v>72</v>
      </c>
      <c r="L61" s="11">
        <f>IFERROR(K61/H61,0)</f>
        <v>7.8947368421052627E-2</v>
      </c>
      <c r="O61"/>
      <c r="Q61"/>
    </row>
    <row r="62" spans="2:17" s="5" customFormat="1" ht="18.75" customHeight="1" x14ac:dyDescent="0.3">
      <c r="B62" s="4"/>
      <c r="C62" s="4"/>
      <c r="I62" s="18"/>
      <c r="J62" s="19"/>
      <c r="K62" s="20"/>
      <c r="L62" s="19"/>
      <c r="O62"/>
      <c r="Q62"/>
    </row>
    <row r="63" spans="2:17" s="5" customFormat="1" ht="20.25" customHeight="1" x14ac:dyDescent="0.3">
      <c r="B63" s="4"/>
      <c r="C63" s="4"/>
      <c r="I63" s="18"/>
      <c r="J63" s="19"/>
      <c r="K63" s="20"/>
      <c r="L63" s="19"/>
      <c r="O63"/>
      <c r="Q63"/>
    </row>
    <row r="64" spans="2:17" s="5" customFormat="1" ht="81.75" customHeight="1" x14ac:dyDescent="0.3">
      <c r="B64" s="88" t="s">
        <v>33</v>
      </c>
      <c r="C64" s="89"/>
      <c r="D64" s="92" t="s">
        <v>143</v>
      </c>
      <c r="E64" s="93"/>
      <c r="F64" s="93"/>
      <c r="G64" s="93"/>
      <c r="H64" s="93"/>
      <c r="I64" s="93"/>
      <c r="J64" s="93"/>
      <c r="K64" s="93"/>
      <c r="L64" s="94"/>
      <c r="O64"/>
      <c r="Q64"/>
    </row>
    <row r="65" spans="2:17" s="5" customFormat="1" ht="116.25" customHeight="1" x14ac:dyDescent="0.3">
      <c r="B65" s="90"/>
      <c r="C65" s="91"/>
      <c r="D65" s="92" t="s">
        <v>144</v>
      </c>
      <c r="E65" s="93"/>
      <c r="F65" s="93"/>
      <c r="G65" s="93"/>
      <c r="H65" s="93"/>
      <c r="I65" s="93"/>
      <c r="J65" s="93"/>
      <c r="K65" s="93"/>
      <c r="L65" s="94"/>
      <c r="O65"/>
      <c r="Q65"/>
    </row>
    <row r="66" spans="2:17" x14ac:dyDescent="0.3">
      <c r="B66" s="80" t="s">
        <v>35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2:17" ht="15" customHeight="1" x14ac:dyDescent="0.3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2:17" x14ac:dyDescent="0.3">
      <c r="B68" s="12" t="s">
        <v>36</v>
      </c>
      <c r="C68" s="13"/>
      <c r="D68" s="13"/>
      <c r="E68" s="13"/>
      <c r="F68" s="13"/>
      <c r="G68" s="13"/>
      <c r="H68" s="13"/>
      <c r="I68" s="13"/>
      <c r="J68" s="13"/>
      <c r="K68" s="13"/>
      <c r="L68" s="14"/>
    </row>
    <row r="69" spans="2:17" ht="20.100000000000001" customHeight="1" x14ac:dyDescent="0.4">
      <c r="B69" s="15" t="s">
        <v>37</v>
      </c>
      <c r="C69" s="16"/>
      <c r="D69" s="81" t="s">
        <v>34</v>
      </c>
      <c r="E69" s="81"/>
      <c r="F69" s="81"/>
      <c r="G69" s="81"/>
      <c r="H69" s="81"/>
      <c r="I69" s="81"/>
      <c r="J69" s="81"/>
      <c r="K69" s="81"/>
      <c r="L69" s="81"/>
    </row>
    <row r="70" spans="2:17" ht="20.100000000000001" customHeight="1" x14ac:dyDescent="0.4">
      <c r="B70" s="15" t="s">
        <v>38</v>
      </c>
      <c r="C70" s="16"/>
      <c r="D70" s="81"/>
      <c r="E70" s="81"/>
      <c r="F70" s="81"/>
      <c r="G70" s="81"/>
      <c r="H70" s="81"/>
      <c r="I70" s="81"/>
      <c r="J70" s="81"/>
      <c r="K70" s="81"/>
      <c r="L70" s="81"/>
    </row>
    <row r="71" spans="2:17" x14ac:dyDescent="0.3">
      <c r="B71" s="82" t="s">
        <v>35</v>
      </c>
      <c r="C71" s="82"/>
      <c r="D71" s="82"/>
      <c r="E71" s="82"/>
      <c r="F71" s="82"/>
      <c r="G71" s="82"/>
      <c r="H71" s="82"/>
      <c r="I71" s="82"/>
      <c r="J71" s="82"/>
      <c r="K71" s="82"/>
      <c r="L71" s="82"/>
    </row>
    <row r="72" spans="2:17" x14ac:dyDescent="0.3"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</row>
    <row r="73" spans="2:17" ht="19.5" customHeight="1" x14ac:dyDescent="0.3">
      <c r="B73" s="12" t="s">
        <v>39</v>
      </c>
      <c r="C73" s="13"/>
      <c r="D73" s="13"/>
      <c r="E73" s="13"/>
      <c r="F73" s="13"/>
      <c r="G73" s="13"/>
      <c r="H73" s="13"/>
      <c r="I73" s="13"/>
      <c r="J73" s="13"/>
      <c r="K73" s="13"/>
      <c r="L73" s="14"/>
    </row>
    <row r="74" spans="2:17" ht="23.85" customHeight="1" x14ac:dyDescent="0.4">
      <c r="B74" s="15" t="s">
        <v>37</v>
      </c>
      <c r="C74" s="16"/>
      <c r="D74" s="81" t="s">
        <v>34</v>
      </c>
      <c r="E74" s="81"/>
      <c r="F74" s="81"/>
      <c r="G74" s="81"/>
      <c r="H74" s="81"/>
      <c r="I74" s="81"/>
      <c r="J74" s="81"/>
      <c r="K74" s="81"/>
      <c r="L74" s="81"/>
    </row>
    <row r="75" spans="2:17" ht="24.6" x14ac:dyDescent="0.4">
      <c r="B75" s="15" t="s">
        <v>38</v>
      </c>
      <c r="C75" s="16"/>
      <c r="D75" s="81"/>
      <c r="E75" s="81"/>
      <c r="F75" s="81"/>
      <c r="G75" s="81"/>
      <c r="H75" s="81"/>
      <c r="I75" s="81"/>
      <c r="J75" s="81"/>
      <c r="K75" s="81"/>
      <c r="L75" s="81"/>
    </row>
    <row r="78" spans="2:17" x14ac:dyDescent="0.3">
      <c r="B78" s="83"/>
      <c r="C78" s="83"/>
      <c r="D78" s="83"/>
      <c r="I78" s="83"/>
      <c r="J78" s="83"/>
      <c r="K78" s="83"/>
    </row>
    <row r="79" spans="2:17" x14ac:dyDescent="0.3">
      <c r="B79" s="4" t="s">
        <v>40</v>
      </c>
      <c r="C79" s="78"/>
      <c r="D79" s="78"/>
      <c r="I79" s="79" t="s">
        <v>174</v>
      </c>
      <c r="J79" s="79"/>
      <c r="K79" s="79"/>
    </row>
    <row r="106" spans="1:18" s="1" customFormat="1" hidden="1" x14ac:dyDescent="0.3">
      <c r="A106" t="s">
        <v>0</v>
      </c>
      <c r="M106" s="2"/>
      <c r="N106" s="2"/>
      <c r="O106"/>
      <c r="P106" s="2"/>
      <c r="Q106"/>
      <c r="R106" s="2"/>
    </row>
    <row r="107" spans="1:18" s="1" customFormat="1" hidden="1" x14ac:dyDescent="0.3">
      <c r="A107" t="s">
        <v>2</v>
      </c>
      <c r="M107" s="2"/>
      <c r="N107" s="2"/>
      <c r="O107"/>
      <c r="P107" s="2"/>
      <c r="Q107"/>
      <c r="R107" s="2"/>
    </row>
    <row r="108" spans="1:18" s="1" customFormat="1" hidden="1" x14ac:dyDescent="0.3">
      <c r="A108" t="s">
        <v>6</v>
      </c>
      <c r="M108" s="2"/>
      <c r="N108" s="2"/>
      <c r="O108"/>
      <c r="P108" s="2"/>
      <c r="Q108"/>
      <c r="R108" s="2"/>
    </row>
    <row r="109" spans="1:18" s="1" customFormat="1" hidden="1" x14ac:dyDescent="0.3">
      <c r="A109" t="s">
        <v>8</v>
      </c>
      <c r="M109" s="2"/>
      <c r="N109" s="2"/>
      <c r="O109"/>
      <c r="P109" s="2"/>
      <c r="Q109"/>
      <c r="R109" s="2"/>
    </row>
    <row r="110" spans="1:18" s="1" customFormat="1" hidden="1" x14ac:dyDescent="0.3">
      <c r="A110" t="s">
        <v>9</v>
      </c>
      <c r="M110" s="2"/>
      <c r="N110" s="2"/>
      <c r="O110"/>
      <c r="P110" s="2"/>
      <c r="Q110"/>
      <c r="R110" s="2"/>
    </row>
    <row r="111" spans="1:18" s="1" customFormat="1" hidden="1" x14ac:dyDescent="0.3">
      <c r="A111" t="s">
        <v>10</v>
      </c>
      <c r="B111" s="2"/>
      <c r="M111" s="2"/>
      <c r="N111" s="2"/>
      <c r="O111"/>
      <c r="P111" s="2"/>
      <c r="Q111"/>
      <c r="R111" s="2"/>
    </row>
    <row r="112" spans="1:18" s="1" customFormat="1" hidden="1" x14ac:dyDescent="0.3">
      <c r="A112" t="s">
        <v>11</v>
      </c>
      <c r="B112" s="2"/>
      <c r="M112" s="2"/>
      <c r="N112" s="2"/>
      <c r="O112"/>
      <c r="P112" s="2"/>
      <c r="Q112"/>
      <c r="R112" s="2"/>
    </row>
    <row r="113" spans="1:18" s="1" customFormat="1" hidden="1" x14ac:dyDescent="0.3">
      <c r="A113" t="s">
        <v>13</v>
      </c>
      <c r="B113" s="2"/>
      <c r="M113" s="2"/>
      <c r="N113" s="2"/>
      <c r="O113"/>
      <c r="P113" s="2"/>
      <c r="Q113"/>
      <c r="R113" s="2"/>
    </row>
    <row r="114" spans="1:18" s="1" customFormat="1" hidden="1" x14ac:dyDescent="0.3">
      <c r="A114" t="s">
        <v>14</v>
      </c>
      <c r="B114" s="5"/>
      <c r="M114" s="2"/>
      <c r="N114" s="2"/>
      <c r="O114"/>
      <c r="P114" s="2"/>
      <c r="Q114"/>
      <c r="R114" s="2"/>
    </row>
    <row r="115" spans="1:18" s="1" customFormat="1" hidden="1" x14ac:dyDescent="0.3">
      <c r="A115" t="s">
        <v>16</v>
      </c>
      <c r="B115" s="2"/>
      <c r="M115" s="2"/>
      <c r="N115" s="2"/>
      <c r="O115"/>
      <c r="P115" s="2"/>
      <c r="Q115"/>
      <c r="R115" s="2"/>
    </row>
    <row r="116" spans="1:18" s="1" customFormat="1" hidden="1" x14ac:dyDescent="0.3">
      <c r="A116" t="s">
        <v>17</v>
      </c>
      <c r="B116" s="5"/>
      <c r="M116" s="2"/>
      <c r="N116" s="2"/>
      <c r="O116"/>
      <c r="P116" s="2"/>
      <c r="Q116"/>
      <c r="R116" s="2"/>
    </row>
    <row r="117" spans="1:18" s="1" customFormat="1" hidden="1" x14ac:dyDescent="0.3">
      <c r="A117" t="s">
        <v>21</v>
      </c>
      <c r="B117" s="5"/>
      <c r="M117" s="2"/>
      <c r="N117" s="2"/>
      <c r="O117"/>
      <c r="P117" s="2"/>
      <c r="Q117"/>
      <c r="R117" s="2"/>
    </row>
    <row r="118" spans="1:18" s="1" customFormat="1" hidden="1" x14ac:dyDescent="0.3">
      <c r="A118" t="s">
        <v>30</v>
      </c>
      <c r="B118" s="5"/>
      <c r="M118" s="2"/>
      <c r="N118" s="2"/>
      <c r="O118"/>
      <c r="P118" s="2"/>
      <c r="Q118"/>
      <c r="R118" s="2"/>
    </row>
    <row r="119" spans="1:18" x14ac:dyDescent="0.3">
      <c r="B119" s="5"/>
    </row>
    <row r="120" spans="1:18" x14ac:dyDescent="0.3">
      <c r="B120" s="5"/>
    </row>
    <row r="121" spans="1:18" x14ac:dyDescent="0.3">
      <c r="B121" s="2"/>
    </row>
    <row r="122" spans="1:18" x14ac:dyDescent="0.3">
      <c r="B122" s="2"/>
    </row>
    <row r="123" spans="1:18" x14ac:dyDescent="0.3">
      <c r="B123" s="2"/>
    </row>
  </sheetData>
  <sheetProtection formatCells="0" formatColumns="0" formatRows="0" insertColumns="0" insertRows="0" insertHyperlinks="0" deleteColumns="0" deleteRows="0" sort="0" autoFilter="0" pivotTables="0"/>
  <mergeCells count="26">
    <mergeCell ref="F26:F38"/>
    <mergeCell ref="F39:F50"/>
    <mergeCell ref="F51:F59"/>
    <mergeCell ref="B2:L2"/>
    <mergeCell ref="B3:D3"/>
    <mergeCell ref="E3:I3"/>
    <mergeCell ref="J3:L3"/>
    <mergeCell ref="B5:C5"/>
    <mergeCell ref="B7:C7"/>
    <mergeCell ref="B9:C9"/>
    <mergeCell ref="B11:H11"/>
    <mergeCell ref="I11:J11"/>
    <mergeCell ref="K11:L11"/>
    <mergeCell ref="F13:F25"/>
    <mergeCell ref="C79:D79"/>
    <mergeCell ref="I79:K79"/>
    <mergeCell ref="B66:L67"/>
    <mergeCell ref="D69:L70"/>
    <mergeCell ref="B64:C65"/>
    <mergeCell ref="D64:L64"/>
    <mergeCell ref="D65:L65"/>
    <mergeCell ref="H60:L60"/>
    <mergeCell ref="B71:L72"/>
    <mergeCell ref="D74:L75"/>
    <mergeCell ref="B78:D78"/>
    <mergeCell ref="I78:K78"/>
  </mergeCells>
  <conditionalFormatting sqref="I61">
    <cfRule type="cellIs" dxfId="5" priority="27" operator="greaterThan">
      <formula>350</formula>
    </cfRule>
  </conditionalFormatting>
  <conditionalFormatting sqref="K61">
    <cfRule type="cellIs" dxfId="4" priority="26" operator="greaterThan">
      <formula>350</formula>
    </cfRule>
  </conditionalFormatting>
  <conditionalFormatting sqref="L18:L36 L51:L59">
    <cfRule type="cellIs" dxfId="3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I52:I59 I26:I38" xr:uid="{00000000-0002-0000-0000-000000000000}">
      <formula1>0</formula1>
      <formula2>30</formula2>
    </dataValidation>
    <dataValidation type="list" allowBlank="1" showInputMessage="1" showErrorMessage="1" sqref="D7" xr:uid="{00000000-0002-0000-0000-000001000000}">
      <formula1>$A$107:$A$118</formula1>
    </dataValidation>
    <dataValidation type="list" allowBlank="1" showInputMessage="1" showErrorMessage="1" sqref="E7:H8 D8" xr:uid="{00000000-0002-0000-0000-000002000000}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H61:I61 K61 I39:I51 H13:H59 I13:I25" xr:uid="{00000000-0002-0000-0000-000003000000}">
      <formula1>0</formula1>
      <formula2>366</formula2>
    </dataValidation>
  </dataValidations>
  <pageMargins left="0.7" right="0.7" top="0.75" bottom="0.75" header="0.3" footer="0.3"/>
  <pageSetup scale="1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3"/>
  <sheetViews>
    <sheetView showGridLines="0" tabSelected="1" view="pageBreakPreview" zoomScaleNormal="80" zoomScaleSheetLayoutView="100" workbookViewId="0">
      <selection activeCell="B2" sqref="B2:L2"/>
    </sheetView>
  </sheetViews>
  <sheetFormatPr baseColWidth="10" defaultColWidth="8.6640625" defaultRowHeight="14.4" x14ac:dyDescent="0.3"/>
  <cols>
    <col min="1" max="1" width="4.44140625" style="2" customWidth="1"/>
    <col min="2" max="2" width="9.33203125" style="1" customWidth="1"/>
    <col min="3" max="3" width="7.33203125" style="1" customWidth="1"/>
    <col min="4" max="4" width="43.109375" style="1" customWidth="1"/>
    <col min="5" max="5" width="14.109375" style="1" bestFit="1" customWidth="1"/>
    <col min="6" max="6" width="14.109375" style="1" customWidth="1"/>
    <col min="7" max="7" width="13.44140625" style="1" customWidth="1"/>
    <col min="8" max="8" width="13.6640625" style="1" customWidth="1"/>
    <col min="9" max="9" width="13.44140625" style="1" customWidth="1"/>
    <col min="10" max="10" width="10.44140625" style="1" customWidth="1"/>
    <col min="11" max="11" width="12.44140625" style="1" customWidth="1"/>
    <col min="12" max="12" width="12.33203125" style="1" customWidth="1"/>
    <col min="13" max="13" width="6.6640625" style="2" customWidth="1"/>
    <col min="14" max="14" width="16.44140625" style="2" customWidth="1"/>
    <col min="16" max="16" width="16.44140625" style="2" customWidth="1"/>
    <col min="17" max="17" width="0" hidden="1" customWidth="1"/>
    <col min="18" max="18" width="16.44140625" style="2" customWidth="1"/>
    <col min="19" max="16384" width="8.6640625" style="2"/>
  </cols>
  <sheetData>
    <row r="1" spans="2:17" x14ac:dyDescent="0.3">
      <c r="Q1" t="s">
        <v>0</v>
      </c>
    </row>
    <row r="2" spans="2:17" ht="49.5" customHeight="1" x14ac:dyDescent="0.3">
      <c r="B2" s="95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Q2" t="s">
        <v>2</v>
      </c>
    </row>
    <row r="3" spans="2:17" ht="18.75" customHeight="1" x14ac:dyDescent="0.3">
      <c r="B3" s="96" t="s">
        <v>3</v>
      </c>
      <c r="C3" s="97"/>
      <c r="D3" s="97"/>
      <c r="E3" s="97" t="s">
        <v>4</v>
      </c>
      <c r="F3" s="97"/>
      <c r="G3" s="97"/>
      <c r="H3" s="97"/>
      <c r="I3" s="97"/>
      <c r="J3" s="97" t="s">
        <v>5</v>
      </c>
      <c r="K3" s="97"/>
      <c r="L3" s="98"/>
    </row>
    <row r="4" spans="2:17" x14ac:dyDescent="0.3">
      <c r="B4" s="21"/>
      <c r="C4" s="3"/>
      <c r="L4" s="22"/>
      <c r="Q4" t="s">
        <v>6</v>
      </c>
    </row>
    <row r="5" spans="2:17" s="5" customFormat="1" ht="27.6" customHeight="1" x14ac:dyDescent="0.3">
      <c r="B5" s="99" t="s">
        <v>7</v>
      </c>
      <c r="C5" s="99"/>
      <c r="D5" s="17">
        <v>90600752</v>
      </c>
      <c r="E5" s="18"/>
      <c r="F5" s="18"/>
      <c r="G5" s="18"/>
      <c r="H5" s="18"/>
      <c r="I5" s="4"/>
      <c r="J5" s="4"/>
      <c r="K5" s="4"/>
      <c r="L5" s="23"/>
      <c r="O5"/>
      <c r="Q5" t="s">
        <v>8</v>
      </c>
    </row>
    <row r="6" spans="2:17" s="5" customFormat="1" x14ac:dyDescent="0.3">
      <c r="B6" s="24"/>
      <c r="C6" s="4"/>
      <c r="D6" s="4"/>
      <c r="E6" s="4"/>
      <c r="F6" s="4"/>
      <c r="G6" s="4"/>
      <c r="H6" s="4"/>
      <c r="I6" s="4"/>
      <c r="J6" s="4"/>
      <c r="K6" s="4"/>
      <c r="L6" s="23"/>
      <c r="O6"/>
      <c r="Q6" t="s">
        <v>11</v>
      </c>
    </row>
    <row r="7" spans="2:17" s="5" customFormat="1" x14ac:dyDescent="0.3">
      <c r="B7" s="99" t="s">
        <v>12</v>
      </c>
      <c r="C7" s="99"/>
      <c r="D7" s="6" t="s">
        <v>6</v>
      </c>
      <c r="E7" s="25"/>
      <c r="F7" s="25"/>
      <c r="G7" s="25"/>
      <c r="H7" s="25"/>
      <c r="I7" s="4"/>
      <c r="J7" s="4"/>
      <c r="K7" s="4"/>
      <c r="L7" s="23"/>
      <c r="O7"/>
      <c r="Q7" t="s">
        <v>13</v>
      </c>
    </row>
    <row r="8" spans="2:17" s="5" customFormat="1" x14ac:dyDescent="0.3">
      <c r="B8" s="26"/>
      <c r="C8" s="7"/>
      <c r="D8" s="25"/>
      <c r="E8" s="25"/>
      <c r="F8" s="25"/>
      <c r="G8" s="25"/>
      <c r="H8" s="25"/>
      <c r="I8" s="4"/>
      <c r="J8" s="4"/>
      <c r="K8" s="4"/>
      <c r="L8" s="23"/>
      <c r="O8"/>
      <c r="Q8" t="s">
        <v>14</v>
      </c>
    </row>
    <row r="9" spans="2:17" s="5" customFormat="1" x14ac:dyDescent="0.3">
      <c r="B9" s="99" t="s">
        <v>15</v>
      </c>
      <c r="C9" s="99"/>
      <c r="D9" s="8">
        <v>46081</v>
      </c>
      <c r="E9" s="27"/>
      <c r="F9" s="27"/>
      <c r="G9" s="27"/>
      <c r="H9" s="27"/>
      <c r="I9" s="4"/>
      <c r="J9" s="4"/>
      <c r="K9" s="4"/>
      <c r="L9" s="23"/>
      <c r="O9"/>
      <c r="Q9" t="s">
        <v>16</v>
      </c>
    </row>
    <row r="10" spans="2:17" x14ac:dyDescent="0.3">
      <c r="B10" s="28"/>
      <c r="L10" s="29"/>
      <c r="Q10" t="s">
        <v>17</v>
      </c>
    </row>
    <row r="11" spans="2:17" ht="26.85" customHeight="1" x14ac:dyDescent="0.3">
      <c r="B11" s="100" t="s">
        <v>18</v>
      </c>
      <c r="C11" s="100"/>
      <c r="D11" s="100"/>
      <c r="E11" s="100"/>
      <c r="F11" s="100"/>
      <c r="G11" s="100"/>
      <c r="H11" s="100"/>
      <c r="I11" s="99" t="s">
        <v>19</v>
      </c>
      <c r="J11" s="99"/>
      <c r="K11" s="99" t="s">
        <v>20</v>
      </c>
      <c r="L11" s="99"/>
      <c r="Q11" t="s">
        <v>21</v>
      </c>
    </row>
    <row r="12" spans="2:17" ht="57.6" customHeight="1" x14ac:dyDescent="0.3">
      <c r="B12" s="34" t="s">
        <v>22</v>
      </c>
      <c r="C12" s="34" t="s">
        <v>23</v>
      </c>
      <c r="D12" s="34" t="s">
        <v>24</v>
      </c>
      <c r="E12" s="34" t="s">
        <v>25</v>
      </c>
      <c r="F12" s="34" t="s">
        <v>67</v>
      </c>
      <c r="G12" s="34" t="s">
        <v>26</v>
      </c>
      <c r="H12" s="34" t="s">
        <v>68</v>
      </c>
      <c r="I12" s="34" t="s">
        <v>27</v>
      </c>
      <c r="J12" s="34" t="s">
        <v>28</v>
      </c>
      <c r="K12" s="34" t="s">
        <v>29</v>
      </c>
      <c r="L12" s="34" t="s">
        <v>28</v>
      </c>
      <c r="Q12" t="s">
        <v>30</v>
      </c>
    </row>
    <row r="13" spans="2:17" x14ac:dyDescent="0.3">
      <c r="B13" s="52">
        <v>3</v>
      </c>
      <c r="C13" s="52" t="s">
        <v>41</v>
      </c>
      <c r="D13" s="67" t="s">
        <v>42</v>
      </c>
      <c r="E13" s="51" t="s">
        <v>43</v>
      </c>
      <c r="F13" s="101" t="s">
        <v>148</v>
      </c>
      <c r="G13" s="51" t="s">
        <v>31</v>
      </c>
      <c r="H13" s="52">
        <v>18</v>
      </c>
      <c r="I13" s="30">
        <v>2</v>
      </c>
      <c r="J13" s="68">
        <f t="shared" ref="J13:J59" si="0">IFERROR(I13/H13,0)</f>
        <v>0.1111111111111111</v>
      </c>
      <c r="K13" s="52">
        <f>I13+ENERO!K13</f>
        <v>4</v>
      </c>
      <c r="L13" s="68">
        <f t="shared" ref="L13:L17" si="1">IFERROR(K13/H13,0)</f>
        <v>0.22222222222222221</v>
      </c>
    </row>
    <row r="14" spans="2:17" x14ac:dyDescent="0.3">
      <c r="B14" s="56">
        <v>3</v>
      </c>
      <c r="C14" s="56" t="s">
        <v>44</v>
      </c>
      <c r="D14" s="65" t="s">
        <v>45</v>
      </c>
      <c r="E14" s="55" t="s">
        <v>83</v>
      </c>
      <c r="F14" s="102"/>
      <c r="G14" s="55" t="s">
        <v>31</v>
      </c>
      <c r="H14" s="56">
        <v>18</v>
      </c>
      <c r="I14" s="31">
        <v>2</v>
      </c>
      <c r="J14" s="66">
        <f t="shared" si="0"/>
        <v>0.1111111111111111</v>
      </c>
      <c r="K14" s="56">
        <f>I14+ENERO!K14</f>
        <v>3</v>
      </c>
      <c r="L14" s="66">
        <f t="shared" si="1"/>
        <v>0.16666666666666666</v>
      </c>
    </row>
    <row r="15" spans="2:17" x14ac:dyDescent="0.3">
      <c r="B15" s="56">
        <v>3</v>
      </c>
      <c r="C15" s="56" t="s">
        <v>46</v>
      </c>
      <c r="D15" s="65" t="s">
        <v>47</v>
      </c>
      <c r="E15" s="55" t="s">
        <v>48</v>
      </c>
      <c r="F15" s="102"/>
      <c r="G15" s="55" t="s">
        <v>31</v>
      </c>
      <c r="H15" s="56">
        <v>18</v>
      </c>
      <c r="I15" s="32">
        <v>3</v>
      </c>
      <c r="J15" s="66">
        <f t="shared" si="0"/>
        <v>0.16666666666666666</v>
      </c>
      <c r="K15" s="56">
        <f>I15+ENERO!K15</f>
        <v>4</v>
      </c>
      <c r="L15" s="66">
        <f t="shared" si="1"/>
        <v>0.22222222222222221</v>
      </c>
    </row>
    <row r="16" spans="2:17" x14ac:dyDescent="0.3">
      <c r="B16" s="56">
        <v>3</v>
      </c>
      <c r="C16" s="56" t="s">
        <v>49</v>
      </c>
      <c r="D16" s="65" t="s">
        <v>84</v>
      </c>
      <c r="E16" s="55" t="s">
        <v>48</v>
      </c>
      <c r="F16" s="102"/>
      <c r="G16" s="55" t="s">
        <v>31</v>
      </c>
      <c r="H16" s="56">
        <v>18</v>
      </c>
      <c r="I16" s="31">
        <v>3</v>
      </c>
      <c r="J16" s="66">
        <f t="shared" si="0"/>
        <v>0.16666666666666666</v>
      </c>
      <c r="K16" s="56">
        <f>I16+ENERO!K16</f>
        <v>4</v>
      </c>
      <c r="L16" s="66">
        <f t="shared" si="1"/>
        <v>0.22222222222222221</v>
      </c>
    </row>
    <row r="17" spans="2:17" s="5" customFormat="1" x14ac:dyDescent="0.3">
      <c r="B17" s="56">
        <v>5</v>
      </c>
      <c r="C17" s="62" t="s">
        <v>50</v>
      </c>
      <c r="D17" s="64" t="s">
        <v>51</v>
      </c>
      <c r="E17" s="55" t="s">
        <v>48</v>
      </c>
      <c r="F17" s="102"/>
      <c r="G17" s="55" t="s">
        <v>31</v>
      </c>
      <c r="H17" s="56">
        <v>18</v>
      </c>
      <c r="I17" s="31">
        <v>3</v>
      </c>
      <c r="J17" s="66">
        <f t="shared" si="0"/>
        <v>0.16666666666666666</v>
      </c>
      <c r="K17" s="56">
        <f>I17+ENERO!K17</f>
        <v>5</v>
      </c>
      <c r="L17" s="66">
        <f t="shared" si="1"/>
        <v>0.27777777777777779</v>
      </c>
      <c r="O17" s="9"/>
      <c r="Q17" s="9"/>
    </row>
    <row r="18" spans="2:17" x14ac:dyDescent="0.3">
      <c r="B18" s="61">
        <v>5</v>
      </c>
      <c r="C18" s="56" t="s">
        <v>52</v>
      </c>
      <c r="D18" s="65" t="s">
        <v>53</v>
      </c>
      <c r="E18" s="108" t="s">
        <v>48</v>
      </c>
      <c r="F18" s="102"/>
      <c r="G18" s="110" t="s">
        <v>31</v>
      </c>
      <c r="H18" s="74">
        <v>18</v>
      </c>
      <c r="I18" s="31">
        <v>3</v>
      </c>
      <c r="J18" s="43">
        <f t="shared" si="0"/>
        <v>0.16666666666666666</v>
      </c>
      <c r="K18" s="44">
        <f>I18+ENERO!K18</f>
        <v>5</v>
      </c>
      <c r="L18" s="43">
        <f>IFERROR(K18/H18,0)</f>
        <v>0.27777777777777779</v>
      </c>
    </row>
    <row r="19" spans="2:17" x14ac:dyDescent="0.3">
      <c r="B19" s="53">
        <v>5</v>
      </c>
      <c r="C19" s="56" t="s">
        <v>54</v>
      </c>
      <c r="D19" s="65" t="s">
        <v>55</v>
      </c>
      <c r="E19" s="55" t="s">
        <v>48</v>
      </c>
      <c r="F19" s="102"/>
      <c r="G19" s="111" t="s">
        <v>31</v>
      </c>
      <c r="H19" s="75">
        <v>18</v>
      </c>
      <c r="I19" s="31">
        <v>2</v>
      </c>
      <c r="J19" s="37">
        <f t="shared" si="0"/>
        <v>0.1111111111111111</v>
      </c>
      <c r="K19" s="38">
        <f>I19+ENERO!K19</f>
        <v>4</v>
      </c>
      <c r="L19" s="37">
        <f>IFERROR(K19/H19,0)</f>
        <v>0.22222222222222221</v>
      </c>
    </row>
    <row r="20" spans="2:17" x14ac:dyDescent="0.3">
      <c r="B20" s="53">
        <v>5</v>
      </c>
      <c r="C20" s="56" t="s">
        <v>56</v>
      </c>
      <c r="D20" s="65" t="s">
        <v>57</v>
      </c>
      <c r="E20" s="108" t="s">
        <v>48</v>
      </c>
      <c r="F20" s="102"/>
      <c r="G20" s="111" t="s">
        <v>31</v>
      </c>
      <c r="H20" s="75">
        <v>17</v>
      </c>
      <c r="I20" s="31">
        <v>2</v>
      </c>
      <c r="J20" s="37">
        <f t="shared" si="0"/>
        <v>0.11764705882352941</v>
      </c>
      <c r="K20" s="38">
        <f>I20+ENERO!K20</f>
        <v>3</v>
      </c>
      <c r="L20" s="37">
        <f>IFERROR(K20/H20,0)</f>
        <v>0.17647058823529413</v>
      </c>
    </row>
    <row r="21" spans="2:17" x14ac:dyDescent="0.3">
      <c r="B21" s="53">
        <v>5</v>
      </c>
      <c r="C21" s="62" t="s">
        <v>58</v>
      </c>
      <c r="D21" s="64" t="s">
        <v>59</v>
      </c>
      <c r="E21" s="55" t="s">
        <v>48</v>
      </c>
      <c r="F21" s="102"/>
      <c r="G21" s="111" t="s">
        <v>31</v>
      </c>
      <c r="H21" s="75">
        <v>17</v>
      </c>
      <c r="I21" s="31">
        <v>2</v>
      </c>
      <c r="J21" s="37">
        <f t="shared" si="0"/>
        <v>0.11764705882352941</v>
      </c>
      <c r="K21" s="38">
        <f>I21+ENERO!K21</f>
        <v>3</v>
      </c>
      <c r="L21" s="37">
        <f t="shared" ref="L21:L26" si="2">IFERROR(K21/H21,0)</f>
        <v>0.17647058823529413</v>
      </c>
    </row>
    <row r="22" spans="2:17" s="5" customFormat="1" x14ac:dyDescent="0.3">
      <c r="B22" s="53">
        <v>5</v>
      </c>
      <c r="C22" s="56" t="s">
        <v>60</v>
      </c>
      <c r="D22" s="65" t="s">
        <v>61</v>
      </c>
      <c r="E22" s="55" t="s">
        <v>48</v>
      </c>
      <c r="F22" s="102"/>
      <c r="G22" s="111" t="s">
        <v>31</v>
      </c>
      <c r="H22" s="75">
        <v>17</v>
      </c>
      <c r="I22" s="32">
        <v>2</v>
      </c>
      <c r="J22" s="37">
        <f t="shared" si="0"/>
        <v>0.11764705882352941</v>
      </c>
      <c r="K22" s="38">
        <f>I22+ENERO!K22</f>
        <v>4</v>
      </c>
      <c r="L22" s="37">
        <f t="shared" si="2"/>
        <v>0.23529411764705882</v>
      </c>
      <c r="O22" s="9"/>
      <c r="Q22" s="9"/>
    </row>
    <row r="23" spans="2:17" x14ac:dyDescent="0.3">
      <c r="B23" s="53">
        <v>5</v>
      </c>
      <c r="C23" s="56" t="s">
        <v>62</v>
      </c>
      <c r="D23" s="65" t="s">
        <v>85</v>
      </c>
      <c r="E23" s="55" t="s">
        <v>48</v>
      </c>
      <c r="F23" s="102"/>
      <c r="G23" s="111" t="s">
        <v>31</v>
      </c>
      <c r="H23" s="75">
        <v>17</v>
      </c>
      <c r="I23" s="31">
        <v>2</v>
      </c>
      <c r="J23" s="37">
        <f t="shared" si="0"/>
        <v>0.11764705882352941</v>
      </c>
      <c r="K23" s="38">
        <f>I23+ENERO!K23</f>
        <v>3</v>
      </c>
      <c r="L23" s="37">
        <f t="shared" si="2"/>
        <v>0.17647058823529413</v>
      </c>
    </row>
    <row r="24" spans="2:17" x14ac:dyDescent="0.3">
      <c r="B24" s="53">
        <v>5</v>
      </c>
      <c r="C24" s="56" t="s">
        <v>63</v>
      </c>
      <c r="D24" s="65" t="s">
        <v>64</v>
      </c>
      <c r="E24" s="55" t="s">
        <v>48</v>
      </c>
      <c r="F24" s="102"/>
      <c r="G24" s="111" t="s">
        <v>31</v>
      </c>
      <c r="H24" s="75">
        <v>17</v>
      </c>
      <c r="I24" s="31">
        <v>2</v>
      </c>
      <c r="J24" s="37">
        <f t="shared" si="0"/>
        <v>0.11764705882352941</v>
      </c>
      <c r="K24" s="38">
        <f>I24+ENERO!K24</f>
        <v>3</v>
      </c>
      <c r="L24" s="37">
        <f t="shared" si="2"/>
        <v>0.17647058823529413</v>
      </c>
    </row>
    <row r="25" spans="2:17" x14ac:dyDescent="0.3">
      <c r="B25" s="57">
        <v>5</v>
      </c>
      <c r="C25" s="63" t="s">
        <v>65</v>
      </c>
      <c r="D25" s="69" t="s">
        <v>66</v>
      </c>
      <c r="E25" s="109" t="s">
        <v>48</v>
      </c>
      <c r="F25" s="103"/>
      <c r="G25" s="112" t="s">
        <v>31</v>
      </c>
      <c r="H25" s="76">
        <v>17</v>
      </c>
      <c r="I25" s="77">
        <v>2</v>
      </c>
      <c r="J25" s="40">
        <f t="shared" si="0"/>
        <v>0.11764705882352941</v>
      </c>
      <c r="K25" s="41">
        <f>I25+ENERO!K25</f>
        <v>3</v>
      </c>
      <c r="L25" s="40">
        <f t="shared" si="2"/>
        <v>0.17647058823529413</v>
      </c>
    </row>
    <row r="26" spans="2:17" x14ac:dyDescent="0.3">
      <c r="B26" s="71">
        <v>3</v>
      </c>
      <c r="C26" s="52" t="s">
        <v>41</v>
      </c>
      <c r="D26" s="51" t="s">
        <v>42</v>
      </c>
      <c r="E26" s="104" t="s">
        <v>43</v>
      </c>
      <c r="F26" s="101" t="s">
        <v>146</v>
      </c>
      <c r="G26" s="106" t="s">
        <v>98</v>
      </c>
      <c r="H26" s="47">
        <v>15</v>
      </c>
      <c r="I26" s="30">
        <v>2</v>
      </c>
      <c r="J26" s="46">
        <f t="shared" si="0"/>
        <v>0.13333333333333333</v>
      </c>
      <c r="K26" s="47">
        <f>I26+ENERO!K26</f>
        <v>3</v>
      </c>
      <c r="L26" s="46">
        <f t="shared" si="2"/>
        <v>0.2</v>
      </c>
    </row>
    <row r="27" spans="2:17" x14ac:dyDescent="0.3">
      <c r="B27" s="72">
        <v>3</v>
      </c>
      <c r="C27" s="56" t="s">
        <v>44</v>
      </c>
      <c r="D27" s="55" t="s">
        <v>45</v>
      </c>
      <c r="E27" s="105" t="s">
        <v>157</v>
      </c>
      <c r="F27" s="102"/>
      <c r="G27" s="107" t="s">
        <v>165</v>
      </c>
      <c r="H27" s="38">
        <v>23</v>
      </c>
      <c r="I27" s="31">
        <v>3</v>
      </c>
      <c r="J27" s="37">
        <f t="shared" si="0"/>
        <v>0.13043478260869565</v>
      </c>
      <c r="K27" s="38">
        <f>I27+ENERO!K27</f>
        <v>5</v>
      </c>
      <c r="L27" s="37">
        <f>IFERROR(K27/H27,0)</f>
        <v>0.21739130434782608</v>
      </c>
    </row>
    <row r="28" spans="2:17" x14ac:dyDescent="0.3">
      <c r="B28" s="72">
        <v>3</v>
      </c>
      <c r="C28" s="56" t="s">
        <v>46</v>
      </c>
      <c r="D28" s="55" t="s">
        <v>47</v>
      </c>
      <c r="E28" s="105" t="s">
        <v>87</v>
      </c>
      <c r="F28" s="102"/>
      <c r="G28" s="107" t="s">
        <v>100</v>
      </c>
      <c r="H28" s="38">
        <v>23</v>
      </c>
      <c r="I28" s="32">
        <v>3</v>
      </c>
      <c r="J28" s="37">
        <f t="shared" si="0"/>
        <v>0.13043478260869565</v>
      </c>
      <c r="K28" s="38">
        <f>I28+ENERO!K28</f>
        <v>5</v>
      </c>
      <c r="L28" s="37">
        <f>IFERROR(K28/H28,0)</f>
        <v>0.21739130434782608</v>
      </c>
    </row>
    <row r="29" spans="2:17" x14ac:dyDescent="0.3">
      <c r="B29" s="72">
        <v>3</v>
      </c>
      <c r="C29" s="56" t="s">
        <v>49</v>
      </c>
      <c r="D29" s="55" t="s">
        <v>84</v>
      </c>
      <c r="E29" s="105" t="s">
        <v>158</v>
      </c>
      <c r="F29" s="102"/>
      <c r="G29" s="107" t="s">
        <v>166</v>
      </c>
      <c r="H29" s="38">
        <v>23</v>
      </c>
      <c r="I29" s="31">
        <v>3</v>
      </c>
      <c r="J29" s="37">
        <f t="shared" si="0"/>
        <v>0.13043478260869565</v>
      </c>
      <c r="K29" s="38">
        <f>I29+ENERO!K29</f>
        <v>5</v>
      </c>
      <c r="L29" s="37">
        <f>IFERROR(K29/H29,0)</f>
        <v>0.21739130434782608</v>
      </c>
    </row>
    <row r="30" spans="2:17" x14ac:dyDescent="0.3">
      <c r="B30" s="72">
        <v>5</v>
      </c>
      <c r="C30" s="56" t="s">
        <v>50</v>
      </c>
      <c r="D30" s="55" t="s">
        <v>51</v>
      </c>
      <c r="E30" s="105" t="s">
        <v>159</v>
      </c>
      <c r="F30" s="102"/>
      <c r="G30" s="107" t="s">
        <v>167</v>
      </c>
      <c r="H30" s="38">
        <v>15</v>
      </c>
      <c r="I30" s="31">
        <v>2</v>
      </c>
      <c r="J30" s="37">
        <f t="shared" si="0"/>
        <v>0.13333333333333333</v>
      </c>
      <c r="K30" s="38">
        <f>I30+ENERO!K30</f>
        <v>3</v>
      </c>
      <c r="L30" s="37">
        <f t="shared" ref="L30:L37" si="3">IFERROR(K30/H30,0)</f>
        <v>0.2</v>
      </c>
    </row>
    <row r="31" spans="2:17" x14ac:dyDescent="0.3">
      <c r="B31" s="72">
        <v>5</v>
      </c>
      <c r="C31" s="56" t="s">
        <v>52</v>
      </c>
      <c r="D31" s="55" t="s">
        <v>53</v>
      </c>
      <c r="E31" s="105" t="s">
        <v>160</v>
      </c>
      <c r="F31" s="102"/>
      <c r="G31" s="107" t="s">
        <v>168</v>
      </c>
      <c r="H31" s="38">
        <v>22</v>
      </c>
      <c r="I31" s="31">
        <v>3</v>
      </c>
      <c r="J31" s="37">
        <f t="shared" si="0"/>
        <v>0.13636363636363635</v>
      </c>
      <c r="K31" s="38">
        <f>I31+ENERO!K31</f>
        <v>4</v>
      </c>
      <c r="L31" s="37">
        <f t="shared" si="3"/>
        <v>0.18181818181818182</v>
      </c>
    </row>
    <row r="32" spans="2:17" s="5" customFormat="1" x14ac:dyDescent="0.3">
      <c r="B32" s="72">
        <v>5</v>
      </c>
      <c r="C32" s="56" t="s">
        <v>54</v>
      </c>
      <c r="D32" s="55" t="s">
        <v>55</v>
      </c>
      <c r="E32" s="105" t="s">
        <v>91</v>
      </c>
      <c r="F32" s="102"/>
      <c r="G32" s="107" t="s">
        <v>104</v>
      </c>
      <c r="H32" s="38">
        <v>23</v>
      </c>
      <c r="I32" s="31">
        <v>3</v>
      </c>
      <c r="J32" s="37">
        <f t="shared" si="0"/>
        <v>0.13043478260869565</v>
      </c>
      <c r="K32" s="38">
        <f>I32+ENERO!K32</f>
        <v>5</v>
      </c>
      <c r="L32" s="37">
        <f t="shared" si="3"/>
        <v>0.21739130434782608</v>
      </c>
      <c r="O32" s="9"/>
      <c r="Q32" s="9"/>
    </row>
    <row r="33" spans="2:17" x14ac:dyDescent="0.3">
      <c r="B33" s="72">
        <v>5</v>
      </c>
      <c r="C33" s="56" t="s">
        <v>56</v>
      </c>
      <c r="D33" s="55" t="s">
        <v>57</v>
      </c>
      <c r="E33" s="105" t="s">
        <v>161</v>
      </c>
      <c r="F33" s="102"/>
      <c r="G33" s="107" t="s">
        <v>169</v>
      </c>
      <c r="H33" s="38">
        <v>15</v>
      </c>
      <c r="I33" s="31">
        <v>2</v>
      </c>
      <c r="J33" s="37">
        <f t="shared" si="0"/>
        <v>0.13333333333333333</v>
      </c>
      <c r="K33" s="38">
        <f>I33+ENERO!K33</f>
        <v>3</v>
      </c>
      <c r="L33" s="37">
        <f t="shared" si="3"/>
        <v>0.2</v>
      </c>
    </row>
    <row r="34" spans="2:17" x14ac:dyDescent="0.3">
      <c r="B34" s="72">
        <v>5</v>
      </c>
      <c r="C34" s="56" t="s">
        <v>58</v>
      </c>
      <c r="D34" s="55" t="s">
        <v>59</v>
      </c>
      <c r="E34" s="105" t="s">
        <v>93</v>
      </c>
      <c r="F34" s="102"/>
      <c r="G34" s="107" t="s">
        <v>104</v>
      </c>
      <c r="H34" s="38">
        <v>15</v>
      </c>
      <c r="I34" s="31">
        <v>2</v>
      </c>
      <c r="J34" s="37">
        <f t="shared" si="0"/>
        <v>0.13333333333333333</v>
      </c>
      <c r="K34" s="38">
        <f>I34+ENERO!K34</f>
        <v>3</v>
      </c>
      <c r="L34" s="37">
        <f t="shared" si="3"/>
        <v>0.2</v>
      </c>
    </row>
    <row r="35" spans="2:17" x14ac:dyDescent="0.3">
      <c r="B35" s="72">
        <v>5</v>
      </c>
      <c r="C35" s="56" t="s">
        <v>60</v>
      </c>
      <c r="D35" s="55" t="s">
        <v>61</v>
      </c>
      <c r="E35" s="55" t="s">
        <v>94</v>
      </c>
      <c r="F35" s="102"/>
      <c r="G35" s="107" t="s">
        <v>106</v>
      </c>
      <c r="H35" s="38">
        <v>15</v>
      </c>
      <c r="I35" s="33">
        <v>2</v>
      </c>
      <c r="J35" s="37">
        <f t="shared" si="0"/>
        <v>0.13333333333333333</v>
      </c>
      <c r="K35" s="38">
        <f>I35+ENERO!K35</f>
        <v>3</v>
      </c>
      <c r="L35" s="37">
        <f t="shared" si="3"/>
        <v>0.2</v>
      </c>
    </row>
    <row r="36" spans="2:17" x14ac:dyDescent="0.3">
      <c r="B36" s="72">
        <v>5</v>
      </c>
      <c r="C36" s="56" t="s">
        <v>62</v>
      </c>
      <c r="D36" s="55" t="s">
        <v>85</v>
      </c>
      <c r="E36" s="55" t="s">
        <v>162</v>
      </c>
      <c r="F36" s="102"/>
      <c r="G36" s="107" t="s">
        <v>170</v>
      </c>
      <c r="H36" s="38">
        <v>23</v>
      </c>
      <c r="I36" s="31">
        <v>3</v>
      </c>
      <c r="J36" s="37">
        <f t="shared" si="0"/>
        <v>0.13043478260869565</v>
      </c>
      <c r="K36" s="38">
        <f>I36+ENERO!K36</f>
        <v>5</v>
      </c>
      <c r="L36" s="37">
        <f t="shared" si="3"/>
        <v>0.21739130434782608</v>
      </c>
    </row>
    <row r="37" spans="2:17" x14ac:dyDescent="0.3">
      <c r="B37" s="72">
        <v>5</v>
      </c>
      <c r="C37" s="56" t="s">
        <v>63</v>
      </c>
      <c r="D37" s="55" t="s">
        <v>64</v>
      </c>
      <c r="E37" s="55" t="s">
        <v>163</v>
      </c>
      <c r="F37" s="102"/>
      <c r="G37" s="55" t="s">
        <v>171</v>
      </c>
      <c r="H37" s="56">
        <v>8</v>
      </c>
      <c r="I37" s="32">
        <v>1</v>
      </c>
      <c r="J37" s="66">
        <f t="shared" si="0"/>
        <v>0.125</v>
      </c>
      <c r="K37" s="56">
        <f>I37+ENERO!K37</f>
        <v>2</v>
      </c>
      <c r="L37" s="66">
        <f t="shared" si="3"/>
        <v>0.25</v>
      </c>
    </row>
    <row r="38" spans="2:17" x14ac:dyDescent="0.3">
      <c r="B38" s="73">
        <v>5</v>
      </c>
      <c r="C38" s="60" t="s">
        <v>65</v>
      </c>
      <c r="D38" s="59" t="s">
        <v>66</v>
      </c>
      <c r="E38" s="59" t="s">
        <v>164</v>
      </c>
      <c r="F38" s="103"/>
      <c r="G38" s="59" t="s">
        <v>172</v>
      </c>
      <c r="H38" s="60">
        <v>8</v>
      </c>
      <c r="I38" s="35">
        <v>1</v>
      </c>
      <c r="J38" s="70">
        <f t="shared" si="0"/>
        <v>0.125</v>
      </c>
      <c r="K38" s="60">
        <f>I38+ENERO!K38</f>
        <v>2</v>
      </c>
      <c r="L38" s="70">
        <f>IFERROR(K38/H38,0)</f>
        <v>0.25</v>
      </c>
    </row>
    <row r="39" spans="2:17" x14ac:dyDescent="0.3">
      <c r="B39" s="49">
        <v>3</v>
      </c>
      <c r="C39" s="50" t="s">
        <v>44</v>
      </c>
      <c r="D39" s="51" t="s">
        <v>45</v>
      </c>
      <c r="E39" s="51" t="s">
        <v>149</v>
      </c>
      <c r="F39" s="84" t="s">
        <v>145</v>
      </c>
      <c r="G39" s="51" t="s">
        <v>120</v>
      </c>
      <c r="H39" s="52">
        <v>19</v>
      </c>
      <c r="I39" s="52">
        <v>2</v>
      </c>
      <c r="J39" s="68">
        <f t="shared" si="0"/>
        <v>0.10526315789473684</v>
      </c>
      <c r="K39" s="52">
        <f>I39+ENERO!K39</f>
        <v>4</v>
      </c>
      <c r="L39" s="68">
        <f>IFERROR(K39/H39,0)</f>
        <v>0.21052631578947367</v>
      </c>
    </row>
    <row r="40" spans="2:17" x14ac:dyDescent="0.3">
      <c r="B40" s="53">
        <v>3</v>
      </c>
      <c r="C40" s="54" t="s">
        <v>46</v>
      </c>
      <c r="D40" s="55" t="s">
        <v>47</v>
      </c>
      <c r="E40" s="55" t="s">
        <v>150</v>
      </c>
      <c r="F40" s="85"/>
      <c r="G40" s="55" t="s">
        <v>155</v>
      </c>
      <c r="H40" s="56">
        <v>19</v>
      </c>
      <c r="I40" s="56">
        <v>2</v>
      </c>
      <c r="J40" s="66">
        <f t="shared" si="0"/>
        <v>0.10526315789473684</v>
      </c>
      <c r="K40" s="56">
        <f>I40+ENERO!K40</f>
        <v>4</v>
      </c>
      <c r="L40" s="66">
        <f>IFERROR(K40/H40,0)</f>
        <v>0.21052631578947367</v>
      </c>
    </row>
    <row r="41" spans="2:17" x14ac:dyDescent="0.3">
      <c r="B41" s="53">
        <v>3</v>
      </c>
      <c r="C41" s="54" t="s">
        <v>49</v>
      </c>
      <c r="D41" s="55" t="s">
        <v>84</v>
      </c>
      <c r="E41" s="55" t="s">
        <v>151</v>
      </c>
      <c r="F41" s="85"/>
      <c r="G41" s="55" t="s">
        <v>122</v>
      </c>
      <c r="H41" s="56">
        <v>19</v>
      </c>
      <c r="I41" s="56">
        <v>2</v>
      </c>
      <c r="J41" s="66">
        <f t="shared" si="0"/>
        <v>0.10526315789473684</v>
      </c>
      <c r="K41" s="56">
        <f>I41+ENERO!K41</f>
        <v>4</v>
      </c>
      <c r="L41" s="66">
        <f t="shared" ref="L41:L42" si="4">IFERROR(K41/H41,0)</f>
        <v>0.21052631578947367</v>
      </c>
    </row>
    <row r="42" spans="2:17" s="5" customFormat="1" x14ac:dyDescent="0.3">
      <c r="B42" s="53">
        <v>5</v>
      </c>
      <c r="C42" s="54" t="s">
        <v>50</v>
      </c>
      <c r="D42" s="55" t="s">
        <v>51</v>
      </c>
      <c r="E42" s="55" t="s">
        <v>152</v>
      </c>
      <c r="F42" s="85"/>
      <c r="G42" s="55" t="s">
        <v>123</v>
      </c>
      <c r="H42" s="56">
        <v>19</v>
      </c>
      <c r="I42" s="56">
        <v>2</v>
      </c>
      <c r="J42" s="66">
        <f t="shared" si="0"/>
        <v>0.10526315789473684</v>
      </c>
      <c r="K42" s="56">
        <f>I42+ENERO!K42</f>
        <v>4</v>
      </c>
      <c r="L42" s="66">
        <f t="shared" si="4"/>
        <v>0.21052631578947367</v>
      </c>
      <c r="O42" s="9"/>
      <c r="Q42" s="9"/>
    </row>
    <row r="43" spans="2:17" x14ac:dyDescent="0.3">
      <c r="B43" s="53">
        <v>5</v>
      </c>
      <c r="C43" s="54" t="s">
        <v>52</v>
      </c>
      <c r="D43" s="55" t="s">
        <v>53</v>
      </c>
      <c r="E43" s="55" t="s">
        <v>113</v>
      </c>
      <c r="F43" s="85"/>
      <c r="G43" s="55" t="s">
        <v>124</v>
      </c>
      <c r="H43" s="56">
        <v>19</v>
      </c>
      <c r="I43" s="56">
        <v>2</v>
      </c>
      <c r="J43" s="66">
        <f t="shared" si="0"/>
        <v>0.10526315789473684</v>
      </c>
      <c r="K43" s="56">
        <f>I43+ENERO!K43</f>
        <v>4</v>
      </c>
      <c r="L43" s="66">
        <f>IFERROR(K43/H43,0)</f>
        <v>0.21052631578947367</v>
      </c>
    </row>
    <row r="44" spans="2:17" x14ac:dyDescent="0.3">
      <c r="B44" s="53">
        <v>5</v>
      </c>
      <c r="C44" s="54" t="s">
        <v>54</v>
      </c>
      <c r="D44" s="55" t="s">
        <v>55</v>
      </c>
      <c r="E44" s="55" t="s">
        <v>114</v>
      </c>
      <c r="F44" s="85"/>
      <c r="G44" s="55" t="s">
        <v>125</v>
      </c>
      <c r="H44" s="56">
        <v>19</v>
      </c>
      <c r="I44" s="56">
        <v>2</v>
      </c>
      <c r="J44" s="66">
        <f t="shared" si="0"/>
        <v>0.10526315789473684</v>
      </c>
      <c r="K44" s="56">
        <f>I44+ENERO!K44</f>
        <v>4</v>
      </c>
      <c r="L44" s="66">
        <f>IFERROR(K44/H44,0)</f>
        <v>0.21052631578947367</v>
      </c>
    </row>
    <row r="45" spans="2:17" x14ac:dyDescent="0.3">
      <c r="B45" s="53">
        <v>5</v>
      </c>
      <c r="C45" s="54" t="s">
        <v>56</v>
      </c>
      <c r="D45" s="55" t="s">
        <v>57</v>
      </c>
      <c r="E45" s="55" t="s">
        <v>153</v>
      </c>
      <c r="F45" s="85"/>
      <c r="G45" s="55" t="s">
        <v>126</v>
      </c>
      <c r="H45" s="56">
        <v>19</v>
      </c>
      <c r="I45" s="56">
        <v>3</v>
      </c>
      <c r="J45" s="66">
        <f t="shared" si="0"/>
        <v>0.15789473684210525</v>
      </c>
      <c r="K45" s="56">
        <f>I45+ENERO!K45</f>
        <v>4</v>
      </c>
      <c r="L45" s="66">
        <f>IFERROR(K45/H45,0)</f>
        <v>0.21052631578947367</v>
      </c>
    </row>
    <row r="46" spans="2:17" x14ac:dyDescent="0.3">
      <c r="B46" s="53">
        <v>5</v>
      </c>
      <c r="C46" s="54" t="s">
        <v>58</v>
      </c>
      <c r="D46" s="55" t="s">
        <v>59</v>
      </c>
      <c r="E46" s="55" t="s">
        <v>114</v>
      </c>
      <c r="F46" s="85"/>
      <c r="G46" s="55" t="s">
        <v>125</v>
      </c>
      <c r="H46" s="56">
        <v>19</v>
      </c>
      <c r="I46" s="56">
        <v>3</v>
      </c>
      <c r="J46" s="66">
        <f t="shared" si="0"/>
        <v>0.15789473684210525</v>
      </c>
      <c r="K46" s="56">
        <f>I46+ENERO!K46</f>
        <v>4</v>
      </c>
      <c r="L46" s="66">
        <f t="shared" ref="L46:L51" si="5">IFERROR(K46/H46,0)</f>
        <v>0.21052631578947367</v>
      </c>
    </row>
    <row r="47" spans="2:17" x14ac:dyDescent="0.3">
      <c r="B47" s="53">
        <v>5</v>
      </c>
      <c r="C47" s="54" t="s">
        <v>60</v>
      </c>
      <c r="D47" s="55" t="s">
        <v>61</v>
      </c>
      <c r="E47" s="55" t="s">
        <v>154</v>
      </c>
      <c r="F47" s="85"/>
      <c r="G47" s="55" t="s">
        <v>127</v>
      </c>
      <c r="H47" s="56">
        <v>19</v>
      </c>
      <c r="I47" s="56">
        <v>3</v>
      </c>
      <c r="J47" s="66">
        <f t="shared" si="0"/>
        <v>0.15789473684210525</v>
      </c>
      <c r="K47" s="56">
        <f>I47+ENERO!K47</f>
        <v>4</v>
      </c>
      <c r="L47" s="66">
        <f t="shared" si="5"/>
        <v>0.21052631578947367</v>
      </c>
    </row>
    <row r="48" spans="2:17" s="5" customFormat="1" x14ac:dyDescent="0.3">
      <c r="B48" s="53">
        <v>5</v>
      </c>
      <c r="C48" s="54" t="s">
        <v>62</v>
      </c>
      <c r="D48" s="55" t="s">
        <v>85</v>
      </c>
      <c r="E48" s="55" t="s">
        <v>117</v>
      </c>
      <c r="F48" s="85"/>
      <c r="G48" s="55" t="s">
        <v>128</v>
      </c>
      <c r="H48" s="56">
        <v>19</v>
      </c>
      <c r="I48" s="56">
        <v>3</v>
      </c>
      <c r="J48" s="66">
        <f t="shared" si="0"/>
        <v>0.15789473684210525</v>
      </c>
      <c r="K48" s="56">
        <f>I48+ENERO!K48</f>
        <v>4</v>
      </c>
      <c r="L48" s="66">
        <f t="shared" si="5"/>
        <v>0.21052631578947367</v>
      </c>
      <c r="O48" s="9"/>
      <c r="Q48" s="9"/>
    </row>
    <row r="49" spans="2:17" x14ac:dyDescent="0.3">
      <c r="B49" s="53">
        <v>5</v>
      </c>
      <c r="C49" s="54" t="s">
        <v>63</v>
      </c>
      <c r="D49" s="55" t="s">
        <v>64</v>
      </c>
      <c r="E49" s="55" t="s">
        <v>118</v>
      </c>
      <c r="F49" s="85"/>
      <c r="G49" s="55" t="s">
        <v>129</v>
      </c>
      <c r="H49" s="56">
        <v>19</v>
      </c>
      <c r="I49" s="56">
        <v>3</v>
      </c>
      <c r="J49" s="66">
        <f t="shared" si="0"/>
        <v>0.15789473684210525</v>
      </c>
      <c r="K49" s="56">
        <f>I49+ENERO!K49</f>
        <v>4</v>
      </c>
      <c r="L49" s="66">
        <f t="shared" si="5"/>
        <v>0.21052631578947367</v>
      </c>
    </row>
    <row r="50" spans="2:17" x14ac:dyDescent="0.3">
      <c r="B50" s="57">
        <v>5</v>
      </c>
      <c r="C50" s="58" t="s">
        <v>65</v>
      </c>
      <c r="D50" s="59" t="s">
        <v>66</v>
      </c>
      <c r="E50" s="59" t="s">
        <v>119</v>
      </c>
      <c r="F50" s="86"/>
      <c r="G50" s="59" t="s">
        <v>130</v>
      </c>
      <c r="H50" s="60">
        <v>19</v>
      </c>
      <c r="I50" s="60">
        <v>3</v>
      </c>
      <c r="J50" s="70">
        <f t="shared" si="0"/>
        <v>0.15789473684210525</v>
      </c>
      <c r="K50" s="60">
        <f>I50+ENERO!K50</f>
        <v>4</v>
      </c>
      <c r="L50" s="70">
        <f t="shared" si="5"/>
        <v>0.21052631578947367</v>
      </c>
    </row>
    <row r="51" spans="2:17" x14ac:dyDescent="0.3">
      <c r="B51" s="49">
        <v>1</v>
      </c>
      <c r="C51" s="50" t="s">
        <v>131</v>
      </c>
      <c r="D51" s="51" t="s">
        <v>132</v>
      </c>
      <c r="E51" s="51" t="s">
        <v>133</v>
      </c>
      <c r="F51" s="101" t="s">
        <v>147</v>
      </c>
      <c r="G51" s="113" t="s">
        <v>31</v>
      </c>
      <c r="H51" s="47">
        <v>25</v>
      </c>
      <c r="I51" s="45">
        <v>2</v>
      </c>
      <c r="J51" s="46">
        <f t="shared" si="0"/>
        <v>0.08</v>
      </c>
      <c r="K51" s="47">
        <f>I51+ENERO!K51</f>
        <v>3</v>
      </c>
      <c r="L51" s="46">
        <f t="shared" si="5"/>
        <v>0.12</v>
      </c>
    </row>
    <row r="52" spans="2:17" x14ac:dyDescent="0.3">
      <c r="B52" s="53">
        <v>1</v>
      </c>
      <c r="C52" s="54" t="s">
        <v>69</v>
      </c>
      <c r="D52" s="55" t="s">
        <v>74</v>
      </c>
      <c r="E52" s="55" t="s">
        <v>43</v>
      </c>
      <c r="F52" s="102"/>
      <c r="G52" s="111" t="s">
        <v>31</v>
      </c>
      <c r="H52" s="38">
        <v>25</v>
      </c>
      <c r="I52" s="36">
        <v>5</v>
      </c>
      <c r="J52" s="37">
        <f t="shared" si="0"/>
        <v>0.2</v>
      </c>
      <c r="K52" s="38">
        <f>I52+ENERO!K52</f>
        <v>7</v>
      </c>
      <c r="L52" s="37">
        <f>IFERROR(K52/H52,0)</f>
        <v>0.28000000000000003</v>
      </c>
    </row>
    <row r="53" spans="2:17" x14ac:dyDescent="0.3">
      <c r="B53" s="53">
        <v>1</v>
      </c>
      <c r="C53" s="54" t="s">
        <v>70</v>
      </c>
      <c r="D53" s="55" t="s">
        <v>75</v>
      </c>
      <c r="E53" s="55" t="s">
        <v>82</v>
      </c>
      <c r="F53" s="102"/>
      <c r="G53" s="111" t="s">
        <v>31</v>
      </c>
      <c r="H53" s="38">
        <v>25</v>
      </c>
      <c r="I53" s="36">
        <v>5</v>
      </c>
      <c r="J53" s="37">
        <f t="shared" si="0"/>
        <v>0.2</v>
      </c>
      <c r="K53" s="38">
        <f>I53+ENERO!K53</f>
        <v>8</v>
      </c>
      <c r="L53" s="37">
        <f>IFERROR(K53/H53,0)</f>
        <v>0.32</v>
      </c>
    </row>
    <row r="54" spans="2:17" x14ac:dyDescent="0.3">
      <c r="B54" s="53">
        <v>1</v>
      </c>
      <c r="C54" s="54" t="s">
        <v>134</v>
      </c>
      <c r="D54" s="55" t="s">
        <v>135</v>
      </c>
      <c r="E54" s="55" t="s">
        <v>136</v>
      </c>
      <c r="F54" s="102"/>
      <c r="G54" s="111" t="s">
        <v>31</v>
      </c>
      <c r="H54" s="38">
        <v>25</v>
      </c>
      <c r="I54" s="36">
        <v>5</v>
      </c>
      <c r="J54" s="37">
        <f t="shared" si="0"/>
        <v>0.2</v>
      </c>
      <c r="K54" s="38">
        <f>I54+ENERO!K54</f>
        <v>7</v>
      </c>
      <c r="L54" s="37">
        <f>IFERROR(K54/H54,0)</f>
        <v>0.28000000000000003</v>
      </c>
    </row>
    <row r="55" spans="2:17" x14ac:dyDescent="0.3">
      <c r="B55" s="53">
        <v>1</v>
      </c>
      <c r="C55" s="54" t="s">
        <v>71</v>
      </c>
      <c r="D55" s="55" t="s">
        <v>76</v>
      </c>
      <c r="E55" s="55" t="s">
        <v>79</v>
      </c>
      <c r="F55" s="102"/>
      <c r="G55" s="111" t="s">
        <v>31</v>
      </c>
      <c r="H55" s="38">
        <v>25</v>
      </c>
      <c r="I55" s="36">
        <v>1</v>
      </c>
      <c r="J55" s="37">
        <f t="shared" si="0"/>
        <v>0.04</v>
      </c>
      <c r="K55" s="38">
        <f>I55+ENERO!K55</f>
        <v>2</v>
      </c>
      <c r="L55" s="37">
        <f t="shared" ref="L55:L59" si="6">IFERROR(K55/H55,0)</f>
        <v>0.08</v>
      </c>
    </row>
    <row r="56" spans="2:17" x14ac:dyDescent="0.3">
      <c r="B56" s="53">
        <v>1</v>
      </c>
      <c r="C56" s="54" t="s">
        <v>137</v>
      </c>
      <c r="D56" s="55" t="s">
        <v>138</v>
      </c>
      <c r="E56" s="55" t="s">
        <v>139</v>
      </c>
      <c r="F56" s="102"/>
      <c r="G56" s="111" t="s">
        <v>31</v>
      </c>
      <c r="H56" s="38">
        <v>26</v>
      </c>
      <c r="I56" s="36">
        <v>5</v>
      </c>
      <c r="J56" s="37">
        <f t="shared" si="0"/>
        <v>0.19230769230769232</v>
      </c>
      <c r="K56" s="38">
        <f>I56+ENERO!K56</f>
        <v>6</v>
      </c>
      <c r="L56" s="37">
        <f t="shared" si="6"/>
        <v>0.23076923076923078</v>
      </c>
    </row>
    <row r="57" spans="2:17" x14ac:dyDescent="0.3">
      <c r="B57" s="53">
        <v>1</v>
      </c>
      <c r="C57" s="54" t="s">
        <v>72</v>
      </c>
      <c r="D57" s="55" t="s">
        <v>77</v>
      </c>
      <c r="E57" s="55" t="s">
        <v>80</v>
      </c>
      <c r="F57" s="102"/>
      <c r="G57" s="111" t="s">
        <v>31</v>
      </c>
      <c r="H57" s="38">
        <v>26</v>
      </c>
      <c r="I57" s="36">
        <v>3</v>
      </c>
      <c r="J57" s="37">
        <f t="shared" si="0"/>
        <v>0.11538461538461539</v>
      </c>
      <c r="K57" s="38">
        <f>I57+ENERO!K57</f>
        <v>7</v>
      </c>
      <c r="L57" s="37">
        <f t="shared" si="6"/>
        <v>0.26923076923076922</v>
      </c>
    </row>
    <row r="58" spans="2:17" s="5" customFormat="1" x14ac:dyDescent="0.3">
      <c r="B58" s="53">
        <v>1</v>
      </c>
      <c r="C58" s="54" t="s">
        <v>73</v>
      </c>
      <c r="D58" s="55" t="s">
        <v>78</v>
      </c>
      <c r="E58" s="55" t="s">
        <v>81</v>
      </c>
      <c r="F58" s="102"/>
      <c r="G58" s="111" t="s">
        <v>31</v>
      </c>
      <c r="H58" s="38">
        <v>26</v>
      </c>
      <c r="I58" s="36">
        <v>3</v>
      </c>
      <c r="J58" s="37">
        <f t="shared" si="0"/>
        <v>0.11538461538461539</v>
      </c>
      <c r="K58" s="38">
        <f>I58+ENERO!K58</f>
        <v>5</v>
      </c>
      <c r="L58" s="37">
        <f t="shared" si="6"/>
        <v>0.19230769230769232</v>
      </c>
      <c r="O58" s="9"/>
      <c r="Q58" s="9"/>
    </row>
    <row r="59" spans="2:17" x14ac:dyDescent="0.3">
      <c r="B59" s="57">
        <v>1</v>
      </c>
      <c r="C59" s="58" t="s">
        <v>140</v>
      </c>
      <c r="D59" s="59" t="s">
        <v>141</v>
      </c>
      <c r="E59" s="59" t="s">
        <v>142</v>
      </c>
      <c r="F59" s="103"/>
      <c r="G59" s="112" t="s">
        <v>31</v>
      </c>
      <c r="H59" s="41">
        <v>25</v>
      </c>
      <c r="I59" s="39">
        <v>1</v>
      </c>
      <c r="J59" s="40">
        <f t="shared" si="0"/>
        <v>0.04</v>
      </c>
      <c r="K59" s="41">
        <f>I59+ENERO!K59</f>
        <v>3</v>
      </c>
      <c r="L59" s="40">
        <f t="shared" si="6"/>
        <v>0.12</v>
      </c>
    </row>
    <row r="60" spans="2:17" s="5" customFormat="1" ht="23.25" customHeight="1" x14ac:dyDescent="0.3">
      <c r="B60" s="4"/>
      <c r="C60" s="4"/>
      <c r="D60" s="4"/>
      <c r="E60" s="4"/>
      <c r="F60" s="4"/>
      <c r="G60" s="7"/>
      <c r="H60" s="87" t="s">
        <v>32</v>
      </c>
      <c r="I60" s="87"/>
      <c r="J60" s="87"/>
      <c r="K60" s="87"/>
      <c r="L60" s="87"/>
      <c r="O60"/>
      <c r="Q60"/>
    </row>
    <row r="61" spans="2:17" s="5" customFormat="1" ht="16.5" customHeight="1" x14ac:dyDescent="0.3">
      <c r="B61" s="4"/>
      <c r="C61" s="4"/>
      <c r="H61" s="10">
        <f>+SUM(H13:H59)</f>
        <v>912</v>
      </c>
      <c r="I61" s="10">
        <f>+SUM(I13:I59)</f>
        <v>120</v>
      </c>
      <c r="J61" s="11">
        <f>IFERROR(I61/H61,0)</f>
        <v>0.13157894736842105</v>
      </c>
      <c r="K61" s="48">
        <f>+SUM(K13:K59)</f>
        <v>192</v>
      </c>
      <c r="L61" s="11">
        <f>IFERROR(K61/H61,0)</f>
        <v>0.21052631578947367</v>
      </c>
      <c r="O61"/>
      <c r="Q61"/>
    </row>
    <row r="62" spans="2:17" s="5" customFormat="1" ht="18.75" customHeight="1" x14ac:dyDescent="0.3">
      <c r="B62" s="4"/>
      <c r="C62" s="4"/>
      <c r="I62" s="18"/>
      <c r="J62" s="19"/>
      <c r="K62" s="20"/>
      <c r="L62" s="19"/>
      <c r="O62"/>
      <c r="Q62"/>
    </row>
    <row r="63" spans="2:17" s="5" customFormat="1" ht="20.25" customHeight="1" x14ac:dyDescent="0.3">
      <c r="B63" s="4"/>
      <c r="C63" s="4"/>
      <c r="I63" s="18"/>
      <c r="J63" s="19"/>
      <c r="K63" s="20"/>
      <c r="L63" s="19"/>
      <c r="O63"/>
      <c r="Q63"/>
    </row>
    <row r="64" spans="2:17" s="5" customFormat="1" ht="59.25" customHeight="1" x14ac:dyDescent="0.3">
      <c r="B64" s="88" t="s">
        <v>33</v>
      </c>
      <c r="C64" s="89"/>
      <c r="D64" s="92" t="s">
        <v>173</v>
      </c>
      <c r="E64" s="93"/>
      <c r="F64" s="93"/>
      <c r="G64" s="93"/>
      <c r="H64" s="93"/>
      <c r="I64" s="93"/>
      <c r="J64" s="93"/>
      <c r="K64" s="93"/>
      <c r="L64" s="94"/>
      <c r="O64"/>
      <c r="Q64"/>
    </row>
    <row r="65" spans="2:17" s="5" customFormat="1" ht="13.8" customHeight="1" x14ac:dyDescent="0.3">
      <c r="B65" s="90"/>
      <c r="C65" s="91"/>
      <c r="D65" s="92" t="s">
        <v>156</v>
      </c>
      <c r="E65" s="93"/>
      <c r="F65" s="93"/>
      <c r="G65" s="93"/>
      <c r="H65" s="93"/>
      <c r="I65" s="93"/>
      <c r="J65" s="93"/>
      <c r="K65" s="93"/>
      <c r="L65" s="94"/>
      <c r="O65"/>
      <c r="Q65"/>
    </row>
    <row r="66" spans="2:17" x14ac:dyDescent="0.3">
      <c r="B66" s="80" t="s">
        <v>35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2:17" ht="15" customHeight="1" x14ac:dyDescent="0.3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2:17" x14ac:dyDescent="0.3">
      <c r="B68" s="12" t="s">
        <v>36</v>
      </c>
      <c r="C68" s="13"/>
      <c r="D68" s="13"/>
      <c r="E68" s="13"/>
      <c r="F68" s="13"/>
      <c r="G68" s="13"/>
      <c r="H68" s="13"/>
      <c r="I68" s="13"/>
      <c r="J68" s="13"/>
      <c r="K68" s="13"/>
      <c r="L68" s="14"/>
    </row>
    <row r="69" spans="2:17" ht="20.100000000000001" customHeight="1" x14ac:dyDescent="0.4">
      <c r="B69" s="15" t="s">
        <v>37</v>
      </c>
      <c r="C69" s="16"/>
      <c r="D69" s="81" t="s">
        <v>34</v>
      </c>
      <c r="E69" s="81"/>
      <c r="F69" s="81"/>
      <c r="G69" s="81"/>
      <c r="H69" s="81"/>
      <c r="I69" s="81"/>
      <c r="J69" s="81"/>
      <c r="K69" s="81"/>
      <c r="L69" s="81"/>
    </row>
    <row r="70" spans="2:17" ht="20.100000000000001" customHeight="1" x14ac:dyDescent="0.4">
      <c r="B70" s="15" t="s">
        <v>38</v>
      </c>
      <c r="C70" s="16"/>
      <c r="D70" s="81"/>
      <c r="E70" s="81"/>
      <c r="F70" s="81"/>
      <c r="G70" s="81"/>
      <c r="H70" s="81"/>
      <c r="I70" s="81"/>
      <c r="J70" s="81"/>
      <c r="K70" s="81"/>
      <c r="L70" s="81"/>
    </row>
    <row r="71" spans="2:17" x14ac:dyDescent="0.3">
      <c r="B71" s="82" t="s">
        <v>35</v>
      </c>
      <c r="C71" s="82"/>
      <c r="D71" s="82"/>
      <c r="E71" s="82"/>
      <c r="F71" s="82"/>
      <c r="G71" s="82"/>
      <c r="H71" s="82"/>
      <c r="I71" s="82"/>
      <c r="J71" s="82"/>
      <c r="K71" s="82"/>
      <c r="L71" s="82"/>
    </row>
    <row r="72" spans="2:17" x14ac:dyDescent="0.3"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</row>
    <row r="73" spans="2:17" ht="19.5" customHeight="1" x14ac:dyDescent="0.3">
      <c r="B73" s="12" t="s">
        <v>39</v>
      </c>
      <c r="C73" s="13"/>
      <c r="D73" s="13"/>
      <c r="E73" s="13"/>
      <c r="F73" s="13"/>
      <c r="G73" s="13"/>
      <c r="H73" s="13"/>
      <c r="I73" s="13"/>
      <c r="J73" s="13"/>
      <c r="K73" s="13"/>
      <c r="L73" s="14"/>
    </row>
    <row r="74" spans="2:17" ht="23.85" customHeight="1" x14ac:dyDescent="0.4">
      <c r="B74" s="15" t="s">
        <v>37</v>
      </c>
      <c r="C74" s="16"/>
      <c r="D74" s="81" t="s">
        <v>34</v>
      </c>
      <c r="E74" s="81"/>
      <c r="F74" s="81"/>
      <c r="G74" s="81"/>
      <c r="H74" s="81"/>
      <c r="I74" s="81"/>
      <c r="J74" s="81"/>
      <c r="K74" s="81"/>
      <c r="L74" s="81"/>
    </row>
    <row r="75" spans="2:17" ht="24.6" x14ac:dyDescent="0.4">
      <c r="B75" s="15" t="s">
        <v>38</v>
      </c>
      <c r="C75" s="16"/>
      <c r="D75" s="81"/>
      <c r="E75" s="81"/>
      <c r="F75" s="81"/>
      <c r="G75" s="81"/>
      <c r="H75" s="81"/>
      <c r="I75" s="81"/>
      <c r="J75" s="81"/>
      <c r="K75" s="81"/>
      <c r="L75" s="81"/>
    </row>
    <row r="78" spans="2:17" x14ac:dyDescent="0.3">
      <c r="B78" s="83"/>
      <c r="C78" s="83"/>
      <c r="D78" s="83"/>
      <c r="I78" s="83"/>
      <c r="J78" s="83"/>
      <c r="K78" s="83"/>
    </row>
    <row r="79" spans="2:17" x14ac:dyDescent="0.3">
      <c r="B79" s="4" t="s">
        <v>40</v>
      </c>
      <c r="C79" s="78"/>
      <c r="D79" s="78"/>
      <c r="I79" s="79" t="s">
        <v>175</v>
      </c>
      <c r="J79" s="79"/>
      <c r="K79" s="79"/>
    </row>
    <row r="106" spans="1:18" s="1" customFormat="1" hidden="1" x14ac:dyDescent="0.3">
      <c r="A106" t="s">
        <v>0</v>
      </c>
      <c r="M106" s="2"/>
      <c r="N106" s="2"/>
      <c r="O106"/>
      <c r="P106" s="2"/>
      <c r="Q106"/>
      <c r="R106" s="2"/>
    </row>
    <row r="107" spans="1:18" s="1" customFormat="1" hidden="1" x14ac:dyDescent="0.3">
      <c r="A107" t="s">
        <v>2</v>
      </c>
      <c r="M107" s="2"/>
      <c r="N107" s="2"/>
      <c r="O107"/>
      <c r="P107" s="2"/>
      <c r="Q107"/>
      <c r="R107" s="2"/>
    </row>
    <row r="108" spans="1:18" s="1" customFormat="1" hidden="1" x14ac:dyDescent="0.3">
      <c r="A108" t="s">
        <v>6</v>
      </c>
      <c r="M108" s="2"/>
      <c r="N108" s="2"/>
      <c r="O108"/>
      <c r="P108" s="2"/>
      <c r="Q108"/>
      <c r="R108" s="2"/>
    </row>
    <row r="109" spans="1:18" s="1" customFormat="1" hidden="1" x14ac:dyDescent="0.3">
      <c r="A109" t="s">
        <v>8</v>
      </c>
      <c r="M109" s="2"/>
      <c r="N109" s="2"/>
      <c r="O109"/>
      <c r="P109" s="2"/>
      <c r="Q109"/>
      <c r="R109" s="2"/>
    </row>
    <row r="110" spans="1:18" s="1" customFormat="1" hidden="1" x14ac:dyDescent="0.3">
      <c r="A110" t="s">
        <v>9</v>
      </c>
      <c r="M110" s="2"/>
      <c r="N110" s="2"/>
      <c r="O110"/>
      <c r="P110" s="2"/>
      <c r="Q110"/>
      <c r="R110" s="2"/>
    </row>
    <row r="111" spans="1:18" s="1" customFormat="1" hidden="1" x14ac:dyDescent="0.3">
      <c r="A111" t="s">
        <v>10</v>
      </c>
      <c r="B111" s="2"/>
      <c r="M111" s="2"/>
      <c r="N111" s="2"/>
      <c r="O111"/>
      <c r="P111" s="2"/>
      <c r="Q111"/>
      <c r="R111" s="2"/>
    </row>
    <row r="112" spans="1:18" s="1" customFormat="1" hidden="1" x14ac:dyDescent="0.3">
      <c r="A112" t="s">
        <v>11</v>
      </c>
      <c r="B112" s="2"/>
      <c r="M112" s="2"/>
      <c r="N112" s="2"/>
      <c r="O112"/>
      <c r="P112" s="2"/>
      <c r="Q112"/>
      <c r="R112" s="2"/>
    </row>
    <row r="113" spans="1:18" s="1" customFormat="1" hidden="1" x14ac:dyDescent="0.3">
      <c r="A113" t="s">
        <v>13</v>
      </c>
      <c r="B113" s="2"/>
      <c r="M113" s="2"/>
      <c r="N113" s="2"/>
      <c r="O113"/>
      <c r="P113" s="2"/>
      <c r="Q113"/>
      <c r="R113" s="2"/>
    </row>
    <row r="114" spans="1:18" s="1" customFormat="1" hidden="1" x14ac:dyDescent="0.3">
      <c r="A114" t="s">
        <v>14</v>
      </c>
      <c r="B114" s="5"/>
      <c r="M114" s="2"/>
      <c r="N114" s="2"/>
      <c r="O114"/>
      <c r="P114" s="2"/>
      <c r="Q114"/>
      <c r="R114" s="2"/>
    </row>
    <row r="115" spans="1:18" s="1" customFormat="1" hidden="1" x14ac:dyDescent="0.3">
      <c r="A115" t="s">
        <v>16</v>
      </c>
      <c r="B115" s="2"/>
      <c r="M115" s="2"/>
      <c r="N115" s="2"/>
      <c r="O115"/>
      <c r="P115" s="2"/>
      <c r="Q115"/>
      <c r="R115" s="2"/>
    </row>
    <row r="116" spans="1:18" s="1" customFormat="1" hidden="1" x14ac:dyDescent="0.3">
      <c r="A116" t="s">
        <v>17</v>
      </c>
      <c r="B116" s="5"/>
      <c r="M116" s="2"/>
      <c r="N116" s="2"/>
      <c r="O116"/>
      <c r="P116" s="2"/>
      <c r="Q116"/>
      <c r="R116" s="2"/>
    </row>
    <row r="117" spans="1:18" s="1" customFormat="1" hidden="1" x14ac:dyDescent="0.3">
      <c r="A117" t="s">
        <v>21</v>
      </c>
      <c r="B117" s="5"/>
      <c r="M117" s="2"/>
      <c r="N117" s="2"/>
      <c r="O117"/>
      <c r="P117" s="2"/>
      <c r="Q117"/>
      <c r="R117" s="2"/>
    </row>
    <row r="118" spans="1:18" s="1" customFormat="1" hidden="1" x14ac:dyDescent="0.3">
      <c r="A118" t="s">
        <v>30</v>
      </c>
      <c r="B118" s="5"/>
      <c r="M118" s="2"/>
      <c r="N118" s="2"/>
      <c r="O118"/>
      <c r="P118" s="2"/>
      <c r="Q118"/>
      <c r="R118" s="2"/>
    </row>
    <row r="119" spans="1:18" x14ac:dyDescent="0.3">
      <c r="B119" s="5"/>
    </row>
    <row r="120" spans="1:18" x14ac:dyDescent="0.3">
      <c r="B120" s="5"/>
    </row>
    <row r="121" spans="1:18" x14ac:dyDescent="0.3">
      <c r="B121" s="2"/>
    </row>
    <row r="122" spans="1:18" x14ac:dyDescent="0.3">
      <c r="B122" s="2"/>
    </row>
    <row r="123" spans="1:18" x14ac:dyDescent="0.3">
      <c r="B123" s="2"/>
    </row>
  </sheetData>
  <sheetProtection formatCells="0" formatColumns="0" formatRows="0" insertColumns="0" insertRows="0" insertHyperlinks="0" deleteColumns="0" deleteRows="0" sort="0" autoFilter="0" pivotTables="0"/>
  <mergeCells count="26">
    <mergeCell ref="F26:F38"/>
    <mergeCell ref="B2:L2"/>
    <mergeCell ref="B3:D3"/>
    <mergeCell ref="E3:I3"/>
    <mergeCell ref="J3:L3"/>
    <mergeCell ref="B5:C5"/>
    <mergeCell ref="B7:C7"/>
    <mergeCell ref="B9:C9"/>
    <mergeCell ref="B11:H11"/>
    <mergeCell ref="I11:J11"/>
    <mergeCell ref="K11:L11"/>
    <mergeCell ref="F13:F25"/>
    <mergeCell ref="F39:F50"/>
    <mergeCell ref="F51:F59"/>
    <mergeCell ref="H60:L60"/>
    <mergeCell ref="B64:C65"/>
    <mergeCell ref="D64:L64"/>
    <mergeCell ref="D65:L65"/>
    <mergeCell ref="C79:D79"/>
    <mergeCell ref="I79:K79"/>
    <mergeCell ref="B66:L67"/>
    <mergeCell ref="D69:L70"/>
    <mergeCell ref="B71:L72"/>
    <mergeCell ref="D74:L75"/>
    <mergeCell ref="B78:D78"/>
    <mergeCell ref="I78:K78"/>
  </mergeCells>
  <conditionalFormatting sqref="I61">
    <cfRule type="cellIs" dxfId="2" priority="3" operator="greaterThan">
      <formula>350</formula>
    </cfRule>
  </conditionalFormatting>
  <conditionalFormatting sqref="K61">
    <cfRule type="cellIs" dxfId="1" priority="2" operator="greaterThan">
      <formula>350</formula>
    </cfRule>
  </conditionalFormatting>
  <conditionalFormatting sqref="L18:L36 L51:L59">
    <cfRule type="cellIs" dxfId="0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66" sqref="I13:I25 K61 I39:I51 H13:H59 I61" xr:uid="{00000000-0002-0000-0100-000000000000}">
      <formula1>0</formula1>
      <formula2>366</formula2>
    </dataValidation>
    <dataValidation type="list" allowBlank="1" showInputMessage="1" showErrorMessage="1" sqref="E7:H8 D8" xr:uid="{00000000-0002-0000-0100-000001000000}">
      <formula1>#REF!</formula1>
    </dataValidation>
    <dataValidation type="list" allowBlank="1" showInputMessage="1" showErrorMessage="1" sqref="D7" xr:uid="{00000000-0002-0000-0100-000002000000}">
      <formula1>$A$107:$A$118</formula1>
    </dataValidation>
    <dataValidation type="whole" allowBlank="1" showInputMessage="1" showErrorMessage="1" errorTitle="¡Error!" error="Introduzca un número válido." promptTitle="¡Atención!" prompt="Introduzca un número entre 0 y 30" sqref="I52:I59 I26:I38" xr:uid="{00000000-0002-0000-0100-000003000000}">
      <formula1>0</formula1>
      <formula2>30</formula2>
    </dataValidation>
  </dataValidations>
  <pageMargins left="0.7" right="0.7" top="0.75" bottom="0.75" header="0.3" footer="0.3"/>
  <pageSetup scale="1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Petroservicios Ocho</cp:lastModifiedBy>
  <dcterms:created xsi:type="dcterms:W3CDTF">2024-01-10T22:00:55Z</dcterms:created>
  <dcterms:modified xsi:type="dcterms:W3CDTF">2026-03-03T23:20:38Z</dcterms:modified>
</cp:coreProperties>
</file>