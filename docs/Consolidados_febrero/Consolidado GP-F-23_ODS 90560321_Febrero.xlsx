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4980" windowHeight="470" activeTab="1"/>
  </bookViews>
  <sheets>
    <sheet name="ENERO" sheetId="19" r:id="rId1"/>
    <sheet name="FEBRERO" sheetId="2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20" l="1"/>
  <c r="J18" i="20"/>
  <c r="I27" i="20" l="1"/>
  <c r="J27" i="20" s="1"/>
  <c r="H27" i="20"/>
  <c r="H26" i="20"/>
  <c r="J25" i="20"/>
  <c r="J24" i="20"/>
  <c r="J23" i="20"/>
  <c r="J22" i="20"/>
  <c r="J21" i="20"/>
  <c r="J20" i="20"/>
  <c r="J19" i="20"/>
  <c r="J16" i="20"/>
  <c r="J15" i="20"/>
  <c r="J14" i="20"/>
  <c r="J13" i="20"/>
  <c r="I27" i="19" l="1"/>
  <c r="H27" i="19"/>
  <c r="K16" i="19" l="1"/>
  <c r="K16" i="20" s="1"/>
  <c r="L16" i="20" s="1"/>
  <c r="J16" i="19"/>
  <c r="K15" i="19"/>
  <c r="K15" i="20" s="1"/>
  <c r="L15" i="20" s="1"/>
  <c r="J15" i="19"/>
  <c r="K14" i="19"/>
  <c r="K14" i="20" s="1"/>
  <c r="L14" i="20" s="1"/>
  <c r="J14" i="19"/>
  <c r="L16" i="19" l="1"/>
  <c r="L14" i="19"/>
  <c r="L15" i="19"/>
  <c r="K13" i="19"/>
  <c r="K13" i="20" s="1"/>
  <c r="J13" i="19"/>
  <c r="K19" i="19"/>
  <c r="K19" i="20" s="1"/>
  <c r="L19" i="20" s="1"/>
  <c r="J19" i="19"/>
  <c r="K20" i="19"/>
  <c r="K20" i="20" s="1"/>
  <c r="L20" i="20" s="1"/>
  <c r="J20" i="19"/>
  <c r="K25" i="19"/>
  <c r="K25" i="20" s="1"/>
  <c r="L25" i="20" s="1"/>
  <c r="J25" i="19"/>
  <c r="K18" i="19"/>
  <c r="K18" i="20" s="1"/>
  <c r="L18" i="20" s="1"/>
  <c r="J18" i="19"/>
  <c r="K23" i="19"/>
  <c r="K23" i="20" s="1"/>
  <c r="L23" i="20" s="1"/>
  <c r="J23" i="19"/>
  <c r="K22" i="19"/>
  <c r="K22" i="20" s="1"/>
  <c r="L22" i="20" s="1"/>
  <c r="J22" i="19"/>
  <c r="K21" i="19"/>
  <c r="K21" i="20" s="1"/>
  <c r="L21" i="20" s="1"/>
  <c r="J21" i="19"/>
  <c r="K17" i="19"/>
  <c r="K17" i="20" s="1"/>
  <c r="L17" i="20" s="1"/>
  <c r="J17" i="19"/>
  <c r="K24" i="19"/>
  <c r="K24" i="20" s="1"/>
  <c r="L24" i="20" s="1"/>
  <c r="J24" i="19"/>
  <c r="K27" i="20" l="1"/>
  <c r="L27" i="20" s="1"/>
  <c r="L13" i="20"/>
  <c r="K27" i="19"/>
  <c r="L24" i="19"/>
  <c r="L23" i="19"/>
  <c r="L19" i="19"/>
  <c r="L13" i="19"/>
  <c r="L17" i="19"/>
  <c r="L18" i="19"/>
  <c r="L21" i="19"/>
  <c r="L25" i="19"/>
  <c r="L22" i="19"/>
  <c r="L20" i="19"/>
  <c r="H26" i="19"/>
  <c r="J27" i="19" l="1"/>
  <c r="L27" i="19" l="1"/>
</calcChain>
</file>

<file path=xl/comments1.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47" authorId="0" shapeId="0">
      <text>
        <r>
          <rPr>
            <sz val="9"/>
            <color indexed="81"/>
            <rFont val="Tahoma"/>
            <family val="2"/>
          </rPr>
          <t>Firma de quién revisa</t>
        </r>
      </text>
    </comment>
    <comment ref="H47" authorId="0" shapeId="0">
      <text>
        <r>
          <rPr>
            <sz val="9"/>
            <color indexed="81"/>
            <rFont val="Tahoma"/>
            <family val="2"/>
          </rPr>
          <t>Firma del interventor</t>
        </r>
      </text>
    </comment>
    <comment ref="C48" authorId="0" shapeId="0">
      <text>
        <r>
          <rPr>
            <sz val="9"/>
            <color rgb="FF000000"/>
            <rFont val="Tahoma"/>
            <family val="2"/>
          </rPr>
          <t>Nombre completo de quién revisa</t>
        </r>
      </text>
    </comment>
    <comment ref="I48"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47" authorId="0" shapeId="0">
      <text>
        <r>
          <rPr>
            <sz val="9"/>
            <color indexed="81"/>
            <rFont val="Tahoma"/>
            <family val="2"/>
          </rPr>
          <t>Firma de quién revisa</t>
        </r>
      </text>
    </comment>
    <comment ref="H47" authorId="0" shapeId="0">
      <text>
        <r>
          <rPr>
            <sz val="9"/>
            <color indexed="81"/>
            <rFont val="Tahoma"/>
            <family val="2"/>
          </rPr>
          <t>Firma del interventor</t>
        </r>
      </text>
    </comment>
    <comment ref="C48" authorId="0" shapeId="0">
      <text>
        <r>
          <rPr>
            <sz val="9"/>
            <color rgb="FF000000"/>
            <rFont val="Tahoma"/>
            <family val="2"/>
          </rPr>
          <t>Nombre completo de quién revisa</t>
        </r>
      </text>
    </comment>
    <comment ref="I48"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<sst xmlns="http://schemas.openxmlformats.org/spreadsheetml/2006/main" count="256" uniqueCount="99">
  <si>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</si>
  <si>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</si>
  <si>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</si>
  <si>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</si>
  <si>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</si>
  <si>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</si>
  <si>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</si>
  <si>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</si>
  <si>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</si>
  <si>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</si>
  <si>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</si>
  <si>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</si>
  <si>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</si>
  <si>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</si>
  <si>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</si>
  <si>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</si>
  <si>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</si>
  <si>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</si>
  <si>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</si>
  <si>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</si>
  <si>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</si>
  <si>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</si>
  <si>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</si>
  <si>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</si>
  <si>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</si>
  <si>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</si>
  <si>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</si>
  <si>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 contratados</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</si>
  <si>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</si>
  <si>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</si>
  <si>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</si>
  <si>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</si>
  <si>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</si>
  <si>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</si>
  <si>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</si>
  <si>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</si>
  <si>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</si>
  <si>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</si>
  <si>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</si>
  <si>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</si>
  <si>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</si>
  <si>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</si>
  <si>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Interventor:</t>
  </si>
  <si>
    <t>Profesional Responsable</t>
  </si>
  <si>
    <t>1.16</t>
  </si>
  <si>
    <t>Procesamiento sísmico en tiempo y/o profundidad</t>
  </si>
  <si>
    <t>1.24</t>
  </si>
  <si>
    <t>Caracterización composicional de fluidos de hidrocarburos mediante técnicas geoquímicas.</t>
  </si>
  <si>
    <t>Informe PDF recopilación de la informacion disponible para la caracterizacion de crudos en la cuenca del valle medio y llanos</t>
  </si>
  <si>
    <t>Digital, se envia por correo los respectivos formatos y el documento final</t>
  </si>
  <si>
    <t>Georeferenciación   de   Mapas, pozos, Imágenes   satélite, etc.   y Definición de CRS (Cordinates Reference System)</t>
  </si>
  <si>
    <t>Información georreferenciada</t>
  </si>
  <si>
    <t>1.22</t>
  </si>
  <si>
    <t>Modelos Digitales de Afloramiento a partir de fotogrametría</t>
  </si>
  <si>
    <t>Modelo digital 3D - Informe</t>
  </si>
  <si>
    <t>1.26</t>
  </si>
  <si>
    <t>Análisis e interpretación de imágenes de satélite</t>
  </si>
  <si>
    <t>Imagen clasificada - Informe</t>
  </si>
  <si>
    <t>Digital en la carpeta de sismología: \\10.100.25.60\nfs\SISMOLOGIA\ENTREGABLES MERIDIAN\Edwin Mayorga\2026\enero\Entregables</t>
  </si>
  <si>
    <t>Análisis geoquímicos de Fingerprinting</t>
  </si>
  <si>
    <t>Análisis geoquímico - Informe</t>
  </si>
  <si>
    <t>Digital enviado a miguel.jimenezja@ecopetrol.com.co</t>
  </si>
  <si>
    <t>1.25</t>
  </si>
  <si>
    <t>https://ecopetrol-my.sharepoint.com/:w:/r/personal/adrianapa_duenes_ecopetrol_com_co1/Documents/Informe%20Final_Llanito%2045-Integrado.docx?d=wa48a58a7ff874ec3a8e419c5fbd3780f&amp;csf=1&amp;web=1&amp;e=kTiIiW</t>
  </si>
  <si>
    <t xml:space="preserve">1.24 </t>
  </si>
  <si>
    <t xml:space="preserve">Informe </t>
  </si>
  <si>
    <t>miguel.jimenezja@ecopetrol.com.co</t>
  </si>
  <si>
    <t>Sergio Fernando Poveda Salazar</t>
  </si>
  <si>
    <t>Julio Cesar Figueroa Vega</t>
  </si>
  <si>
    <t>Jorge Eduardo Paiba Alzate</t>
  </si>
  <si>
    <t>Jully Marcela Ortegon Barrera</t>
  </si>
  <si>
    <t>Edwin Fabian Mayorga Lopez</t>
  </si>
  <si>
    <t>Mauricio Andres Vasquez Pinto</t>
  </si>
  <si>
    <t>Oscar Fabian Suarez Suarez</t>
  </si>
  <si>
    <t>Adriana Patricia Dueñes Garces</t>
  </si>
  <si>
    <t>Mario Augusto Moreno Castellanos</t>
  </si>
  <si>
    <r>
      <t xml:space="preserve">1.24 1.25 Especialista (MM): 
</t>
    </r>
    <r>
      <rPr>
        <sz val="9"/>
        <color theme="1"/>
        <rFont val="Verdana"/>
        <family val="2"/>
      </rPr>
      <t>*</t>
    </r>
    <r>
      <rPr>
        <b/>
        <sz val="9"/>
        <color theme="1"/>
        <rFont val="Verdana"/>
        <family val="2"/>
      </rPr>
      <t xml:space="preserve"> </t>
    </r>
    <r>
      <rPr>
        <sz val="9"/>
        <color theme="1"/>
        <rFont val="Verdana"/>
        <family val="2"/>
      </rPr>
      <t>Informe de caracterización geoquímica de muestras a partir de cromatografía gaseosa (GC-FID) en fluidos circundantes al pozo la Cira-1625KRST-1 con el fin de determinar tendencias, familias o características propias del entorno, las cuales se compararán con la información de análisis geoquímicos que se obtendrán del pozo Cira-1625KRST-1</t>
    </r>
    <r>
      <rPr>
        <b/>
        <sz val="9"/>
        <color theme="1"/>
        <rFont val="Verdana"/>
        <family val="2"/>
      </rPr>
      <t>.</t>
    </r>
  </si>
  <si>
    <r>
      <t xml:space="preserve">1.24 Senior (JF):
</t>
    </r>
    <r>
      <rPr>
        <sz val="9"/>
        <color theme="1"/>
        <rFont val="Verdana"/>
        <family val="2"/>
      </rPr>
      <t>El objeto central de este estudio es establecer una línea base geoquímica detallada de crudos frescos para luego evaluar, de manera sistemática y controlada, cómo los procesos de intemperismo (físicos, químicos y biológicos) modifican su composición molecular y propiedades fisicoquímicas.</t>
    </r>
  </si>
  <si>
    <r>
      <t xml:space="preserve">1.16 1.22 1.26 Senior (JP):
</t>
    </r>
    <r>
      <rPr>
        <sz val="9"/>
        <color theme="1"/>
        <rFont val="Verdana"/>
        <family val="2"/>
      </rPr>
      <t xml:space="preserve">El trabajo realizado aportó al desarrollo de una de las actividades de la orden de servicio y seguira desarrollandose los siguientes meses. </t>
    </r>
  </si>
  <si>
    <t>2.1. • Correos enviados al equipo de sismología y correspondientes campos (Edwin Mayorga, Esteban Poveda, Nelson Pérez, campos monitoreados).
2.2. "…\OneDrive - Ecopetrol S.A\SFPS\MODFLOW\0 - CAÑO SUR ESTE\202601_pruebas_cse_calibracion" à Carpeta OneDrive compartida por Nelson Pérez
2.3. \\10.100.25.60\nfs\SISMOLOGIA\ENTREGABLES MERIDIAN\Sergio Poveda\2026\2026-01 - Enero - Entregables\seis_viewer_v2
2.4. \\10.100.25.60\nfs\SISMOLOGIA\ENTREGABLES MERIDIAN\Sergio Poveda\2026\2026-01 - Enero - Entregables\seismic_report_ecp</t>
  </si>
  <si>
    <r>
      <t xml:space="preserve">1.2 Basico (SP)
</t>
    </r>
    <r>
      <rPr>
        <sz val="9"/>
        <color theme="1"/>
        <rFont val="Verdana"/>
        <family val="2"/>
      </rPr>
      <t>Este mes se generaron los reportes diarios de sismicidad y alertas sísmicas, además de colaborar con la actualización del visor de sismicidad de Dash y la rutina de generación de reportes diarios y alertas sísmicas, entre otras.</t>
    </r>
  </si>
  <si>
    <t>Actualización de los catálogos de inyección y sismicidad para Rubiales, Quifa Y Caño Sur, hasta el 20 de enero 2026.
Informe mensual relación entre la sismicidad y la inyección para los PAD3, PAD4 y PAD5 diciembre de 2025.
Informe mensual relación sismicidad inyección para el PAD RB555 diciembre de 2025.
Plan preliminar de trabajo durante 2026 con SeisComP.</t>
  </si>
  <si>
    <r>
      <t xml:space="preserve">1.19 Junior (EM):
</t>
    </r>
    <r>
      <rPr>
        <sz val="9"/>
        <color theme="1"/>
        <rFont val="Verdana"/>
        <family val="2"/>
      </rPr>
      <t>En este periodo se elaboró: 1) Presentación de seguimiento de sismicidad inyección del 1° noviembre de 2025 al 9 de febrero para el campo Rubiales.  2)  Informe anual de la relación sismicidad inyección para el PAD RB555 durante 2025. 3) Reportes semanales de la calidad de las estaciones de la red Rubiales y la red Cano Sur Este 4) Presentación sobre la configuración del sistema SeisComP, conforme al plan de trabajo.</t>
    </r>
    <r>
      <rPr>
        <b/>
        <sz val="9"/>
        <color theme="1"/>
        <rFont val="Verdana"/>
        <family val="2"/>
      </rPr>
      <t xml:space="preserve">
</t>
    </r>
  </si>
  <si>
    <t>Digital en la carpeta de sismología: \\10.100.25.60\nfs\SISMOLOGIA\ENTREGABLES MERIDIAN\Edwin Mayorga\2026\febrero\Entregables</t>
  </si>
  <si>
    <t>Presentación de seguimiento de sismicidad inyección del 1° noviembre de 2025 al 9 de febrero para el campo Rubiales.
Informe anual relación sismicidad inyección para el PAD RB555 durante 2025.
Reportes semanales de la calidad de las estaciones de la red Rubiales y Cano Sur Este. 
Presentación semanal configuración del sistema SeisComP, conforme al plan de trabajo.</t>
  </si>
  <si>
    <r>
      <t xml:space="preserve">1.16 1.22 1.26 Senior (JP):
</t>
    </r>
    <r>
      <rPr>
        <sz val="9"/>
        <color theme="1"/>
        <rFont val="Verdana"/>
        <family val="2"/>
      </rPr>
      <t xml:space="preserve">El trabajo realizado aportó al desarrollo de las actividades de la orden de servicio y seguiran desarrollandose los siguientes meses. </t>
    </r>
  </si>
  <si>
    <r>
      <t xml:space="preserve">1.2 Basico (SP)
</t>
    </r>
    <r>
      <rPr>
        <sz val="9"/>
        <color theme="1"/>
        <rFont val="Verdana"/>
        <family val="2"/>
      </rPr>
      <t>Este mes se generaron los reportes diarios de sismicidad y alertas sísmicas, además de colaborar con la actualización del visor de sismicidad de Dash, la rutina de generación de reportes diarios y alertas sísmicas, la creación del resumen de sismicidad e inyección, entre otras.</t>
    </r>
  </si>
  <si>
    <r>
      <t xml:space="preserve">1.24 1.25 Especialista (MM): 
</t>
    </r>
    <r>
      <rPr>
        <sz val="9"/>
        <color theme="1"/>
        <rFont val="Verdana"/>
        <family val="2"/>
      </rPr>
      <t>Avance del Informe de caracterización geoquímica de muestras a partir de cromatografía gaseosa (GC-FID) en fluidos circundantes al pozo la Cira-1625KRST-1 con el fin de determinar tendencias, familias o características propias del entorno, las cuales se compararán con la información de análisis geoquímicos que se obtendrán del pozo Cira-1625KRST-1.</t>
    </r>
    <r>
      <rPr>
        <b/>
        <sz val="9"/>
        <color theme="1"/>
        <rFont val="Verdana"/>
        <family val="2"/>
      </rPr>
      <t xml:space="preserve">
</t>
    </r>
    <r>
      <rPr>
        <sz val="9"/>
        <color theme="1"/>
        <rFont val="Verdana"/>
        <family val="2"/>
      </rPr>
      <t/>
    </r>
  </si>
  <si>
    <t>Informe a Miguel Jimenez por correo electrónico</t>
  </si>
  <si>
    <t>Informe enviado  a Miguel Jimenez  por correo electrónico</t>
  </si>
  <si>
    <t>Archivo digital procesado</t>
  </si>
  <si>
    <t>Informe - Estudio de Petroleómica aplicada a crudos alterados</t>
  </si>
  <si>
    <r>
      <t xml:space="preserve">1.24 1.25 Especialista (AD):
</t>
    </r>
    <r>
      <rPr>
        <sz val="9"/>
        <color theme="1"/>
        <rFont val="Verdana"/>
        <family val="2"/>
      </rPr>
      <t>* Se realizó la evaluación e integración de la geoquímica para dar respuesta a las autoridades  por contaminación ambiental del pozo de agua El Rodeo cercano al predio de Belkys en el Campo Llanito, se realiza la entrega por medio de correo electrónico.
* Se realizó la interpretación geoquímica e integración de los datos de geología y estructuras asociadas a la manifestación de crudo en superficie en el área de Fortuna, Campo Lisama, para dar respuesta a las autoridades Ambientales por la presunta contaminación de los predios, se realiza la entrega por medio de correo electrónico.</t>
    </r>
  </si>
  <si>
    <t>1.19</t>
  </si>
  <si>
    <t>* Turnos de vigilancia para alertas de sismicidad y reportes diarios de sismicidad (CA, RB, CSE, QF)
* Visor de sismicidad – Aplicación Dash (RB, CA, QF, CSE, CH)
* Rutina de código para reportes diarios y alertas sísmicas (RB, CSE, CA)
* Reportes mensuales autoridades ambientales – RB555, PADs 3, 4 y 5 (RB)
* Resumen mensual de sismicidad e inyección (CA)</t>
  </si>
  <si>
    <t>* Correos enviados al equipo de sismología y correspondientes campos (Edwin Mayorga, Esteban Poveda, Nelson Pérez, campos monitoreados).
* \\10.100.25.60\nfs\SISMOLOGIA\ENTREGABLES MERIDIAN\Sergio Poveda\2026\2026-02 - Febrero - Entregables\seis_viewer_v2
* \\10.100.25.60\nfs\SISMOLOGIA\ENTREGABLES MERIDIAN\Sergio Poveda\2026\2026-02 - Febrero - Entregables\seismic_report
* \\10.100.25.60\nfs\SISMOLOGIA\ENTREGABLES MERIDIAN\Sergio Poveda\2026\2026-02 - Febrero - Entregables\ 20260225_IS38_Ene_2026_RB555.doc		
		\\10.100.25.60\nfs\SISMOLOGIA\ENTREGABLES MERIDIAN\Sergio Poveda\2026\2026-02 - Febrero - Entregables\ 20260225_IS93_Ene_2026_ANH_PAD3_4_5.doc
* \\10.100.25.60\nfs\SISMOLOGIA\ENTREGABLES MERIDIAN\Sergio Poveda\2026\2026-02 - Febrero - Entregables\ 20260210_Seguimiento_inyeccion_Enero2026.ppt</t>
  </si>
  <si>
    <r>
      <t xml:space="preserve">1.19 Junior (EM):
</t>
    </r>
    <r>
      <rPr>
        <sz val="9"/>
        <color theme="1"/>
        <rFont val="Verdana"/>
        <family val="2"/>
      </rPr>
      <t>* Actualización los catálogos de inyección y sismicidad para Rubiales, Quifa Y Caño Sur (20 enero 2026).
* Informe mensual de la relación entre la sismicidad y la inyección para los PAD3, PAD4 y PAD5 de diciembre de 2025.
* Informe mensual de la relación sismicidad inyección para el PAD RB555 de diciembre de 2025.
* Plan preliminar de trabajo durante 2026 con SeisComP</t>
    </r>
    <r>
      <rPr>
        <b/>
        <sz val="9"/>
        <color theme="1"/>
        <rFont val="Verdana"/>
        <family val="2"/>
      </rPr>
      <t xml:space="preserve">.       
</t>
    </r>
  </si>
  <si>
    <r>
      <t xml:space="preserve">1.24 1.25 Especialista (AD):
</t>
    </r>
    <r>
      <rPr>
        <sz val="9"/>
        <color theme="1"/>
        <rFont val="Verdana"/>
        <family val="2"/>
      </rPr>
      <t>* Se realizó la evaluación e integración de nuevos estudios y datos geoquímicos al IANR llanito-45 para dar respuesta a las autoridades  por contaminación ambiental el los predios del Campo Llanito, se realiza la entrega por medio de SharePoint.
* Se inició la interpretación de los datos obtenidos para el Barrio 25 de agosto</t>
    </r>
  </si>
  <si>
    <t>Miguel Fernando Jiménez Jácome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</si>
</sst>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0" fontId="2" fillId="0" borderId="0" xfId="0" applyFont="1"/>
    <xf numFmtId="0" fontId="3" fillId="0" borderId="0" xfId="0" applyFont="1"/>
    <xf numFmtId="0" fontId="2" fillId="0" borderId="6" xfId="0" applyFont="1" applyBorder="1"/>
    <xf numFmtId="0" fontId="2" fillId="0" borderId="7" xfId="0" applyFont="1" applyBorder="1"/>
    <xf numFmtId="0" fontId="4" fillId="0" borderId="0" xfId="0" applyFont="1" applyAlignment="1">
      <alignment horizontal="center" vertical="center"/>
    </xf>
    <xf numFmtId="0" fontId="2" fillId="0" borderId="0" xfId="0" applyFont="1" applyAlignment="1">
      <alignment vertical="center"/>
    </xf>
    <xf numFmtId="0" fontId="2" fillId="0" borderId="9" xfId="0" applyFont="1" applyBorder="1" applyAlignment="1">
      <alignment vertical="center"/>
    </xf>
    <xf numFmtId="0" fontId="3" fillId="0" borderId="0" xfId="0" applyFont="1" applyAlignment="1">
      <alignment vertical="center"/>
    </xf>
    <xf numFmtId="0" fontId="2" fillId="0" borderId="9" xfId="0" applyFont="1" applyBorder="1"/>
    <xf numFmtId="49" fontId="4" fillId="0" borderId="0" xfId="0" applyNumberFormat="1" applyFont="1" applyAlignment="1">
      <alignment horizontal="center"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14" fontId="4" fillId="0" borderId="0" xfId="0" applyNumberFormat="1" applyFont="1" applyAlignment="1">
      <alignment horizontal="center" vertical="center"/>
    </xf>
    <xf numFmtId="0" fontId="0" fillId="0" borderId="0" xfId="0" applyAlignment="1">
      <alignment vertical="center"/>
    </xf>
    <xf numFmtId="164" fontId="4" fillId="0" borderId="8" xfId="1" applyNumberFormat="1" applyFont="1" applyBorder="1" applyAlignment="1" applyProtection="1">
      <alignment horizontal="center" vertical="center"/>
    </xf>
    <xf numFmtId="0" fontId="4" fillId="4" borderId="0" xfId="0" applyFont="1" applyFill="1" applyAlignment="1">
      <alignment vertical="center"/>
    </xf>
    <xf numFmtId="0" fontId="4" fillId="4" borderId="4" xfId="0" applyFont="1" applyFill="1" applyBorder="1" applyAlignment="1">
      <alignment vertical="center"/>
    </xf>
    <xf numFmtId="0" fontId="2" fillId="0" borderId="8" xfId="0" applyFont="1" applyBorder="1" applyAlignment="1">
      <alignment horizontal="center" vertical="center"/>
    </xf>
    <xf numFmtId="0" fontId="6" fillId="0" borderId="8" xfId="0" applyFont="1" applyBorder="1" applyAlignment="1">
      <alignment horizontal="center"/>
    </xf>
    <xf numFmtId="0" fontId="2" fillId="0" borderId="0" xfId="0" applyFont="1" applyAlignment="1">
      <alignment horizontal="center" vertical="center"/>
    </xf>
    <xf numFmtId="0" fontId="4" fillId="4" borderId="2" xfId="0" applyFont="1" applyFill="1" applyBorder="1" applyAlignment="1">
      <alignment horizontal="center" vertical="center"/>
    </xf>
    <xf numFmtId="0" fontId="3" fillId="0" borderId="0" xfId="0" applyFont="1" applyAlignment="1">
      <alignment horizontal="center" vertical="center"/>
    </xf>
    <xf numFmtId="0" fontId="2" fillId="0" borderId="5" xfId="0" applyFont="1" applyBorder="1" applyAlignment="1">
      <alignment horizontal="center" vertical="center"/>
    </xf>
    <xf numFmtId="0" fontId="2" fillId="0" borderId="10" xfId="0" applyFont="1" applyBorder="1" applyAlignment="1">
      <alignment horizontal="center" vertical="center"/>
    </xf>
    <xf numFmtId="164" fontId="4" fillId="0" borderId="0" xfId="1" applyNumberFormat="1" applyFont="1" applyBorder="1" applyAlignment="1" applyProtection="1">
      <alignment horizontal="center" vertical="center"/>
    </xf>
    <xf numFmtId="1" fontId="4" fillId="0" borderId="0" xfId="0" applyNumberFormat="1" applyFont="1" applyAlignment="1">
      <alignment horizontal="center" vertical="center"/>
    </xf>
    <xf numFmtId="0" fontId="4" fillId="2" borderId="8" xfId="0" applyFont="1" applyFill="1" applyBorder="1" applyAlignment="1">
      <alignment horizontal="center" vertical="center"/>
    </xf>
    <xf numFmtId="49" fontId="4" fillId="2" borderId="8" xfId="0" applyNumberFormat="1" applyFont="1" applyFill="1" applyBorder="1" applyAlignment="1">
      <alignment horizontal="center" vertical="center"/>
    </xf>
    <xf numFmtId="14" fontId="4" fillId="2" borderId="8" xfId="0" applyNumberFormat="1" applyFont="1" applyFill="1" applyBorder="1" applyAlignment="1">
      <alignment horizontal="center" vertical="center"/>
    </xf>
    <xf numFmtId="0" fontId="4" fillId="0" borderId="8" xfId="0" applyFont="1" applyBorder="1" applyAlignment="1">
      <alignment horizontal="center" vertical="center"/>
    </xf>
    <xf numFmtId="1" fontId="4" fillId="0" borderId="8" xfId="0" applyNumberFormat="1" applyFont="1" applyBorder="1" applyAlignment="1">
      <alignment horizontal="center" vertical="center"/>
    </xf>
    <xf numFmtId="0" fontId="4" fillId="0" borderId="3" xfId="0" applyFont="1" applyBorder="1" applyAlignment="1">
      <alignment horizontal="center" vertical="center"/>
    </xf>
    <xf numFmtId="0" fontId="2" fillId="3" borderId="8" xfId="0" applyFont="1" applyFill="1" applyBorder="1" applyAlignment="1">
      <alignment horizontal="center" vertical="center"/>
    </xf>
    <xf numFmtId="9" fontId="2" fillId="0" borderId="8" xfId="1" applyFont="1" applyBorder="1" applyAlignment="1" applyProtection="1">
      <alignment horizontal="center" vertical="center"/>
    </xf>
    <xf numFmtId="1" fontId="2" fillId="0" borderId="8" xfId="0" applyNumberFormat="1" applyFont="1" applyBorder="1" applyAlignment="1">
      <alignment horizontal="center" vertical="center"/>
    </xf>
    <xf numFmtId="0" fontId="2" fillId="3" borderId="17" xfId="0" applyFont="1" applyFill="1" applyBorder="1" applyAlignment="1">
      <alignment horizontal="center" vertical="center"/>
    </xf>
    <xf numFmtId="9" fontId="2" fillId="0" borderId="17" xfId="1" applyFont="1" applyBorder="1" applyAlignment="1" applyProtection="1">
      <alignment horizontal="center" vertical="center"/>
    </xf>
    <xf numFmtId="1" fontId="2" fillId="0" borderId="17" xfId="0" applyNumberFormat="1" applyFont="1" applyBorder="1" applyAlignment="1">
      <alignment horizontal="center" vertical="center"/>
    </xf>
    <xf numFmtId="0" fontId="2" fillId="3" borderId="18" xfId="0" applyFont="1" applyFill="1" applyBorder="1" applyAlignment="1">
      <alignment horizontal="center" vertical="center"/>
    </xf>
    <xf numFmtId="9" fontId="2" fillId="0" borderId="18" xfId="1" applyFont="1" applyBorder="1" applyAlignment="1" applyProtection="1">
      <alignment horizontal="center" vertical="center"/>
    </xf>
    <xf numFmtId="1" fontId="2" fillId="0" borderId="18" xfId="0" applyNumberFormat="1" applyFont="1" applyBorder="1" applyAlignment="1">
      <alignment horizontal="center" vertical="center"/>
    </xf>
    <xf numFmtId="0" fontId="10" fillId="0" borderId="8" xfId="0" applyFont="1" applyBorder="1" applyAlignment="1">
      <alignment horizontal="center" vertical="center"/>
    </xf>
    <xf numFmtId="0" fontId="10" fillId="0" borderId="19"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2" fillId="2" borderId="1" xfId="0" applyFont="1" applyFill="1" applyBorder="1" applyAlignment="1">
      <alignment horizontal="center" vertical="center" wrapText="1"/>
    </xf>
    <xf numFmtId="0" fontId="10" fillId="0" borderId="21" xfId="0" applyFont="1" applyBorder="1" applyAlignment="1">
      <alignment horizontal="center" vertical="center"/>
    </xf>
    <xf numFmtId="0" fontId="2" fillId="3" borderId="19" xfId="0" applyFont="1" applyFill="1" applyBorder="1" applyAlignment="1">
      <alignment horizontal="center" vertical="center"/>
    </xf>
    <xf numFmtId="9" fontId="2" fillId="0" borderId="19" xfId="1" applyFont="1" applyBorder="1" applyAlignment="1" applyProtection="1">
      <alignment horizontal="center" vertical="center"/>
    </xf>
    <xf numFmtId="1" fontId="2" fillId="0" borderId="19" xfId="0" applyNumberFormat="1" applyFont="1" applyBorder="1" applyAlignment="1">
      <alignment horizontal="center" vertical="center"/>
    </xf>
    <xf numFmtId="0" fontId="2" fillId="0" borderId="4" xfId="0" applyFont="1" applyBorder="1" applyAlignment="1" applyProtection="1">
      <alignment horizontal="left" vertical="center"/>
      <protection locked="0"/>
    </xf>
    <xf numFmtId="0" fontId="2" fillId="2" borderId="28" xfId="0" applyFont="1" applyFill="1" applyBorder="1" applyAlignment="1">
      <alignment horizontal="center" vertical="center" wrapText="1"/>
    </xf>
    <xf numFmtId="0" fontId="10" fillId="0" borderId="20" xfId="0" applyFont="1" applyBorder="1" applyAlignment="1">
      <alignment horizontal="center" vertical="center"/>
    </xf>
    <xf numFmtId="9" fontId="2" fillId="0" borderId="29" xfId="1" applyFont="1" applyBorder="1" applyAlignment="1" applyProtection="1">
      <alignment horizontal="center" vertical="center"/>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9" fontId="2" fillId="0" borderId="31" xfId="1" applyFont="1" applyBorder="1" applyAlignment="1" applyProtection="1">
      <alignment horizontal="center" vertical="center"/>
    </xf>
    <xf numFmtId="0" fontId="10" fillId="0" borderId="33" xfId="0" applyFont="1" applyBorder="1" applyAlignment="1">
      <alignment horizontal="center" vertical="center"/>
    </xf>
    <xf numFmtId="9" fontId="2" fillId="0" borderId="34" xfId="1" applyFont="1" applyBorder="1" applyAlignment="1" applyProtection="1">
      <alignment horizontal="center" vertical="center"/>
    </xf>
    <xf numFmtId="9" fontId="2" fillId="0" borderId="35" xfId="1" applyFont="1" applyBorder="1" applyAlignment="1" applyProtection="1">
      <alignment horizontal="center" vertical="center"/>
    </xf>
    <xf numFmtId="0" fontId="10" fillId="0" borderId="26" xfId="0" applyFont="1" applyBorder="1" applyAlignment="1">
      <alignment horizontal="center" vertical="center"/>
    </xf>
    <xf numFmtId="0" fontId="2" fillId="2" borderId="36" xfId="0" applyFont="1" applyFill="1" applyBorder="1" applyAlignment="1">
      <alignment horizontal="center" vertical="center" wrapText="1"/>
    </xf>
    <xf numFmtId="9" fontId="10" fillId="0" borderId="17" xfId="1" applyFont="1" applyBorder="1" applyAlignment="1">
      <alignment horizontal="center" vertical="center"/>
    </xf>
    <xf numFmtId="0" fontId="10" fillId="0" borderId="4" xfId="0" applyFont="1" applyBorder="1" applyAlignment="1">
      <alignment horizontal="left" vertical="center"/>
    </xf>
    <xf numFmtId="0" fontId="10" fillId="0" borderId="8" xfId="0" applyFont="1" applyBorder="1" applyAlignment="1">
      <alignment horizontal="left" vertical="center"/>
    </xf>
    <xf numFmtId="0" fontId="10" fillId="0" borderId="22" xfId="0" applyFont="1" applyBorder="1" applyAlignment="1">
      <alignment horizontal="left" vertical="center"/>
    </xf>
    <xf numFmtId="0" fontId="10" fillId="0" borderId="19" xfId="0" applyFont="1" applyBorder="1" applyAlignment="1">
      <alignment horizontal="left" vertical="center"/>
    </xf>
    <xf numFmtId="0" fontId="10" fillId="0" borderId="23" xfId="0" applyFont="1" applyBorder="1" applyAlignment="1">
      <alignment horizontal="left" vertical="center"/>
    </xf>
    <xf numFmtId="0" fontId="10" fillId="0" borderId="17" xfId="0" applyFont="1" applyBorder="1" applyAlignment="1">
      <alignment horizontal="left" vertical="center"/>
    </xf>
    <xf numFmtId="0" fontId="10" fillId="0" borderId="24" xfId="0" applyFont="1" applyBorder="1" applyAlignment="1">
      <alignment horizontal="left" vertical="center"/>
    </xf>
    <xf numFmtId="0" fontId="10" fillId="0" borderId="18" xfId="0" applyFont="1" applyBorder="1" applyAlignment="1">
      <alignment horizontal="left" vertical="center"/>
    </xf>
    <xf numFmtId="0" fontId="10" fillId="0" borderId="8" xfId="0" applyFont="1" applyBorder="1" applyAlignment="1" applyProtection="1">
      <alignment horizontal="left" vertical="center"/>
      <protection locked="0"/>
    </xf>
    <xf numFmtId="0" fontId="10" fillId="0" borderId="13" xfId="0" applyFont="1" applyBorder="1" applyAlignment="1">
      <alignment horizontal="left" vertical="center"/>
    </xf>
    <xf numFmtId="0" fontId="10" fillId="0" borderId="21" xfId="0" applyFont="1" applyBorder="1" applyAlignment="1">
      <alignment horizontal="left" vertical="center"/>
    </xf>
    <xf numFmtId="0" fontId="2" fillId="0" borderId="8" xfId="0" applyFont="1" applyBorder="1" applyAlignment="1">
      <alignment horizontal="left" vertical="center"/>
    </xf>
    <xf numFmtId="0" fontId="2" fillId="0" borderId="0" xfId="0" applyFont="1" applyAlignment="1">
      <alignment horizontal="center"/>
    </xf>
    <xf numFmtId="0" fontId="10" fillId="0" borderId="13" xfId="0" applyFont="1" applyBorder="1" applyAlignment="1">
      <alignment horizontal="center" vertical="center" wrapText="1"/>
    </xf>
    <xf numFmtId="0" fontId="2" fillId="0" borderId="20" xfId="0" applyFont="1" applyBorder="1" applyAlignment="1" applyProtection="1">
      <alignment horizontal="center" vertical="center"/>
      <protection locked="0"/>
    </xf>
    <xf numFmtId="0" fontId="2" fillId="0" borderId="27" xfId="0" applyFont="1" applyBorder="1" applyAlignment="1">
      <alignment horizontal="center" vertical="center"/>
    </xf>
    <xf numFmtId="0" fontId="10" fillId="0" borderId="4" xfId="0" applyFont="1" applyBorder="1" applyAlignment="1">
      <alignment horizontal="center" vertical="center" wrapText="1"/>
    </xf>
    <xf numFmtId="0" fontId="2" fillId="0" borderId="4" xfId="0" applyFont="1" applyBorder="1" applyAlignment="1" applyProtection="1">
      <alignment horizontal="center" vertical="center" wrapText="1"/>
      <protection locked="0"/>
    </xf>
    <xf numFmtId="0" fontId="2" fillId="0" borderId="3" xfId="0" applyFont="1" applyBorder="1" applyAlignment="1">
      <alignment horizontal="center" vertical="center" wrapText="1"/>
    </xf>
    <xf numFmtId="0" fontId="2" fillId="3" borderId="21" xfId="0" applyFont="1" applyFill="1" applyBorder="1" applyAlignment="1">
      <alignment horizontal="center" vertical="center"/>
    </xf>
    <xf numFmtId="9" fontId="2" fillId="0" borderId="21" xfId="1" applyFont="1" applyBorder="1" applyAlignment="1" applyProtection="1">
      <alignment horizontal="center" vertical="center"/>
    </xf>
    <xf numFmtId="1" fontId="2" fillId="0" borderId="21" xfId="0" applyNumberFormat="1" applyFont="1" applyBorder="1" applyAlignment="1">
      <alignment horizontal="center" vertical="center"/>
    </xf>
    <xf numFmtId="9" fontId="2" fillId="0" borderId="37" xfId="1" applyFont="1" applyBorder="1" applyAlignment="1" applyProtection="1">
      <alignment horizontal="center" vertical="center"/>
    </xf>
    <xf numFmtId="0" fontId="2" fillId="0" borderId="38" xfId="0" applyFont="1" applyBorder="1" applyAlignment="1" applyProtection="1">
      <alignment horizontal="center" vertical="center"/>
      <protection locked="0"/>
    </xf>
    <xf numFmtId="0" fontId="2" fillId="0" borderId="39" xfId="0" applyFont="1" applyBorder="1" applyAlignment="1" applyProtection="1">
      <alignment horizontal="left" vertical="center"/>
      <protection locked="0"/>
    </xf>
    <xf numFmtId="0" fontId="2" fillId="0" borderId="39" xfId="0" applyFont="1" applyBorder="1" applyAlignment="1" applyProtection="1">
      <alignment horizontal="center" vertical="center" wrapText="1"/>
      <protection locked="0"/>
    </xf>
    <xf numFmtId="0" fontId="10" fillId="0" borderId="40" xfId="0" applyFont="1" applyBorder="1" applyAlignment="1" applyProtection="1">
      <alignment horizontal="left" vertical="center"/>
      <protection locked="0"/>
    </xf>
    <xf numFmtId="0" fontId="2" fillId="0" borderId="40" xfId="0" applyFont="1" applyBorder="1" applyAlignment="1">
      <alignment horizontal="left" vertical="center"/>
    </xf>
    <xf numFmtId="0" fontId="2" fillId="3" borderId="40" xfId="0" applyFont="1" applyFill="1" applyBorder="1" applyAlignment="1">
      <alignment horizontal="center" vertical="center"/>
    </xf>
    <xf numFmtId="9" fontId="2" fillId="0" borderId="40" xfId="1" applyFont="1" applyBorder="1" applyAlignment="1" applyProtection="1">
      <alignment horizontal="center" vertical="center"/>
    </xf>
    <xf numFmtId="1" fontId="2" fillId="0" borderId="40" xfId="0" applyNumberFormat="1" applyFont="1" applyBorder="1" applyAlignment="1">
      <alignment horizontal="center" vertical="center"/>
    </xf>
    <xf numFmtId="9" fontId="2" fillId="0" borderId="41" xfId="1" applyFont="1" applyBorder="1" applyAlignment="1" applyProtection="1">
      <alignment horizontal="center" vertical="center"/>
    </xf>
    <xf numFmtId="0" fontId="10" fillId="3" borderId="1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10" fillId="0" borderId="40" xfId="0" applyFont="1" applyBorder="1" applyAlignment="1">
      <alignment horizontal="center" vertical="center"/>
    </xf>
    <xf numFmtId="0" fontId="2" fillId="0" borderId="8" xfId="0" applyFont="1" applyBorder="1" applyAlignment="1" applyProtection="1">
      <alignment horizontal="left" vertical="center"/>
      <protection locked="0"/>
    </xf>
    <xf numFmtId="0" fontId="2" fillId="0" borderId="6" xfId="0" applyFont="1" applyBorder="1" applyAlignment="1">
      <alignment horizontal="center" vertical="center"/>
    </xf>
    <xf numFmtId="0" fontId="4" fillId="2" borderId="8" xfId="0" applyFont="1" applyFill="1" applyBorder="1" applyAlignment="1">
      <alignment horizontal="left" vertical="top" wrapText="1"/>
    </xf>
    <xf numFmtId="0" fontId="2" fillId="2" borderId="8" xfId="0" applyFont="1" applyFill="1" applyBorder="1" applyAlignment="1">
      <alignment horizontal="left" vertical="top" wrapText="1"/>
    </xf>
    <xf numFmtId="0" fontId="4" fillId="3" borderId="10"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9"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2" fillId="0" borderId="12" xfId="0" applyFont="1" applyBorder="1" applyAlignment="1">
      <alignment horizontal="center"/>
    </xf>
    <xf numFmtId="0" fontId="2" fillId="2" borderId="5"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21" xfId="0" applyFont="1" applyBorder="1" applyAlignment="1">
      <alignment horizontal="center" vertical="center"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10" fillId="0" borderId="25" xfId="0" applyFont="1" applyBorder="1" applyAlignment="1">
      <alignment horizontal="center" vertical="center" wrapText="1"/>
    </xf>
  </cellXfs>
  <cellStyles count="2">
    <cellStyle name="Normal" xfId="0" builtinId="0"/>
    <cellStyle name="Porcentaje" xfId="1" builtinId="5"/>
  </cellStyles>
  <dxfs count="3">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331" y="194787"/>
          <a:ext cx="196976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331" y="194787"/>
          <a:ext cx="196976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430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430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92"/>
  <sheetViews>
    <sheetView showGridLines="0" zoomScaleNormal="100" zoomScaleSheetLayoutView="85" workbookViewId="0">
      <selection activeCell="B2" sqref="B2:L2"/>
    </sheetView>
  </sheetViews>
  <sheetFormatPr baseColWidth="10" defaultColWidth="8.6328125" defaultRowHeight="14.5" x14ac:dyDescent="0.35"/>
  <cols>
    <col min="1" max="1" width="4.453125" style="2" customWidth="1"/>
    <col min="2" max="2" width="8.54296875" style="20" customWidth="1"/>
    <col min="3" max="3" width="8.36328125" style="1" customWidth="1"/>
    <col min="4" max="4" width="43.36328125" style="1" customWidth="1"/>
    <col min="5" max="5" width="18.453125" style="1" customWidth="1"/>
    <col min="6" max="6" width="21.90625" style="1" customWidth="1"/>
    <col min="7" max="7" width="13.453125" style="1" customWidth="1"/>
    <col min="8" max="8" width="13.6328125" style="1" customWidth="1"/>
    <col min="9" max="9" width="13.453125" style="1" customWidth="1"/>
    <col min="10" max="10" width="10.453125" style="1" customWidth="1"/>
    <col min="11" max="11" width="12.453125" style="1" customWidth="1"/>
    <col min="12" max="12" width="12.36328125" style="1" customWidth="1"/>
    <col min="13" max="13" width="6.632812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x14ac:dyDescent="0.35">
      <c r="Q1" t="s">
        <v>0</v>
      </c>
    </row>
    <row r="2" spans="2:17" ht="49.5" customHeight="1" x14ac:dyDescent="0.35">
      <c r="B2" s="135" t="s">
        <v>1</v>
      </c>
      <c r="C2" s="135"/>
      <c r="D2" s="135"/>
      <c r="E2" s="135"/>
      <c r="F2" s="135"/>
      <c r="G2" s="135"/>
      <c r="H2" s="135"/>
      <c r="I2" s="135"/>
      <c r="J2" s="135"/>
      <c r="K2" s="135"/>
      <c r="L2" s="135"/>
      <c r="Q2" t="s">
        <v>2</v>
      </c>
    </row>
    <row r="3" spans="2:17" ht="18.75" customHeight="1" x14ac:dyDescent="0.35">
      <c r="B3" s="136" t="s">
        <v>3</v>
      </c>
      <c r="C3" s="137"/>
      <c r="D3" s="137"/>
      <c r="E3" s="32"/>
      <c r="F3" s="137" t="s">
        <v>4</v>
      </c>
      <c r="G3" s="137"/>
      <c r="H3" s="137"/>
      <c r="I3" s="137"/>
      <c r="J3" s="137" t="s">
        <v>5</v>
      </c>
      <c r="K3" s="137"/>
      <c r="L3" s="138"/>
    </row>
    <row r="4" spans="2:17" x14ac:dyDescent="0.35">
      <c r="B4" s="23"/>
      <c r="C4" s="3"/>
      <c r="L4" s="4"/>
      <c r="Q4" t="s">
        <v>6</v>
      </c>
    </row>
    <row r="5" spans="2:17" s="8" customFormat="1" ht="27.65" customHeight="1" x14ac:dyDescent="0.35">
      <c r="B5" s="139" t="s">
        <v>7</v>
      </c>
      <c r="C5" s="139"/>
      <c r="D5" s="27">
        <v>90560321</v>
      </c>
      <c r="E5"/>
      <c r="F5" s="5"/>
      <c r="G5" s="5"/>
      <c r="H5" s="6"/>
      <c r="I5" s="6"/>
      <c r="J5" s="6"/>
      <c r="K5" s="6"/>
      <c r="L5" s="7"/>
      <c r="O5"/>
      <c r="Q5" t="s">
        <v>8</v>
      </c>
    </row>
    <row r="6" spans="2:17" x14ac:dyDescent="0.35">
      <c r="B6" s="24"/>
      <c r="E6"/>
      <c r="L6" s="9"/>
      <c r="Q6" t="s">
        <v>9</v>
      </c>
    </row>
    <row r="7" spans="2:17" s="8" customFormat="1" x14ac:dyDescent="0.35">
      <c r="B7" s="139" t="s">
        <v>12</v>
      </c>
      <c r="C7" s="139"/>
      <c r="D7" s="28" t="s">
        <v>2</v>
      </c>
      <c r="E7"/>
      <c r="F7"/>
      <c r="G7"/>
      <c r="H7"/>
      <c r="I7"/>
      <c r="J7" s="6"/>
      <c r="K7" s="6"/>
      <c r="L7" s="7"/>
      <c r="O7"/>
      <c r="Q7" t="s">
        <v>13</v>
      </c>
    </row>
    <row r="8" spans="2:17" s="8" customFormat="1" x14ac:dyDescent="0.35">
      <c r="B8" s="11"/>
      <c r="C8" s="12"/>
      <c r="D8" s="10"/>
      <c r="E8"/>
      <c r="F8" s="10"/>
      <c r="G8" s="10"/>
      <c r="H8" s="6"/>
      <c r="I8" s="6"/>
      <c r="J8" s="6"/>
      <c r="K8" s="6"/>
      <c r="L8" s="7"/>
      <c r="O8"/>
      <c r="Q8" t="s">
        <v>14</v>
      </c>
    </row>
    <row r="9" spans="2:17" s="8" customFormat="1" x14ac:dyDescent="0.35">
      <c r="B9" s="139" t="s">
        <v>15</v>
      </c>
      <c r="C9" s="139"/>
      <c r="D9" s="29">
        <v>46053</v>
      </c>
      <c r="E9"/>
      <c r="F9" s="13"/>
      <c r="G9" s="13"/>
      <c r="H9" s="6"/>
      <c r="I9" s="6"/>
      <c r="J9" s="6"/>
      <c r="K9" s="6"/>
      <c r="L9" s="7"/>
      <c r="O9"/>
      <c r="Q9" t="s">
        <v>16</v>
      </c>
    </row>
    <row r="10" spans="2:17" ht="15" thickBot="1" x14ac:dyDescent="0.4">
      <c r="B10" s="24"/>
      <c r="L10" s="9"/>
      <c r="Q10" t="s">
        <v>17</v>
      </c>
    </row>
    <row r="11" spans="2:17" ht="26.9" customHeight="1" x14ac:dyDescent="0.35">
      <c r="B11" s="140" t="s">
        <v>18</v>
      </c>
      <c r="C11" s="141"/>
      <c r="D11" s="141"/>
      <c r="E11" s="141"/>
      <c r="F11" s="141"/>
      <c r="G11" s="141"/>
      <c r="H11" s="141"/>
      <c r="I11" s="142" t="s">
        <v>19</v>
      </c>
      <c r="J11" s="142"/>
      <c r="K11" s="142" t="s">
        <v>20</v>
      </c>
      <c r="L11" s="143"/>
      <c r="Q11" t="s">
        <v>21</v>
      </c>
    </row>
    <row r="12" spans="2:17" ht="57.65" customHeight="1" x14ac:dyDescent="0.35">
      <c r="B12" s="52" t="s">
        <v>22</v>
      </c>
      <c r="C12" s="46" t="s">
        <v>23</v>
      </c>
      <c r="D12" s="46" t="s">
        <v>24</v>
      </c>
      <c r="E12" s="46" t="s">
        <v>43</v>
      </c>
      <c r="F12" s="46" t="s">
        <v>25</v>
      </c>
      <c r="G12" s="46" t="s">
        <v>26</v>
      </c>
      <c r="H12" s="46" t="s">
        <v>27</v>
      </c>
      <c r="I12" s="46" t="s">
        <v>28</v>
      </c>
      <c r="J12" s="46" t="s">
        <v>29</v>
      </c>
      <c r="K12" s="46" t="s">
        <v>30</v>
      </c>
      <c r="L12" s="63" t="s">
        <v>29</v>
      </c>
      <c r="Q12" t="s">
        <v>31</v>
      </c>
    </row>
    <row r="13" spans="2:17" x14ac:dyDescent="0.35">
      <c r="B13" s="55">
        <v>1</v>
      </c>
      <c r="C13" s="43" t="s">
        <v>46</v>
      </c>
      <c r="D13" s="67" t="s">
        <v>47</v>
      </c>
      <c r="E13" s="130" t="s">
        <v>74</v>
      </c>
      <c r="F13" s="68" t="s">
        <v>63</v>
      </c>
      <c r="G13" s="68" t="s">
        <v>32</v>
      </c>
      <c r="H13" s="48">
        <v>110</v>
      </c>
      <c r="I13" s="48">
        <v>8</v>
      </c>
      <c r="J13" s="49">
        <f>IFERROR(I13/H13,0)</f>
        <v>7.2727272727272724E-2</v>
      </c>
      <c r="K13" s="50">
        <f t="shared" ref="K13:K24" si="0">I13</f>
        <v>8</v>
      </c>
      <c r="L13" s="61">
        <f t="shared" ref="L13:L24" si="1">IFERROR(K13/H13,0)</f>
        <v>7.2727272727272724E-2</v>
      </c>
    </row>
    <row r="14" spans="2:17" x14ac:dyDescent="0.35">
      <c r="B14" s="62">
        <v>1</v>
      </c>
      <c r="C14" s="47" t="s">
        <v>62</v>
      </c>
      <c r="D14" s="74" t="s">
        <v>59</v>
      </c>
      <c r="E14" s="131"/>
      <c r="F14" s="75" t="s">
        <v>63</v>
      </c>
      <c r="G14" s="72" t="s">
        <v>32</v>
      </c>
      <c r="H14" s="39">
        <v>115</v>
      </c>
      <c r="I14" s="39">
        <v>7</v>
      </c>
      <c r="J14" s="40">
        <f t="shared" ref="J14:J16" si="2">IFERROR(I14/H14,0)</f>
        <v>6.0869565217391307E-2</v>
      </c>
      <c r="K14" s="41">
        <f t="shared" si="0"/>
        <v>7</v>
      </c>
      <c r="L14" s="60">
        <f t="shared" si="1"/>
        <v>6.0869565217391307E-2</v>
      </c>
    </row>
    <row r="15" spans="2:17" s="8" customFormat="1" x14ac:dyDescent="0.35">
      <c r="B15" s="55">
        <v>1</v>
      </c>
      <c r="C15" s="43" t="s">
        <v>64</v>
      </c>
      <c r="D15" s="67" t="s">
        <v>47</v>
      </c>
      <c r="E15" s="130" t="s">
        <v>75</v>
      </c>
      <c r="F15" s="68" t="s">
        <v>65</v>
      </c>
      <c r="G15" s="68" t="s">
        <v>66</v>
      </c>
      <c r="H15" s="48">
        <v>35</v>
      </c>
      <c r="I15" s="48">
        <v>7</v>
      </c>
      <c r="J15" s="49">
        <f t="shared" si="2"/>
        <v>0.2</v>
      </c>
      <c r="K15" s="50">
        <f t="shared" si="0"/>
        <v>7</v>
      </c>
      <c r="L15" s="61">
        <f t="shared" si="1"/>
        <v>0.2</v>
      </c>
      <c r="O15"/>
      <c r="Q15"/>
    </row>
    <row r="16" spans="2:17" x14ac:dyDescent="0.35">
      <c r="B16" s="59">
        <v>1</v>
      </c>
      <c r="C16" s="47" t="s">
        <v>62</v>
      </c>
      <c r="D16" s="74" t="s">
        <v>59</v>
      </c>
      <c r="E16" s="131"/>
      <c r="F16" s="75" t="s">
        <v>65</v>
      </c>
      <c r="G16" s="72" t="s">
        <v>66</v>
      </c>
      <c r="H16" s="39">
        <v>40</v>
      </c>
      <c r="I16" s="39">
        <v>8</v>
      </c>
      <c r="J16" s="40">
        <f t="shared" si="2"/>
        <v>0.2</v>
      </c>
      <c r="K16" s="41">
        <f t="shared" si="0"/>
        <v>8</v>
      </c>
      <c r="L16" s="60">
        <f t="shared" si="1"/>
        <v>0.2</v>
      </c>
    </row>
    <row r="17" spans="2:17" ht="23" x14ac:dyDescent="0.35">
      <c r="B17" s="62">
        <v>1</v>
      </c>
      <c r="C17" s="47" t="s">
        <v>46</v>
      </c>
      <c r="D17" s="74" t="s">
        <v>47</v>
      </c>
      <c r="E17" s="78" t="s">
        <v>68</v>
      </c>
      <c r="F17" s="75" t="s">
        <v>48</v>
      </c>
      <c r="G17" s="75" t="s">
        <v>49</v>
      </c>
      <c r="H17" s="84">
        <v>165</v>
      </c>
      <c r="I17" s="84">
        <v>15</v>
      </c>
      <c r="J17" s="85">
        <f t="shared" ref="J17:J23" si="3">IFERROR(I17/H17,0)</f>
        <v>9.0909090909090912E-2</v>
      </c>
      <c r="K17" s="86">
        <f t="shared" si="0"/>
        <v>15</v>
      </c>
      <c r="L17" s="87">
        <f t="shared" si="1"/>
        <v>9.0909090909090912E-2</v>
      </c>
    </row>
    <row r="18" spans="2:17" ht="23" x14ac:dyDescent="0.35">
      <c r="B18" s="53">
        <v>1</v>
      </c>
      <c r="C18" s="42" t="s">
        <v>46</v>
      </c>
      <c r="D18" s="65" t="s">
        <v>47</v>
      </c>
      <c r="E18" s="81" t="s">
        <v>70</v>
      </c>
      <c r="F18" s="66" t="s">
        <v>91</v>
      </c>
      <c r="G18" s="66" t="s">
        <v>90</v>
      </c>
      <c r="H18" s="33">
        <v>165</v>
      </c>
      <c r="I18" s="33">
        <v>15</v>
      </c>
      <c r="J18" s="34">
        <f t="shared" si="3"/>
        <v>9.0909090909090912E-2</v>
      </c>
      <c r="K18" s="35">
        <f t="shared" si="0"/>
        <v>15</v>
      </c>
      <c r="L18" s="54">
        <f t="shared" si="1"/>
        <v>9.0909090909090912E-2</v>
      </c>
    </row>
    <row r="19" spans="2:17" ht="23" x14ac:dyDescent="0.35">
      <c r="B19" s="80">
        <v>1</v>
      </c>
      <c r="C19" s="18" t="s">
        <v>62</v>
      </c>
      <c r="D19" s="76" t="s">
        <v>59</v>
      </c>
      <c r="E19" s="83" t="s">
        <v>73</v>
      </c>
      <c r="F19" s="73" t="s">
        <v>60</v>
      </c>
      <c r="G19" s="76" t="s">
        <v>61</v>
      </c>
      <c r="H19" s="33">
        <v>75</v>
      </c>
      <c r="I19" s="33">
        <v>15</v>
      </c>
      <c r="J19" s="34">
        <f t="shared" si="3"/>
        <v>0.2</v>
      </c>
      <c r="K19" s="35">
        <f t="shared" si="0"/>
        <v>15</v>
      </c>
      <c r="L19" s="54">
        <f t="shared" si="1"/>
        <v>0.2</v>
      </c>
    </row>
    <row r="20" spans="2:17" ht="23" x14ac:dyDescent="0.35">
      <c r="B20" s="79">
        <v>1</v>
      </c>
      <c r="C20" s="18" t="s">
        <v>62</v>
      </c>
      <c r="D20" s="51" t="s">
        <v>59</v>
      </c>
      <c r="E20" s="82" t="s">
        <v>72</v>
      </c>
      <c r="F20" s="73" t="s">
        <v>60</v>
      </c>
      <c r="G20" s="66" t="s">
        <v>32</v>
      </c>
      <c r="H20" s="33">
        <v>75</v>
      </c>
      <c r="I20" s="33">
        <v>15</v>
      </c>
      <c r="J20" s="34">
        <f t="shared" si="3"/>
        <v>0.2</v>
      </c>
      <c r="K20" s="35">
        <f t="shared" si="0"/>
        <v>15</v>
      </c>
      <c r="L20" s="54">
        <f t="shared" si="1"/>
        <v>0.2</v>
      </c>
    </row>
    <row r="21" spans="2:17" x14ac:dyDescent="0.35">
      <c r="B21" s="55">
        <v>1</v>
      </c>
      <c r="C21" s="43" t="s">
        <v>44</v>
      </c>
      <c r="D21" s="67" t="s">
        <v>50</v>
      </c>
      <c r="E21" s="130" t="s">
        <v>69</v>
      </c>
      <c r="F21" s="68" t="s">
        <v>51</v>
      </c>
      <c r="G21" s="68" t="s">
        <v>32</v>
      </c>
      <c r="H21" s="44">
        <v>75</v>
      </c>
      <c r="I21" s="44">
        <v>0</v>
      </c>
      <c r="J21" s="64">
        <f t="shared" si="3"/>
        <v>0</v>
      </c>
      <c r="K21" s="44">
        <f t="shared" si="0"/>
        <v>0</v>
      </c>
      <c r="L21" s="56">
        <f t="shared" si="1"/>
        <v>0</v>
      </c>
    </row>
    <row r="22" spans="2:17" x14ac:dyDescent="0.35">
      <c r="B22" s="57">
        <v>1</v>
      </c>
      <c r="C22" s="44" t="s">
        <v>52</v>
      </c>
      <c r="D22" s="69" t="s">
        <v>53</v>
      </c>
      <c r="E22" s="144"/>
      <c r="F22" s="70" t="s">
        <v>54</v>
      </c>
      <c r="G22" s="70" t="s">
        <v>32</v>
      </c>
      <c r="H22" s="36">
        <v>75</v>
      </c>
      <c r="I22" s="36">
        <v>0</v>
      </c>
      <c r="J22" s="37">
        <f t="shared" si="3"/>
        <v>0</v>
      </c>
      <c r="K22" s="38">
        <f t="shared" si="0"/>
        <v>0</v>
      </c>
      <c r="L22" s="58">
        <f t="shared" si="1"/>
        <v>0</v>
      </c>
    </row>
    <row r="23" spans="2:17" s="8" customFormat="1" x14ac:dyDescent="0.35">
      <c r="B23" s="59">
        <v>1</v>
      </c>
      <c r="C23" s="45" t="s">
        <v>55</v>
      </c>
      <c r="D23" s="71" t="s">
        <v>56</v>
      </c>
      <c r="E23" s="131"/>
      <c r="F23" s="72" t="s">
        <v>57</v>
      </c>
      <c r="G23" s="72" t="s">
        <v>32</v>
      </c>
      <c r="H23" s="39">
        <v>75</v>
      </c>
      <c r="I23" s="39">
        <v>15</v>
      </c>
      <c r="J23" s="40">
        <f t="shared" si="3"/>
        <v>0.2</v>
      </c>
      <c r="K23" s="41">
        <f t="shared" si="0"/>
        <v>15</v>
      </c>
      <c r="L23" s="60">
        <f t="shared" si="1"/>
        <v>0.2</v>
      </c>
      <c r="O23" s="14"/>
      <c r="Q23" s="14"/>
    </row>
    <row r="24" spans="2:17" ht="23" x14ac:dyDescent="0.35">
      <c r="B24" s="62">
        <v>1</v>
      </c>
      <c r="C24" s="47" t="s">
        <v>93</v>
      </c>
      <c r="D24" s="74" t="s">
        <v>45</v>
      </c>
      <c r="E24" s="97" t="s">
        <v>67</v>
      </c>
      <c r="F24" s="75" t="s">
        <v>79</v>
      </c>
      <c r="G24" s="75" t="s">
        <v>32</v>
      </c>
      <c r="H24" s="84">
        <v>225</v>
      </c>
      <c r="I24" s="84">
        <v>15</v>
      </c>
      <c r="J24" s="85">
        <f t="shared" ref="J24:J25" si="4">IFERROR(I24/H24,0)</f>
        <v>6.6666666666666666E-2</v>
      </c>
      <c r="K24" s="86">
        <f t="shared" si="0"/>
        <v>15</v>
      </c>
      <c r="L24" s="87">
        <f t="shared" si="1"/>
        <v>6.6666666666666666E-2</v>
      </c>
    </row>
    <row r="25" spans="2:17" ht="23.5" thickBot="1" x14ac:dyDescent="0.4">
      <c r="B25" s="88">
        <v>1</v>
      </c>
      <c r="C25" s="100" t="s">
        <v>93</v>
      </c>
      <c r="D25" s="89" t="s">
        <v>45</v>
      </c>
      <c r="E25" s="90" t="s">
        <v>71</v>
      </c>
      <c r="F25" s="91" t="s">
        <v>81</v>
      </c>
      <c r="G25" s="92" t="s">
        <v>58</v>
      </c>
      <c r="H25" s="93">
        <v>225</v>
      </c>
      <c r="I25" s="93">
        <v>15</v>
      </c>
      <c r="J25" s="94">
        <f t="shared" si="4"/>
        <v>6.6666666666666666E-2</v>
      </c>
      <c r="K25" s="95">
        <f t="shared" ref="K25" si="5">I25</f>
        <v>15</v>
      </c>
      <c r="L25" s="96">
        <f t="shared" ref="L25" si="6">IFERROR(K25/H25,0)</f>
        <v>6.6666666666666666E-2</v>
      </c>
    </row>
    <row r="26" spans="2:17" ht="14.4" customHeight="1" x14ac:dyDescent="0.35">
      <c r="C26" s="6"/>
      <c r="D26" s="6"/>
      <c r="E26" s="6"/>
      <c r="F26" s="6"/>
      <c r="G26" s="12"/>
      <c r="H26" s="132" t="str">
        <f>+CONCATENATE("TOTAL A ",D7)</f>
        <v>TOTAL A ENERO</v>
      </c>
      <c r="I26" s="133"/>
      <c r="J26" s="134"/>
      <c r="K26" s="132" t="s">
        <v>33</v>
      </c>
      <c r="L26" s="134"/>
    </row>
    <row r="27" spans="2:17" ht="20.149999999999999" customHeight="1" x14ac:dyDescent="0.35">
      <c r="C27" s="6"/>
      <c r="D27" s="8"/>
      <c r="E27" s="8"/>
      <c r="F27" s="8"/>
      <c r="G27" s="8"/>
      <c r="H27" s="30">
        <f>+SUM(H13:H25)</f>
        <v>1455</v>
      </c>
      <c r="I27" s="30">
        <f>+SUM(I13:I25)</f>
        <v>135</v>
      </c>
      <c r="J27" s="15">
        <f>IFERROR(I27/H27,0)</f>
        <v>9.2783505154639179E-2</v>
      </c>
      <c r="K27" s="31">
        <f>+SUM(K13:K25)</f>
        <v>135</v>
      </c>
      <c r="L27" s="15">
        <f>IFERROR(K27/H27,0)</f>
        <v>9.2783505154639179E-2</v>
      </c>
    </row>
    <row r="28" spans="2:17" ht="20.149999999999999" customHeight="1" x14ac:dyDescent="0.35">
      <c r="C28" s="6"/>
      <c r="D28" s="8"/>
      <c r="E28" s="8"/>
      <c r="F28" s="8"/>
      <c r="G28" s="8"/>
      <c r="H28" s="5"/>
      <c r="I28" s="5"/>
      <c r="J28" s="25"/>
      <c r="K28" s="26"/>
      <c r="L28" s="25"/>
    </row>
    <row r="29" spans="2:17" ht="37.25" customHeight="1" x14ac:dyDescent="0.35">
      <c r="B29" s="124" t="s">
        <v>34</v>
      </c>
      <c r="C29" s="125"/>
      <c r="D29" s="103" t="s">
        <v>76</v>
      </c>
      <c r="E29" s="103"/>
      <c r="F29" s="104"/>
      <c r="G29" s="104"/>
      <c r="H29" s="104"/>
      <c r="I29" s="104"/>
      <c r="J29" s="104"/>
      <c r="K29" s="104"/>
      <c r="L29" s="104"/>
    </row>
    <row r="30" spans="2:17" ht="47.4" customHeight="1" x14ac:dyDescent="0.35">
      <c r="B30" s="126"/>
      <c r="C30" s="127"/>
      <c r="D30" s="103" t="s">
        <v>97</v>
      </c>
      <c r="E30" s="103"/>
      <c r="F30" s="104"/>
      <c r="G30" s="104"/>
      <c r="H30" s="104"/>
      <c r="I30" s="104"/>
      <c r="J30" s="104"/>
      <c r="K30" s="104"/>
      <c r="L30" s="104"/>
    </row>
    <row r="31" spans="2:17" ht="36" customHeight="1" x14ac:dyDescent="0.35">
      <c r="B31" s="126"/>
      <c r="C31" s="127"/>
      <c r="D31" s="103" t="s">
        <v>77</v>
      </c>
      <c r="E31" s="103"/>
      <c r="F31" s="104"/>
      <c r="G31" s="104"/>
      <c r="H31" s="104"/>
      <c r="I31" s="104"/>
      <c r="J31" s="104"/>
      <c r="K31" s="104"/>
      <c r="L31" s="104"/>
    </row>
    <row r="32" spans="2:17" ht="24" customHeight="1" x14ac:dyDescent="0.35">
      <c r="B32" s="126"/>
      <c r="C32" s="127"/>
      <c r="D32" s="103" t="s">
        <v>78</v>
      </c>
      <c r="E32" s="103"/>
      <c r="F32" s="104"/>
      <c r="G32" s="104"/>
      <c r="H32" s="104"/>
      <c r="I32" s="104"/>
      <c r="J32" s="104"/>
      <c r="K32" s="104"/>
      <c r="L32" s="104"/>
    </row>
    <row r="33" spans="2:12" ht="34.5" customHeight="1" x14ac:dyDescent="0.35">
      <c r="B33" s="126"/>
      <c r="C33" s="127"/>
      <c r="D33" s="103" t="s">
        <v>80</v>
      </c>
      <c r="E33" s="103"/>
      <c r="F33" s="104"/>
      <c r="G33" s="104"/>
      <c r="H33" s="104"/>
      <c r="I33" s="104"/>
      <c r="J33" s="104"/>
      <c r="K33" s="104"/>
      <c r="L33" s="104"/>
    </row>
    <row r="34" spans="2:12" ht="59.4" customHeight="1" x14ac:dyDescent="0.35">
      <c r="B34" s="128"/>
      <c r="C34" s="129"/>
      <c r="D34" s="103" t="s">
        <v>96</v>
      </c>
      <c r="E34" s="103"/>
      <c r="F34" s="104"/>
      <c r="G34" s="104"/>
      <c r="H34" s="104"/>
      <c r="I34" s="104"/>
      <c r="J34" s="104"/>
      <c r="K34" s="104"/>
      <c r="L34" s="104"/>
    </row>
    <row r="35" spans="2:12" ht="20.149999999999999" customHeight="1" x14ac:dyDescent="0.35">
      <c r="B35" s="105" t="s">
        <v>36</v>
      </c>
      <c r="C35" s="106"/>
      <c r="D35" s="106"/>
      <c r="E35" s="106"/>
      <c r="F35" s="106"/>
      <c r="G35" s="106"/>
      <c r="H35" s="106"/>
      <c r="I35" s="106"/>
      <c r="J35" s="106"/>
      <c r="K35" s="106"/>
      <c r="L35" s="107"/>
    </row>
    <row r="36" spans="2:12" ht="14.4" customHeight="1" x14ac:dyDescent="0.35">
      <c r="B36" s="108"/>
      <c r="C36" s="109"/>
      <c r="D36" s="109"/>
      <c r="E36" s="109"/>
      <c r="F36" s="109"/>
      <c r="G36" s="109"/>
      <c r="H36" s="109"/>
      <c r="I36" s="109"/>
      <c r="J36" s="109"/>
      <c r="K36" s="109"/>
      <c r="L36" s="110"/>
    </row>
    <row r="37" spans="2:12" ht="15" customHeight="1" x14ac:dyDescent="0.35">
      <c r="B37" s="21" t="s">
        <v>37</v>
      </c>
      <c r="C37" s="16"/>
      <c r="D37" s="16"/>
      <c r="E37" s="16"/>
      <c r="F37" s="16"/>
      <c r="G37" s="16"/>
      <c r="H37" s="16"/>
      <c r="I37" s="16"/>
      <c r="J37" s="16"/>
      <c r="K37" s="16"/>
      <c r="L37" s="17"/>
    </row>
    <row r="38" spans="2:12" ht="24.5" x14ac:dyDescent="0.45">
      <c r="B38" s="18" t="s">
        <v>38</v>
      </c>
      <c r="C38" s="19"/>
      <c r="D38" s="111" t="s">
        <v>35</v>
      </c>
      <c r="E38" s="112"/>
      <c r="F38" s="112"/>
      <c r="G38" s="112"/>
      <c r="H38" s="112"/>
      <c r="I38" s="112"/>
      <c r="J38" s="112"/>
      <c r="K38" s="112"/>
      <c r="L38" s="113"/>
    </row>
    <row r="39" spans="2:12" ht="20.149999999999999" customHeight="1" x14ac:dyDescent="0.45">
      <c r="B39" s="18" t="s">
        <v>39</v>
      </c>
      <c r="C39" s="19"/>
      <c r="D39" s="114"/>
      <c r="E39" s="115"/>
      <c r="F39" s="115"/>
      <c r="G39" s="115"/>
      <c r="H39" s="115"/>
      <c r="I39" s="115"/>
      <c r="J39" s="115"/>
      <c r="K39" s="115"/>
      <c r="L39" s="116"/>
    </row>
    <row r="40" spans="2:12" ht="20.149999999999999" customHeight="1" x14ac:dyDescent="0.35">
      <c r="B40" s="117" t="s">
        <v>36</v>
      </c>
      <c r="C40" s="118"/>
      <c r="D40" s="118"/>
      <c r="E40" s="118"/>
      <c r="F40" s="118"/>
      <c r="G40" s="118"/>
      <c r="H40" s="118"/>
      <c r="I40" s="118"/>
      <c r="J40" s="118"/>
      <c r="K40" s="118"/>
      <c r="L40" s="119"/>
    </row>
    <row r="41" spans="2:12" x14ac:dyDescent="0.35">
      <c r="B41" s="120"/>
      <c r="C41" s="121"/>
      <c r="D41" s="121"/>
      <c r="E41" s="121"/>
      <c r="F41" s="121"/>
      <c r="G41" s="121"/>
      <c r="H41" s="121"/>
      <c r="I41" s="121"/>
      <c r="J41" s="121"/>
      <c r="K41" s="121"/>
      <c r="L41" s="122"/>
    </row>
    <row r="42" spans="2:12" x14ac:dyDescent="0.35">
      <c r="B42" s="21" t="s">
        <v>40</v>
      </c>
      <c r="C42" s="16"/>
      <c r="D42" s="16"/>
      <c r="E42" s="16"/>
      <c r="F42" s="16"/>
      <c r="G42" s="16"/>
      <c r="H42" s="16"/>
      <c r="I42" s="16"/>
      <c r="J42" s="16"/>
      <c r="K42" s="16"/>
      <c r="L42" s="17"/>
    </row>
    <row r="43" spans="2:12" ht="19.5" customHeight="1" x14ac:dyDescent="0.45">
      <c r="B43" s="18" t="s">
        <v>38</v>
      </c>
      <c r="C43" s="19"/>
      <c r="D43" s="111" t="s">
        <v>35</v>
      </c>
      <c r="E43" s="112"/>
      <c r="F43" s="112"/>
      <c r="G43" s="112"/>
      <c r="H43" s="112"/>
      <c r="I43" s="112"/>
      <c r="J43" s="112"/>
      <c r="K43" s="112"/>
      <c r="L43" s="113"/>
    </row>
    <row r="44" spans="2:12" ht="23.9" customHeight="1" x14ac:dyDescent="0.45">
      <c r="B44" s="18" t="s">
        <v>39</v>
      </c>
      <c r="C44" s="19"/>
      <c r="D44" s="114"/>
      <c r="E44" s="115"/>
      <c r="F44" s="115"/>
      <c r="G44" s="115"/>
      <c r="H44" s="115"/>
      <c r="I44" s="115"/>
      <c r="J44" s="115"/>
      <c r="K44" s="115"/>
      <c r="L44" s="116"/>
    </row>
    <row r="47" spans="2:12" x14ac:dyDescent="0.35">
      <c r="B47" s="123"/>
      <c r="C47" s="123"/>
      <c r="D47" s="123"/>
      <c r="E47" s="77"/>
      <c r="H47" s="123"/>
      <c r="I47" s="123"/>
      <c r="J47" s="123"/>
      <c r="K47" s="123"/>
    </row>
    <row r="48" spans="2:12" x14ac:dyDescent="0.35">
      <c r="B48" s="20" t="s">
        <v>41</v>
      </c>
      <c r="C48" s="102"/>
      <c r="D48" s="102"/>
      <c r="E48" s="20"/>
      <c r="H48" s="6" t="s">
        <v>42</v>
      </c>
      <c r="I48" s="102" t="s">
        <v>98</v>
      </c>
      <c r="J48" s="102"/>
      <c r="K48" s="102"/>
    </row>
    <row r="76" spans="1:18" s="1" customFormat="1" hidden="1" x14ac:dyDescent="0.35">
      <c r="A76" t="s">
        <v>0</v>
      </c>
      <c r="B76" s="20"/>
      <c r="M76" s="2"/>
      <c r="N76" s="2"/>
      <c r="O76"/>
      <c r="P76" s="2"/>
      <c r="Q76"/>
      <c r="R76" s="2"/>
    </row>
    <row r="77" spans="1:18" s="1" customFormat="1" hidden="1" x14ac:dyDescent="0.35">
      <c r="A77" t="s">
        <v>2</v>
      </c>
      <c r="B77" s="20"/>
      <c r="M77" s="2"/>
      <c r="N77" s="2"/>
      <c r="O77"/>
      <c r="P77" s="2"/>
      <c r="Q77"/>
      <c r="R77" s="2"/>
    </row>
    <row r="78" spans="1:18" s="1" customFormat="1" hidden="1" x14ac:dyDescent="0.35">
      <c r="A78" t="s">
        <v>6</v>
      </c>
      <c r="B78" s="20"/>
      <c r="M78" s="2"/>
      <c r="N78" s="2"/>
      <c r="O78"/>
      <c r="P78" s="2"/>
      <c r="Q78"/>
      <c r="R78" s="2"/>
    </row>
    <row r="79" spans="1:18" s="1" customFormat="1" hidden="1" x14ac:dyDescent="0.35">
      <c r="A79" t="s">
        <v>8</v>
      </c>
      <c r="B79" s="20"/>
      <c r="M79" s="2"/>
      <c r="N79" s="2"/>
      <c r="O79"/>
      <c r="P79" s="2"/>
      <c r="Q79"/>
      <c r="R79" s="2"/>
    </row>
    <row r="80" spans="1:18" s="1" customFormat="1" hidden="1" x14ac:dyDescent="0.35">
      <c r="A80" t="s">
        <v>9</v>
      </c>
      <c r="B80" s="22"/>
      <c r="M80" s="2"/>
      <c r="N80" s="2"/>
      <c r="O80"/>
      <c r="P80" s="2"/>
      <c r="Q80"/>
      <c r="R80" s="2"/>
    </row>
    <row r="81" spans="1:18" s="1" customFormat="1" hidden="1" x14ac:dyDescent="0.35">
      <c r="A81" t="s">
        <v>10</v>
      </c>
      <c r="B81" s="22"/>
      <c r="M81" s="2"/>
      <c r="N81" s="2"/>
      <c r="O81"/>
      <c r="P81" s="2"/>
      <c r="Q81"/>
      <c r="R81" s="2"/>
    </row>
    <row r="82" spans="1:18" s="1" customFormat="1" hidden="1" x14ac:dyDescent="0.35">
      <c r="A82" t="s">
        <v>11</v>
      </c>
      <c r="B82" s="22"/>
      <c r="M82" s="2"/>
      <c r="N82" s="2"/>
      <c r="O82"/>
      <c r="P82" s="2"/>
      <c r="Q82"/>
      <c r="R82" s="2"/>
    </row>
    <row r="83" spans="1:18" s="1" customFormat="1" hidden="1" x14ac:dyDescent="0.35">
      <c r="A83" t="s">
        <v>13</v>
      </c>
      <c r="B83" s="22"/>
      <c r="M83" s="2"/>
      <c r="N83" s="2"/>
      <c r="O83"/>
      <c r="P83" s="2"/>
      <c r="Q83"/>
      <c r="R83" s="2"/>
    </row>
    <row r="84" spans="1:18" s="1" customFormat="1" hidden="1" x14ac:dyDescent="0.35">
      <c r="A84" t="s">
        <v>14</v>
      </c>
      <c r="B84" s="22"/>
      <c r="M84" s="2"/>
      <c r="N84" s="2"/>
      <c r="O84"/>
      <c r="P84" s="2"/>
      <c r="Q84"/>
      <c r="R84" s="2"/>
    </row>
    <row r="85" spans="1:18" s="1" customFormat="1" hidden="1" x14ac:dyDescent="0.35">
      <c r="A85" t="s">
        <v>16</v>
      </c>
      <c r="B85" s="22"/>
      <c r="M85" s="2"/>
      <c r="N85" s="2"/>
      <c r="O85"/>
      <c r="P85" s="2"/>
      <c r="Q85"/>
      <c r="R85" s="2"/>
    </row>
    <row r="86" spans="1:18" s="1" customFormat="1" hidden="1" x14ac:dyDescent="0.35">
      <c r="A86" t="s">
        <v>17</v>
      </c>
      <c r="B86" s="22"/>
      <c r="M86" s="2"/>
      <c r="N86" s="2"/>
      <c r="O86"/>
      <c r="P86" s="2"/>
      <c r="Q86"/>
      <c r="R86" s="2"/>
    </row>
    <row r="87" spans="1:18" s="1" customFormat="1" hidden="1" x14ac:dyDescent="0.35">
      <c r="A87" t="s">
        <v>21</v>
      </c>
      <c r="B87" s="22"/>
      <c r="M87" s="2"/>
      <c r="N87" s="2"/>
      <c r="O87"/>
      <c r="P87" s="2"/>
      <c r="Q87"/>
      <c r="R87" s="2"/>
    </row>
    <row r="88" spans="1:18" s="1" customFormat="1" hidden="1" x14ac:dyDescent="0.35">
      <c r="A88" t="s">
        <v>31</v>
      </c>
      <c r="B88" s="22"/>
      <c r="M88" s="2"/>
      <c r="N88" s="2"/>
      <c r="O88"/>
      <c r="P88" s="2"/>
      <c r="Q88"/>
      <c r="R88" s="2"/>
    </row>
    <row r="89" spans="1:18" x14ac:dyDescent="0.35">
      <c r="B89" s="22"/>
    </row>
    <row r="90" spans="1:18" x14ac:dyDescent="0.35">
      <c r="B90" s="22"/>
    </row>
    <row r="91" spans="1:18" x14ac:dyDescent="0.35">
      <c r="B91" s="22"/>
    </row>
    <row r="92" spans="1:18" x14ac:dyDescent="0.35">
      <c r="B92" s="22"/>
    </row>
  </sheetData>
  <sheetProtection formatCells="0" formatColumns="0" formatRows="0" insertColumns="0" insertRows="0" insertHyperlinks="0" deleteColumns="0" deleteRows="0" sort="0" autoFilter="0" pivotTables="0"/>
  <mergeCells count="30">
    <mergeCell ref="E13:E14"/>
    <mergeCell ref="E15:E16"/>
    <mergeCell ref="H26:J26"/>
    <mergeCell ref="K26:L26"/>
    <mergeCell ref="B2:L2"/>
    <mergeCell ref="B3:D3"/>
    <mergeCell ref="F3:I3"/>
    <mergeCell ref="J3:L3"/>
    <mergeCell ref="B5:C5"/>
    <mergeCell ref="B7:C7"/>
    <mergeCell ref="B9:C9"/>
    <mergeCell ref="B11:H11"/>
    <mergeCell ref="I11:J11"/>
    <mergeCell ref="K11:L11"/>
    <mergeCell ref="E21:E23"/>
    <mergeCell ref="C48:D48"/>
    <mergeCell ref="I48:K48"/>
    <mergeCell ref="D30:L30"/>
    <mergeCell ref="B35:L36"/>
    <mergeCell ref="D38:L39"/>
    <mergeCell ref="B40:L41"/>
    <mergeCell ref="D43:L44"/>
    <mergeCell ref="B47:D47"/>
    <mergeCell ref="H47:K47"/>
    <mergeCell ref="B29:C34"/>
    <mergeCell ref="D31:L31"/>
    <mergeCell ref="D32:L32"/>
    <mergeCell ref="D34:L34"/>
    <mergeCell ref="D29:L29"/>
    <mergeCell ref="D33:L33"/>
  </mergeCells>
  <conditionalFormatting sqref="L13:L20">
    <cfRule type="cellIs" dxfId="2" priority="1" operator="greaterThan">
      <formula>1</formula>
    </cfRule>
  </conditionalFormatting>
  <conditionalFormatting sqref="L22:L25">
    <cfRule type="cellIs" dxfId="1" priority="4" operator="greaterThan">
      <formula>1</formula>
    </cfRule>
  </conditionalFormatting>
  <dataValidations count="5">
    <dataValidation type="whole" allowBlank="1" showInputMessage="1" showErrorMessage="1" errorTitle="¡Error!" error="Introduzca un número válido." promptTitle="¡Atención!" prompt="Introduzca un número entre 0 y 366" sqref="H13:H17 I14:I17 H18:I25">
      <formula1>0</formula1>
      <formula2>366</formula2>
    </dataValidation>
    <dataValidation type="list" allowBlank="1" showInputMessage="1" showErrorMessage="1" sqref="D7">
      <formula1>$A$77:$A$88</formula1>
    </dataValidation>
    <dataValidation type="whole" allowBlank="1" showInputMessage="1" showErrorMessage="1" errorTitle="¡Error!" error="Introduzca un número válido." promptTitle="¡Atención!" prompt="Introduzca un número entre 0 y 30" sqref="I13">
      <formula1>0</formula1>
      <formula2>30</formula2>
    </dataValidation>
    <dataValidation allowBlank="1" showInputMessage="1" showErrorMessage="1" sqref="H28"/>
    <dataValidation type="list" allowBlank="1" showInputMessage="1" showErrorMessage="1" sqref="D8 F8:G8">
      <formula1>#REF!</formula1>
    </dataValidation>
  </dataValidations>
  <pageMargins left="0.7" right="0.7" top="0.75" bottom="0.75" header="0.3" footer="0.3"/>
  <pageSetup scale="1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92"/>
  <sheetViews>
    <sheetView showGridLines="0" tabSelected="1" zoomScaleNormal="100" zoomScaleSheetLayoutView="85" workbookViewId="0">
      <selection activeCell="B2" sqref="B2:L2"/>
    </sheetView>
  </sheetViews>
  <sheetFormatPr baseColWidth="10" defaultColWidth="8.6328125" defaultRowHeight="14.5" x14ac:dyDescent="0.35"/>
  <cols>
    <col min="1" max="1" width="4.453125" style="2" customWidth="1"/>
    <col min="2" max="2" width="8.54296875" style="20" customWidth="1"/>
    <col min="3" max="3" width="8.36328125" style="1" customWidth="1"/>
    <col min="4" max="4" width="43.36328125" style="1" customWidth="1"/>
    <col min="5" max="5" width="18.453125" style="1" customWidth="1"/>
    <col min="6" max="6" width="21.90625" style="1" customWidth="1"/>
    <col min="7" max="7" width="13.453125" style="1" customWidth="1"/>
    <col min="8" max="8" width="13.6328125" style="1" customWidth="1"/>
    <col min="9" max="9" width="13.453125" style="1" customWidth="1"/>
    <col min="10" max="10" width="10.453125" style="1" customWidth="1"/>
    <col min="11" max="11" width="12.453125" style="1" customWidth="1"/>
    <col min="12" max="12" width="12.36328125" style="1" customWidth="1"/>
    <col min="13" max="13" width="6.632812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x14ac:dyDescent="0.35">
      <c r="Q1" t="s">
        <v>0</v>
      </c>
    </row>
    <row r="2" spans="2:17" ht="49.5" customHeight="1" x14ac:dyDescent="0.35">
      <c r="B2" s="135" t="s">
        <v>1</v>
      </c>
      <c r="C2" s="135"/>
      <c r="D2" s="135"/>
      <c r="E2" s="135"/>
      <c r="F2" s="135"/>
      <c r="G2" s="135"/>
      <c r="H2" s="135"/>
      <c r="I2" s="135"/>
      <c r="J2" s="135"/>
      <c r="K2" s="135"/>
      <c r="L2" s="135"/>
      <c r="Q2" t="s">
        <v>2</v>
      </c>
    </row>
    <row r="3" spans="2:17" ht="18.75" customHeight="1" x14ac:dyDescent="0.35">
      <c r="B3" s="136" t="s">
        <v>3</v>
      </c>
      <c r="C3" s="137"/>
      <c r="D3" s="137"/>
      <c r="E3" s="32"/>
      <c r="F3" s="137" t="s">
        <v>4</v>
      </c>
      <c r="G3" s="137"/>
      <c r="H3" s="137"/>
      <c r="I3" s="137"/>
      <c r="J3" s="137" t="s">
        <v>5</v>
      </c>
      <c r="K3" s="137"/>
      <c r="L3" s="138"/>
    </row>
    <row r="4" spans="2:17" x14ac:dyDescent="0.35">
      <c r="B4" s="23"/>
      <c r="C4" s="3"/>
      <c r="L4" s="4"/>
      <c r="Q4" t="s">
        <v>6</v>
      </c>
    </row>
    <row r="5" spans="2:17" s="8" customFormat="1" ht="27.65" customHeight="1" x14ac:dyDescent="0.35">
      <c r="B5" s="139" t="s">
        <v>7</v>
      </c>
      <c r="C5" s="139"/>
      <c r="D5" s="27">
        <v>90560321</v>
      </c>
      <c r="E5"/>
      <c r="F5" s="5"/>
      <c r="G5" s="5"/>
      <c r="H5" s="6"/>
      <c r="I5" s="6"/>
      <c r="J5" s="6"/>
      <c r="K5" s="6"/>
      <c r="L5" s="7"/>
      <c r="O5"/>
      <c r="Q5" t="s">
        <v>8</v>
      </c>
    </row>
    <row r="6" spans="2:17" x14ac:dyDescent="0.35">
      <c r="B6" s="24"/>
      <c r="E6"/>
      <c r="L6" s="9"/>
      <c r="Q6" t="s">
        <v>9</v>
      </c>
    </row>
    <row r="7" spans="2:17" s="8" customFormat="1" x14ac:dyDescent="0.35">
      <c r="B7" s="139" t="s">
        <v>12</v>
      </c>
      <c r="C7" s="139"/>
      <c r="D7" s="28" t="s">
        <v>6</v>
      </c>
      <c r="E7"/>
      <c r="F7"/>
      <c r="G7"/>
      <c r="H7"/>
      <c r="I7"/>
      <c r="J7" s="6"/>
      <c r="K7" s="6"/>
      <c r="L7" s="7"/>
      <c r="O7"/>
      <c r="Q7" t="s">
        <v>13</v>
      </c>
    </row>
    <row r="8" spans="2:17" s="8" customFormat="1" x14ac:dyDescent="0.35">
      <c r="B8" s="11"/>
      <c r="C8" s="12"/>
      <c r="D8" s="10"/>
      <c r="E8"/>
      <c r="F8" s="10"/>
      <c r="G8" s="10"/>
      <c r="H8" s="6"/>
      <c r="I8" s="6"/>
      <c r="J8" s="6"/>
      <c r="K8" s="6"/>
      <c r="L8" s="7"/>
      <c r="O8"/>
      <c r="Q8" t="s">
        <v>14</v>
      </c>
    </row>
    <row r="9" spans="2:17" s="8" customFormat="1" x14ac:dyDescent="0.35">
      <c r="B9" s="139" t="s">
        <v>15</v>
      </c>
      <c r="C9" s="139"/>
      <c r="D9" s="29">
        <v>46081</v>
      </c>
      <c r="E9"/>
      <c r="F9" s="13"/>
      <c r="G9" s="13"/>
      <c r="H9" s="6"/>
      <c r="I9" s="6"/>
      <c r="J9" s="6"/>
      <c r="K9" s="6"/>
      <c r="L9" s="7"/>
      <c r="O9"/>
      <c r="Q9" t="s">
        <v>16</v>
      </c>
    </row>
    <row r="10" spans="2:17" ht="15" thickBot="1" x14ac:dyDescent="0.4">
      <c r="B10" s="24"/>
      <c r="L10" s="9"/>
      <c r="Q10" t="s">
        <v>17</v>
      </c>
    </row>
    <row r="11" spans="2:17" ht="26.9" customHeight="1" x14ac:dyDescent="0.35">
      <c r="B11" s="140" t="s">
        <v>18</v>
      </c>
      <c r="C11" s="141"/>
      <c r="D11" s="141"/>
      <c r="E11" s="141"/>
      <c r="F11" s="141"/>
      <c r="G11" s="141"/>
      <c r="H11" s="141"/>
      <c r="I11" s="142" t="s">
        <v>19</v>
      </c>
      <c r="J11" s="142"/>
      <c r="K11" s="142" t="s">
        <v>20</v>
      </c>
      <c r="L11" s="143"/>
      <c r="Q11" t="s">
        <v>21</v>
      </c>
    </row>
    <row r="12" spans="2:17" ht="57.65" customHeight="1" x14ac:dyDescent="0.35">
      <c r="B12" s="52" t="s">
        <v>22</v>
      </c>
      <c r="C12" s="46" t="s">
        <v>23</v>
      </c>
      <c r="D12" s="46" t="s">
        <v>24</v>
      </c>
      <c r="E12" s="46" t="s">
        <v>43</v>
      </c>
      <c r="F12" s="46" t="s">
        <v>25</v>
      </c>
      <c r="G12" s="46" t="s">
        <v>26</v>
      </c>
      <c r="H12" s="46" t="s">
        <v>27</v>
      </c>
      <c r="I12" s="46" t="s">
        <v>28</v>
      </c>
      <c r="J12" s="46" t="s">
        <v>29</v>
      </c>
      <c r="K12" s="46" t="s">
        <v>30</v>
      </c>
      <c r="L12" s="63" t="s">
        <v>29</v>
      </c>
      <c r="Q12" t="s">
        <v>31</v>
      </c>
    </row>
    <row r="13" spans="2:17" x14ac:dyDescent="0.35">
      <c r="B13" s="55">
        <v>1</v>
      </c>
      <c r="C13" s="43" t="s">
        <v>46</v>
      </c>
      <c r="D13" s="67" t="s">
        <v>47</v>
      </c>
      <c r="E13" s="130" t="s">
        <v>74</v>
      </c>
      <c r="F13" s="68" t="s">
        <v>88</v>
      </c>
      <c r="G13" s="68" t="s">
        <v>32</v>
      </c>
      <c r="H13" s="48">
        <v>110</v>
      </c>
      <c r="I13" s="48">
        <v>15</v>
      </c>
      <c r="J13" s="49">
        <f>IFERROR(I13/H13,0)</f>
        <v>0.13636363636363635</v>
      </c>
      <c r="K13" s="50">
        <f>I13+ENERO!K13</f>
        <v>23</v>
      </c>
      <c r="L13" s="61">
        <f t="shared" ref="L13:L25" si="0">IFERROR(K13/H13,0)</f>
        <v>0.20909090909090908</v>
      </c>
    </row>
    <row r="14" spans="2:17" x14ac:dyDescent="0.35">
      <c r="B14" s="62">
        <v>1</v>
      </c>
      <c r="C14" s="47" t="s">
        <v>62</v>
      </c>
      <c r="D14" s="74" t="s">
        <v>59</v>
      </c>
      <c r="E14" s="131"/>
      <c r="F14" s="75" t="s">
        <v>89</v>
      </c>
      <c r="G14" s="72" t="s">
        <v>32</v>
      </c>
      <c r="H14" s="39">
        <v>115</v>
      </c>
      <c r="I14" s="39">
        <v>15</v>
      </c>
      <c r="J14" s="40">
        <f t="shared" ref="J14:J25" si="1">IFERROR(I14/H14,0)</f>
        <v>0.13043478260869565</v>
      </c>
      <c r="K14" s="41">
        <f>I14+ENERO!K14</f>
        <v>22</v>
      </c>
      <c r="L14" s="60">
        <f t="shared" si="0"/>
        <v>0.19130434782608696</v>
      </c>
    </row>
    <row r="15" spans="2:17" s="8" customFormat="1" x14ac:dyDescent="0.35">
      <c r="B15" s="55">
        <v>1</v>
      </c>
      <c r="C15" s="43" t="s">
        <v>64</v>
      </c>
      <c r="D15" s="67" t="s">
        <v>47</v>
      </c>
      <c r="E15" s="130" t="s">
        <v>75</v>
      </c>
      <c r="F15" s="68" t="s">
        <v>65</v>
      </c>
      <c r="G15" s="68" t="s">
        <v>66</v>
      </c>
      <c r="H15" s="48">
        <v>35</v>
      </c>
      <c r="I15" s="98">
        <v>15</v>
      </c>
      <c r="J15" s="49">
        <f t="shared" si="1"/>
        <v>0.42857142857142855</v>
      </c>
      <c r="K15" s="50">
        <f>I15+ENERO!K15</f>
        <v>22</v>
      </c>
      <c r="L15" s="61">
        <f t="shared" si="0"/>
        <v>0.62857142857142856</v>
      </c>
      <c r="O15"/>
      <c r="Q15"/>
    </row>
    <row r="16" spans="2:17" x14ac:dyDescent="0.35">
      <c r="B16" s="59">
        <v>1</v>
      </c>
      <c r="C16" s="47" t="s">
        <v>62</v>
      </c>
      <c r="D16" s="74" t="s">
        <v>59</v>
      </c>
      <c r="E16" s="131"/>
      <c r="F16" s="75" t="s">
        <v>65</v>
      </c>
      <c r="G16" s="72" t="s">
        <v>66</v>
      </c>
      <c r="H16" s="39">
        <v>40</v>
      </c>
      <c r="I16" s="99">
        <v>15</v>
      </c>
      <c r="J16" s="40">
        <f t="shared" si="1"/>
        <v>0.375</v>
      </c>
      <c r="K16" s="41">
        <f>I16+ENERO!K16</f>
        <v>23</v>
      </c>
      <c r="L16" s="60">
        <f t="shared" si="0"/>
        <v>0.57499999999999996</v>
      </c>
    </row>
    <row r="17" spans="2:17" ht="23" x14ac:dyDescent="0.35">
      <c r="B17" s="62">
        <v>1</v>
      </c>
      <c r="C17" s="47" t="s">
        <v>46</v>
      </c>
      <c r="D17" s="74" t="s">
        <v>47</v>
      </c>
      <c r="E17" s="78" t="s">
        <v>68</v>
      </c>
      <c r="F17" s="75" t="s">
        <v>48</v>
      </c>
      <c r="G17" s="75" t="s">
        <v>49</v>
      </c>
      <c r="H17" s="84">
        <v>165</v>
      </c>
      <c r="I17" s="84">
        <v>30</v>
      </c>
      <c r="J17" s="85">
        <f t="shared" si="1"/>
        <v>0.18181818181818182</v>
      </c>
      <c r="K17" s="86">
        <f>I17+ENERO!K17</f>
        <v>45</v>
      </c>
      <c r="L17" s="87">
        <f t="shared" si="0"/>
        <v>0.27272727272727271</v>
      </c>
    </row>
    <row r="18" spans="2:17" ht="23" x14ac:dyDescent="0.35">
      <c r="B18" s="53">
        <v>1</v>
      </c>
      <c r="C18" s="42" t="s">
        <v>46</v>
      </c>
      <c r="D18" s="65" t="s">
        <v>47</v>
      </c>
      <c r="E18" s="81" t="s">
        <v>70</v>
      </c>
      <c r="F18" s="66" t="s">
        <v>91</v>
      </c>
      <c r="G18" s="66" t="s">
        <v>90</v>
      </c>
      <c r="H18" s="33">
        <v>165</v>
      </c>
      <c r="I18" s="33">
        <v>30</v>
      </c>
      <c r="J18" s="34">
        <f t="shared" si="1"/>
        <v>0.18181818181818182</v>
      </c>
      <c r="K18" s="35">
        <f>I18+ENERO!K18</f>
        <v>45</v>
      </c>
      <c r="L18" s="54">
        <f t="shared" si="0"/>
        <v>0.27272727272727271</v>
      </c>
    </row>
    <row r="19" spans="2:17" ht="23" x14ac:dyDescent="0.35">
      <c r="B19" s="80">
        <v>1</v>
      </c>
      <c r="C19" s="18" t="s">
        <v>62</v>
      </c>
      <c r="D19" s="76" t="s">
        <v>59</v>
      </c>
      <c r="E19" s="83" t="s">
        <v>73</v>
      </c>
      <c r="F19" s="73" t="s">
        <v>60</v>
      </c>
      <c r="G19" s="76" t="s">
        <v>61</v>
      </c>
      <c r="H19" s="33">
        <v>75</v>
      </c>
      <c r="I19" s="33">
        <v>30</v>
      </c>
      <c r="J19" s="34">
        <f t="shared" si="1"/>
        <v>0.4</v>
      </c>
      <c r="K19" s="35">
        <f>I19+ENERO!K19</f>
        <v>45</v>
      </c>
      <c r="L19" s="54">
        <f t="shared" si="0"/>
        <v>0.6</v>
      </c>
    </row>
    <row r="20" spans="2:17" ht="23" x14ac:dyDescent="0.35">
      <c r="B20" s="79">
        <v>1</v>
      </c>
      <c r="C20" s="18" t="s">
        <v>62</v>
      </c>
      <c r="D20" s="51" t="s">
        <v>59</v>
      </c>
      <c r="E20" s="82" t="s">
        <v>72</v>
      </c>
      <c r="F20" s="73" t="s">
        <v>60</v>
      </c>
      <c r="G20" s="66" t="s">
        <v>32</v>
      </c>
      <c r="H20" s="33">
        <v>75</v>
      </c>
      <c r="I20" s="33">
        <v>30</v>
      </c>
      <c r="J20" s="34">
        <f t="shared" si="1"/>
        <v>0.4</v>
      </c>
      <c r="K20" s="35">
        <f>I20+ENERO!K20</f>
        <v>45</v>
      </c>
      <c r="L20" s="54">
        <f t="shared" si="0"/>
        <v>0.6</v>
      </c>
    </row>
    <row r="21" spans="2:17" x14ac:dyDescent="0.35">
      <c r="B21" s="55">
        <v>1</v>
      </c>
      <c r="C21" s="43" t="s">
        <v>44</v>
      </c>
      <c r="D21" s="67" t="s">
        <v>50</v>
      </c>
      <c r="E21" s="130" t="s">
        <v>69</v>
      </c>
      <c r="F21" s="68" t="s">
        <v>51</v>
      </c>
      <c r="G21" s="68" t="s">
        <v>32</v>
      </c>
      <c r="H21" s="44">
        <v>75</v>
      </c>
      <c r="I21" s="44">
        <v>10</v>
      </c>
      <c r="J21" s="64">
        <f t="shared" si="1"/>
        <v>0.13333333333333333</v>
      </c>
      <c r="K21" s="44">
        <f>I21+ENERO!K21</f>
        <v>10</v>
      </c>
      <c r="L21" s="58">
        <f t="shared" si="0"/>
        <v>0.13333333333333333</v>
      </c>
    </row>
    <row r="22" spans="2:17" x14ac:dyDescent="0.35">
      <c r="B22" s="57">
        <v>1</v>
      </c>
      <c r="C22" s="44" t="s">
        <v>52</v>
      </c>
      <c r="D22" s="69" t="s">
        <v>53</v>
      </c>
      <c r="E22" s="144"/>
      <c r="F22" s="70" t="s">
        <v>54</v>
      </c>
      <c r="G22" s="70" t="s">
        <v>32</v>
      </c>
      <c r="H22" s="36">
        <v>75</v>
      </c>
      <c r="I22" s="36">
        <v>10</v>
      </c>
      <c r="J22" s="37">
        <f t="shared" si="1"/>
        <v>0.13333333333333333</v>
      </c>
      <c r="K22" s="38">
        <f>I22+ENERO!K22</f>
        <v>10</v>
      </c>
      <c r="L22" s="58">
        <f t="shared" si="0"/>
        <v>0.13333333333333333</v>
      </c>
    </row>
    <row r="23" spans="2:17" s="8" customFormat="1" x14ac:dyDescent="0.35">
      <c r="B23" s="59">
        <v>1</v>
      </c>
      <c r="C23" s="45" t="s">
        <v>55</v>
      </c>
      <c r="D23" s="71" t="s">
        <v>56</v>
      </c>
      <c r="E23" s="131"/>
      <c r="F23" s="72" t="s">
        <v>57</v>
      </c>
      <c r="G23" s="72" t="s">
        <v>32</v>
      </c>
      <c r="H23" s="39">
        <v>75</v>
      </c>
      <c r="I23" s="39">
        <v>10</v>
      </c>
      <c r="J23" s="40">
        <f t="shared" si="1"/>
        <v>0.13333333333333333</v>
      </c>
      <c r="K23" s="41">
        <f>I23+ENERO!K23</f>
        <v>25</v>
      </c>
      <c r="L23" s="60">
        <f t="shared" si="0"/>
        <v>0.33333333333333331</v>
      </c>
      <c r="O23" s="14"/>
      <c r="Q23" s="14"/>
    </row>
    <row r="24" spans="2:17" ht="23" x14ac:dyDescent="0.35">
      <c r="B24" s="62">
        <v>1</v>
      </c>
      <c r="C24" s="47" t="s">
        <v>93</v>
      </c>
      <c r="D24" s="74" t="s">
        <v>45</v>
      </c>
      <c r="E24" s="97" t="s">
        <v>67</v>
      </c>
      <c r="F24" s="73" t="s">
        <v>94</v>
      </c>
      <c r="G24" s="101" t="s">
        <v>95</v>
      </c>
      <c r="H24" s="84">
        <v>225</v>
      </c>
      <c r="I24" s="84">
        <v>30</v>
      </c>
      <c r="J24" s="85">
        <f t="shared" si="1"/>
        <v>0.13333333333333333</v>
      </c>
      <c r="K24" s="86">
        <f>I24+ENERO!K24</f>
        <v>45</v>
      </c>
      <c r="L24" s="87">
        <f t="shared" si="0"/>
        <v>0.2</v>
      </c>
    </row>
    <row r="25" spans="2:17" ht="23.5" thickBot="1" x14ac:dyDescent="0.4">
      <c r="B25" s="88">
        <v>1</v>
      </c>
      <c r="C25" s="100" t="s">
        <v>93</v>
      </c>
      <c r="D25" s="89" t="s">
        <v>45</v>
      </c>
      <c r="E25" s="90" t="s">
        <v>71</v>
      </c>
      <c r="F25" s="91" t="s">
        <v>84</v>
      </c>
      <c r="G25" s="92" t="s">
        <v>83</v>
      </c>
      <c r="H25" s="93">
        <v>225</v>
      </c>
      <c r="I25" s="93">
        <v>30</v>
      </c>
      <c r="J25" s="94">
        <f t="shared" si="1"/>
        <v>0.13333333333333333</v>
      </c>
      <c r="K25" s="95">
        <f>I25+ENERO!K25</f>
        <v>45</v>
      </c>
      <c r="L25" s="96">
        <f t="shared" si="0"/>
        <v>0.2</v>
      </c>
    </row>
    <row r="26" spans="2:17" ht="14.4" customHeight="1" x14ac:dyDescent="0.35">
      <c r="C26" s="6"/>
      <c r="D26" s="6"/>
      <c r="E26" s="6"/>
      <c r="F26" s="6"/>
      <c r="G26" s="12"/>
      <c r="H26" s="132" t="str">
        <f>+CONCATENATE("TOTAL A ",D7)</f>
        <v>TOTAL A FEBRERO</v>
      </c>
      <c r="I26" s="133"/>
      <c r="J26" s="134"/>
      <c r="K26" s="132" t="s">
        <v>33</v>
      </c>
      <c r="L26" s="134"/>
    </row>
    <row r="27" spans="2:17" ht="20.149999999999999" customHeight="1" x14ac:dyDescent="0.35">
      <c r="C27" s="6"/>
      <c r="D27" s="8"/>
      <c r="E27" s="8"/>
      <c r="F27" s="8"/>
      <c r="G27" s="8"/>
      <c r="H27" s="30">
        <f>+SUM(H13:H25)</f>
        <v>1455</v>
      </c>
      <c r="I27" s="30">
        <f>+SUM(I13:I25)</f>
        <v>270</v>
      </c>
      <c r="J27" s="15">
        <f>IFERROR(I27/H27,0)</f>
        <v>0.18556701030927836</v>
      </c>
      <c r="K27" s="31">
        <f>+SUM(K13:K25)</f>
        <v>405</v>
      </c>
      <c r="L27" s="15">
        <f>IFERROR(K27/H27,0)</f>
        <v>0.27835051546391754</v>
      </c>
    </row>
    <row r="28" spans="2:17" ht="20.149999999999999" customHeight="1" x14ac:dyDescent="0.35">
      <c r="C28" s="6"/>
      <c r="D28" s="8"/>
      <c r="E28" s="8"/>
      <c r="F28" s="8"/>
      <c r="G28" s="8"/>
      <c r="H28" s="5"/>
      <c r="I28" s="5"/>
      <c r="J28" s="25"/>
      <c r="K28" s="26"/>
      <c r="L28" s="25"/>
    </row>
    <row r="29" spans="2:17" ht="37.75" customHeight="1" x14ac:dyDescent="0.35">
      <c r="B29" s="124" t="s">
        <v>34</v>
      </c>
      <c r="C29" s="125"/>
      <c r="D29" s="103" t="s">
        <v>87</v>
      </c>
      <c r="E29" s="103"/>
      <c r="F29" s="104"/>
      <c r="G29" s="104"/>
      <c r="H29" s="104"/>
      <c r="I29" s="104"/>
      <c r="J29" s="104"/>
      <c r="K29" s="104"/>
      <c r="L29" s="104"/>
    </row>
    <row r="30" spans="2:17" ht="60.75" customHeight="1" x14ac:dyDescent="0.35">
      <c r="B30" s="126"/>
      <c r="C30" s="127"/>
      <c r="D30" s="103" t="s">
        <v>92</v>
      </c>
      <c r="E30" s="103"/>
      <c r="F30" s="104"/>
      <c r="G30" s="104"/>
      <c r="H30" s="104"/>
      <c r="I30" s="104"/>
      <c r="J30" s="104"/>
      <c r="K30" s="104"/>
      <c r="L30" s="104"/>
    </row>
    <row r="31" spans="2:17" ht="37.25" customHeight="1" x14ac:dyDescent="0.35">
      <c r="B31" s="126"/>
      <c r="C31" s="127"/>
      <c r="D31" s="103" t="s">
        <v>77</v>
      </c>
      <c r="E31" s="103"/>
      <c r="F31" s="104"/>
      <c r="G31" s="104"/>
      <c r="H31" s="104"/>
      <c r="I31" s="104"/>
      <c r="J31" s="104"/>
      <c r="K31" s="104"/>
      <c r="L31" s="104"/>
    </row>
    <row r="32" spans="2:17" ht="24" customHeight="1" x14ac:dyDescent="0.35">
      <c r="B32" s="126"/>
      <c r="C32" s="127"/>
      <c r="D32" s="103" t="s">
        <v>85</v>
      </c>
      <c r="E32" s="103"/>
      <c r="F32" s="104"/>
      <c r="G32" s="104"/>
      <c r="H32" s="104"/>
      <c r="I32" s="104"/>
      <c r="J32" s="104"/>
      <c r="K32" s="104"/>
      <c r="L32" s="104"/>
    </row>
    <row r="33" spans="2:12" ht="35.4" customHeight="1" x14ac:dyDescent="0.35">
      <c r="B33" s="126"/>
      <c r="C33" s="127"/>
      <c r="D33" s="103" t="s">
        <v>86</v>
      </c>
      <c r="E33" s="103"/>
      <c r="F33" s="104"/>
      <c r="G33" s="104"/>
      <c r="H33" s="104"/>
      <c r="I33" s="104"/>
      <c r="J33" s="104"/>
      <c r="K33" s="104"/>
      <c r="L33" s="104"/>
    </row>
    <row r="34" spans="2:12" ht="48" customHeight="1" x14ac:dyDescent="0.35">
      <c r="B34" s="128"/>
      <c r="C34" s="129"/>
      <c r="D34" s="103" t="s">
        <v>82</v>
      </c>
      <c r="E34" s="103"/>
      <c r="F34" s="104"/>
      <c r="G34" s="104"/>
      <c r="H34" s="104"/>
      <c r="I34" s="104"/>
      <c r="J34" s="104"/>
      <c r="K34" s="104"/>
      <c r="L34" s="104"/>
    </row>
    <row r="35" spans="2:12" ht="20.149999999999999" customHeight="1" x14ac:dyDescent="0.35">
      <c r="B35" s="105" t="s">
        <v>36</v>
      </c>
      <c r="C35" s="106"/>
      <c r="D35" s="106"/>
      <c r="E35" s="106"/>
      <c r="F35" s="106"/>
      <c r="G35" s="106"/>
      <c r="H35" s="106"/>
      <c r="I35" s="106"/>
      <c r="J35" s="106"/>
      <c r="K35" s="106"/>
      <c r="L35" s="107"/>
    </row>
    <row r="36" spans="2:12" ht="14.4" customHeight="1" x14ac:dyDescent="0.35">
      <c r="B36" s="108"/>
      <c r="C36" s="109"/>
      <c r="D36" s="109"/>
      <c r="E36" s="109"/>
      <c r="F36" s="109"/>
      <c r="G36" s="109"/>
      <c r="H36" s="109"/>
      <c r="I36" s="109"/>
      <c r="J36" s="109"/>
      <c r="K36" s="109"/>
      <c r="L36" s="110"/>
    </row>
    <row r="37" spans="2:12" ht="15" customHeight="1" x14ac:dyDescent="0.35">
      <c r="B37" s="21" t="s">
        <v>37</v>
      </c>
      <c r="C37" s="16"/>
      <c r="D37" s="16"/>
      <c r="E37" s="16"/>
      <c r="F37" s="16"/>
      <c r="G37" s="16"/>
      <c r="H37" s="16"/>
      <c r="I37" s="16"/>
      <c r="J37" s="16"/>
      <c r="K37" s="16"/>
      <c r="L37" s="17"/>
    </row>
    <row r="38" spans="2:12" ht="24.5" x14ac:dyDescent="0.45">
      <c r="B38" s="18" t="s">
        <v>38</v>
      </c>
      <c r="C38" s="19"/>
      <c r="D38" s="111" t="s">
        <v>35</v>
      </c>
      <c r="E38" s="112"/>
      <c r="F38" s="112"/>
      <c r="G38" s="112"/>
      <c r="H38" s="112"/>
      <c r="I38" s="112"/>
      <c r="J38" s="112"/>
      <c r="K38" s="112"/>
      <c r="L38" s="113"/>
    </row>
    <row r="39" spans="2:12" ht="20.149999999999999" customHeight="1" x14ac:dyDescent="0.45">
      <c r="B39" s="18" t="s">
        <v>39</v>
      </c>
      <c r="C39" s="19"/>
      <c r="D39" s="114"/>
      <c r="E39" s="115"/>
      <c r="F39" s="115"/>
      <c r="G39" s="115"/>
      <c r="H39" s="115"/>
      <c r="I39" s="115"/>
      <c r="J39" s="115"/>
      <c r="K39" s="115"/>
      <c r="L39" s="116"/>
    </row>
    <row r="40" spans="2:12" ht="20.149999999999999" customHeight="1" x14ac:dyDescent="0.35">
      <c r="B40" s="117" t="s">
        <v>36</v>
      </c>
      <c r="C40" s="118"/>
      <c r="D40" s="118"/>
      <c r="E40" s="118"/>
      <c r="F40" s="118"/>
      <c r="G40" s="118"/>
      <c r="H40" s="118"/>
      <c r="I40" s="118"/>
      <c r="J40" s="118"/>
      <c r="K40" s="118"/>
      <c r="L40" s="119"/>
    </row>
    <row r="41" spans="2:12" x14ac:dyDescent="0.35">
      <c r="B41" s="120"/>
      <c r="C41" s="121"/>
      <c r="D41" s="121"/>
      <c r="E41" s="121"/>
      <c r="F41" s="121"/>
      <c r="G41" s="121"/>
      <c r="H41" s="121"/>
      <c r="I41" s="121"/>
      <c r="J41" s="121"/>
      <c r="K41" s="121"/>
      <c r="L41" s="122"/>
    </row>
    <row r="42" spans="2:12" x14ac:dyDescent="0.35">
      <c r="B42" s="21" t="s">
        <v>40</v>
      </c>
      <c r="C42" s="16"/>
      <c r="D42" s="16"/>
      <c r="E42" s="16"/>
      <c r="F42" s="16"/>
      <c r="G42" s="16"/>
      <c r="H42" s="16"/>
      <c r="I42" s="16"/>
      <c r="J42" s="16"/>
      <c r="K42" s="16"/>
      <c r="L42" s="17"/>
    </row>
    <row r="43" spans="2:12" ht="19.5" customHeight="1" x14ac:dyDescent="0.45">
      <c r="B43" s="18" t="s">
        <v>38</v>
      </c>
      <c r="C43" s="19"/>
      <c r="D43" s="111" t="s">
        <v>35</v>
      </c>
      <c r="E43" s="112"/>
      <c r="F43" s="112"/>
      <c r="G43" s="112"/>
      <c r="H43" s="112"/>
      <c r="I43" s="112"/>
      <c r="J43" s="112"/>
      <c r="K43" s="112"/>
      <c r="L43" s="113"/>
    </row>
    <row r="44" spans="2:12" ht="23.9" customHeight="1" x14ac:dyDescent="0.45">
      <c r="B44" s="18" t="s">
        <v>39</v>
      </c>
      <c r="C44" s="19"/>
      <c r="D44" s="114"/>
      <c r="E44" s="115"/>
      <c r="F44" s="115"/>
      <c r="G44" s="115"/>
      <c r="H44" s="115"/>
      <c r="I44" s="115"/>
      <c r="J44" s="115"/>
      <c r="K44" s="115"/>
      <c r="L44" s="116"/>
    </row>
    <row r="47" spans="2:12" x14ac:dyDescent="0.35">
      <c r="B47" s="123"/>
      <c r="C47" s="123"/>
      <c r="D47" s="123"/>
      <c r="E47" s="77"/>
      <c r="H47" s="123"/>
      <c r="I47" s="123"/>
      <c r="J47" s="123"/>
      <c r="K47" s="123"/>
    </row>
    <row r="48" spans="2:12" x14ac:dyDescent="0.35">
      <c r="B48" s="20" t="s">
        <v>41</v>
      </c>
      <c r="C48" s="102"/>
      <c r="D48" s="102"/>
      <c r="E48" s="20"/>
      <c r="H48" s="6" t="s">
        <v>42</v>
      </c>
      <c r="I48" s="102" t="s">
        <v>98</v>
      </c>
      <c r="J48" s="102"/>
      <c r="K48" s="102"/>
    </row>
    <row r="76" spans="1:18" s="1" customFormat="1" hidden="1" x14ac:dyDescent="0.35">
      <c r="A76" t="s">
        <v>0</v>
      </c>
      <c r="B76" s="20"/>
      <c r="M76" s="2"/>
      <c r="N76" s="2"/>
      <c r="O76"/>
      <c r="P76" s="2"/>
      <c r="Q76"/>
      <c r="R76" s="2"/>
    </row>
    <row r="77" spans="1:18" s="1" customFormat="1" hidden="1" x14ac:dyDescent="0.35">
      <c r="A77" t="s">
        <v>2</v>
      </c>
      <c r="B77" s="20"/>
      <c r="M77" s="2"/>
      <c r="N77" s="2"/>
      <c r="O77"/>
      <c r="P77" s="2"/>
      <c r="Q77"/>
      <c r="R77" s="2"/>
    </row>
    <row r="78" spans="1:18" s="1" customFormat="1" hidden="1" x14ac:dyDescent="0.35">
      <c r="A78" t="s">
        <v>6</v>
      </c>
      <c r="B78" s="20"/>
      <c r="M78" s="2"/>
      <c r="N78" s="2"/>
      <c r="O78"/>
      <c r="P78" s="2"/>
      <c r="Q78"/>
      <c r="R78" s="2"/>
    </row>
    <row r="79" spans="1:18" s="1" customFormat="1" hidden="1" x14ac:dyDescent="0.35">
      <c r="A79" t="s">
        <v>8</v>
      </c>
      <c r="B79" s="20"/>
      <c r="M79" s="2"/>
      <c r="N79" s="2"/>
      <c r="O79"/>
      <c r="P79" s="2"/>
      <c r="Q79"/>
      <c r="R79" s="2"/>
    </row>
    <row r="80" spans="1:18" s="1" customFormat="1" hidden="1" x14ac:dyDescent="0.35">
      <c r="A80" t="s">
        <v>9</v>
      </c>
      <c r="B80" s="22"/>
      <c r="M80" s="2"/>
      <c r="N80" s="2"/>
      <c r="O80"/>
      <c r="P80" s="2"/>
      <c r="Q80"/>
      <c r="R80" s="2"/>
    </row>
    <row r="81" spans="1:18" s="1" customFormat="1" hidden="1" x14ac:dyDescent="0.35">
      <c r="A81" t="s">
        <v>10</v>
      </c>
      <c r="B81" s="22"/>
      <c r="M81" s="2"/>
      <c r="N81" s="2"/>
      <c r="O81"/>
      <c r="P81" s="2"/>
      <c r="Q81"/>
      <c r="R81" s="2"/>
    </row>
    <row r="82" spans="1:18" s="1" customFormat="1" hidden="1" x14ac:dyDescent="0.35">
      <c r="A82" t="s">
        <v>11</v>
      </c>
      <c r="B82" s="22"/>
      <c r="M82" s="2"/>
      <c r="N82" s="2"/>
      <c r="O82"/>
      <c r="P82" s="2"/>
      <c r="Q82"/>
      <c r="R82" s="2"/>
    </row>
    <row r="83" spans="1:18" s="1" customFormat="1" hidden="1" x14ac:dyDescent="0.35">
      <c r="A83" t="s">
        <v>13</v>
      </c>
      <c r="B83" s="22"/>
      <c r="M83" s="2"/>
      <c r="N83" s="2"/>
      <c r="O83"/>
      <c r="P83" s="2"/>
      <c r="Q83"/>
      <c r="R83" s="2"/>
    </row>
    <row r="84" spans="1:18" s="1" customFormat="1" hidden="1" x14ac:dyDescent="0.35">
      <c r="A84" t="s">
        <v>14</v>
      </c>
      <c r="B84" s="22"/>
      <c r="M84" s="2"/>
      <c r="N84" s="2"/>
      <c r="O84"/>
      <c r="P84" s="2"/>
      <c r="Q84"/>
      <c r="R84" s="2"/>
    </row>
    <row r="85" spans="1:18" s="1" customFormat="1" hidden="1" x14ac:dyDescent="0.35">
      <c r="A85" t="s">
        <v>16</v>
      </c>
      <c r="B85" s="22"/>
      <c r="M85" s="2"/>
      <c r="N85" s="2"/>
      <c r="O85"/>
      <c r="P85" s="2"/>
      <c r="Q85"/>
      <c r="R85" s="2"/>
    </row>
    <row r="86" spans="1:18" s="1" customFormat="1" hidden="1" x14ac:dyDescent="0.35">
      <c r="A86" t="s">
        <v>17</v>
      </c>
      <c r="B86" s="22"/>
      <c r="M86" s="2"/>
      <c r="N86" s="2"/>
      <c r="O86"/>
      <c r="P86" s="2"/>
      <c r="Q86"/>
      <c r="R86" s="2"/>
    </row>
    <row r="87" spans="1:18" s="1" customFormat="1" hidden="1" x14ac:dyDescent="0.35">
      <c r="A87" t="s">
        <v>21</v>
      </c>
      <c r="B87" s="22"/>
      <c r="M87" s="2"/>
      <c r="N87" s="2"/>
      <c r="O87"/>
      <c r="P87" s="2"/>
      <c r="Q87"/>
      <c r="R87" s="2"/>
    </row>
    <row r="88" spans="1:18" s="1" customFormat="1" hidden="1" x14ac:dyDescent="0.35">
      <c r="A88" t="s">
        <v>31</v>
      </c>
      <c r="B88" s="22"/>
      <c r="M88" s="2"/>
      <c r="N88" s="2"/>
      <c r="O88"/>
      <c r="P88" s="2"/>
      <c r="Q88"/>
      <c r="R88" s="2"/>
    </row>
    <row r="89" spans="1:18" x14ac:dyDescent="0.35">
      <c r="B89" s="22"/>
    </row>
    <row r="90" spans="1:18" x14ac:dyDescent="0.35">
      <c r="B90" s="22"/>
    </row>
    <row r="91" spans="1:18" x14ac:dyDescent="0.35">
      <c r="B91" s="22"/>
    </row>
    <row r="92" spans="1:18" x14ac:dyDescent="0.35">
      <c r="B92" s="22"/>
    </row>
  </sheetData>
  <sheetProtection formatCells="0" formatColumns="0" formatRows="0" insertColumns="0" insertRows="0" insertHyperlinks="0" deleteColumns="0" deleteRows="0" sort="0" autoFilter="0" pivotTables="0"/>
  <mergeCells count="30">
    <mergeCell ref="E15:E16"/>
    <mergeCell ref="B2:L2"/>
    <mergeCell ref="B3:D3"/>
    <mergeCell ref="F3:I3"/>
    <mergeCell ref="J3:L3"/>
    <mergeCell ref="B5:C5"/>
    <mergeCell ref="B7:C7"/>
    <mergeCell ref="B9:C9"/>
    <mergeCell ref="B11:H11"/>
    <mergeCell ref="I11:J11"/>
    <mergeCell ref="K11:L11"/>
    <mergeCell ref="E13:E14"/>
    <mergeCell ref="E21:E23"/>
    <mergeCell ref="H26:J26"/>
    <mergeCell ref="K26:L26"/>
    <mergeCell ref="B29:C34"/>
    <mergeCell ref="D29:L29"/>
    <mergeCell ref="D30:L30"/>
    <mergeCell ref="D31:L31"/>
    <mergeCell ref="D32:L32"/>
    <mergeCell ref="D33:L33"/>
    <mergeCell ref="D34:L34"/>
    <mergeCell ref="C48:D48"/>
    <mergeCell ref="I48:K48"/>
    <mergeCell ref="B35:L36"/>
    <mergeCell ref="D38:L39"/>
    <mergeCell ref="B40:L41"/>
    <mergeCell ref="D43:L44"/>
    <mergeCell ref="B47:D47"/>
    <mergeCell ref="H47:K47"/>
  </mergeCells>
  <conditionalFormatting sqref="L13:L25">
    <cfRule type="cellIs" dxfId="0" priority="1" operator="greaterThan">
      <formula>1</formula>
    </cfRule>
  </conditionalFormatting>
  <dataValidations count="5">
    <dataValidation type="list" allowBlank="1" showInputMessage="1" showErrorMessage="1" sqref="D8 F8:G8">
      <formula1>#REF!</formula1>
    </dataValidation>
    <dataValidation allowBlank="1" showInputMessage="1" showErrorMessage="1" sqref="H28"/>
    <dataValidation type="whole" allowBlank="1" showInputMessage="1" showErrorMessage="1" errorTitle="¡Error!" error="Introduzca un número válido." promptTitle="¡Atención!" prompt="Introduzca un número entre 0 y 30" sqref="I13">
      <formula1>0</formula1>
      <formula2>30</formula2>
    </dataValidation>
    <dataValidation type="list" allowBlank="1" showInputMessage="1" showErrorMessage="1" sqref="D7">
      <formula1>$A$77:$A$88</formula1>
    </dataValidation>
    <dataValidation type="whole" allowBlank="1" showInputMessage="1" showErrorMessage="1" errorTitle="¡Error!" error="Introduzca un número válido." promptTitle="¡Atención!" prompt="Introduzca un número entre 0 y 366" sqref="H13:H17 I14:I17 H18:I25">
      <formula1>0</formula1>
      <formula2>366</formula2>
    </dataValidation>
  </dataValidations>
  <pageMargins left="0.7" right="0.7" top="0.75" bottom="0.75" header="0.3" footer="0.3"/>
  <pageSetup scale="18"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ENERO</vt:lpstr>
      <vt:lpstr>FEBRERO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cp:lastPrinted>2025-07-02T22:34:58Z</cp:lastPrinted>
  <dcterms:created xsi:type="dcterms:W3CDTF">2024-01-10T22:00:55Z</dcterms:created>
  <dcterms:modified xsi:type="dcterms:W3CDTF">2026-03-06T19:59:29Z</dcterms:modified>
</cp:coreProperties>
</file>