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eportesEcopetrol\docs\Consolidados_febrero\"/>
    </mc:Choice>
  </mc:AlternateContent>
  <bookViews>
    <workbookView xWindow="0" yWindow="0" windowWidth="19200" windowHeight="6600" tabRatio="592" firstSheet="2" activeTab="8"/>
  </bookViews>
  <sheets>
    <sheet name="JUNIO" sheetId="16" r:id="rId1"/>
    <sheet name="JULIO" sheetId="23" r:id="rId2"/>
    <sheet name="AGOSTO" sheetId="24" r:id="rId3"/>
    <sheet name="SEPTIEMBRE" sheetId="25" r:id="rId4"/>
    <sheet name="OCTUBRE" sheetId="26" r:id="rId5"/>
    <sheet name="NOVIEMBRE" sheetId="27" r:id="rId6"/>
    <sheet name="DICIEMBRE" sheetId="28" r:id="rId7"/>
    <sheet name="ENERO 2026" sheetId="29" r:id="rId8"/>
    <sheet name="FEBRERO 2026" sheetId="30" r:id="rId9"/>
  </sheets>
  <definedNames>
    <definedName name="_xlnm.Print_Area" localSheetId="2">AGOSTO!$A$1:$L$48</definedName>
    <definedName name="_xlnm.Print_Area" localSheetId="6">DICIEMBRE!$A$1:$L$48</definedName>
    <definedName name="_xlnm.Print_Area" localSheetId="7">'ENERO 2026'!$A$1:$L$48</definedName>
    <definedName name="_xlnm.Print_Area" localSheetId="8">'FEBRERO 2026'!$A$1:$L$48</definedName>
    <definedName name="_xlnm.Print_Area" localSheetId="1">JULIO!$A$1:$L$48</definedName>
    <definedName name="_xlnm.Print_Area" localSheetId="0">JUNIO!$A$1:$L$48</definedName>
    <definedName name="_xlnm.Print_Area" localSheetId="5">NOVIEMBRE!$A$1:$L$48</definedName>
    <definedName name="_xlnm.Print_Area" localSheetId="4">OCTUBRE!$A$1:$L$48</definedName>
    <definedName name="_xlnm.Print_Area" localSheetId="3">SEPTIEMBRE!$A$1:$L$48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30" l="1"/>
  <c r="G32" i="30"/>
  <c r="G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32" i="30" l="1"/>
  <c r="H32" i="29"/>
  <c r="G32" i="29"/>
  <c r="G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32" i="29" l="1"/>
  <c r="H32" i="16"/>
  <c r="G32" i="16"/>
  <c r="I32" i="16" l="1"/>
  <c r="G32" i="28"/>
  <c r="H32" i="28"/>
  <c r="J14" i="16"/>
  <c r="J14" i="23" s="1"/>
  <c r="J13" i="16"/>
  <c r="G31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H32" i="27"/>
  <c r="G32" i="27"/>
  <c r="G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H32" i="26"/>
  <c r="G32" i="26"/>
  <c r="G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H32" i="25"/>
  <c r="G32" i="25"/>
  <c r="G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H32" i="24"/>
  <c r="G32" i="24"/>
  <c r="G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H32" i="23"/>
  <c r="G32" i="23"/>
  <c r="G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J15" i="16"/>
  <c r="J15" i="23" s="1"/>
  <c r="J16" i="16"/>
  <c r="K16" i="16" s="1"/>
  <c r="J17" i="16"/>
  <c r="J17" i="23" s="1"/>
  <c r="K17" i="23" s="1"/>
  <c r="J18" i="16"/>
  <c r="J18" i="23" s="1"/>
  <c r="J19" i="16"/>
  <c r="J19" i="23" s="1"/>
  <c r="J20" i="16"/>
  <c r="J20" i="23" s="1"/>
  <c r="J21" i="16"/>
  <c r="J21" i="23" s="1"/>
  <c r="J22" i="16"/>
  <c r="J22" i="23" s="1"/>
  <c r="J23" i="16"/>
  <c r="K23" i="16" s="1"/>
  <c r="J24" i="16"/>
  <c r="J24" i="23" s="1"/>
  <c r="J25" i="16"/>
  <c r="J25" i="23" s="1"/>
  <c r="J26" i="16"/>
  <c r="J26" i="23" s="1"/>
  <c r="J27" i="16"/>
  <c r="J27" i="23" s="1"/>
  <c r="J28" i="16"/>
  <c r="K28" i="16" s="1"/>
  <c r="J29" i="16"/>
  <c r="J29" i="23" s="1"/>
  <c r="K29" i="23" s="1"/>
  <c r="J30" i="16"/>
  <c r="K30" i="16" s="1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14" i="16"/>
  <c r="I13" i="16"/>
  <c r="J28" i="23" l="1"/>
  <c r="J28" i="24" s="1"/>
  <c r="K29" i="16"/>
  <c r="I32" i="25"/>
  <c r="I32" i="23"/>
  <c r="J13" i="23"/>
  <c r="J13" i="24" s="1"/>
  <c r="J13" i="25" s="1"/>
  <c r="J32" i="16"/>
  <c r="K32" i="16" s="1"/>
  <c r="K17" i="16"/>
  <c r="J16" i="23"/>
  <c r="K16" i="23" s="1"/>
  <c r="J30" i="23"/>
  <c r="K30" i="23" s="1"/>
  <c r="K27" i="16"/>
  <c r="J23" i="23"/>
  <c r="K14" i="16"/>
  <c r="K24" i="16"/>
  <c r="K26" i="16"/>
  <c r="K25" i="16"/>
  <c r="K20" i="16"/>
  <c r="K19" i="16"/>
  <c r="K18" i="16"/>
  <c r="K15" i="16"/>
  <c r="K14" i="23"/>
  <c r="J14" i="24"/>
  <c r="J26" i="24"/>
  <c r="K26" i="23"/>
  <c r="K27" i="23"/>
  <c r="J27" i="24"/>
  <c r="J28" i="25"/>
  <c r="K28" i="24"/>
  <c r="J25" i="24"/>
  <c r="K25" i="23"/>
  <c r="K24" i="23"/>
  <c r="J24" i="24"/>
  <c r="K19" i="23"/>
  <c r="J19" i="24"/>
  <c r="J18" i="24"/>
  <c r="K18" i="23"/>
  <c r="J15" i="24"/>
  <c r="K15" i="23"/>
  <c r="K22" i="23"/>
  <c r="J22" i="24"/>
  <c r="K21" i="23"/>
  <c r="J21" i="24"/>
  <c r="J20" i="24"/>
  <c r="K20" i="23"/>
  <c r="K22" i="16"/>
  <c r="I32" i="26"/>
  <c r="K21" i="16"/>
  <c r="K28" i="23"/>
  <c r="J29" i="24"/>
  <c r="J17" i="24"/>
  <c r="I32" i="24"/>
  <c r="I32" i="27"/>
  <c r="I32" i="28"/>
  <c r="K13" i="23"/>
  <c r="K13" i="24" l="1"/>
  <c r="J16" i="24"/>
  <c r="J30" i="24"/>
  <c r="K30" i="24" s="1"/>
  <c r="J23" i="24"/>
  <c r="K23" i="23"/>
  <c r="J32" i="23"/>
  <c r="K32" i="23" s="1"/>
  <c r="K22" i="24"/>
  <c r="J22" i="25"/>
  <c r="K15" i="24"/>
  <c r="J15" i="25"/>
  <c r="K25" i="24"/>
  <c r="J25" i="25"/>
  <c r="J28" i="26"/>
  <c r="K28" i="25"/>
  <c r="K18" i="24"/>
  <c r="J18" i="25"/>
  <c r="K26" i="24"/>
  <c r="J26" i="25"/>
  <c r="K27" i="24"/>
  <c r="J27" i="25"/>
  <c r="K19" i="24"/>
  <c r="J19" i="25"/>
  <c r="K14" i="24"/>
  <c r="J14" i="25"/>
  <c r="J20" i="25"/>
  <c r="K20" i="24"/>
  <c r="K29" i="24"/>
  <c r="J29" i="25"/>
  <c r="K17" i="24"/>
  <c r="J17" i="25"/>
  <c r="K16" i="24"/>
  <c r="J16" i="25"/>
  <c r="K21" i="24"/>
  <c r="J21" i="25"/>
  <c r="K24" i="24"/>
  <c r="J24" i="25"/>
  <c r="K13" i="25"/>
  <c r="J13" i="26"/>
  <c r="K13" i="16"/>
  <c r="J30" i="25" l="1"/>
  <c r="K30" i="25" s="1"/>
  <c r="J23" i="25"/>
  <c r="K23" i="24"/>
  <c r="J32" i="24"/>
  <c r="K32" i="24" s="1"/>
  <c r="K20" i="25"/>
  <c r="J20" i="26"/>
  <c r="K24" i="25"/>
  <c r="J24" i="26"/>
  <c r="K25" i="25"/>
  <c r="J25" i="26"/>
  <c r="J18" i="26"/>
  <c r="K18" i="25"/>
  <c r="K26" i="25"/>
  <c r="J26" i="26"/>
  <c r="J21" i="26"/>
  <c r="K21" i="25"/>
  <c r="K19" i="25"/>
  <c r="J19" i="26"/>
  <c r="J27" i="26"/>
  <c r="K27" i="25"/>
  <c r="K22" i="25"/>
  <c r="J22" i="26"/>
  <c r="K29" i="25"/>
  <c r="J29" i="26"/>
  <c r="J14" i="26"/>
  <c r="K14" i="25"/>
  <c r="K28" i="26"/>
  <c r="J28" i="27"/>
  <c r="J16" i="26"/>
  <c r="K16" i="25"/>
  <c r="J15" i="26"/>
  <c r="K15" i="25"/>
  <c r="J17" i="26"/>
  <c r="K17" i="25"/>
  <c r="J13" i="27"/>
  <c r="K13" i="26"/>
  <c r="G31" i="16"/>
  <c r="J30" i="26" l="1"/>
  <c r="J30" i="27" s="1"/>
  <c r="J23" i="26"/>
  <c r="K23" i="25"/>
  <c r="J32" i="25"/>
  <c r="K32" i="25" s="1"/>
  <c r="K14" i="26"/>
  <c r="J14" i="27"/>
  <c r="J13" i="28"/>
  <c r="J13" i="29" s="1"/>
  <c r="K13" i="27"/>
  <c r="J17" i="27"/>
  <c r="K17" i="26"/>
  <c r="K18" i="26"/>
  <c r="J18" i="27"/>
  <c r="K29" i="26"/>
  <c r="J29" i="27"/>
  <c r="J25" i="27"/>
  <c r="K25" i="26"/>
  <c r="K27" i="26"/>
  <c r="J27" i="27"/>
  <c r="K16" i="26"/>
  <c r="J16" i="27"/>
  <c r="K24" i="26"/>
  <c r="J24" i="27"/>
  <c r="K15" i="26"/>
  <c r="J15" i="27"/>
  <c r="J28" i="28"/>
  <c r="K28" i="27"/>
  <c r="K19" i="26"/>
  <c r="J19" i="27"/>
  <c r="J21" i="27"/>
  <c r="K21" i="26"/>
  <c r="K26" i="26"/>
  <c r="J26" i="27"/>
  <c r="K20" i="26"/>
  <c r="J20" i="27"/>
  <c r="K22" i="26"/>
  <c r="J22" i="27"/>
  <c r="J13" i="30" l="1"/>
  <c r="K13" i="29"/>
  <c r="K28" i="28"/>
  <c r="J28" i="29"/>
  <c r="K30" i="26"/>
  <c r="J23" i="27"/>
  <c r="K23" i="26"/>
  <c r="J32" i="26"/>
  <c r="K32" i="26" s="1"/>
  <c r="J15" i="28"/>
  <c r="K15" i="27"/>
  <c r="J20" i="28"/>
  <c r="K20" i="27"/>
  <c r="K26" i="27"/>
  <c r="J26" i="28"/>
  <c r="K16" i="27"/>
  <c r="J16" i="28"/>
  <c r="J22" i="28"/>
  <c r="K22" i="27"/>
  <c r="J17" i="28"/>
  <c r="K17" i="27"/>
  <c r="K25" i="27"/>
  <c r="J25" i="28"/>
  <c r="K18" i="27"/>
  <c r="J18" i="28"/>
  <c r="J21" i="28"/>
  <c r="K21" i="27"/>
  <c r="K19" i="27"/>
  <c r="J19" i="28"/>
  <c r="J30" i="28"/>
  <c r="K30" i="27"/>
  <c r="J14" i="28"/>
  <c r="K14" i="27"/>
  <c r="J29" i="28"/>
  <c r="K29" i="27"/>
  <c r="K24" i="27"/>
  <c r="J24" i="28"/>
  <c r="K27" i="27"/>
  <c r="J27" i="28"/>
  <c r="K13" i="28"/>
  <c r="K27" i="28" l="1"/>
  <c r="J27" i="29"/>
  <c r="K26" i="28"/>
  <c r="J26" i="29"/>
  <c r="J28" i="30"/>
  <c r="K28" i="30" s="1"/>
  <c r="K28" i="29"/>
  <c r="K14" i="28"/>
  <c r="J14" i="29"/>
  <c r="K24" i="28"/>
  <c r="J24" i="29"/>
  <c r="K30" i="28"/>
  <c r="J30" i="29"/>
  <c r="K19" i="28"/>
  <c r="J19" i="29"/>
  <c r="K17" i="28"/>
  <c r="J17" i="29"/>
  <c r="K25" i="28"/>
  <c r="J25" i="29"/>
  <c r="K15" i="28"/>
  <c r="J15" i="29"/>
  <c r="K20" i="28"/>
  <c r="J20" i="29"/>
  <c r="K29" i="28"/>
  <c r="J29" i="29"/>
  <c r="K21" i="28"/>
  <c r="J21" i="29"/>
  <c r="K22" i="28"/>
  <c r="J22" i="29"/>
  <c r="K18" i="28"/>
  <c r="J18" i="29"/>
  <c r="K16" i="28"/>
  <c r="J16" i="29"/>
  <c r="K13" i="30"/>
  <c r="K23" i="27"/>
  <c r="J23" i="28"/>
  <c r="J23" i="29" s="1"/>
  <c r="J32" i="27"/>
  <c r="K32" i="27" s="1"/>
  <c r="K16" i="29" l="1"/>
  <c r="J16" i="30"/>
  <c r="K16" i="30" s="1"/>
  <c r="K29" i="29"/>
  <c r="J29" i="30"/>
  <c r="K29" i="30" s="1"/>
  <c r="J17" i="30"/>
  <c r="K17" i="30" s="1"/>
  <c r="K17" i="29"/>
  <c r="J14" i="30"/>
  <c r="K14" i="29"/>
  <c r="J32" i="29"/>
  <c r="K32" i="29" s="1"/>
  <c r="K18" i="29"/>
  <c r="J18" i="30"/>
  <c r="K18" i="30" s="1"/>
  <c r="J20" i="30"/>
  <c r="K20" i="30" s="1"/>
  <c r="K20" i="29"/>
  <c r="J19" i="30"/>
  <c r="K19" i="30" s="1"/>
  <c r="K19" i="29"/>
  <c r="K26" i="29"/>
  <c r="J26" i="30"/>
  <c r="K26" i="30" s="1"/>
  <c r="K15" i="29"/>
  <c r="J15" i="30"/>
  <c r="K15" i="30" s="1"/>
  <c r="K21" i="29"/>
  <c r="J21" i="30"/>
  <c r="K21" i="30" s="1"/>
  <c r="K24" i="29"/>
  <c r="J24" i="30"/>
  <c r="K24" i="30" s="1"/>
  <c r="J27" i="30"/>
  <c r="K27" i="30" s="1"/>
  <c r="K27" i="29"/>
  <c r="K23" i="29"/>
  <c r="J23" i="30"/>
  <c r="K23" i="30" s="1"/>
  <c r="J22" i="30"/>
  <c r="K22" i="30" s="1"/>
  <c r="K22" i="29"/>
  <c r="J30" i="30"/>
  <c r="K30" i="30" s="1"/>
  <c r="K30" i="29"/>
  <c r="J25" i="30"/>
  <c r="K25" i="30" s="1"/>
  <c r="K25" i="29"/>
  <c r="K23" i="28"/>
  <c r="J32" i="28"/>
  <c r="K32" i="28" s="1"/>
  <c r="K14" i="30" l="1"/>
  <c r="J32" i="30"/>
  <c r="K32" i="30" s="1"/>
</calcChain>
</file>

<file path=xl/comments1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6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7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8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9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4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4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4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4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<sst xmlns="http://schemas.openxmlformats.org/spreadsheetml/2006/main" count="1197" uniqueCount="88">
  <si>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</si>
  <si>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</si>
  <si>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</si>
  <si>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</si>
  <si>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</si>
  <si>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</si>
  <si>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</si>
  <si>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</si>
  <si>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</si>
  <si>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</si>
  <si>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</si>
  <si>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</si>
  <si>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</si>
  <si>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</si>
  <si>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</si>
  <si>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</si>
  <si>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</si>
  <si>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</si>
  <si>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</si>
  <si>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</si>
  <si>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</si>
  <si>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</si>
  <si>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</si>
  <si>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</si>
  <si>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</si>
  <si>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</si>
  <si>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</si>
  <si>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 contratados</t>
  </si>
  <si>
    <t>Días</t>
  </si>
  <si>
    <t>% avance</t>
  </si>
  <si>
    <t xml:space="preserve">Días </t>
  </si>
  <si>
    <t>DICIEMBRE</t>
  </si>
  <si>
    <t>Digital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</si>
  <si>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</si>
  <si>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</si>
  <si>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</si>
  <si>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</si>
  <si>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</si>
  <si>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</si>
  <si>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</si>
  <si>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</si>
  <si>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</si>
  <si>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Interventor:</t>
  </si>
  <si>
    <t>3.6</t>
  </si>
  <si>
    <t>3.11</t>
  </si>
  <si>
    <t>3.13</t>
  </si>
  <si>
    <t>3.14</t>
  </si>
  <si>
    <t>3.15</t>
  </si>
  <si>
    <t>3.16</t>
  </si>
  <si>
    <t>3.17</t>
  </si>
  <si>
    <t>3.18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</si>
  <si>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</si>
  <si>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</si>
  <si>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</si>
  <si>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</si>
  <si>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</si>
  <si>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</si>
  <si>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</si>
  <si>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</si>
  <si>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</si>
  <si>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</si>
  <si>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Generar base de datos de producción (OFM o la que se requiera)</t>
  </si>
  <si>
    <t>Generar Distribución de Producción por sub- unidades (allocation)</t>
  </si>
  <si>
    <t>Generar Balance de Materia por campo y/o por subunidad y/o por compartimiento</t>
  </si>
  <si>
    <t>Análisis de Declinaciones por pozo y/o subunidad</t>
  </si>
  <si>
    <t>Analizar data histórica de producción, productividad y daño por pozo</t>
  </si>
  <si>
    <t>Generar perfiles de Producción por pozos para pozos existente en escenarios Bajo, Medio y Alto.</t>
  </si>
  <si>
    <t>Generación de oportunidades de intervención a Pozos</t>
  </si>
  <si>
    <t>Estimar restricciones de Presión y tasas para la generación de perfiles de producción</t>
  </si>
  <si>
    <t>Generar modelo de Pozos</t>
  </si>
  <si>
    <t>Adelantar la evaluación e interpretación de datos enfocada a candidatización de actividades de reacondicionamiento y optimización de productividad en los activos</t>
  </si>
  <si>
    <t>Generar los análisis asociados a candidatización de pozos para optimización de la producción empleando simulación numérica (análisis nodal) de productividad de pozos</t>
  </si>
  <si>
    <t>Generar reportes de soporte en la ejecución de trabajos ejecutados, tales como estimulaciones, fracturamientos hidráulicos, recañoneos, entre otros.</t>
  </si>
  <si>
    <t>Generar reportes de evaluación de los tratamientos de estimulación y optimización de producción implementados en la vigencia respectiva</t>
  </si>
  <si>
    <t>Realizar el seguimiento de producción/inyección de pozos intervenidos con base en los comportamientos de producción previo y posterior a la intervención</t>
  </si>
  <si>
    <t>Adelantar en análisis y evaluación de datos enfocada a la ejecución de estudios de daño de formación</t>
  </si>
  <si>
    <t>Generar los análisis asociados a la ejecución de estudios de daño de formación empleando simulación numérica (análisis nodal y single well model, análisis de aguas, análisis de crudos, entre otros)</t>
  </si>
  <si>
    <t>Generar Modelo analítico del yacimiento integrando la información disponible en un software específico</t>
  </si>
  <si>
    <t>Análisis e interpretación de datos de pruebas de presión-producción (DSTs, PBU, Pruebas Extendidas Producción, Gradientes Estáticos-Dinámicos PT, etc.) o de presión inyección (Inyectividad, SRT, FOT) aplicadas ya sea en tiempo real, memorizadas o con sarta temporal DST. Integración Probador Formación – Registros Open Hole.</t>
  </si>
  <si>
    <t>Modelo Analítico – Perfiles de Producción – Informe del modelo</t>
  </si>
  <si>
    <t>Informe del análisis por pozo o prueba</t>
  </si>
  <si>
    <t>Base de Datos</t>
  </si>
  <si>
    <t>Base de Datos - Modelo de Balance - Informe del modelo</t>
  </si>
  <si>
    <t>Base de Datos – Perfiles Generados – Informe del análisis</t>
  </si>
  <si>
    <t>Base de Datos - Informe de la Evaluación</t>
  </si>
  <si>
    <t>Base de Datos – Informe de la Evaluación</t>
  </si>
  <si>
    <t>Luisa Margarita Uribe Corrales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</si>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</sst>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9" fontId="2" fillId="0" borderId="1" xfId="1" applyFont="1" applyBorder="1" applyAlignment="1" applyProtection="1">
      <alignment horizontal="center" vertical="center" wrapText="1"/>
    </xf>
    <xf numFmtId="9" fontId="2" fillId="0" borderId="15" xfId="1" applyFont="1" applyBorder="1" applyAlignment="1" applyProtection="1">
      <alignment horizontal="center" vertical="center" wrapText="1"/>
    </xf>
    <xf numFmtId="164" fontId="4" fillId="0" borderId="8" xfId="1" applyNumberFormat="1" applyFont="1" applyBorder="1" applyAlignment="1" applyProtection="1">
      <alignment horizontal="center" vertical="center"/>
    </xf>
    <xf numFmtId="9" fontId="2" fillId="0" borderId="17" xfId="1" applyFont="1" applyBorder="1" applyAlignment="1" applyProtection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0" xfId="0" applyFont="1" applyBorder="1"/>
    <xf numFmtId="0" fontId="2" fillId="0" borderId="9" xfId="0" applyFont="1" applyBorder="1"/>
    <xf numFmtId="49" fontId="4" fillId="2" borderId="8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9" fontId="2" fillId="5" borderId="1" xfId="1" applyFont="1" applyFill="1" applyBorder="1" applyAlignment="1" applyProtection="1">
      <alignment horizontal="center" vertical="center" wrapText="1"/>
    </xf>
    <xf numFmtId="9" fontId="2" fillId="5" borderId="15" xfId="1" applyFont="1" applyFill="1" applyBorder="1" applyAlignment="1" applyProtection="1">
      <alignment horizontal="center" vertical="center" wrapText="1"/>
    </xf>
    <xf numFmtId="9" fontId="2" fillId="0" borderId="1" xfId="1" applyFont="1" applyFill="1" applyBorder="1" applyAlignment="1" applyProtection="1">
      <alignment horizontal="center" vertical="center" wrapText="1"/>
    </xf>
    <xf numFmtId="9" fontId="2" fillId="0" borderId="15" xfId="1" applyFont="1" applyFill="1" applyBorder="1" applyAlignment="1" applyProtection="1">
      <alignment horizontal="center" vertical="center" wrapText="1"/>
    </xf>
    <xf numFmtId="9" fontId="2" fillId="0" borderId="17" xfId="1" applyFont="1" applyFill="1" applyBorder="1" applyAlignment="1" applyProtection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38886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" y="194787"/>
          <a:ext cx="2480309" cy="621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showGridLines="0" view="pageBreakPreview" zoomScaleNormal="100" zoomScaleSheetLayoutView="100" workbookViewId="0">
      <selection activeCell="A7" sqref="A7:XFD8"/>
    </sheetView>
  </sheetViews>
  <sheetFormatPr baseColWidth="10" defaultColWidth="8.6328125" defaultRowHeight="14.5" x14ac:dyDescent="0.35"/>
  <cols>
    <col min="1" max="1" width="4.453125" style="6" customWidth="1"/>
    <col min="2" max="2" width="15.6328125" style="5" customWidth="1"/>
    <col min="3" max="3" width="8.54296875" style="5" bestFit="1" customWidth="1"/>
    <col min="4" max="4" width="43.36328125" style="5" customWidth="1"/>
    <col min="5" max="5" width="14.08984375" style="5" bestFit="1" customWidth="1"/>
    <col min="6" max="6" width="13.453125" style="5" customWidth="1"/>
    <col min="7" max="7" width="13.6328125" style="5" customWidth="1"/>
    <col min="8" max="8" width="13.453125" style="5" customWidth="1"/>
    <col min="9" max="9" width="10.453125" style="5" customWidth="1"/>
    <col min="10" max="10" width="12.453125" style="5" customWidth="1"/>
    <col min="11" max="11" width="12.36328125" style="5" customWidth="1"/>
    <col min="12" max="12" width="6.6328125" style="6" customWidth="1"/>
    <col min="13" max="13" width="16.453125" style="6" customWidth="1"/>
    <col min="15" max="15" width="16.453125" style="6" customWidth="1"/>
    <col min="16" max="16" width="0" hidden="1" customWidth="1"/>
    <col min="17" max="17" width="16.453125" style="6" customWidth="1"/>
    <col min="18" max="16384" width="8.6328125" style="6"/>
  </cols>
  <sheetData>
    <row r="1" spans="2:16" x14ac:dyDescent="0.35">
      <c r="P1" t="s">
        <v>0</v>
      </c>
    </row>
    <row r="2" spans="2:16" ht="49.5" customHeight="1" x14ac:dyDescent="0.35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P2" t="s">
        <v>2</v>
      </c>
    </row>
    <row r="3" spans="2:16" ht="18.75" customHeight="1" x14ac:dyDescent="0.35">
      <c r="B3" s="76" t="s">
        <v>3</v>
      </c>
      <c r="C3" s="77"/>
      <c r="D3" s="77"/>
      <c r="E3" s="77" t="s">
        <v>4</v>
      </c>
      <c r="F3" s="77"/>
      <c r="G3" s="77"/>
      <c r="H3" s="77"/>
      <c r="I3" s="77" t="s">
        <v>5</v>
      </c>
      <c r="J3" s="77"/>
      <c r="K3" s="78"/>
    </row>
    <row r="4" spans="2:16" x14ac:dyDescent="0.35">
      <c r="B4" s="7"/>
      <c r="C4" s="8"/>
      <c r="K4" s="9"/>
      <c r="P4" t="s">
        <v>6</v>
      </c>
    </row>
    <row r="5" spans="2:16" s="14" customFormat="1" ht="27.65" customHeight="1" x14ac:dyDescent="0.35">
      <c r="B5" s="79" t="s">
        <v>7</v>
      </c>
      <c r="C5" s="79"/>
      <c r="D5" s="10">
        <v>90227898</v>
      </c>
      <c r="E5" s="11"/>
      <c r="F5" s="11"/>
      <c r="G5" s="12"/>
      <c r="H5" s="12"/>
      <c r="I5" s="12"/>
      <c r="J5" s="12"/>
      <c r="K5" s="13"/>
      <c r="N5"/>
      <c r="P5" t="s">
        <v>8</v>
      </c>
    </row>
    <row r="6" spans="2:16" x14ac:dyDescent="0.35">
      <c r="B6" s="15"/>
      <c r="K6" s="16"/>
      <c r="P6" t="s">
        <v>9</v>
      </c>
    </row>
    <row r="7" spans="2:16" s="14" customFormat="1" x14ac:dyDescent="0.35">
      <c r="B7" s="79" t="s">
        <v>12</v>
      </c>
      <c r="C7" s="79"/>
      <c r="D7" s="17" t="s">
        <v>11</v>
      </c>
      <c r="E7" s="18"/>
      <c r="F7" s="18"/>
      <c r="G7" s="12"/>
      <c r="H7" s="12"/>
      <c r="I7" s="12"/>
      <c r="J7" s="12"/>
      <c r="K7" s="13"/>
      <c r="N7"/>
      <c r="P7" t="s">
        <v>13</v>
      </c>
    </row>
    <row r="8" spans="2:16" s="14" customFormat="1" x14ac:dyDescent="0.35">
      <c r="B8" s="19"/>
      <c r="C8" s="20"/>
      <c r="D8" s="18"/>
      <c r="E8" s="18"/>
      <c r="F8" s="18"/>
      <c r="G8" s="12"/>
      <c r="H8" s="12"/>
      <c r="I8" s="12"/>
      <c r="J8" s="12"/>
      <c r="K8" s="13"/>
      <c r="N8"/>
      <c r="P8" t="s">
        <v>14</v>
      </c>
    </row>
    <row r="9" spans="2:16" s="14" customFormat="1" x14ac:dyDescent="0.35">
      <c r="B9" s="79" t="s">
        <v>15</v>
      </c>
      <c r="C9" s="79"/>
      <c r="D9" s="21">
        <v>45838</v>
      </c>
      <c r="E9" s="22"/>
      <c r="F9" s="22"/>
      <c r="G9" s="12"/>
      <c r="H9" s="12"/>
      <c r="I9" s="12"/>
      <c r="J9" s="12"/>
      <c r="K9" s="13"/>
      <c r="N9"/>
      <c r="P9" t="s">
        <v>16</v>
      </c>
    </row>
    <row r="10" spans="2:16" x14ac:dyDescent="0.35">
      <c r="B10" s="23"/>
      <c r="C10" s="24"/>
      <c r="K10" s="25"/>
      <c r="P10" t="s">
        <v>17</v>
      </c>
    </row>
    <row r="11" spans="2:16" ht="26.9" customHeight="1" x14ac:dyDescent="0.35">
      <c r="B11" s="66" t="s">
        <v>18</v>
      </c>
      <c r="C11" s="66"/>
      <c r="D11" s="66"/>
      <c r="E11" s="66"/>
      <c r="F11" s="66"/>
      <c r="G11" s="66"/>
      <c r="H11" s="79" t="s">
        <v>19</v>
      </c>
      <c r="I11" s="79"/>
      <c r="J11" s="79" t="s">
        <v>20</v>
      </c>
      <c r="K11" s="79"/>
      <c r="P11" t="s">
        <v>21</v>
      </c>
    </row>
    <row r="12" spans="2:16" ht="57.65" customHeight="1" x14ac:dyDescent="0.35"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29</v>
      </c>
      <c r="P12" t="s">
        <v>31</v>
      </c>
    </row>
    <row r="13" spans="2:16" ht="57.5" x14ac:dyDescent="0.35">
      <c r="B13" s="27">
        <v>3</v>
      </c>
      <c r="C13" s="28" t="s">
        <v>43</v>
      </c>
      <c r="D13" s="29" t="s">
        <v>77</v>
      </c>
      <c r="E13" s="30" t="s">
        <v>79</v>
      </c>
      <c r="F13" s="31" t="s">
        <v>32</v>
      </c>
      <c r="G13" s="32">
        <v>11</v>
      </c>
      <c r="H13" s="32">
        <v>1</v>
      </c>
      <c r="I13" s="1">
        <f>IFERROR(H13/G13,0)</f>
        <v>9.0909090909090912E-2</v>
      </c>
      <c r="J13" s="33">
        <f>+H13</f>
        <v>1</v>
      </c>
      <c r="K13" s="1">
        <f>IFERROR(J13/G13,0)</f>
        <v>9.0909090909090912E-2</v>
      </c>
    </row>
    <row r="14" spans="2:16" ht="92" x14ac:dyDescent="0.35">
      <c r="B14" s="34">
        <v>3</v>
      </c>
      <c r="C14" s="35" t="s">
        <v>44</v>
      </c>
      <c r="D14" s="36" t="s">
        <v>78</v>
      </c>
      <c r="E14" s="37" t="s">
        <v>87</v>
      </c>
      <c r="F14" s="35" t="s">
        <v>87</v>
      </c>
      <c r="G14" s="38">
        <v>11</v>
      </c>
      <c r="H14" s="39">
        <v>0</v>
      </c>
      <c r="I14" s="2">
        <f>IFERROR(H14/G14,0)</f>
        <v>0</v>
      </c>
      <c r="J14" s="40">
        <f>+H14</f>
        <v>0</v>
      </c>
      <c r="K14" s="2">
        <f>IFERROR(J14/G14,0)</f>
        <v>0</v>
      </c>
    </row>
    <row r="15" spans="2:16" ht="23" x14ac:dyDescent="0.35">
      <c r="B15" s="34">
        <v>3</v>
      </c>
      <c r="C15" s="35" t="s">
        <v>45</v>
      </c>
      <c r="D15" s="41" t="s">
        <v>61</v>
      </c>
      <c r="E15" s="37" t="s">
        <v>81</v>
      </c>
      <c r="F15" s="35" t="s">
        <v>32</v>
      </c>
      <c r="G15" s="38">
        <v>11</v>
      </c>
      <c r="H15" s="42">
        <v>1</v>
      </c>
      <c r="I15" s="2">
        <f t="shared" ref="I15:I30" si="0">IFERROR(H15/G15,0)</f>
        <v>9.0909090909090912E-2</v>
      </c>
      <c r="J15" s="40">
        <f t="shared" ref="J15:J30" si="1">+H15</f>
        <v>1</v>
      </c>
      <c r="K15" s="2">
        <f t="shared" ref="K15:K30" si="2">IFERROR(J15/G15,0)</f>
        <v>9.0909090909090912E-2</v>
      </c>
    </row>
    <row r="16" spans="2:16" ht="23" x14ac:dyDescent="0.35">
      <c r="B16" s="34">
        <v>3</v>
      </c>
      <c r="C16" s="35" t="s">
        <v>46</v>
      </c>
      <c r="D16" s="41" t="s">
        <v>62</v>
      </c>
      <c r="E16" s="37" t="s">
        <v>81</v>
      </c>
      <c r="F16" s="35" t="s">
        <v>32</v>
      </c>
      <c r="G16" s="38">
        <v>11</v>
      </c>
      <c r="H16" s="42">
        <v>1</v>
      </c>
      <c r="I16" s="2">
        <f t="shared" si="0"/>
        <v>9.0909090909090912E-2</v>
      </c>
      <c r="J16" s="40">
        <f t="shared" si="1"/>
        <v>1</v>
      </c>
      <c r="K16" s="2">
        <f t="shared" si="2"/>
        <v>9.0909090909090912E-2</v>
      </c>
    </row>
    <row r="17" spans="2:16" ht="57.5" x14ac:dyDescent="0.35">
      <c r="B17" s="34">
        <v>3</v>
      </c>
      <c r="C17" s="35" t="s">
        <v>47</v>
      </c>
      <c r="D17" s="41" t="s">
        <v>63</v>
      </c>
      <c r="E17" s="37" t="s">
        <v>82</v>
      </c>
      <c r="F17" s="35" t="s">
        <v>32</v>
      </c>
      <c r="G17" s="38">
        <v>11</v>
      </c>
      <c r="H17" s="42">
        <v>1</v>
      </c>
      <c r="I17" s="2">
        <f t="shared" si="0"/>
        <v>9.0909090909090912E-2</v>
      </c>
      <c r="J17" s="40">
        <f t="shared" si="1"/>
        <v>1</v>
      </c>
      <c r="K17" s="2">
        <f t="shared" si="2"/>
        <v>9.0909090909090912E-2</v>
      </c>
    </row>
    <row r="18" spans="2:16" ht="57.5" x14ac:dyDescent="0.35">
      <c r="B18" s="34">
        <v>3</v>
      </c>
      <c r="C18" s="35" t="s">
        <v>48</v>
      </c>
      <c r="D18" s="41" t="s">
        <v>64</v>
      </c>
      <c r="E18" s="37" t="s">
        <v>83</v>
      </c>
      <c r="F18" s="35" t="s">
        <v>32</v>
      </c>
      <c r="G18" s="38">
        <v>11</v>
      </c>
      <c r="H18" s="42">
        <v>1</v>
      </c>
      <c r="I18" s="2">
        <f t="shared" si="0"/>
        <v>9.0909090909090912E-2</v>
      </c>
      <c r="J18" s="40">
        <f t="shared" si="1"/>
        <v>1</v>
      </c>
      <c r="K18" s="2">
        <f t="shared" si="2"/>
        <v>9.0909090909090912E-2</v>
      </c>
    </row>
    <row r="19" spans="2:16" ht="34.5" x14ac:dyDescent="0.35">
      <c r="B19" s="34">
        <v>3</v>
      </c>
      <c r="C19" s="35" t="s">
        <v>49</v>
      </c>
      <c r="D19" s="41" t="s">
        <v>65</v>
      </c>
      <c r="E19" s="37" t="s">
        <v>84</v>
      </c>
      <c r="F19" s="35" t="s">
        <v>32</v>
      </c>
      <c r="G19" s="38">
        <v>11</v>
      </c>
      <c r="H19" s="42">
        <v>2</v>
      </c>
      <c r="I19" s="2">
        <f t="shared" si="0"/>
        <v>0.18181818181818182</v>
      </c>
      <c r="J19" s="40">
        <f t="shared" si="1"/>
        <v>2</v>
      </c>
      <c r="K19" s="2">
        <f t="shared" si="2"/>
        <v>0.18181818181818182</v>
      </c>
    </row>
    <row r="20" spans="2:16" ht="34.5" x14ac:dyDescent="0.35">
      <c r="B20" s="34">
        <v>3</v>
      </c>
      <c r="C20" s="35" t="s">
        <v>50</v>
      </c>
      <c r="D20" s="41" t="s">
        <v>66</v>
      </c>
      <c r="E20" s="37" t="s">
        <v>85</v>
      </c>
      <c r="F20" s="35" t="s">
        <v>32</v>
      </c>
      <c r="G20" s="38">
        <v>11</v>
      </c>
      <c r="H20" s="42">
        <v>1</v>
      </c>
      <c r="I20" s="2">
        <f t="shared" si="0"/>
        <v>9.0909090909090912E-2</v>
      </c>
      <c r="J20" s="40">
        <f t="shared" si="1"/>
        <v>1</v>
      </c>
      <c r="K20" s="2">
        <f t="shared" si="2"/>
        <v>9.0909090909090912E-2</v>
      </c>
    </row>
    <row r="21" spans="2:16" ht="34.5" x14ac:dyDescent="0.35">
      <c r="B21" s="43">
        <v>5</v>
      </c>
      <c r="C21" s="35" t="s">
        <v>51</v>
      </c>
      <c r="D21" s="41" t="s">
        <v>67</v>
      </c>
      <c r="E21" s="37" t="s">
        <v>84</v>
      </c>
      <c r="F21" s="35" t="s">
        <v>32</v>
      </c>
      <c r="G21" s="38">
        <v>11</v>
      </c>
      <c r="H21" s="42">
        <v>1</v>
      </c>
      <c r="I21" s="2">
        <f t="shared" si="0"/>
        <v>9.0909090909090912E-2</v>
      </c>
      <c r="J21" s="40">
        <f t="shared" si="1"/>
        <v>1</v>
      </c>
      <c r="K21" s="2">
        <f t="shared" si="2"/>
        <v>9.0909090909090912E-2</v>
      </c>
    </row>
    <row r="22" spans="2:16" ht="34.5" x14ac:dyDescent="0.35">
      <c r="B22" s="43">
        <v>5</v>
      </c>
      <c r="C22" s="35" t="s">
        <v>52</v>
      </c>
      <c r="D22" s="41" t="s">
        <v>68</v>
      </c>
      <c r="E22" s="37" t="s">
        <v>85</v>
      </c>
      <c r="F22" s="35" t="s">
        <v>32</v>
      </c>
      <c r="G22" s="38">
        <v>11</v>
      </c>
      <c r="H22" s="42">
        <v>1</v>
      </c>
      <c r="I22" s="2">
        <f t="shared" si="0"/>
        <v>9.0909090909090912E-2</v>
      </c>
      <c r="J22" s="40">
        <f t="shared" si="1"/>
        <v>1</v>
      </c>
      <c r="K22" s="2">
        <f t="shared" si="2"/>
        <v>9.0909090909090912E-2</v>
      </c>
    </row>
    <row r="23" spans="2:16" x14ac:dyDescent="0.35">
      <c r="B23" s="43">
        <v>5</v>
      </c>
      <c r="C23" s="35" t="s">
        <v>53</v>
      </c>
      <c r="D23" s="41" t="s">
        <v>69</v>
      </c>
      <c r="E23" s="37" t="s">
        <v>87</v>
      </c>
      <c r="F23" s="35" t="s">
        <v>87</v>
      </c>
      <c r="G23" s="38">
        <v>11</v>
      </c>
      <c r="H23" s="42">
        <v>0</v>
      </c>
      <c r="I23" s="2">
        <f t="shared" si="0"/>
        <v>0</v>
      </c>
      <c r="J23" s="40">
        <f t="shared" si="1"/>
        <v>0</v>
      </c>
      <c r="K23" s="2">
        <f t="shared" si="2"/>
        <v>0</v>
      </c>
    </row>
    <row r="24" spans="2:16" ht="46" x14ac:dyDescent="0.35">
      <c r="B24" s="43">
        <v>5</v>
      </c>
      <c r="C24" s="35" t="s">
        <v>54</v>
      </c>
      <c r="D24" s="41" t="s">
        <v>70</v>
      </c>
      <c r="E24" s="37" t="s">
        <v>85</v>
      </c>
      <c r="F24" s="35" t="s">
        <v>32</v>
      </c>
      <c r="G24" s="38">
        <v>11</v>
      </c>
      <c r="H24" s="42">
        <v>2</v>
      </c>
      <c r="I24" s="2">
        <f t="shared" si="0"/>
        <v>0.18181818181818182</v>
      </c>
      <c r="J24" s="40">
        <f t="shared" si="1"/>
        <v>2</v>
      </c>
      <c r="K24" s="2">
        <f t="shared" si="2"/>
        <v>0.18181818181818182</v>
      </c>
    </row>
    <row r="25" spans="2:16" ht="46" x14ac:dyDescent="0.35">
      <c r="B25" s="43">
        <v>5</v>
      </c>
      <c r="C25" s="35" t="s">
        <v>55</v>
      </c>
      <c r="D25" s="41" t="s">
        <v>71</v>
      </c>
      <c r="E25" s="37" t="s">
        <v>85</v>
      </c>
      <c r="F25" s="35" t="s">
        <v>32</v>
      </c>
      <c r="G25" s="38">
        <v>11</v>
      </c>
      <c r="H25" s="42">
        <v>2</v>
      </c>
      <c r="I25" s="2">
        <f t="shared" si="0"/>
        <v>0.18181818181818182</v>
      </c>
      <c r="J25" s="40">
        <f t="shared" si="1"/>
        <v>2</v>
      </c>
      <c r="K25" s="2">
        <f t="shared" si="2"/>
        <v>0.18181818181818182</v>
      </c>
    </row>
    <row r="26" spans="2:16" ht="46" x14ac:dyDescent="0.35">
      <c r="B26" s="43">
        <v>5</v>
      </c>
      <c r="C26" s="35" t="s">
        <v>56</v>
      </c>
      <c r="D26" s="41" t="s">
        <v>72</v>
      </c>
      <c r="E26" s="37" t="s">
        <v>85</v>
      </c>
      <c r="F26" s="35" t="s">
        <v>32</v>
      </c>
      <c r="G26" s="38">
        <v>11</v>
      </c>
      <c r="H26" s="42">
        <v>1</v>
      </c>
      <c r="I26" s="2">
        <f t="shared" si="0"/>
        <v>9.0909090909090912E-2</v>
      </c>
      <c r="J26" s="40">
        <f t="shared" si="1"/>
        <v>1</v>
      </c>
      <c r="K26" s="2">
        <f t="shared" si="2"/>
        <v>9.0909090909090912E-2</v>
      </c>
    </row>
    <row r="27" spans="2:16" ht="46" x14ac:dyDescent="0.35">
      <c r="B27" s="43">
        <v>5</v>
      </c>
      <c r="C27" s="35" t="s">
        <v>57</v>
      </c>
      <c r="D27" s="41" t="s">
        <v>73</v>
      </c>
      <c r="E27" s="37" t="s">
        <v>87</v>
      </c>
      <c r="F27" s="35" t="s">
        <v>87</v>
      </c>
      <c r="G27" s="38">
        <v>11</v>
      </c>
      <c r="H27" s="42">
        <v>0</v>
      </c>
      <c r="I27" s="2">
        <f t="shared" si="0"/>
        <v>0</v>
      </c>
      <c r="J27" s="40">
        <f t="shared" si="1"/>
        <v>0</v>
      </c>
      <c r="K27" s="2">
        <f t="shared" si="2"/>
        <v>0</v>
      </c>
    </row>
    <row r="28" spans="2:16" ht="46" x14ac:dyDescent="0.35">
      <c r="B28" s="43">
        <v>5</v>
      </c>
      <c r="C28" s="35" t="s">
        <v>58</v>
      </c>
      <c r="D28" s="41" t="s">
        <v>74</v>
      </c>
      <c r="E28" s="37" t="s">
        <v>85</v>
      </c>
      <c r="F28" s="35" t="s">
        <v>32</v>
      </c>
      <c r="G28" s="38">
        <v>11</v>
      </c>
      <c r="H28" s="42">
        <v>2</v>
      </c>
      <c r="I28" s="2">
        <f t="shared" si="0"/>
        <v>0.18181818181818182</v>
      </c>
      <c r="J28" s="40">
        <f t="shared" si="1"/>
        <v>2</v>
      </c>
      <c r="K28" s="2">
        <f t="shared" si="2"/>
        <v>0.18181818181818182</v>
      </c>
    </row>
    <row r="29" spans="2:16" ht="34.5" x14ac:dyDescent="0.35">
      <c r="B29" s="43">
        <v>5</v>
      </c>
      <c r="C29" s="35" t="s">
        <v>59</v>
      </c>
      <c r="D29" s="41" t="s">
        <v>75</v>
      </c>
      <c r="E29" s="37" t="s">
        <v>85</v>
      </c>
      <c r="F29" s="35" t="s">
        <v>32</v>
      </c>
      <c r="G29" s="38">
        <v>11</v>
      </c>
      <c r="H29" s="42">
        <v>1</v>
      </c>
      <c r="I29" s="2">
        <f t="shared" si="0"/>
        <v>9.0909090909090912E-2</v>
      </c>
      <c r="J29" s="40">
        <f t="shared" si="1"/>
        <v>1</v>
      </c>
      <c r="K29" s="2">
        <f t="shared" si="2"/>
        <v>9.0909090909090912E-2</v>
      </c>
    </row>
    <row r="30" spans="2:16" ht="57.5" x14ac:dyDescent="0.35">
      <c r="B30" s="44">
        <v>5</v>
      </c>
      <c r="C30" s="45" t="s">
        <v>60</v>
      </c>
      <c r="D30" s="46" t="s">
        <v>76</v>
      </c>
      <c r="E30" s="47" t="s">
        <v>87</v>
      </c>
      <c r="F30" s="45" t="s">
        <v>87</v>
      </c>
      <c r="G30" s="48">
        <v>11</v>
      </c>
      <c r="H30" s="48">
        <v>0</v>
      </c>
      <c r="I30" s="4">
        <f t="shared" si="0"/>
        <v>0</v>
      </c>
      <c r="J30" s="49">
        <f t="shared" si="1"/>
        <v>0</v>
      </c>
      <c r="K30" s="4">
        <f t="shared" si="2"/>
        <v>0</v>
      </c>
    </row>
    <row r="31" spans="2:16" s="14" customFormat="1" x14ac:dyDescent="0.35">
      <c r="B31" s="12"/>
      <c r="C31" s="12"/>
      <c r="D31" s="12"/>
      <c r="E31" s="12"/>
      <c r="F31" s="20"/>
      <c r="G31" s="72" t="str">
        <f>+CONCATENATE("TOTAL A ",D7)</f>
        <v>TOTAL A JUNIO</v>
      </c>
      <c r="H31" s="73"/>
      <c r="I31" s="74"/>
      <c r="J31" s="72" t="s">
        <v>33</v>
      </c>
      <c r="K31" s="74"/>
      <c r="N31" s="50"/>
      <c r="P31" s="50"/>
    </row>
    <row r="32" spans="2:16" x14ac:dyDescent="0.35">
      <c r="B32" s="12"/>
      <c r="C32" s="12"/>
      <c r="D32" s="14"/>
      <c r="E32" s="14"/>
      <c r="F32" s="14"/>
      <c r="G32" s="51">
        <f>+SUM(G13:G30)</f>
        <v>198</v>
      </c>
      <c r="H32" s="51">
        <f>+SUM(H13:H30)</f>
        <v>18</v>
      </c>
      <c r="I32" s="3">
        <f>IFERROR(H32/G32,0)</f>
        <v>9.0909090909090912E-2</v>
      </c>
      <c r="J32" s="52">
        <f>+SUM(J13:J30)</f>
        <v>18</v>
      </c>
      <c r="K32" s="3">
        <f>IFERROR(J32/G32,0)</f>
        <v>9.0909090909090912E-2</v>
      </c>
    </row>
    <row r="34" spans="2:16" x14ac:dyDescent="0.35">
      <c r="B34" s="66" t="s">
        <v>34</v>
      </c>
      <c r="C34" s="66"/>
      <c r="D34" s="67" t="s">
        <v>35</v>
      </c>
      <c r="E34" s="68"/>
      <c r="F34" s="68"/>
      <c r="G34" s="68"/>
      <c r="H34" s="68"/>
      <c r="I34" s="68"/>
      <c r="J34" s="68"/>
      <c r="K34" s="68"/>
    </row>
    <row r="35" spans="2:16" x14ac:dyDescent="0.35">
      <c r="B35" s="69" t="s">
        <v>36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6" x14ac:dyDescent="0.35"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2:16" x14ac:dyDescent="0.35">
      <c r="B37" s="53" t="s">
        <v>37</v>
      </c>
      <c r="C37" s="54"/>
      <c r="D37" s="54"/>
      <c r="E37" s="54"/>
      <c r="F37" s="54"/>
      <c r="G37" s="54"/>
      <c r="H37" s="54"/>
      <c r="I37" s="54"/>
      <c r="J37" s="54"/>
      <c r="K37" s="55"/>
    </row>
    <row r="38" spans="2:16" ht="24.5" x14ac:dyDescent="0.45">
      <c r="B38" s="56" t="s">
        <v>38</v>
      </c>
      <c r="C38" s="57"/>
      <c r="D38" s="70" t="s">
        <v>35</v>
      </c>
      <c r="E38" s="70"/>
      <c r="F38" s="70"/>
      <c r="G38" s="70"/>
      <c r="H38" s="70"/>
      <c r="I38" s="70"/>
      <c r="J38" s="70"/>
      <c r="K38" s="70"/>
    </row>
    <row r="39" spans="2:16" ht="24.5" x14ac:dyDescent="0.45">
      <c r="B39" s="56" t="s">
        <v>39</v>
      </c>
      <c r="C39" s="57"/>
      <c r="D39" s="70"/>
      <c r="E39" s="70"/>
      <c r="F39" s="70"/>
      <c r="G39" s="70"/>
      <c r="H39" s="70"/>
      <c r="I39" s="70"/>
      <c r="J39" s="70"/>
      <c r="K39" s="70"/>
    </row>
    <row r="40" spans="2:16" s="14" customFormat="1" x14ac:dyDescent="0.35">
      <c r="B40" s="71" t="s">
        <v>36</v>
      </c>
      <c r="C40" s="71"/>
      <c r="D40" s="71"/>
      <c r="E40" s="71"/>
      <c r="F40" s="71"/>
      <c r="G40" s="71"/>
      <c r="H40" s="71"/>
      <c r="I40" s="71"/>
      <c r="J40" s="71"/>
      <c r="K40" s="71"/>
      <c r="N40" s="50"/>
      <c r="P40" s="50"/>
    </row>
    <row r="41" spans="2:16" x14ac:dyDescent="0.35"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2:16" x14ac:dyDescent="0.35">
      <c r="B42" s="53" t="s">
        <v>40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2:16" ht="24.5" x14ac:dyDescent="0.45">
      <c r="B43" s="56" t="s">
        <v>38</v>
      </c>
      <c r="C43" s="57"/>
      <c r="D43" s="70" t="s">
        <v>35</v>
      </c>
      <c r="E43" s="70"/>
      <c r="F43" s="70"/>
      <c r="G43" s="70"/>
      <c r="H43" s="70"/>
      <c r="I43" s="70"/>
      <c r="J43" s="70"/>
      <c r="K43" s="70"/>
    </row>
    <row r="44" spans="2:16" ht="24.5" x14ac:dyDescent="0.45">
      <c r="B44" s="56" t="s">
        <v>39</v>
      </c>
      <c r="C44" s="57"/>
      <c r="D44" s="70"/>
      <c r="E44" s="70"/>
      <c r="F44" s="70"/>
      <c r="G44" s="70"/>
      <c r="H44" s="70"/>
      <c r="I44" s="70"/>
      <c r="J44" s="70"/>
      <c r="K44" s="70"/>
    </row>
    <row r="47" spans="2:16" s="14" customFormat="1" ht="16.5" customHeight="1" x14ac:dyDescent="0.35">
      <c r="B47" s="63"/>
      <c r="C47" s="63"/>
      <c r="D47" s="63"/>
      <c r="E47" s="5"/>
      <c r="F47" s="5"/>
      <c r="G47" s="63"/>
      <c r="H47" s="63"/>
      <c r="I47" s="63"/>
      <c r="J47" s="63"/>
      <c r="K47" s="5"/>
      <c r="N47"/>
      <c r="P47"/>
    </row>
    <row r="48" spans="2:16" x14ac:dyDescent="0.35">
      <c r="B48" s="12" t="s">
        <v>41</v>
      </c>
      <c r="C48" s="64"/>
      <c r="D48" s="64"/>
      <c r="G48" s="12" t="s">
        <v>42</v>
      </c>
      <c r="H48" s="65" t="s">
        <v>86</v>
      </c>
      <c r="I48" s="65"/>
      <c r="J48" s="65"/>
    </row>
    <row r="49" ht="80" customHeight="1" x14ac:dyDescent="0.35"/>
    <row r="51" ht="20.149999999999999" customHeight="1" x14ac:dyDescent="0.35"/>
    <row r="52" ht="19.399999999999999" customHeight="1" x14ac:dyDescent="0.35"/>
    <row r="53" ht="20.149999999999999" customHeight="1" x14ac:dyDescent="0.35"/>
    <row r="54" ht="20.149999999999999" customHeight="1" x14ac:dyDescent="0.35"/>
    <row r="56" ht="15" customHeight="1" x14ac:dyDescent="0.35"/>
    <row r="58" ht="20.149999999999999" customHeight="1" x14ac:dyDescent="0.35"/>
    <row r="59" ht="20.149999999999999" customHeight="1" x14ac:dyDescent="0.35"/>
    <row r="62" ht="19.5" customHeight="1" x14ac:dyDescent="0.35"/>
    <row r="63" ht="23.9" customHeight="1" x14ac:dyDescent="0.35"/>
    <row r="80" spans="2:2" x14ac:dyDescent="0.35">
      <c r="B80" s="6"/>
    </row>
    <row r="81" spans="1:17" x14ac:dyDescent="0.35">
      <c r="B81" s="6"/>
    </row>
    <row r="82" spans="1:17" x14ac:dyDescent="0.35">
      <c r="B82" s="6"/>
    </row>
    <row r="83" spans="1:17" x14ac:dyDescent="0.35">
      <c r="B83" s="14"/>
    </row>
    <row r="84" spans="1:17" x14ac:dyDescent="0.35">
      <c r="B84" s="6"/>
    </row>
    <row r="85" spans="1:17" x14ac:dyDescent="0.35">
      <c r="B85" s="14"/>
    </row>
    <row r="86" spans="1:17" x14ac:dyDescent="0.35">
      <c r="B86" s="14"/>
    </row>
    <row r="87" spans="1:17" x14ac:dyDescent="0.35">
      <c r="B87" s="14"/>
    </row>
    <row r="88" spans="1:17" x14ac:dyDescent="0.35">
      <c r="B88" s="14"/>
    </row>
    <row r="89" spans="1:17" x14ac:dyDescent="0.35">
      <c r="B89" s="14"/>
    </row>
    <row r="90" spans="1:17" x14ac:dyDescent="0.35">
      <c r="B90" s="6"/>
    </row>
    <row r="91" spans="1:17" x14ac:dyDescent="0.35">
      <c r="B91" s="6"/>
    </row>
    <row r="92" spans="1:17" x14ac:dyDescent="0.35">
      <c r="B92" s="6"/>
    </row>
    <row r="95" spans="1:17" s="5" customFormat="1" hidden="1" x14ac:dyDescent="0.35">
      <c r="A95" t="s">
        <v>0</v>
      </c>
      <c r="L95" s="6"/>
      <c r="M95" s="6"/>
      <c r="N95"/>
      <c r="O95" s="6"/>
      <c r="P95"/>
      <c r="Q95" s="6"/>
    </row>
    <row r="96" spans="1:17" s="5" customFormat="1" hidden="1" x14ac:dyDescent="0.35">
      <c r="A96" t="s">
        <v>2</v>
      </c>
      <c r="L96" s="6"/>
      <c r="M96" s="6"/>
      <c r="N96"/>
      <c r="O96" s="6"/>
      <c r="P96"/>
      <c r="Q96" s="6"/>
    </row>
    <row r="97" spans="1:17" s="5" customFormat="1" hidden="1" x14ac:dyDescent="0.35">
      <c r="A97" t="s">
        <v>6</v>
      </c>
      <c r="L97" s="6"/>
      <c r="M97" s="6"/>
      <c r="N97"/>
      <c r="O97" s="6"/>
      <c r="P97"/>
      <c r="Q97" s="6"/>
    </row>
    <row r="98" spans="1:17" s="5" customFormat="1" hidden="1" x14ac:dyDescent="0.35">
      <c r="A98" t="s">
        <v>8</v>
      </c>
      <c r="L98" s="6"/>
      <c r="M98" s="6"/>
      <c r="N98"/>
      <c r="O98" s="6"/>
      <c r="P98"/>
      <c r="Q98" s="6"/>
    </row>
    <row r="99" spans="1:17" s="5" customFormat="1" hidden="1" x14ac:dyDescent="0.35">
      <c r="A99" t="s">
        <v>9</v>
      </c>
      <c r="L99" s="6"/>
      <c r="M99" s="6"/>
      <c r="N99"/>
      <c r="O99" s="6"/>
      <c r="P99"/>
      <c r="Q99" s="6"/>
    </row>
    <row r="100" spans="1:17" s="5" customFormat="1" hidden="1" x14ac:dyDescent="0.35">
      <c r="A100" t="s">
        <v>10</v>
      </c>
      <c r="L100" s="6"/>
      <c r="M100" s="6"/>
      <c r="N100"/>
      <c r="O100" s="6"/>
      <c r="P100"/>
      <c r="Q100" s="6"/>
    </row>
    <row r="101" spans="1:17" s="5" customFormat="1" hidden="1" x14ac:dyDescent="0.35">
      <c r="A101" t="s">
        <v>11</v>
      </c>
      <c r="L101" s="6"/>
      <c r="M101" s="6"/>
      <c r="N101"/>
      <c r="O101" s="6"/>
      <c r="P101"/>
      <c r="Q101" s="6"/>
    </row>
    <row r="102" spans="1:17" s="5" customFormat="1" hidden="1" x14ac:dyDescent="0.35">
      <c r="A102" t="s">
        <v>13</v>
      </c>
      <c r="L102" s="6"/>
      <c r="M102" s="6"/>
      <c r="N102"/>
      <c r="O102" s="6"/>
      <c r="P102"/>
      <c r="Q102" s="6"/>
    </row>
    <row r="103" spans="1:17" s="5" customFormat="1" hidden="1" x14ac:dyDescent="0.35">
      <c r="A103" t="s">
        <v>14</v>
      </c>
      <c r="L103" s="6"/>
      <c r="M103" s="6"/>
      <c r="N103"/>
      <c r="O103" s="6"/>
      <c r="P103"/>
      <c r="Q103" s="6"/>
    </row>
    <row r="104" spans="1:17" s="5" customFormat="1" hidden="1" x14ac:dyDescent="0.35">
      <c r="A104" t="s">
        <v>16</v>
      </c>
      <c r="L104" s="6"/>
      <c r="M104" s="6"/>
      <c r="N104"/>
      <c r="O104" s="6"/>
      <c r="P104"/>
      <c r="Q104" s="6"/>
    </row>
    <row r="105" spans="1:17" s="5" customFormat="1" hidden="1" x14ac:dyDescent="0.35">
      <c r="A105" t="s">
        <v>17</v>
      </c>
      <c r="L105" s="6"/>
      <c r="M105" s="6"/>
      <c r="N105"/>
      <c r="O105" s="6"/>
      <c r="P105"/>
      <c r="Q105" s="6"/>
    </row>
    <row r="106" spans="1:17" s="5" customFormat="1" hidden="1" x14ac:dyDescent="0.35">
      <c r="A106" t="s">
        <v>21</v>
      </c>
      <c r="L106" s="6"/>
      <c r="M106" s="6"/>
      <c r="N106"/>
      <c r="O106" s="6"/>
      <c r="P106"/>
      <c r="Q106" s="6"/>
    </row>
    <row r="107" spans="1:17" s="5" customFormat="1" hidden="1" x14ac:dyDescent="0.35">
      <c r="A107" t="s">
        <v>31</v>
      </c>
      <c r="L107" s="6"/>
      <c r="M107" s="6"/>
      <c r="N107"/>
      <c r="O107" s="6"/>
      <c r="P107"/>
      <c r="Q107" s="6"/>
    </row>
  </sheetData>
  <sheetProtection formatCells="0" formatColumns="0" formatRows="0" insertColumns="0" insertRows="0" insertHyperlinks="0" deleteColumns="0" deleteRows="0" sort="0" autoFilter="0" pivotTables="0"/>
  <mergeCells count="22">
    <mergeCell ref="G31:I31"/>
    <mergeCell ref="J31:K31"/>
    <mergeCell ref="B2:K2"/>
    <mergeCell ref="B3:D3"/>
    <mergeCell ref="E3:H3"/>
    <mergeCell ref="I3:K3"/>
    <mergeCell ref="B5:C5"/>
    <mergeCell ref="B7:C7"/>
    <mergeCell ref="B9:C9"/>
    <mergeCell ref="B11:G11"/>
    <mergeCell ref="H11:I11"/>
    <mergeCell ref="J11:K11"/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</mergeCells>
  <conditionalFormatting sqref="G32">
    <cfRule type="cellIs" dxfId="17" priority="12" operator="greaterThan">
      <formula>350</formula>
    </cfRule>
  </conditionalFormatting>
  <conditionalFormatting sqref="K13:K30">
    <cfRule type="cellIs" dxfId="16" priority="3" operator="greaterThan">
      <formula>1</formula>
    </cfRule>
  </conditionalFormatting>
  <dataValidations disablePrompts="1" count="4">
    <dataValidation type="list" allowBlank="1" showInputMessage="1" showErrorMessage="1" sqref="D7">
      <formula1>$A$96:$A$107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3:H30">
      <formula1>0</formula1>
      <formula2>30</formula2>
    </dataValidation>
  </dataValidations>
  <pageMargins left="0.7" right="0.7" top="0.75" bottom="0.75" header="0.3" footer="0.3"/>
  <pageSetup scale="4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showGridLines="0" view="pageBreakPreview" zoomScaleNormal="100" zoomScaleSheetLayoutView="100" workbookViewId="0">
      <selection activeCell="A7" sqref="A7:XFD8"/>
    </sheetView>
  </sheetViews>
  <sheetFormatPr baseColWidth="10" defaultColWidth="8.6328125" defaultRowHeight="14.5" x14ac:dyDescent="0.35"/>
  <cols>
    <col min="1" max="1" width="4.453125" style="6" customWidth="1"/>
    <col min="2" max="2" width="15.6328125" style="5" customWidth="1"/>
    <col min="3" max="3" width="8.54296875" style="5" bestFit="1" customWidth="1"/>
    <col min="4" max="4" width="43.36328125" style="5" customWidth="1"/>
    <col min="5" max="5" width="14.08984375" style="5" bestFit="1" customWidth="1"/>
    <col min="6" max="6" width="13.453125" style="5" customWidth="1"/>
    <col min="7" max="7" width="13.6328125" style="5" customWidth="1"/>
    <col min="8" max="8" width="13.453125" style="5" customWidth="1"/>
    <col min="9" max="9" width="10.453125" style="5" customWidth="1"/>
    <col min="10" max="10" width="12.453125" style="5" customWidth="1"/>
    <col min="11" max="11" width="12.36328125" style="5" customWidth="1"/>
    <col min="12" max="12" width="6.6328125" style="6" customWidth="1"/>
    <col min="13" max="13" width="16.453125" style="6" customWidth="1"/>
    <col min="15" max="15" width="16.453125" style="6" customWidth="1"/>
    <col min="16" max="16" width="0" hidden="1" customWidth="1"/>
    <col min="17" max="17" width="16.453125" style="6" customWidth="1"/>
    <col min="18" max="16384" width="8.6328125" style="6"/>
  </cols>
  <sheetData>
    <row r="1" spans="2:16" x14ac:dyDescent="0.35">
      <c r="P1" t="s">
        <v>0</v>
      </c>
    </row>
    <row r="2" spans="2:16" ht="49.5" customHeight="1" x14ac:dyDescent="0.35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P2" t="s">
        <v>2</v>
      </c>
    </row>
    <row r="3" spans="2:16" ht="18.75" customHeight="1" x14ac:dyDescent="0.35">
      <c r="B3" s="76" t="s">
        <v>3</v>
      </c>
      <c r="C3" s="77"/>
      <c r="D3" s="77"/>
      <c r="E3" s="77" t="s">
        <v>4</v>
      </c>
      <c r="F3" s="77"/>
      <c r="G3" s="77"/>
      <c r="H3" s="77"/>
      <c r="I3" s="77" t="s">
        <v>5</v>
      </c>
      <c r="J3" s="77"/>
      <c r="K3" s="78"/>
    </row>
    <row r="4" spans="2:16" x14ac:dyDescent="0.35">
      <c r="B4" s="7"/>
      <c r="C4" s="8"/>
      <c r="K4" s="9"/>
      <c r="P4" t="s">
        <v>6</v>
      </c>
    </row>
    <row r="5" spans="2:16" s="14" customFormat="1" ht="27.65" customHeight="1" x14ac:dyDescent="0.35">
      <c r="B5" s="79" t="s">
        <v>7</v>
      </c>
      <c r="C5" s="79"/>
      <c r="D5" s="10">
        <v>90227898</v>
      </c>
      <c r="E5" s="11"/>
      <c r="F5" s="11"/>
      <c r="G5" s="12"/>
      <c r="H5" s="12"/>
      <c r="I5" s="12"/>
      <c r="J5" s="12"/>
      <c r="K5" s="13"/>
      <c r="N5"/>
      <c r="P5" t="s">
        <v>8</v>
      </c>
    </row>
    <row r="6" spans="2:16" x14ac:dyDescent="0.35">
      <c r="B6" s="15"/>
      <c r="K6" s="16"/>
      <c r="P6" t="s">
        <v>9</v>
      </c>
    </row>
    <row r="7" spans="2:16" s="14" customFormat="1" x14ac:dyDescent="0.35">
      <c r="B7" s="79" t="s">
        <v>12</v>
      </c>
      <c r="C7" s="79"/>
      <c r="D7" s="17" t="s">
        <v>13</v>
      </c>
      <c r="E7" s="18"/>
      <c r="F7" s="18"/>
      <c r="G7" s="12"/>
      <c r="H7" s="12"/>
      <c r="I7" s="12"/>
      <c r="J7" s="12"/>
      <c r="K7" s="13"/>
      <c r="N7"/>
      <c r="P7" t="s">
        <v>13</v>
      </c>
    </row>
    <row r="8" spans="2:16" s="14" customFormat="1" x14ac:dyDescent="0.35">
      <c r="B8" s="19"/>
      <c r="C8" s="20"/>
      <c r="D8" s="18"/>
      <c r="E8" s="18"/>
      <c r="F8" s="18"/>
      <c r="G8" s="12"/>
      <c r="H8" s="12"/>
      <c r="I8" s="12"/>
      <c r="J8" s="12"/>
      <c r="K8" s="13"/>
      <c r="N8"/>
      <c r="P8" t="s">
        <v>14</v>
      </c>
    </row>
    <row r="9" spans="2:16" s="14" customFormat="1" x14ac:dyDescent="0.35">
      <c r="B9" s="79" t="s">
        <v>15</v>
      </c>
      <c r="C9" s="79"/>
      <c r="D9" s="21">
        <v>45869</v>
      </c>
      <c r="E9" s="22"/>
      <c r="F9" s="22"/>
      <c r="G9" s="12"/>
      <c r="H9" s="12"/>
      <c r="I9" s="12"/>
      <c r="J9" s="12"/>
      <c r="K9" s="13"/>
      <c r="N9"/>
      <c r="P9" t="s">
        <v>16</v>
      </c>
    </row>
    <row r="10" spans="2:16" x14ac:dyDescent="0.35">
      <c r="B10" s="23"/>
      <c r="C10" s="24"/>
      <c r="K10" s="25"/>
      <c r="P10" t="s">
        <v>17</v>
      </c>
    </row>
    <row r="11" spans="2:16" ht="26.9" customHeight="1" x14ac:dyDescent="0.35">
      <c r="B11" s="66" t="s">
        <v>18</v>
      </c>
      <c r="C11" s="66"/>
      <c r="D11" s="66"/>
      <c r="E11" s="66"/>
      <c r="F11" s="66"/>
      <c r="G11" s="66"/>
      <c r="H11" s="79" t="s">
        <v>19</v>
      </c>
      <c r="I11" s="79"/>
      <c r="J11" s="79" t="s">
        <v>20</v>
      </c>
      <c r="K11" s="79"/>
      <c r="P11" t="s">
        <v>21</v>
      </c>
    </row>
    <row r="12" spans="2:16" ht="57.65" customHeight="1" x14ac:dyDescent="0.35"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29</v>
      </c>
      <c r="P12" t="s">
        <v>31</v>
      </c>
    </row>
    <row r="13" spans="2:16" ht="57.5" x14ac:dyDescent="0.35">
      <c r="B13" s="27">
        <v>3</v>
      </c>
      <c r="C13" s="28" t="s">
        <v>43</v>
      </c>
      <c r="D13" s="29" t="s">
        <v>77</v>
      </c>
      <c r="E13" s="30" t="s">
        <v>79</v>
      </c>
      <c r="F13" s="31" t="s">
        <v>32</v>
      </c>
      <c r="G13" s="32">
        <v>11</v>
      </c>
      <c r="H13" s="32">
        <v>2</v>
      </c>
      <c r="I13" s="1">
        <f>IFERROR(H13/G13,0)</f>
        <v>0.18181818181818182</v>
      </c>
      <c r="J13" s="33">
        <f>+H13+JUNIO!J13</f>
        <v>3</v>
      </c>
      <c r="K13" s="1">
        <f>IFERROR(J13/G13,0)</f>
        <v>0.27272727272727271</v>
      </c>
    </row>
    <row r="14" spans="2:16" ht="92" x14ac:dyDescent="0.35">
      <c r="B14" s="34">
        <v>3</v>
      </c>
      <c r="C14" s="35" t="s">
        <v>44</v>
      </c>
      <c r="D14" s="36" t="s">
        <v>78</v>
      </c>
      <c r="E14" s="37" t="s">
        <v>80</v>
      </c>
      <c r="F14" s="35" t="s">
        <v>32</v>
      </c>
      <c r="G14" s="38">
        <v>11</v>
      </c>
      <c r="H14" s="39">
        <v>2</v>
      </c>
      <c r="I14" s="2">
        <f>IFERROR(H14/G14,0)</f>
        <v>0.18181818181818182</v>
      </c>
      <c r="J14" s="40">
        <f>+H14+JUNIO!J14</f>
        <v>2</v>
      </c>
      <c r="K14" s="2">
        <f>IFERROR(J14/G14,0)</f>
        <v>0.18181818181818182</v>
      </c>
    </row>
    <row r="15" spans="2:16" ht="23" x14ac:dyDescent="0.35">
      <c r="B15" s="34">
        <v>3</v>
      </c>
      <c r="C15" s="35" t="s">
        <v>45</v>
      </c>
      <c r="D15" s="41" t="s">
        <v>61</v>
      </c>
      <c r="E15" s="37" t="s">
        <v>81</v>
      </c>
      <c r="F15" s="35" t="s">
        <v>32</v>
      </c>
      <c r="G15" s="38">
        <v>11</v>
      </c>
      <c r="H15" s="42">
        <v>2</v>
      </c>
      <c r="I15" s="2">
        <f t="shared" ref="I15:I30" si="0">IFERROR(H15/G15,0)</f>
        <v>0.18181818181818182</v>
      </c>
      <c r="J15" s="40">
        <f>+H15+JUNIO!J15</f>
        <v>3</v>
      </c>
      <c r="K15" s="2">
        <f t="shared" ref="K15:K30" si="1">IFERROR(J15/G15,0)</f>
        <v>0.27272727272727271</v>
      </c>
    </row>
    <row r="16" spans="2:16" ht="23" x14ac:dyDescent="0.35">
      <c r="B16" s="34">
        <v>3</v>
      </c>
      <c r="C16" s="35" t="s">
        <v>46</v>
      </c>
      <c r="D16" s="41" t="s">
        <v>62</v>
      </c>
      <c r="E16" s="37" t="s">
        <v>81</v>
      </c>
      <c r="F16" s="35" t="s">
        <v>32</v>
      </c>
      <c r="G16" s="38">
        <v>11</v>
      </c>
      <c r="H16" s="42">
        <v>2</v>
      </c>
      <c r="I16" s="2">
        <f t="shared" si="0"/>
        <v>0.18181818181818182</v>
      </c>
      <c r="J16" s="40">
        <f>+H16+JUNIO!J16</f>
        <v>3</v>
      </c>
      <c r="K16" s="2">
        <f t="shared" si="1"/>
        <v>0.27272727272727271</v>
      </c>
    </row>
    <row r="17" spans="2:16" ht="57.5" x14ac:dyDescent="0.35">
      <c r="B17" s="34">
        <v>3</v>
      </c>
      <c r="C17" s="35" t="s">
        <v>47</v>
      </c>
      <c r="D17" s="41" t="s">
        <v>63</v>
      </c>
      <c r="E17" s="37" t="s">
        <v>82</v>
      </c>
      <c r="F17" s="35" t="s">
        <v>32</v>
      </c>
      <c r="G17" s="38">
        <v>11</v>
      </c>
      <c r="H17" s="42">
        <v>1</v>
      </c>
      <c r="I17" s="2">
        <f t="shared" si="0"/>
        <v>9.0909090909090912E-2</v>
      </c>
      <c r="J17" s="40">
        <f>+H17+JUNIO!J17</f>
        <v>2</v>
      </c>
      <c r="K17" s="2">
        <f t="shared" si="1"/>
        <v>0.18181818181818182</v>
      </c>
    </row>
    <row r="18" spans="2:16" ht="57.5" x14ac:dyDescent="0.35">
      <c r="B18" s="34">
        <v>3</v>
      </c>
      <c r="C18" s="35" t="s">
        <v>48</v>
      </c>
      <c r="D18" s="41" t="s">
        <v>64</v>
      </c>
      <c r="E18" s="37" t="s">
        <v>83</v>
      </c>
      <c r="F18" s="35" t="s">
        <v>32</v>
      </c>
      <c r="G18" s="38">
        <v>11</v>
      </c>
      <c r="H18" s="42">
        <v>2</v>
      </c>
      <c r="I18" s="2">
        <f t="shared" si="0"/>
        <v>0.18181818181818182</v>
      </c>
      <c r="J18" s="40">
        <f>+H18+JUNIO!J18</f>
        <v>3</v>
      </c>
      <c r="K18" s="2">
        <f t="shared" si="1"/>
        <v>0.27272727272727271</v>
      </c>
    </row>
    <row r="19" spans="2:16" ht="34.5" x14ac:dyDescent="0.35">
      <c r="B19" s="34">
        <v>3</v>
      </c>
      <c r="C19" s="35" t="s">
        <v>49</v>
      </c>
      <c r="D19" s="41" t="s">
        <v>65</v>
      </c>
      <c r="E19" s="37" t="s">
        <v>84</v>
      </c>
      <c r="F19" s="35" t="s">
        <v>32</v>
      </c>
      <c r="G19" s="38">
        <v>11</v>
      </c>
      <c r="H19" s="42">
        <v>2</v>
      </c>
      <c r="I19" s="2">
        <f t="shared" si="0"/>
        <v>0.18181818181818182</v>
      </c>
      <c r="J19" s="40">
        <f>+H19+JUNIO!J19</f>
        <v>4</v>
      </c>
      <c r="K19" s="2">
        <f t="shared" si="1"/>
        <v>0.36363636363636365</v>
      </c>
    </row>
    <row r="20" spans="2:16" ht="34.5" x14ac:dyDescent="0.35">
      <c r="B20" s="34">
        <v>3</v>
      </c>
      <c r="C20" s="35" t="s">
        <v>50</v>
      </c>
      <c r="D20" s="41" t="s">
        <v>66</v>
      </c>
      <c r="E20" s="37" t="s">
        <v>85</v>
      </c>
      <c r="F20" s="35" t="s">
        <v>32</v>
      </c>
      <c r="G20" s="38">
        <v>11</v>
      </c>
      <c r="H20" s="42">
        <v>2</v>
      </c>
      <c r="I20" s="2">
        <f t="shared" si="0"/>
        <v>0.18181818181818182</v>
      </c>
      <c r="J20" s="40">
        <f>+H20+JUNIO!J20</f>
        <v>3</v>
      </c>
      <c r="K20" s="2">
        <f t="shared" si="1"/>
        <v>0.27272727272727271</v>
      </c>
    </row>
    <row r="21" spans="2:16" ht="34.5" x14ac:dyDescent="0.35">
      <c r="B21" s="43">
        <v>5</v>
      </c>
      <c r="C21" s="35" t="s">
        <v>51</v>
      </c>
      <c r="D21" s="41" t="s">
        <v>67</v>
      </c>
      <c r="E21" s="37" t="s">
        <v>84</v>
      </c>
      <c r="F21" s="35" t="s">
        <v>32</v>
      </c>
      <c r="G21" s="38">
        <v>11</v>
      </c>
      <c r="H21" s="42">
        <v>1</v>
      </c>
      <c r="I21" s="2">
        <f t="shared" si="0"/>
        <v>9.0909090909090912E-2</v>
      </c>
      <c r="J21" s="40">
        <f>+H21+JUNIO!J21</f>
        <v>2</v>
      </c>
      <c r="K21" s="2">
        <f t="shared" si="1"/>
        <v>0.18181818181818182</v>
      </c>
    </row>
    <row r="22" spans="2:16" ht="34.5" x14ac:dyDescent="0.35">
      <c r="B22" s="43">
        <v>5</v>
      </c>
      <c r="C22" s="35" t="s">
        <v>52</v>
      </c>
      <c r="D22" s="41" t="s">
        <v>68</v>
      </c>
      <c r="E22" s="37" t="s">
        <v>85</v>
      </c>
      <c r="F22" s="35" t="s">
        <v>32</v>
      </c>
      <c r="G22" s="38">
        <v>11</v>
      </c>
      <c r="H22" s="42">
        <v>2</v>
      </c>
      <c r="I22" s="2">
        <f t="shared" si="0"/>
        <v>0.18181818181818182</v>
      </c>
      <c r="J22" s="40">
        <f>+H22+JUNIO!J22</f>
        <v>3</v>
      </c>
      <c r="K22" s="2">
        <f t="shared" si="1"/>
        <v>0.27272727272727271</v>
      </c>
    </row>
    <row r="23" spans="2:16" ht="34.5" x14ac:dyDescent="0.35">
      <c r="B23" s="43">
        <v>5</v>
      </c>
      <c r="C23" s="35" t="s">
        <v>53</v>
      </c>
      <c r="D23" s="41" t="s">
        <v>69</v>
      </c>
      <c r="E23" s="37" t="s">
        <v>85</v>
      </c>
      <c r="F23" s="35" t="s">
        <v>32</v>
      </c>
      <c r="G23" s="38">
        <v>11</v>
      </c>
      <c r="H23" s="42">
        <v>2</v>
      </c>
      <c r="I23" s="2">
        <f t="shared" si="0"/>
        <v>0.18181818181818182</v>
      </c>
      <c r="J23" s="40">
        <f>+H23+JUNIO!J23</f>
        <v>2</v>
      </c>
      <c r="K23" s="2">
        <f t="shared" si="1"/>
        <v>0.18181818181818182</v>
      </c>
    </row>
    <row r="24" spans="2:16" ht="46" x14ac:dyDescent="0.35">
      <c r="B24" s="43">
        <v>5</v>
      </c>
      <c r="C24" s="35" t="s">
        <v>54</v>
      </c>
      <c r="D24" s="41" t="s">
        <v>70</v>
      </c>
      <c r="E24" s="37" t="s">
        <v>85</v>
      </c>
      <c r="F24" s="35" t="s">
        <v>32</v>
      </c>
      <c r="G24" s="38">
        <v>11</v>
      </c>
      <c r="H24" s="42">
        <v>1</v>
      </c>
      <c r="I24" s="2">
        <f t="shared" si="0"/>
        <v>9.0909090909090912E-2</v>
      </c>
      <c r="J24" s="40">
        <f>+H24+JUNIO!J24</f>
        <v>3</v>
      </c>
      <c r="K24" s="2">
        <f t="shared" si="1"/>
        <v>0.27272727272727271</v>
      </c>
    </row>
    <row r="25" spans="2:16" ht="46" x14ac:dyDescent="0.35">
      <c r="B25" s="43">
        <v>5</v>
      </c>
      <c r="C25" s="35" t="s">
        <v>55</v>
      </c>
      <c r="D25" s="41" t="s">
        <v>71</v>
      </c>
      <c r="E25" s="37" t="s">
        <v>85</v>
      </c>
      <c r="F25" s="35" t="s">
        <v>32</v>
      </c>
      <c r="G25" s="38">
        <v>11</v>
      </c>
      <c r="H25" s="42">
        <v>2</v>
      </c>
      <c r="I25" s="2">
        <f t="shared" si="0"/>
        <v>0.18181818181818182</v>
      </c>
      <c r="J25" s="40">
        <f>+H25+JUNIO!J25</f>
        <v>4</v>
      </c>
      <c r="K25" s="2">
        <f t="shared" si="1"/>
        <v>0.36363636363636365</v>
      </c>
    </row>
    <row r="26" spans="2:16" ht="46" x14ac:dyDescent="0.35">
      <c r="B26" s="43">
        <v>5</v>
      </c>
      <c r="C26" s="35" t="s">
        <v>56</v>
      </c>
      <c r="D26" s="41" t="s">
        <v>72</v>
      </c>
      <c r="E26" s="37" t="s">
        <v>85</v>
      </c>
      <c r="F26" s="35" t="s">
        <v>32</v>
      </c>
      <c r="G26" s="38">
        <v>11</v>
      </c>
      <c r="H26" s="42">
        <v>1</v>
      </c>
      <c r="I26" s="2">
        <f t="shared" si="0"/>
        <v>9.0909090909090912E-2</v>
      </c>
      <c r="J26" s="40">
        <f>+H26+JUNIO!J26</f>
        <v>2</v>
      </c>
      <c r="K26" s="2">
        <f t="shared" si="1"/>
        <v>0.18181818181818182</v>
      </c>
    </row>
    <row r="27" spans="2:16" ht="46" x14ac:dyDescent="0.35">
      <c r="B27" s="43">
        <v>5</v>
      </c>
      <c r="C27" s="35" t="s">
        <v>57</v>
      </c>
      <c r="D27" s="41" t="s">
        <v>73</v>
      </c>
      <c r="E27" s="37" t="s">
        <v>85</v>
      </c>
      <c r="F27" s="35" t="s">
        <v>32</v>
      </c>
      <c r="G27" s="38">
        <v>11</v>
      </c>
      <c r="H27" s="42">
        <v>2</v>
      </c>
      <c r="I27" s="2">
        <f t="shared" si="0"/>
        <v>0.18181818181818182</v>
      </c>
      <c r="J27" s="40">
        <f>+H27+JUNIO!J27</f>
        <v>2</v>
      </c>
      <c r="K27" s="2">
        <f t="shared" si="1"/>
        <v>0.18181818181818182</v>
      </c>
    </row>
    <row r="28" spans="2:16" ht="46" x14ac:dyDescent="0.35">
      <c r="B28" s="43">
        <v>5</v>
      </c>
      <c r="C28" s="35" t="s">
        <v>58</v>
      </c>
      <c r="D28" s="41" t="s">
        <v>74</v>
      </c>
      <c r="E28" s="37" t="s">
        <v>85</v>
      </c>
      <c r="F28" s="35" t="s">
        <v>32</v>
      </c>
      <c r="G28" s="38">
        <v>11</v>
      </c>
      <c r="H28" s="42">
        <v>2</v>
      </c>
      <c r="I28" s="2">
        <f t="shared" si="0"/>
        <v>0.18181818181818182</v>
      </c>
      <c r="J28" s="40">
        <f>+H28+JUNIO!J28</f>
        <v>4</v>
      </c>
      <c r="K28" s="2">
        <f t="shared" si="1"/>
        <v>0.36363636363636365</v>
      </c>
    </row>
    <row r="29" spans="2:16" ht="34.5" x14ac:dyDescent="0.35">
      <c r="B29" s="43">
        <v>5</v>
      </c>
      <c r="C29" s="35" t="s">
        <v>59</v>
      </c>
      <c r="D29" s="41" t="s">
        <v>75</v>
      </c>
      <c r="E29" s="37" t="s">
        <v>85</v>
      </c>
      <c r="F29" s="35" t="s">
        <v>32</v>
      </c>
      <c r="G29" s="38">
        <v>11</v>
      </c>
      <c r="H29" s="42">
        <v>1</v>
      </c>
      <c r="I29" s="2">
        <f t="shared" si="0"/>
        <v>9.0909090909090912E-2</v>
      </c>
      <c r="J29" s="40">
        <f>+H29+JUNIO!J29</f>
        <v>2</v>
      </c>
      <c r="K29" s="2">
        <f t="shared" si="1"/>
        <v>0.18181818181818182</v>
      </c>
    </row>
    <row r="30" spans="2:16" ht="57.5" x14ac:dyDescent="0.35">
      <c r="B30" s="44">
        <v>5</v>
      </c>
      <c r="C30" s="45" t="s">
        <v>60</v>
      </c>
      <c r="D30" s="46" t="s">
        <v>76</v>
      </c>
      <c r="E30" s="47" t="s">
        <v>85</v>
      </c>
      <c r="F30" s="35" t="s">
        <v>32</v>
      </c>
      <c r="G30" s="38">
        <v>11</v>
      </c>
      <c r="H30" s="48">
        <v>1</v>
      </c>
      <c r="I30" s="2">
        <f t="shared" si="0"/>
        <v>9.0909090909090912E-2</v>
      </c>
      <c r="J30" s="40">
        <f>+H30+JUNIO!J30</f>
        <v>1</v>
      </c>
      <c r="K30" s="2">
        <f t="shared" si="1"/>
        <v>9.0909090909090912E-2</v>
      </c>
    </row>
    <row r="31" spans="2:16" s="14" customFormat="1" x14ac:dyDescent="0.35">
      <c r="B31" s="12"/>
      <c r="C31" s="12"/>
      <c r="D31" s="12"/>
      <c r="E31" s="12"/>
      <c r="F31" s="20"/>
      <c r="G31" s="80" t="str">
        <f>+CONCATENATE("TOTAL A ",D7)</f>
        <v>TOTAL A JULIO</v>
      </c>
      <c r="H31" s="81"/>
      <c r="I31" s="82"/>
      <c r="J31" s="80" t="s">
        <v>33</v>
      </c>
      <c r="K31" s="82"/>
      <c r="N31" s="50"/>
      <c r="P31" s="50"/>
    </row>
    <row r="32" spans="2:16" x14ac:dyDescent="0.35">
      <c r="B32" s="12"/>
      <c r="C32" s="12"/>
      <c r="D32" s="14"/>
      <c r="E32" s="14"/>
      <c r="F32" s="14"/>
      <c r="G32" s="51">
        <f>+SUM(G13:G30)</f>
        <v>198</v>
      </c>
      <c r="H32" s="51">
        <f>+SUM(H13:H30)</f>
        <v>30</v>
      </c>
      <c r="I32" s="3">
        <f>IFERROR(H32/G32,0)</f>
        <v>0.15151515151515152</v>
      </c>
      <c r="J32" s="52">
        <f>+SUM(J13:J30)</f>
        <v>48</v>
      </c>
      <c r="K32" s="3">
        <f>IFERROR(J32/G32,0)</f>
        <v>0.24242424242424243</v>
      </c>
    </row>
    <row r="34" spans="2:16" x14ac:dyDescent="0.35">
      <c r="B34" s="66" t="s">
        <v>34</v>
      </c>
      <c r="C34" s="66"/>
      <c r="D34" s="67" t="s">
        <v>35</v>
      </c>
      <c r="E34" s="68"/>
      <c r="F34" s="68"/>
      <c r="G34" s="68"/>
      <c r="H34" s="68"/>
      <c r="I34" s="68"/>
      <c r="J34" s="68"/>
      <c r="K34" s="68"/>
    </row>
    <row r="35" spans="2:16" x14ac:dyDescent="0.35">
      <c r="B35" s="69" t="s">
        <v>36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6" x14ac:dyDescent="0.35"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2:16" x14ac:dyDescent="0.35">
      <c r="B37" s="53" t="s">
        <v>37</v>
      </c>
      <c r="C37" s="54"/>
      <c r="D37" s="54"/>
      <c r="E37" s="54"/>
      <c r="F37" s="54"/>
      <c r="G37" s="54"/>
      <c r="H37" s="54"/>
      <c r="I37" s="54"/>
      <c r="J37" s="54"/>
      <c r="K37" s="55"/>
    </row>
    <row r="38" spans="2:16" ht="24.5" x14ac:dyDescent="0.45">
      <c r="B38" s="56" t="s">
        <v>38</v>
      </c>
      <c r="C38" s="57"/>
      <c r="D38" s="70" t="s">
        <v>35</v>
      </c>
      <c r="E38" s="70"/>
      <c r="F38" s="70"/>
      <c r="G38" s="70"/>
      <c r="H38" s="70"/>
      <c r="I38" s="70"/>
      <c r="J38" s="70"/>
      <c r="K38" s="70"/>
    </row>
    <row r="39" spans="2:16" ht="24.5" x14ac:dyDescent="0.45">
      <c r="B39" s="56" t="s">
        <v>39</v>
      </c>
      <c r="C39" s="57"/>
      <c r="D39" s="70"/>
      <c r="E39" s="70"/>
      <c r="F39" s="70"/>
      <c r="G39" s="70"/>
      <c r="H39" s="70"/>
      <c r="I39" s="70"/>
      <c r="J39" s="70"/>
      <c r="K39" s="70"/>
    </row>
    <row r="40" spans="2:16" s="14" customFormat="1" x14ac:dyDescent="0.35">
      <c r="B40" s="71" t="s">
        <v>36</v>
      </c>
      <c r="C40" s="71"/>
      <c r="D40" s="71"/>
      <c r="E40" s="71"/>
      <c r="F40" s="71"/>
      <c r="G40" s="71"/>
      <c r="H40" s="71"/>
      <c r="I40" s="71"/>
      <c r="J40" s="71"/>
      <c r="K40" s="71"/>
      <c r="N40" s="50"/>
      <c r="P40" s="50"/>
    </row>
    <row r="41" spans="2:16" x14ac:dyDescent="0.35"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2:16" x14ac:dyDescent="0.35">
      <c r="B42" s="53" t="s">
        <v>40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2:16" ht="24.5" x14ac:dyDescent="0.45">
      <c r="B43" s="56" t="s">
        <v>38</v>
      </c>
      <c r="C43" s="57"/>
      <c r="D43" s="70" t="s">
        <v>35</v>
      </c>
      <c r="E43" s="70"/>
      <c r="F43" s="70"/>
      <c r="G43" s="70"/>
      <c r="H43" s="70"/>
      <c r="I43" s="70"/>
      <c r="J43" s="70"/>
      <c r="K43" s="70"/>
    </row>
    <row r="44" spans="2:16" ht="24.5" x14ac:dyDescent="0.45">
      <c r="B44" s="56" t="s">
        <v>39</v>
      </c>
      <c r="C44" s="57"/>
      <c r="D44" s="70"/>
      <c r="E44" s="70"/>
      <c r="F44" s="70"/>
      <c r="G44" s="70"/>
      <c r="H44" s="70"/>
      <c r="I44" s="70"/>
      <c r="J44" s="70"/>
      <c r="K44" s="70"/>
    </row>
    <row r="47" spans="2:16" s="14" customFormat="1" ht="16.5" customHeight="1" x14ac:dyDescent="0.35">
      <c r="B47" s="63"/>
      <c r="C47" s="63"/>
      <c r="D47" s="63"/>
      <c r="E47" s="5"/>
      <c r="F47" s="5"/>
      <c r="G47" s="63"/>
      <c r="H47" s="63"/>
      <c r="I47" s="63"/>
      <c r="J47" s="63"/>
      <c r="K47" s="5"/>
      <c r="N47"/>
      <c r="P47"/>
    </row>
    <row r="48" spans="2:16" x14ac:dyDescent="0.35">
      <c r="B48" s="12" t="s">
        <v>41</v>
      </c>
      <c r="C48" s="64"/>
      <c r="D48" s="64"/>
      <c r="G48" s="12" t="s">
        <v>42</v>
      </c>
      <c r="H48" s="65" t="s">
        <v>86</v>
      </c>
      <c r="I48" s="65"/>
      <c r="J48" s="65"/>
    </row>
    <row r="49" ht="80" customHeight="1" x14ac:dyDescent="0.35"/>
    <row r="51" ht="20.149999999999999" customHeight="1" x14ac:dyDescent="0.35"/>
    <row r="52" ht="19.399999999999999" customHeight="1" x14ac:dyDescent="0.35"/>
    <row r="53" ht="20.149999999999999" customHeight="1" x14ac:dyDescent="0.35"/>
    <row r="54" ht="20.149999999999999" customHeight="1" x14ac:dyDescent="0.35"/>
    <row r="56" ht="15" customHeight="1" x14ac:dyDescent="0.35"/>
    <row r="58" ht="20.149999999999999" customHeight="1" x14ac:dyDescent="0.35"/>
    <row r="59" ht="20.149999999999999" customHeight="1" x14ac:dyDescent="0.35"/>
    <row r="62" ht="19.5" customHeight="1" x14ac:dyDescent="0.35"/>
    <row r="63" ht="23.9" customHeight="1" x14ac:dyDescent="0.35"/>
    <row r="80" spans="2:2" x14ac:dyDescent="0.35">
      <c r="B80" s="6"/>
    </row>
    <row r="81" spans="1:17" x14ac:dyDescent="0.35">
      <c r="B81" s="6"/>
    </row>
    <row r="82" spans="1:17" x14ac:dyDescent="0.35">
      <c r="B82" s="6"/>
    </row>
    <row r="83" spans="1:17" x14ac:dyDescent="0.35">
      <c r="B83" s="14"/>
    </row>
    <row r="84" spans="1:17" x14ac:dyDescent="0.35">
      <c r="B84" s="6"/>
    </row>
    <row r="85" spans="1:17" x14ac:dyDescent="0.35">
      <c r="B85" s="14"/>
    </row>
    <row r="86" spans="1:17" x14ac:dyDescent="0.35">
      <c r="B86" s="14"/>
    </row>
    <row r="87" spans="1:17" x14ac:dyDescent="0.35">
      <c r="B87" s="14"/>
    </row>
    <row r="88" spans="1:17" x14ac:dyDescent="0.35">
      <c r="B88" s="14"/>
    </row>
    <row r="89" spans="1:17" x14ac:dyDescent="0.35">
      <c r="B89" s="14"/>
    </row>
    <row r="90" spans="1:17" x14ac:dyDescent="0.35">
      <c r="B90" s="6"/>
    </row>
    <row r="91" spans="1:17" x14ac:dyDescent="0.35">
      <c r="B91" s="6"/>
    </row>
    <row r="92" spans="1:17" x14ac:dyDescent="0.35">
      <c r="B92" s="6"/>
    </row>
    <row r="95" spans="1:17" s="5" customFormat="1" hidden="1" x14ac:dyDescent="0.35">
      <c r="A95" t="s">
        <v>0</v>
      </c>
      <c r="L95" s="6"/>
      <c r="M95" s="6"/>
      <c r="N95"/>
      <c r="O95" s="6"/>
      <c r="P95"/>
      <c r="Q95" s="6"/>
    </row>
    <row r="96" spans="1:17" s="5" customFormat="1" hidden="1" x14ac:dyDescent="0.35">
      <c r="A96" t="s">
        <v>2</v>
      </c>
      <c r="L96" s="6"/>
      <c r="M96" s="6"/>
      <c r="N96"/>
      <c r="O96" s="6"/>
      <c r="P96"/>
      <c r="Q96" s="6"/>
    </row>
    <row r="97" spans="1:17" s="5" customFormat="1" hidden="1" x14ac:dyDescent="0.35">
      <c r="A97" t="s">
        <v>6</v>
      </c>
      <c r="L97" s="6"/>
      <c r="M97" s="6"/>
      <c r="N97"/>
      <c r="O97" s="6"/>
      <c r="P97"/>
      <c r="Q97" s="6"/>
    </row>
    <row r="98" spans="1:17" s="5" customFormat="1" hidden="1" x14ac:dyDescent="0.35">
      <c r="A98" t="s">
        <v>8</v>
      </c>
      <c r="L98" s="6"/>
      <c r="M98" s="6"/>
      <c r="N98"/>
      <c r="O98" s="6"/>
      <c r="P98"/>
      <c r="Q98" s="6"/>
    </row>
    <row r="99" spans="1:17" s="5" customFormat="1" hidden="1" x14ac:dyDescent="0.35">
      <c r="A99" t="s">
        <v>9</v>
      </c>
      <c r="L99" s="6"/>
      <c r="M99" s="6"/>
      <c r="N99"/>
      <c r="O99" s="6"/>
      <c r="P99"/>
      <c r="Q99" s="6"/>
    </row>
    <row r="100" spans="1:17" s="5" customFormat="1" hidden="1" x14ac:dyDescent="0.35">
      <c r="A100" t="s">
        <v>10</v>
      </c>
      <c r="L100" s="6"/>
      <c r="M100" s="6"/>
      <c r="N100"/>
      <c r="O100" s="6"/>
      <c r="P100"/>
      <c r="Q100" s="6"/>
    </row>
    <row r="101" spans="1:17" s="5" customFormat="1" hidden="1" x14ac:dyDescent="0.35">
      <c r="A101" t="s">
        <v>11</v>
      </c>
      <c r="L101" s="6"/>
      <c r="M101" s="6"/>
      <c r="N101"/>
      <c r="O101" s="6"/>
      <c r="P101"/>
      <c r="Q101" s="6"/>
    </row>
    <row r="102" spans="1:17" s="5" customFormat="1" hidden="1" x14ac:dyDescent="0.35">
      <c r="A102" t="s">
        <v>13</v>
      </c>
      <c r="L102" s="6"/>
      <c r="M102" s="6"/>
      <c r="N102"/>
      <c r="O102" s="6"/>
      <c r="P102"/>
      <c r="Q102" s="6"/>
    </row>
    <row r="103" spans="1:17" s="5" customFormat="1" hidden="1" x14ac:dyDescent="0.35">
      <c r="A103" t="s">
        <v>14</v>
      </c>
      <c r="L103" s="6"/>
      <c r="M103" s="6"/>
      <c r="N103"/>
      <c r="O103" s="6"/>
      <c r="P103"/>
      <c r="Q103" s="6"/>
    </row>
    <row r="104" spans="1:17" s="5" customFormat="1" hidden="1" x14ac:dyDescent="0.35">
      <c r="A104" t="s">
        <v>16</v>
      </c>
      <c r="L104" s="6"/>
      <c r="M104" s="6"/>
      <c r="N104"/>
      <c r="O104" s="6"/>
      <c r="P104"/>
      <c r="Q104" s="6"/>
    </row>
    <row r="105" spans="1:17" s="5" customFormat="1" hidden="1" x14ac:dyDescent="0.35">
      <c r="A105" t="s">
        <v>17</v>
      </c>
      <c r="L105" s="6"/>
      <c r="M105" s="6"/>
      <c r="N105"/>
      <c r="O105" s="6"/>
      <c r="P105"/>
      <c r="Q105" s="6"/>
    </row>
    <row r="106" spans="1:17" s="5" customFormat="1" hidden="1" x14ac:dyDescent="0.35">
      <c r="A106" t="s">
        <v>21</v>
      </c>
      <c r="L106" s="6"/>
      <c r="M106" s="6"/>
      <c r="N106"/>
      <c r="O106" s="6"/>
      <c r="P106"/>
      <c r="Q106" s="6"/>
    </row>
    <row r="107" spans="1:17" s="5" customFormat="1" hidden="1" x14ac:dyDescent="0.35">
      <c r="A107" t="s">
        <v>31</v>
      </c>
      <c r="L107" s="6"/>
      <c r="M107" s="6"/>
      <c r="N107"/>
      <c r="O107" s="6"/>
      <c r="P107"/>
      <c r="Q107" s="6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G31:I31"/>
    <mergeCell ref="J31:K31"/>
    <mergeCell ref="B2:K2"/>
    <mergeCell ref="B3:D3"/>
    <mergeCell ref="E3:H3"/>
    <mergeCell ref="I3:K3"/>
    <mergeCell ref="B5:C5"/>
    <mergeCell ref="B7:C7"/>
    <mergeCell ref="B9:C9"/>
    <mergeCell ref="B11:G11"/>
    <mergeCell ref="H11:I11"/>
    <mergeCell ref="J11:K11"/>
  </mergeCells>
  <conditionalFormatting sqref="G32">
    <cfRule type="cellIs" dxfId="15" priority="3" operator="greaterThan">
      <formula>350</formula>
    </cfRule>
  </conditionalFormatting>
  <conditionalFormatting sqref="K13:K30">
    <cfRule type="cellIs" dxfId="14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13:H3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2 G13:G3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$A$96:$A$107</formula1>
    </dataValidation>
  </dataValidations>
  <pageMargins left="0.7" right="0.7" top="0.75" bottom="0.75" header="0.3" footer="0.3"/>
  <pageSetup scale="44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showGridLines="0" view="pageBreakPreview" zoomScaleNormal="100" zoomScaleSheetLayoutView="100" workbookViewId="0">
      <selection activeCell="A7" sqref="A7:XFD8"/>
    </sheetView>
  </sheetViews>
  <sheetFormatPr baseColWidth="10" defaultColWidth="8.6328125" defaultRowHeight="14.5" x14ac:dyDescent="0.35"/>
  <cols>
    <col min="1" max="1" width="4.453125" style="6" customWidth="1"/>
    <col min="2" max="2" width="15.6328125" style="5" customWidth="1"/>
    <col min="3" max="3" width="8.54296875" style="5" bestFit="1" customWidth="1"/>
    <col min="4" max="4" width="43.36328125" style="5" customWidth="1"/>
    <col min="5" max="5" width="14.08984375" style="5" bestFit="1" customWidth="1"/>
    <col min="6" max="6" width="13.453125" style="5" customWidth="1"/>
    <col min="7" max="7" width="13.6328125" style="5" customWidth="1"/>
    <col min="8" max="8" width="13.453125" style="5" customWidth="1"/>
    <col min="9" max="9" width="10.453125" style="5" customWidth="1"/>
    <col min="10" max="10" width="12.453125" style="5" customWidth="1"/>
    <col min="11" max="11" width="12.36328125" style="5" customWidth="1"/>
    <col min="12" max="12" width="6.6328125" style="6" customWidth="1"/>
    <col min="13" max="13" width="16.453125" style="6" customWidth="1"/>
    <col min="15" max="15" width="16.453125" style="6" customWidth="1"/>
    <col min="16" max="16" width="0" hidden="1" customWidth="1"/>
    <col min="17" max="17" width="16.453125" style="6" customWidth="1"/>
    <col min="18" max="16384" width="8.6328125" style="6"/>
  </cols>
  <sheetData>
    <row r="1" spans="2:16" x14ac:dyDescent="0.35">
      <c r="P1" t="s">
        <v>0</v>
      </c>
    </row>
    <row r="2" spans="2:16" ht="49.5" customHeight="1" x14ac:dyDescent="0.35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P2" t="s">
        <v>2</v>
      </c>
    </row>
    <row r="3" spans="2:16" ht="18.75" customHeight="1" x14ac:dyDescent="0.35">
      <c r="B3" s="76" t="s">
        <v>3</v>
      </c>
      <c r="C3" s="77"/>
      <c r="D3" s="77"/>
      <c r="E3" s="77" t="s">
        <v>4</v>
      </c>
      <c r="F3" s="77"/>
      <c r="G3" s="77"/>
      <c r="H3" s="77"/>
      <c r="I3" s="77" t="s">
        <v>5</v>
      </c>
      <c r="J3" s="77"/>
      <c r="K3" s="78"/>
    </row>
    <row r="4" spans="2:16" x14ac:dyDescent="0.35">
      <c r="B4" s="7"/>
      <c r="C4" s="8"/>
      <c r="K4" s="9"/>
      <c r="P4" t="s">
        <v>6</v>
      </c>
    </row>
    <row r="5" spans="2:16" s="14" customFormat="1" ht="27.65" customHeight="1" x14ac:dyDescent="0.35">
      <c r="B5" s="79" t="s">
        <v>7</v>
      </c>
      <c r="C5" s="79"/>
      <c r="D5" s="10">
        <v>90227898</v>
      </c>
      <c r="E5" s="11"/>
      <c r="F5" s="11"/>
      <c r="G5" s="12"/>
      <c r="H5" s="12"/>
      <c r="I5" s="12"/>
      <c r="J5" s="12"/>
      <c r="K5" s="13"/>
      <c r="N5"/>
      <c r="P5" t="s">
        <v>8</v>
      </c>
    </row>
    <row r="6" spans="2:16" x14ac:dyDescent="0.35">
      <c r="B6" s="15"/>
      <c r="K6" s="16"/>
      <c r="P6" t="s">
        <v>9</v>
      </c>
    </row>
    <row r="7" spans="2:16" s="14" customFormat="1" x14ac:dyDescent="0.35">
      <c r="B7" s="79" t="s">
        <v>12</v>
      </c>
      <c r="C7" s="79"/>
      <c r="D7" s="17" t="s">
        <v>14</v>
      </c>
      <c r="E7" s="18"/>
      <c r="F7" s="18"/>
      <c r="G7" s="12"/>
      <c r="H7" s="12"/>
      <c r="I7" s="12"/>
      <c r="J7" s="12"/>
      <c r="K7" s="13"/>
      <c r="N7"/>
      <c r="P7" t="s">
        <v>13</v>
      </c>
    </row>
    <row r="8" spans="2:16" s="14" customFormat="1" x14ac:dyDescent="0.35">
      <c r="B8" s="19"/>
      <c r="C8" s="20"/>
      <c r="D8" s="18"/>
      <c r="E8" s="18"/>
      <c r="F8" s="18"/>
      <c r="G8" s="12"/>
      <c r="H8" s="12"/>
      <c r="I8" s="12"/>
      <c r="J8" s="12"/>
      <c r="K8" s="13"/>
      <c r="N8"/>
      <c r="P8" t="s">
        <v>14</v>
      </c>
    </row>
    <row r="9" spans="2:16" s="14" customFormat="1" x14ac:dyDescent="0.35">
      <c r="B9" s="79" t="s">
        <v>15</v>
      </c>
      <c r="C9" s="79"/>
      <c r="D9" s="21">
        <v>45900</v>
      </c>
      <c r="E9" s="22"/>
      <c r="F9" s="22"/>
      <c r="G9" s="12"/>
      <c r="H9" s="12"/>
      <c r="I9" s="12"/>
      <c r="J9" s="12"/>
      <c r="K9" s="13"/>
      <c r="N9"/>
      <c r="P9" t="s">
        <v>16</v>
      </c>
    </row>
    <row r="10" spans="2:16" x14ac:dyDescent="0.35">
      <c r="B10" s="23"/>
      <c r="C10" s="24"/>
      <c r="K10" s="25"/>
      <c r="P10" t="s">
        <v>17</v>
      </c>
    </row>
    <row r="11" spans="2:16" ht="26.9" customHeight="1" x14ac:dyDescent="0.35">
      <c r="B11" s="66" t="s">
        <v>18</v>
      </c>
      <c r="C11" s="66"/>
      <c r="D11" s="66"/>
      <c r="E11" s="66"/>
      <c r="F11" s="66"/>
      <c r="G11" s="66"/>
      <c r="H11" s="79" t="s">
        <v>19</v>
      </c>
      <c r="I11" s="79"/>
      <c r="J11" s="79" t="s">
        <v>20</v>
      </c>
      <c r="K11" s="79"/>
      <c r="P11" t="s">
        <v>21</v>
      </c>
    </row>
    <row r="12" spans="2:16" ht="57.65" customHeight="1" x14ac:dyDescent="0.35"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29</v>
      </c>
      <c r="P12" t="s">
        <v>31</v>
      </c>
    </row>
    <row r="13" spans="2:16" ht="57.5" x14ac:dyDescent="0.35">
      <c r="B13" s="27">
        <v>3</v>
      </c>
      <c r="C13" s="28" t="s">
        <v>43</v>
      </c>
      <c r="D13" s="29" t="s">
        <v>77</v>
      </c>
      <c r="E13" s="30" t="s">
        <v>79</v>
      </c>
      <c r="F13" s="31" t="s">
        <v>32</v>
      </c>
      <c r="G13" s="32">
        <v>11</v>
      </c>
      <c r="H13" s="32">
        <v>2</v>
      </c>
      <c r="I13" s="1">
        <f>IFERROR(H13/G13,0)</f>
        <v>0.18181818181818182</v>
      </c>
      <c r="J13" s="33">
        <f>+H13+JULIO!J13</f>
        <v>5</v>
      </c>
      <c r="K13" s="1">
        <f>IFERROR(J13/G13,0)</f>
        <v>0.45454545454545453</v>
      </c>
    </row>
    <row r="14" spans="2:16" ht="92" x14ac:dyDescent="0.35">
      <c r="B14" s="34">
        <v>3</v>
      </c>
      <c r="C14" s="35" t="s">
        <v>44</v>
      </c>
      <c r="D14" s="36" t="s">
        <v>78</v>
      </c>
      <c r="E14" s="37" t="s">
        <v>80</v>
      </c>
      <c r="F14" s="35" t="s">
        <v>32</v>
      </c>
      <c r="G14" s="38">
        <v>11</v>
      </c>
      <c r="H14" s="39">
        <v>2</v>
      </c>
      <c r="I14" s="2">
        <f>IFERROR(H14/G14,0)</f>
        <v>0.18181818181818182</v>
      </c>
      <c r="J14" s="40">
        <f>+H14+JULIO!J14</f>
        <v>4</v>
      </c>
      <c r="K14" s="2">
        <f>IFERROR(J14/G14,0)</f>
        <v>0.36363636363636365</v>
      </c>
    </row>
    <row r="15" spans="2:16" ht="23" x14ac:dyDescent="0.35">
      <c r="B15" s="34">
        <v>3</v>
      </c>
      <c r="C15" s="35" t="s">
        <v>45</v>
      </c>
      <c r="D15" s="41" t="s">
        <v>61</v>
      </c>
      <c r="E15" s="37" t="s">
        <v>81</v>
      </c>
      <c r="F15" s="35" t="s">
        <v>32</v>
      </c>
      <c r="G15" s="38">
        <v>11</v>
      </c>
      <c r="H15" s="42">
        <v>2</v>
      </c>
      <c r="I15" s="2">
        <f t="shared" ref="I15:I30" si="0">IFERROR(H15/G15,0)</f>
        <v>0.18181818181818182</v>
      </c>
      <c r="J15" s="40">
        <f>+H15+JULIO!J15</f>
        <v>5</v>
      </c>
      <c r="K15" s="2">
        <f t="shared" ref="K15:K30" si="1">IFERROR(J15/G15,0)</f>
        <v>0.45454545454545453</v>
      </c>
    </row>
    <row r="16" spans="2:16" ht="23" x14ac:dyDescent="0.35">
      <c r="B16" s="34">
        <v>3</v>
      </c>
      <c r="C16" s="35" t="s">
        <v>46</v>
      </c>
      <c r="D16" s="41" t="s">
        <v>62</v>
      </c>
      <c r="E16" s="37" t="s">
        <v>81</v>
      </c>
      <c r="F16" s="35" t="s">
        <v>32</v>
      </c>
      <c r="G16" s="38">
        <v>11</v>
      </c>
      <c r="H16" s="42">
        <v>2</v>
      </c>
      <c r="I16" s="2">
        <f t="shared" si="0"/>
        <v>0.18181818181818182</v>
      </c>
      <c r="J16" s="40">
        <f>+H16+JULIO!J16</f>
        <v>5</v>
      </c>
      <c r="K16" s="2">
        <f t="shared" si="1"/>
        <v>0.45454545454545453</v>
      </c>
    </row>
    <row r="17" spans="2:16" ht="57.5" x14ac:dyDescent="0.35">
      <c r="B17" s="34">
        <v>3</v>
      </c>
      <c r="C17" s="35" t="s">
        <v>47</v>
      </c>
      <c r="D17" s="41" t="s">
        <v>63</v>
      </c>
      <c r="E17" s="37" t="s">
        <v>82</v>
      </c>
      <c r="F17" s="35" t="s">
        <v>32</v>
      </c>
      <c r="G17" s="38">
        <v>11</v>
      </c>
      <c r="H17" s="42">
        <v>1</v>
      </c>
      <c r="I17" s="2">
        <f t="shared" si="0"/>
        <v>9.0909090909090912E-2</v>
      </c>
      <c r="J17" s="40">
        <f>+H17+JULIO!J17</f>
        <v>3</v>
      </c>
      <c r="K17" s="2">
        <f t="shared" si="1"/>
        <v>0.27272727272727271</v>
      </c>
    </row>
    <row r="18" spans="2:16" ht="57.5" x14ac:dyDescent="0.35">
      <c r="B18" s="34">
        <v>3</v>
      </c>
      <c r="C18" s="35" t="s">
        <v>48</v>
      </c>
      <c r="D18" s="41" t="s">
        <v>64</v>
      </c>
      <c r="E18" s="37" t="s">
        <v>83</v>
      </c>
      <c r="F18" s="35" t="s">
        <v>32</v>
      </c>
      <c r="G18" s="38">
        <v>11</v>
      </c>
      <c r="H18" s="42">
        <v>2</v>
      </c>
      <c r="I18" s="2">
        <f t="shared" si="0"/>
        <v>0.18181818181818182</v>
      </c>
      <c r="J18" s="40">
        <f>+H18+JULIO!J18</f>
        <v>5</v>
      </c>
      <c r="K18" s="2">
        <f t="shared" si="1"/>
        <v>0.45454545454545453</v>
      </c>
    </row>
    <row r="19" spans="2:16" ht="34.5" x14ac:dyDescent="0.35">
      <c r="B19" s="34">
        <v>3</v>
      </c>
      <c r="C19" s="35" t="s">
        <v>49</v>
      </c>
      <c r="D19" s="41" t="s">
        <v>65</v>
      </c>
      <c r="E19" s="37" t="s">
        <v>84</v>
      </c>
      <c r="F19" s="35" t="s">
        <v>32</v>
      </c>
      <c r="G19" s="38">
        <v>11</v>
      </c>
      <c r="H19" s="42">
        <v>2</v>
      </c>
      <c r="I19" s="2">
        <f t="shared" si="0"/>
        <v>0.18181818181818182</v>
      </c>
      <c r="J19" s="40">
        <f>+H19+JULIO!J19</f>
        <v>6</v>
      </c>
      <c r="K19" s="2">
        <f t="shared" si="1"/>
        <v>0.54545454545454541</v>
      </c>
    </row>
    <row r="20" spans="2:16" ht="34.5" x14ac:dyDescent="0.35">
      <c r="B20" s="34">
        <v>3</v>
      </c>
      <c r="C20" s="35" t="s">
        <v>50</v>
      </c>
      <c r="D20" s="41" t="s">
        <v>66</v>
      </c>
      <c r="E20" s="37" t="s">
        <v>85</v>
      </c>
      <c r="F20" s="35" t="s">
        <v>32</v>
      </c>
      <c r="G20" s="38">
        <v>11</v>
      </c>
      <c r="H20" s="42">
        <v>2</v>
      </c>
      <c r="I20" s="2">
        <f t="shared" si="0"/>
        <v>0.18181818181818182</v>
      </c>
      <c r="J20" s="40">
        <f>+H20+JULIO!J20</f>
        <v>5</v>
      </c>
      <c r="K20" s="2">
        <f t="shared" si="1"/>
        <v>0.45454545454545453</v>
      </c>
    </row>
    <row r="21" spans="2:16" ht="34.5" x14ac:dyDescent="0.35">
      <c r="B21" s="43">
        <v>5</v>
      </c>
      <c r="C21" s="35" t="s">
        <v>51</v>
      </c>
      <c r="D21" s="41" t="s">
        <v>67</v>
      </c>
      <c r="E21" s="37" t="s">
        <v>84</v>
      </c>
      <c r="F21" s="35" t="s">
        <v>32</v>
      </c>
      <c r="G21" s="38">
        <v>11</v>
      </c>
      <c r="H21" s="42">
        <v>1</v>
      </c>
      <c r="I21" s="2">
        <f t="shared" si="0"/>
        <v>9.0909090909090912E-2</v>
      </c>
      <c r="J21" s="40">
        <f>+H21+JULIO!J21</f>
        <v>3</v>
      </c>
      <c r="K21" s="2">
        <f t="shared" si="1"/>
        <v>0.27272727272727271</v>
      </c>
    </row>
    <row r="22" spans="2:16" ht="34.5" x14ac:dyDescent="0.35">
      <c r="B22" s="43">
        <v>5</v>
      </c>
      <c r="C22" s="35" t="s">
        <v>52</v>
      </c>
      <c r="D22" s="41" t="s">
        <v>68</v>
      </c>
      <c r="E22" s="37" t="s">
        <v>85</v>
      </c>
      <c r="F22" s="35" t="s">
        <v>32</v>
      </c>
      <c r="G22" s="38">
        <v>11</v>
      </c>
      <c r="H22" s="42">
        <v>2</v>
      </c>
      <c r="I22" s="2">
        <f t="shared" si="0"/>
        <v>0.18181818181818182</v>
      </c>
      <c r="J22" s="40">
        <f>+H22+JULIO!J22</f>
        <v>5</v>
      </c>
      <c r="K22" s="2">
        <f t="shared" si="1"/>
        <v>0.45454545454545453</v>
      </c>
    </row>
    <row r="23" spans="2:16" ht="34.5" x14ac:dyDescent="0.35">
      <c r="B23" s="43">
        <v>5</v>
      </c>
      <c r="C23" s="35" t="s">
        <v>53</v>
      </c>
      <c r="D23" s="41" t="s">
        <v>69</v>
      </c>
      <c r="E23" s="37" t="s">
        <v>85</v>
      </c>
      <c r="F23" s="35" t="s">
        <v>32</v>
      </c>
      <c r="G23" s="38">
        <v>11</v>
      </c>
      <c r="H23" s="42">
        <v>2</v>
      </c>
      <c r="I23" s="2">
        <f t="shared" si="0"/>
        <v>0.18181818181818182</v>
      </c>
      <c r="J23" s="40">
        <f>+H23+JULIO!J23</f>
        <v>4</v>
      </c>
      <c r="K23" s="2">
        <f t="shared" si="1"/>
        <v>0.36363636363636365</v>
      </c>
    </row>
    <row r="24" spans="2:16" ht="46" x14ac:dyDescent="0.35">
      <c r="B24" s="43">
        <v>5</v>
      </c>
      <c r="C24" s="35" t="s">
        <v>54</v>
      </c>
      <c r="D24" s="41" t="s">
        <v>70</v>
      </c>
      <c r="E24" s="37" t="s">
        <v>85</v>
      </c>
      <c r="F24" s="35" t="s">
        <v>32</v>
      </c>
      <c r="G24" s="38">
        <v>11</v>
      </c>
      <c r="H24" s="42">
        <v>1</v>
      </c>
      <c r="I24" s="2">
        <f t="shared" si="0"/>
        <v>9.0909090909090912E-2</v>
      </c>
      <c r="J24" s="40">
        <f>+H24+JULIO!J24</f>
        <v>4</v>
      </c>
      <c r="K24" s="2">
        <f t="shared" si="1"/>
        <v>0.36363636363636365</v>
      </c>
    </row>
    <row r="25" spans="2:16" ht="46" x14ac:dyDescent="0.35">
      <c r="B25" s="43">
        <v>5</v>
      </c>
      <c r="C25" s="35" t="s">
        <v>55</v>
      </c>
      <c r="D25" s="41" t="s">
        <v>71</v>
      </c>
      <c r="E25" s="37" t="s">
        <v>85</v>
      </c>
      <c r="F25" s="35" t="s">
        <v>32</v>
      </c>
      <c r="G25" s="38">
        <v>11</v>
      </c>
      <c r="H25" s="42">
        <v>2</v>
      </c>
      <c r="I25" s="2">
        <f t="shared" si="0"/>
        <v>0.18181818181818182</v>
      </c>
      <c r="J25" s="40">
        <f>+H25+JULIO!J25</f>
        <v>6</v>
      </c>
      <c r="K25" s="2">
        <f t="shared" si="1"/>
        <v>0.54545454545454541</v>
      </c>
    </row>
    <row r="26" spans="2:16" ht="46" x14ac:dyDescent="0.35">
      <c r="B26" s="43">
        <v>5</v>
      </c>
      <c r="C26" s="35" t="s">
        <v>56</v>
      </c>
      <c r="D26" s="41" t="s">
        <v>72</v>
      </c>
      <c r="E26" s="37" t="s">
        <v>85</v>
      </c>
      <c r="F26" s="35" t="s">
        <v>32</v>
      </c>
      <c r="G26" s="38">
        <v>11</v>
      </c>
      <c r="H26" s="42">
        <v>1</v>
      </c>
      <c r="I26" s="2">
        <f t="shared" si="0"/>
        <v>9.0909090909090912E-2</v>
      </c>
      <c r="J26" s="40">
        <f>+H26+JULIO!J26</f>
        <v>3</v>
      </c>
      <c r="K26" s="2">
        <f t="shared" si="1"/>
        <v>0.27272727272727271</v>
      </c>
    </row>
    <row r="27" spans="2:16" ht="46" x14ac:dyDescent="0.35">
      <c r="B27" s="43">
        <v>5</v>
      </c>
      <c r="C27" s="35" t="s">
        <v>57</v>
      </c>
      <c r="D27" s="41" t="s">
        <v>73</v>
      </c>
      <c r="E27" s="37" t="s">
        <v>85</v>
      </c>
      <c r="F27" s="35" t="s">
        <v>32</v>
      </c>
      <c r="G27" s="38">
        <v>11</v>
      </c>
      <c r="H27" s="42">
        <v>2</v>
      </c>
      <c r="I27" s="2">
        <f t="shared" si="0"/>
        <v>0.18181818181818182</v>
      </c>
      <c r="J27" s="40">
        <f>+H27+JULIO!J27</f>
        <v>4</v>
      </c>
      <c r="K27" s="2">
        <f t="shared" si="1"/>
        <v>0.36363636363636365</v>
      </c>
    </row>
    <row r="28" spans="2:16" ht="46" x14ac:dyDescent="0.35">
      <c r="B28" s="43">
        <v>5</v>
      </c>
      <c r="C28" s="35" t="s">
        <v>58</v>
      </c>
      <c r="D28" s="41" t="s">
        <v>74</v>
      </c>
      <c r="E28" s="37" t="s">
        <v>85</v>
      </c>
      <c r="F28" s="35" t="s">
        <v>32</v>
      </c>
      <c r="G28" s="38">
        <v>11</v>
      </c>
      <c r="H28" s="42">
        <v>2</v>
      </c>
      <c r="I28" s="2">
        <f t="shared" si="0"/>
        <v>0.18181818181818182</v>
      </c>
      <c r="J28" s="40">
        <f>+H28+JULIO!J28</f>
        <v>6</v>
      </c>
      <c r="K28" s="2">
        <f t="shared" si="1"/>
        <v>0.54545454545454541</v>
      </c>
    </row>
    <row r="29" spans="2:16" ht="34.5" x14ac:dyDescent="0.35">
      <c r="B29" s="43">
        <v>5</v>
      </c>
      <c r="C29" s="35" t="s">
        <v>59</v>
      </c>
      <c r="D29" s="41" t="s">
        <v>75</v>
      </c>
      <c r="E29" s="37" t="s">
        <v>85</v>
      </c>
      <c r="F29" s="35" t="s">
        <v>32</v>
      </c>
      <c r="G29" s="38">
        <v>11</v>
      </c>
      <c r="H29" s="42">
        <v>1</v>
      </c>
      <c r="I29" s="2">
        <f t="shared" si="0"/>
        <v>9.0909090909090912E-2</v>
      </c>
      <c r="J29" s="40">
        <f>+H29+JULIO!J29</f>
        <v>3</v>
      </c>
      <c r="K29" s="2">
        <f t="shared" si="1"/>
        <v>0.27272727272727271</v>
      </c>
    </row>
    <row r="30" spans="2:16" ht="57.5" x14ac:dyDescent="0.35">
      <c r="B30" s="44">
        <v>5</v>
      </c>
      <c r="C30" s="45" t="s">
        <v>60</v>
      </c>
      <c r="D30" s="46" t="s">
        <v>76</v>
      </c>
      <c r="E30" s="47" t="s">
        <v>85</v>
      </c>
      <c r="F30" s="35" t="s">
        <v>32</v>
      </c>
      <c r="G30" s="38">
        <v>11</v>
      </c>
      <c r="H30" s="48">
        <v>1</v>
      </c>
      <c r="I30" s="2">
        <f t="shared" si="0"/>
        <v>9.0909090909090912E-2</v>
      </c>
      <c r="J30" s="40">
        <f>+H30+JULIO!J30</f>
        <v>2</v>
      </c>
      <c r="K30" s="2">
        <f t="shared" si="1"/>
        <v>0.18181818181818182</v>
      </c>
    </row>
    <row r="31" spans="2:16" s="14" customFormat="1" x14ac:dyDescent="0.35">
      <c r="B31" s="12"/>
      <c r="C31" s="12"/>
      <c r="D31" s="12"/>
      <c r="E31" s="12"/>
      <c r="F31" s="20"/>
      <c r="G31" s="80" t="str">
        <f>+CONCATENATE("TOTAL A ",D7)</f>
        <v>TOTAL A AGOSTO</v>
      </c>
      <c r="H31" s="81"/>
      <c r="I31" s="82"/>
      <c r="J31" s="80" t="s">
        <v>33</v>
      </c>
      <c r="K31" s="82"/>
      <c r="N31" s="50"/>
      <c r="P31" s="50"/>
    </row>
    <row r="32" spans="2:16" x14ac:dyDescent="0.35">
      <c r="B32" s="12"/>
      <c r="C32" s="12"/>
      <c r="D32" s="14"/>
      <c r="E32" s="14"/>
      <c r="F32" s="14"/>
      <c r="G32" s="51">
        <f>+SUM(G13:G30)</f>
        <v>198</v>
      </c>
      <c r="H32" s="51">
        <f>+SUM(H13:H30)</f>
        <v>30</v>
      </c>
      <c r="I32" s="3">
        <f>IFERROR(H32/G32,0)</f>
        <v>0.15151515151515152</v>
      </c>
      <c r="J32" s="52">
        <f>+SUM(J13:J30)</f>
        <v>78</v>
      </c>
      <c r="K32" s="3">
        <f>IFERROR(J32/G32,0)</f>
        <v>0.39393939393939392</v>
      </c>
    </row>
    <row r="34" spans="2:16" x14ac:dyDescent="0.35">
      <c r="B34" s="66" t="s">
        <v>34</v>
      </c>
      <c r="C34" s="66"/>
      <c r="D34" s="67" t="s">
        <v>35</v>
      </c>
      <c r="E34" s="68"/>
      <c r="F34" s="68"/>
      <c r="G34" s="68"/>
      <c r="H34" s="68"/>
      <c r="I34" s="68"/>
      <c r="J34" s="68"/>
      <c r="K34" s="68"/>
    </row>
    <row r="35" spans="2:16" x14ac:dyDescent="0.35">
      <c r="B35" s="69" t="s">
        <v>36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6" x14ac:dyDescent="0.35"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2:16" x14ac:dyDescent="0.35">
      <c r="B37" s="53" t="s">
        <v>37</v>
      </c>
      <c r="C37" s="54"/>
      <c r="D37" s="54"/>
      <c r="E37" s="54"/>
      <c r="F37" s="54"/>
      <c r="G37" s="54"/>
      <c r="H37" s="54"/>
      <c r="I37" s="54"/>
      <c r="J37" s="54"/>
      <c r="K37" s="55"/>
    </row>
    <row r="38" spans="2:16" ht="24.5" x14ac:dyDescent="0.45">
      <c r="B38" s="56" t="s">
        <v>38</v>
      </c>
      <c r="C38" s="57"/>
      <c r="D38" s="70" t="s">
        <v>35</v>
      </c>
      <c r="E38" s="70"/>
      <c r="F38" s="70"/>
      <c r="G38" s="70"/>
      <c r="H38" s="70"/>
      <c r="I38" s="70"/>
      <c r="J38" s="70"/>
      <c r="K38" s="70"/>
    </row>
    <row r="39" spans="2:16" ht="24.5" x14ac:dyDescent="0.45">
      <c r="B39" s="56" t="s">
        <v>39</v>
      </c>
      <c r="C39" s="57"/>
      <c r="D39" s="70"/>
      <c r="E39" s="70"/>
      <c r="F39" s="70"/>
      <c r="G39" s="70"/>
      <c r="H39" s="70"/>
      <c r="I39" s="70"/>
      <c r="J39" s="70"/>
      <c r="K39" s="70"/>
    </row>
    <row r="40" spans="2:16" s="14" customFormat="1" x14ac:dyDescent="0.35">
      <c r="B40" s="71" t="s">
        <v>36</v>
      </c>
      <c r="C40" s="71"/>
      <c r="D40" s="71"/>
      <c r="E40" s="71"/>
      <c r="F40" s="71"/>
      <c r="G40" s="71"/>
      <c r="H40" s="71"/>
      <c r="I40" s="71"/>
      <c r="J40" s="71"/>
      <c r="K40" s="71"/>
      <c r="N40" s="50"/>
      <c r="P40" s="50"/>
    </row>
    <row r="41" spans="2:16" x14ac:dyDescent="0.35"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2:16" x14ac:dyDescent="0.35">
      <c r="B42" s="53" t="s">
        <v>40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2:16" ht="24.5" x14ac:dyDescent="0.45">
      <c r="B43" s="56" t="s">
        <v>38</v>
      </c>
      <c r="C43" s="57"/>
      <c r="D43" s="70" t="s">
        <v>35</v>
      </c>
      <c r="E43" s="70"/>
      <c r="F43" s="70"/>
      <c r="G43" s="70"/>
      <c r="H43" s="70"/>
      <c r="I43" s="70"/>
      <c r="J43" s="70"/>
      <c r="K43" s="70"/>
    </row>
    <row r="44" spans="2:16" ht="24.5" x14ac:dyDescent="0.45">
      <c r="B44" s="56" t="s">
        <v>39</v>
      </c>
      <c r="C44" s="57"/>
      <c r="D44" s="70"/>
      <c r="E44" s="70"/>
      <c r="F44" s="70"/>
      <c r="G44" s="70"/>
      <c r="H44" s="70"/>
      <c r="I44" s="70"/>
      <c r="J44" s="70"/>
      <c r="K44" s="70"/>
    </row>
    <row r="47" spans="2:16" s="14" customFormat="1" ht="16.5" customHeight="1" x14ac:dyDescent="0.35">
      <c r="B47" s="63"/>
      <c r="C47" s="63"/>
      <c r="D47" s="63"/>
      <c r="E47" s="5"/>
      <c r="F47" s="5"/>
      <c r="G47" s="63"/>
      <c r="H47" s="63"/>
      <c r="I47" s="63"/>
      <c r="J47" s="63"/>
      <c r="K47" s="5"/>
      <c r="N47"/>
      <c r="P47"/>
    </row>
    <row r="48" spans="2:16" x14ac:dyDescent="0.35">
      <c r="B48" s="12" t="s">
        <v>41</v>
      </c>
      <c r="C48" s="64"/>
      <c r="D48" s="64"/>
      <c r="G48" s="12" t="s">
        <v>42</v>
      </c>
      <c r="H48" s="65" t="s">
        <v>86</v>
      </c>
      <c r="I48" s="65"/>
      <c r="J48" s="65"/>
    </row>
    <row r="49" ht="80" customHeight="1" x14ac:dyDescent="0.35"/>
    <row r="51" ht="20.149999999999999" customHeight="1" x14ac:dyDescent="0.35"/>
    <row r="52" ht="19.399999999999999" customHeight="1" x14ac:dyDescent="0.35"/>
    <row r="53" ht="20.149999999999999" customHeight="1" x14ac:dyDescent="0.35"/>
    <row r="54" ht="20.149999999999999" customHeight="1" x14ac:dyDescent="0.35"/>
    <row r="56" ht="15" customHeight="1" x14ac:dyDescent="0.35"/>
    <row r="58" ht="20.149999999999999" customHeight="1" x14ac:dyDescent="0.35"/>
    <row r="59" ht="20.149999999999999" customHeight="1" x14ac:dyDescent="0.35"/>
    <row r="62" ht="19.5" customHeight="1" x14ac:dyDescent="0.35"/>
    <row r="63" ht="23.9" customHeight="1" x14ac:dyDescent="0.35"/>
    <row r="80" spans="2:2" x14ac:dyDescent="0.35">
      <c r="B80" s="6"/>
    </row>
    <row r="81" spans="1:17" x14ac:dyDescent="0.35">
      <c r="B81" s="6"/>
    </row>
    <row r="82" spans="1:17" x14ac:dyDescent="0.35">
      <c r="B82" s="6"/>
    </row>
    <row r="83" spans="1:17" x14ac:dyDescent="0.35">
      <c r="B83" s="14"/>
    </row>
    <row r="84" spans="1:17" x14ac:dyDescent="0.35">
      <c r="B84" s="6"/>
    </row>
    <row r="85" spans="1:17" x14ac:dyDescent="0.35">
      <c r="B85" s="14"/>
    </row>
    <row r="86" spans="1:17" x14ac:dyDescent="0.35">
      <c r="B86" s="14"/>
    </row>
    <row r="87" spans="1:17" x14ac:dyDescent="0.35">
      <c r="B87" s="14"/>
    </row>
    <row r="88" spans="1:17" x14ac:dyDescent="0.35">
      <c r="B88" s="14"/>
    </row>
    <row r="89" spans="1:17" x14ac:dyDescent="0.35">
      <c r="B89" s="14"/>
    </row>
    <row r="90" spans="1:17" x14ac:dyDescent="0.35">
      <c r="B90" s="6"/>
    </row>
    <row r="91" spans="1:17" x14ac:dyDescent="0.35">
      <c r="B91" s="6"/>
    </row>
    <row r="92" spans="1:17" x14ac:dyDescent="0.35">
      <c r="B92" s="6"/>
    </row>
    <row r="95" spans="1:17" s="5" customFormat="1" hidden="1" x14ac:dyDescent="0.35">
      <c r="A95" t="s">
        <v>0</v>
      </c>
      <c r="L95" s="6"/>
      <c r="M95" s="6"/>
      <c r="N95"/>
      <c r="O95" s="6"/>
      <c r="P95"/>
      <c r="Q95" s="6"/>
    </row>
    <row r="96" spans="1:17" s="5" customFormat="1" hidden="1" x14ac:dyDescent="0.35">
      <c r="A96" t="s">
        <v>2</v>
      </c>
      <c r="L96" s="6"/>
      <c r="M96" s="6"/>
      <c r="N96"/>
      <c r="O96" s="6"/>
      <c r="P96"/>
      <c r="Q96" s="6"/>
    </row>
    <row r="97" spans="1:17" s="5" customFormat="1" hidden="1" x14ac:dyDescent="0.35">
      <c r="A97" t="s">
        <v>6</v>
      </c>
      <c r="L97" s="6"/>
      <c r="M97" s="6"/>
      <c r="N97"/>
      <c r="O97" s="6"/>
      <c r="P97"/>
      <c r="Q97" s="6"/>
    </row>
    <row r="98" spans="1:17" s="5" customFormat="1" hidden="1" x14ac:dyDescent="0.35">
      <c r="A98" t="s">
        <v>8</v>
      </c>
      <c r="L98" s="6"/>
      <c r="M98" s="6"/>
      <c r="N98"/>
      <c r="O98" s="6"/>
      <c r="P98"/>
      <c r="Q98" s="6"/>
    </row>
    <row r="99" spans="1:17" s="5" customFormat="1" hidden="1" x14ac:dyDescent="0.35">
      <c r="A99" t="s">
        <v>9</v>
      </c>
      <c r="L99" s="6"/>
      <c r="M99" s="6"/>
      <c r="N99"/>
      <c r="O99" s="6"/>
      <c r="P99"/>
      <c r="Q99" s="6"/>
    </row>
    <row r="100" spans="1:17" s="5" customFormat="1" hidden="1" x14ac:dyDescent="0.35">
      <c r="A100" t="s">
        <v>10</v>
      </c>
      <c r="L100" s="6"/>
      <c r="M100" s="6"/>
      <c r="N100"/>
      <c r="O100" s="6"/>
      <c r="P100"/>
      <c r="Q100" s="6"/>
    </row>
    <row r="101" spans="1:17" s="5" customFormat="1" hidden="1" x14ac:dyDescent="0.35">
      <c r="A101" t="s">
        <v>11</v>
      </c>
      <c r="L101" s="6"/>
      <c r="M101" s="6"/>
      <c r="N101"/>
      <c r="O101" s="6"/>
      <c r="P101"/>
      <c r="Q101" s="6"/>
    </row>
    <row r="102" spans="1:17" s="5" customFormat="1" hidden="1" x14ac:dyDescent="0.35">
      <c r="A102" t="s">
        <v>13</v>
      </c>
      <c r="L102" s="6"/>
      <c r="M102" s="6"/>
      <c r="N102"/>
      <c r="O102" s="6"/>
      <c r="P102"/>
      <c r="Q102" s="6"/>
    </row>
    <row r="103" spans="1:17" s="5" customFormat="1" hidden="1" x14ac:dyDescent="0.35">
      <c r="A103" t="s">
        <v>14</v>
      </c>
      <c r="L103" s="6"/>
      <c r="M103" s="6"/>
      <c r="N103"/>
      <c r="O103" s="6"/>
      <c r="P103"/>
      <c r="Q103" s="6"/>
    </row>
    <row r="104" spans="1:17" s="5" customFormat="1" hidden="1" x14ac:dyDescent="0.35">
      <c r="A104" t="s">
        <v>16</v>
      </c>
      <c r="L104" s="6"/>
      <c r="M104" s="6"/>
      <c r="N104"/>
      <c r="O104" s="6"/>
      <c r="P104"/>
      <c r="Q104" s="6"/>
    </row>
    <row r="105" spans="1:17" s="5" customFormat="1" hidden="1" x14ac:dyDescent="0.35">
      <c r="A105" t="s">
        <v>17</v>
      </c>
      <c r="L105" s="6"/>
      <c r="M105" s="6"/>
      <c r="N105"/>
      <c r="O105" s="6"/>
      <c r="P105"/>
      <c r="Q105" s="6"/>
    </row>
    <row r="106" spans="1:17" s="5" customFormat="1" hidden="1" x14ac:dyDescent="0.35">
      <c r="A106" t="s">
        <v>21</v>
      </c>
      <c r="L106" s="6"/>
      <c r="M106" s="6"/>
      <c r="N106"/>
      <c r="O106" s="6"/>
      <c r="P106"/>
      <c r="Q106" s="6"/>
    </row>
    <row r="107" spans="1:17" s="5" customFormat="1" hidden="1" x14ac:dyDescent="0.35">
      <c r="A107" t="s">
        <v>31</v>
      </c>
      <c r="L107" s="6"/>
      <c r="M107" s="6"/>
      <c r="N107"/>
      <c r="O107" s="6"/>
      <c r="P107"/>
      <c r="Q107" s="6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G31:I31"/>
    <mergeCell ref="J31:K31"/>
    <mergeCell ref="B2:K2"/>
    <mergeCell ref="B3:D3"/>
    <mergeCell ref="E3:H3"/>
    <mergeCell ref="I3:K3"/>
    <mergeCell ref="B5:C5"/>
    <mergeCell ref="B7:C7"/>
    <mergeCell ref="B9:C9"/>
    <mergeCell ref="B11:G11"/>
    <mergeCell ref="H11:I11"/>
    <mergeCell ref="J11:K11"/>
  </mergeCells>
  <conditionalFormatting sqref="G32">
    <cfRule type="cellIs" dxfId="13" priority="3" operator="greaterThan">
      <formula>350</formula>
    </cfRule>
  </conditionalFormatting>
  <conditionalFormatting sqref="K13:K30">
    <cfRule type="cellIs" dxfId="12" priority="1" operator="greaterThan">
      <formula>1</formula>
    </cfRule>
  </conditionalFormatting>
  <dataValidations count="4">
    <dataValidation type="list" allowBlank="1" showInputMessage="1" showErrorMessage="1" sqref="D7">
      <formula1>$A$96:$A$107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3:H30">
      <formula1>0</formula1>
      <formula2>30</formula2>
    </dataValidation>
  </dataValidations>
  <pageMargins left="0.7" right="0.7" top="0.75" bottom="0.75" header="0.3" footer="0.3"/>
  <pageSetup scale="44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showGridLines="0" view="pageBreakPreview" topLeftCell="A22" zoomScaleNormal="100" zoomScaleSheetLayoutView="100" workbookViewId="0">
      <selection activeCell="H13" sqref="H13"/>
    </sheetView>
  </sheetViews>
  <sheetFormatPr baseColWidth="10" defaultColWidth="8.6328125" defaultRowHeight="14.5" x14ac:dyDescent="0.35"/>
  <cols>
    <col min="1" max="1" width="4.453125" style="6" customWidth="1"/>
    <col min="2" max="2" width="15.6328125" style="5" customWidth="1"/>
    <col min="3" max="3" width="8.54296875" style="5" bestFit="1" customWidth="1"/>
    <col min="4" max="4" width="43.36328125" style="5" customWidth="1"/>
    <col min="5" max="5" width="14.08984375" style="5" bestFit="1" customWidth="1"/>
    <col min="6" max="6" width="13.453125" style="5" customWidth="1"/>
    <col min="7" max="7" width="13.6328125" style="5" customWidth="1"/>
    <col min="8" max="8" width="13.453125" style="5" customWidth="1"/>
    <col min="9" max="9" width="10.453125" style="5" customWidth="1"/>
    <col min="10" max="10" width="12.453125" style="5" customWidth="1"/>
    <col min="11" max="11" width="12.36328125" style="5" customWidth="1"/>
    <col min="12" max="12" width="6.6328125" style="6" customWidth="1"/>
    <col min="13" max="13" width="16.453125" style="6" customWidth="1"/>
    <col min="15" max="15" width="16.453125" style="6" customWidth="1"/>
    <col min="16" max="16" width="0" hidden="1" customWidth="1"/>
    <col min="17" max="17" width="16.453125" style="6" customWidth="1"/>
    <col min="18" max="16384" width="8.6328125" style="6"/>
  </cols>
  <sheetData>
    <row r="1" spans="2:16" x14ac:dyDescent="0.35">
      <c r="P1" t="s">
        <v>0</v>
      </c>
    </row>
    <row r="2" spans="2:16" ht="49.5" customHeight="1" x14ac:dyDescent="0.35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P2" t="s">
        <v>2</v>
      </c>
    </row>
    <row r="3" spans="2:16" ht="18.75" customHeight="1" x14ac:dyDescent="0.35">
      <c r="B3" s="76" t="s">
        <v>3</v>
      </c>
      <c r="C3" s="77"/>
      <c r="D3" s="77"/>
      <c r="E3" s="77" t="s">
        <v>4</v>
      </c>
      <c r="F3" s="77"/>
      <c r="G3" s="77"/>
      <c r="H3" s="77"/>
      <c r="I3" s="77" t="s">
        <v>5</v>
      </c>
      <c r="J3" s="77"/>
      <c r="K3" s="78"/>
    </row>
    <row r="4" spans="2:16" x14ac:dyDescent="0.35">
      <c r="B4" s="7"/>
      <c r="C4" s="8"/>
      <c r="K4" s="9"/>
      <c r="P4" t="s">
        <v>6</v>
      </c>
    </row>
    <row r="5" spans="2:16" s="14" customFormat="1" ht="27.65" customHeight="1" x14ac:dyDescent="0.35">
      <c r="B5" s="79" t="s">
        <v>7</v>
      </c>
      <c r="C5" s="79"/>
      <c r="D5" s="10">
        <v>90227898</v>
      </c>
      <c r="E5" s="11"/>
      <c r="F5" s="11"/>
      <c r="G5" s="12"/>
      <c r="H5" s="12"/>
      <c r="I5" s="12"/>
      <c r="J5" s="12"/>
      <c r="K5" s="13"/>
      <c r="N5"/>
      <c r="P5" t="s">
        <v>8</v>
      </c>
    </row>
    <row r="6" spans="2:16" x14ac:dyDescent="0.35">
      <c r="B6" s="15"/>
      <c r="K6" s="16"/>
      <c r="P6" t="s">
        <v>9</v>
      </c>
    </row>
    <row r="7" spans="2:16" s="14" customFormat="1" x14ac:dyDescent="0.35">
      <c r="B7" s="79" t="s">
        <v>12</v>
      </c>
      <c r="C7" s="79"/>
      <c r="D7" s="17" t="s">
        <v>16</v>
      </c>
      <c r="E7" s="18"/>
      <c r="F7" s="18"/>
      <c r="G7" s="12"/>
      <c r="H7" s="12"/>
      <c r="I7" s="12"/>
      <c r="J7" s="12"/>
      <c r="K7" s="13"/>
      <c r="N7"/>
      <c r="P7" t="s">
        <v>13</v>
      </c>
    </row>
    <row r="8" spans="2:16" s="14" customFormat="1" x14ac:dyDescent="0.35">
      <c r="B8" s="19"/>
      <c r="C8" s="20"/>
      <c r="D8" s="18"/>
      <c r="E8" s="18"/>
      <c r="F8" s="18"/>
      <c r="G8" s="12"/>
      <c r="H8" s="12"/>
      <c r="I8" s="12"/>
      <c r="J8" s="12"/>
      <c r="K8" s="13"/>
      <c r="N8"/>
      <c r="P8" t="s">
        <v>14</v>
      </c>
    </row>
    <row r="9" spans="2:16" s="14" customFormat="1" x14ac:dyDescent="0.35">
      <c r="B9" s="79" t="s">
        <v>15</v>
      </c>
      <c r="C9" s="79"/>
      <c r="D9" s="21">
        <v>45930</v>
      </c>
      <c r="E9" s="22"/>
      <c r="F9" s="22"/>
      <c r="G9" s="12"/>
      <c r="H9" s="12"/>
      <c r="I9" s="12"/>
      <c r="J9" s="12"/>
      <c r="K9" s="13"/>
      <c r="N9"/>
      <c r="P9" t="s">
        <v>16</v>
      </c>
    </row>
    <row r="10" spans="2:16" x14ac:dyDescent="0.35">
      <c r="B10" s="23"/>
      <c r="C10" s="24"/>
      <c r="K10" s="25"/>
      <c r="P10" t="s">
        <v>17</v>
      </c>
    </row>
    <row r="11" spans="2:16" ht="26.9" customHeight="1" x14ac:dyDescent="0.35">
      <c r="B11" s="66" t="s">
        <v>18</v>
      </c>
      <c r="C11" s="66"/>
      <c r="D11" s="66"/>
      <c r="E11" s="66"/>
      <c r="F11" s="66"/>
      <c r="G11" s="66"/>
      <c r="H11" s="79" t="s">
        <v>19</v>
      </c>
      <c r="I11" s="79"/>
      <c r="J11" s="79" t="s">
        <v>20</v>
      </c>
      <c r="K11" s="79"/>
      <c r="P11" t="s">
        <v>21</v>
      </c>
    </row>
    <row r="12" spans="2:16" ht="57.65" customHeight="1" x14ac:dyDescent="0.35"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29</v>
      </c>
      <c r="P12" t="s">
        <v>31</v>
      </c>
    </row>
    <row r="13" spans="2:16" ht="57.5" x14ac:dyDescent="0.35">
      <c r="B13" s="27">
        <v>3</v>
      </c>
      <c r="C13" s="28" t="s">
        <v>43</v>
      </c>
      <c r="D13" s="29" t="s">
        <v>77</v>
      </c>
      <c r="E13" s="30" t="s">
        <v>79</v>
      </c>
      <c r="F13" s="31" t="s">
        <v>32</v>
      </c>
      <c r="G13" s="32">
        <v>11</v>
      </c>
      <c r="H13" s="32">
        <v>2</v>
      </c>
      <c r="I13" s="1">
        <f>IFERROR(H13/G13,0)</f>
        <v>0.18181818181818182</v>
      </c>
      <c r="J13" s="33">
        <f>+H13+AGOSTO!J13</f>
        <v>7</v>
      </c>
      <c r="K13" s="1">
        <f>IFERROR(J13/G13,0)</f>
        <v>0.63636363636363635</v>
      </c>
    </row>
    <row r="14" spans="2:16" ht="92" x14ac:dyDescent="0.35">
      <c r="B14" s="34">
        <v>3</v>
      </c>
      <c r="C14" s="35" t="s">
        <v>44</v>
      </c>
      <c r="D14" s="36" t="s">
        <v>78</v>
      </c>
      <c r="E14" s="37" t="s">
        <v>80</v>
      </c>
      <c r="F14" s="35" t="s">
        <v>32</v>
      </c>
      <c r="G14" s="38">
        <v>11</v>
      </c>
      <c r="H14" s="39">
        <v>2</v>
      </c>
      <c r="I14" s="2">
        <f>IFERROR(H14/G14,0)</f>
        <v>0.18181818181818182</v>
      </c>
      <c r="J14" s="40">
        <f>+H14+AGOSTO!J14</f>
        <v>6</v>
      </c>
      <c r="K14" s="2">
        <f>IFERROR(J14/G14,0)</f>
        <v>0.54545454545454541</v>
      </c>
    </row>
    <row r="15" spans="2:16" ht="23" x14ac:dyDescent="0.35">
      <c r="B15" s="34">
        <v>3</v>
      </c>
      <c r="C15" s="35" t="s">
        <v>45</v>
      </c>
      <c r="D15" s="41" t="s">
        <v>61</v>
      </c>
      <c r="E15" s="37" t="s">
        <v>81</v>
      </c>
      <c r="F15" s="35" t="s">
        <v>32</v>
      </c>
      <c r="G15" s="38">
        <v>11</v>
      </c>
      <c r="H15" s="42">
        <v>2</v>
      </c>
      <c r="I15" s="2">
        <f t="shared" ref="I15:I30" si="0">IFERROR(H15/G15,0)</f>
        <v>0.18181818181818182</v>
      </c>
      <c r="J15" s="40">
        <f>+H15+AGOSTO!J15</f>
        <v>7</v>
      </c>
      <c r="K15" s="2">
        <f t="shared" ref="K15:K30" si="1">IFERROR(J15/G15,0)</f>
        <v>0.63636363636363635</v>
      </c>
    </row>
    <row r="16" spans="2:16" ht="23" x14ac:dyDescent="0.35">
      <c r="B16" s="34">
        <v>3</v>
      </c>
      <c r="C16" s="35" t="s">
        <v>46</v>
      </c>
      <c r="D16" s="41" t="s">
        <v>62</v>
      </c>
      <c r="E16" s="37" t="s">
        <v>81</v>
      </c>
      <c r="F16" s="35" t="s">
        <v>32</v>
      </c>
      <c r="G16" s="38">
        <v>11</v>
      </c>
      <c r="H16" s="42">
        <v>2</v>
      </c>
      <c r="I16" s="2">
        <f t="shared" si="0"/>
        <v>0.18181818181818182</v>
      </c>
      <c r="J16" s="40">
        <f>+H16+AGOSTO!J16</f>
        <v>7</v>
      </c>
      <c r="K16" s="2">
        <f t="shared" si="1"/>
        <v>0.63636363636363635</v>
      </c>
    </row>
    <row r="17" spans="2:16" ht="57.5" x14ac:dyDescent="0.35">
      <c r="B17" s="34">
        <v>3</v>
      </c>
      <c r="C17" s="35" t="s">
        <v>47</v>
      </c>
      <c r="D17" s="41" t="s">
        <v>63</v>
      </c>
      <c r="E17" s="37" t="s">
        <v>82</v>
      </c>
      <c r="F17" s="35" t="s">
        <v>32</v>
      </c>
      <c r="G17" s="38">
        <v>11</v>
      </c>
      <c r="H17" s="42">
        <v>1</v>
      </c>
      <c r="I17" s="2">
        <f t="shared" si="0"/>
        <v>9.0909090909090912E-2</v>
      </c>
      <c r="J17" s="40">
        <f>+H17+AGOSTO!J17</f>
        <v>4</v>
      </c>
      <c r="K17" s="2">
        <f t="shared" si="1"/>
        <v>0.36363636363636365</v>
      </c>
    </row>
    <row r="18" spans="2:16" ht="57.5" x14ac:dyDescent="0.35">
      <c r="B18" s="34">
        <v>3</v>
      </c>
      <c r="C18" s="35" t="s">
        <v>48</v>
      </c>
      <c r="D18" s="41" t="s">
        <v>64</v>
      </c>
      <c r="E18" s="37" t="s">
        <v>83</v>
      </c>
      <c r="F18" s="35" t="s">
        <v>32</v>
      </c>
      <c r="G18" s="38">
        <v>11</v>
      </c>
      <c r="H18" s="42">
        <v>2</v>
      </c>
      <c r="I18" s="2">
        <f t="shared" si="0"/>
        <v>0.18181818181818182</v>
      </c>
      <c r="J18" s="40">
        <f>+H18+AGOSTO!J18</f>
        <v>7</v>
      </c>
      <c r="K18" s="2">
        <f t="shared" si="1"/>
        <v>0.63636363636363635</v>
      </c>
    </row>
    <row r="19" spans="2:16" ht="34.5" x14ac:dyDescent="0.35">
      <c r="B19" s="34">
        <v>3</v>
      </c>
      <c r="C19" s="35" t="s">
        <v>49</v>
      </c>
      <c r="D19" s="41" t="s">
        <v>65</v>
      </c>
      <c r="E19" s="37" t="s">
        <v>84</v>
      </c>
      <c r="F19" s="35" t="s">
        <v>32</v>
      </c>
      <c r="G19" s="38">
        <v>11</v>
      </c>
      <c r="H19" s="42">
        <v>2</v>
      </c>
      <c r="I19" s="2">
        <f t="shared" si="0"/>
        <v>0.18181818181818182</v>
      </c>
      <c r="J19" s="40">
        <f>+H19+AGOSTO!J19</f>
        <v>8</v>
      </c>
      <c r="K19" s="2">
        <f t="shared" si="1"/>
        <v>0.72727272727272729</v>
      </c>
    </row>
    <row r="20" spans="2:16" ht="34.5" x14ac:dyDescent="0.35">
      <c r="B20" s="34">
        <v>3</v>
      </c>
      <c r="C20" s="35" t="s">
        <v>50</v>
      </c>
      <c r="D20" s="41" t="s">
        <v>66</v>
      </c>
      <c r="E20" s="37" t="s">
        <v>85</v>
      </c>
      <c r="F20" s="35" t="s">
        <v>32</v>
      </c>
      <c r="G20" s="38">
        <v>11</v>
      </c>
      <c r="H20" s="42">
        <v>2</v>
      </c>
      <c r="I20" s="2">
        <f t="shared" si="0"/>
        <v>0.18181818181818182</v>
      </c>
      <c r="J20" s="40">
        <f>+H20+AGOSTO!J20</f>
        <v>7</v>
      </c>
      <c r="K20" s="2">
        <f t="shared" si="1"/>
        <v>0.63636363636363635</v>
      </c>
    </row>
    <row r="21" spans="2:16" ht="34.5" x14ac:dyDescent="0.35">
      <c r="B21" s="43">
        <v>5</v>
      </c>
      <c r="C21" s="35" t="s">
        <v>51</v>
      </c>
      <c r="D21" s="41" t="s">
        <v>67</v>
      </c>
      <c r="E21" s="37" t="s">
        <v>84</v>
      </c>
      <c r="F21" s="35" t="s">
        <v>32</v>
      </c>
      <c r="G21" s="38">
        <v>11</v>
      </c>
      <c r="H21" s="42">
        <v>1</v>
      </c>
      <c r="I21" s="2">
        <f t="shared" si="0"/>
        <v>9.0909090909090912E-2</v>
      </c>
      <c r="J21" s="40">
        <f>+H21+AGOSTO!J21</f>
        <v>4</v>
      </c>
      <c r="K21" s="2">
        <f t="shared" si="1"/>
        <v>0.36363636363636365</v>
      </c>
    </row>
    <row r="22" spans="2:16" ht="34.5" x14ac:dyDescent="0.35">
      <c r="B22" s="43">
        <v>5</v>
      </c>
      <c r="C22" s="35" t="s">
        <v>52</v>
      </c>
      <c r="D22" s="41" t="s">
        <v>68</v>
      </c>
      <c r="E22" s="37" t="s">
        <v>85</v>
      </c>
      <c r="F22" s="35" t="s">
        <v>32</v>
      </c>
      <c r="G22" s="38">
        <v>11</v>
      </c>
      <c r="H22" s="42">
        <v>2</v>
      </c>
      <c r="I22" s="2">
        <f t="shared" si="0"/>
        <v>0.18181818181818182</v>
      </c>
      <c r="J22" s="40">
        <f>+H22+AGOSTO!J22</f>
        <v>7</v>
      </c>
      <c r="K22" s="2">
        <f t="shared" si="1"/>
        <v>0.63636363636363635</v>
      </c>
    </row>
    <row r="23" spans="2:16" ht="34.5" x14ac:dyDescent="0.35">
      <c r="B23" s="43">
        <v>5</v>
      </c>
      <c r="C23" s="35" t="s">
        <v>53</v>
      </c>
      <c r="D23" s="41" t="s">
        <v>69</v>
      </c>
      <c r="E23" s="37" t="s">
        <v>85</v>
      </c>
      <c r="F23" s="35" t="s">
        <v>32</v>
      </c>
      <c r="G23" s="38">
        <v>11</v>
      </c>
      <c r="H23" s="42">
        <v>2</v>
      </c>
      <c r="I23" s="2">
        <f t="shared" si="0"/>
        <v>0.18181818181818182</v>
      </c>
      <c r="J23" s="40">
        <f>+H23+AGOSTO!J23</f>
        <v>6</v>
      </c>
      <c r="K23" s="2">
        <f t="shared" si="1"/>
        <v>0.54545454545454541</v>
      </c>
    </row>
    <row r="24" spans="2:16" ht="46" x14ac:dyDescent="0.35">
      <c r="B24" s="43">
        <v>5</v>
      </c>
      <c r="C24" s="35" t="s">
        <v>54</v>
      </c>
      <c r="D24" s="41" t="s">
        <v>70</v>
      </c>
      <c r="E24" s="37" t="s">
        <v>85</v>
      </c>
      <c r="F24" s="35" t="s">
        <v>32</v>
      </c>
      <c r="G24" s="38">
        <v>11</v>
      </c>
      <c r="H24" s="42">
        <v>1</v>
      </c>
      <c r="I24" s="2">
        <f t="shared" si="0"/>
        <v>9.0909090909090912E-2</v>
      </c>
      <c r="J24" s="40">
        <f>+H24+AGOSTO!J24</f>
        <v>5</v>
      </c>
      <c r="K24" s="2">
        <f t="shared" si="1"/>
        <v>0.45454545454545453</v>
      </c>
    </row>
    <row r="25" spans="2:16" ht="46" x14ac:dyDescent="0.35">
      <c r="B25" s="43">
        <v>5</v>
      </c>
      <c r="C25" s="35" t="s">
        <v>55</v>
      </c>
      <c r="D25" s="41" t="s">
        <v>71</v>
      </c>
      <c r="E25" s="37" t="s">
        <v>85</v>
      </c>
      <c r="F25" s="35" t="s">
        <v>32</v>
      </c>
      <c r="G25" s="38">
        <v>11</v>
      </c>
      <c r="H25" s="42">
        <v>2</v>
      </c>
      <c r="I25" s="2">
        <f t="shared" si="0"/>
        <v>0.18181818181818182</v>
      </c>
      <c r="J25" s="40">
        <f>+H25+AGOSTO!J25</f>
        <v>8</v>
      </c>
      <c r="K25" s="2">
        <f t="shared" si="1"/>
        <v>0.72727272727272729</v>
      </c>
    </row>
    <row r="26" spans="2:16" ht="46" x14ac:dyDescent="0.35">
      <c r="B26" s="43">
        <v>5</v>
      </c>
      <c r="C26" s="35" t="s">
        <v>56</v>
      </c>
      <c r="D26" s="41" t="s">
        <v>72</v>
      </c>
      <c r="E26" s="37" t="s">
        <v>85</v>
      </c>
      <c r="F26" s="35" t="s">
        <v>32</v>
      </c>
      <c r="G26" s="38">
        <v>11</v>
      </c>
      <c r="H26" s="42">
        <v>1</v>
      </c>
      <c r="I26" s="2">
        <f t="shared" si="0"/>
        <v>9.0909090909090912E-2</v>
      </c>
      <c r="J26" s="40">
        <f>+H26+AGOSTO!J26</f>
        <v>4</v>
      </c>
      <c r="K26" s="2">
        <f t="shared" si="1"/>
        <v>0.36363636363636365</v>
      </c>
    </row>
    <row r="27" spans="2:16" ht="46" x14ac:dyDescent="0.35">
      <c r="B27" s="43">
        <v>5</v>
      </c>
      <c r="C27" s="35" t="s">
        <v>57</v>
      </c>
      <c r="D27" s="41" t="s">
        <v>73</v>
      </c>
      <c r="E27" s="37" t="s">
        <v>85</v>
      </c>
      <c r="F27" s="35" t="s">
        <v>32</v>
      </c>
      <c r="G27" s="38">
        <v>11</v>
      </c>
      <c r="H27" s="42">
        <v>2</v>
      </c>
      <c r="I27" s="2">
        <f t="shared" si="0"/>
        <v>0.18181818181818182</v>
      </c>
      <c r="J27" s="40">
        <f>+H27+AGOSTO!J27</f>
        <v>6</v>
      </c>
      <c r="K27" s="2">
        <f t="shared" si="1"/>
        <v>0.54545454545454541</v>
      </c>
    </row>
    <row r="28" spans="2:16" ht="46" x14ac:dyDescent="0.35">
      <c r="B28" s="43">
        <v>5</v>
      </c>
      <c r="C28" s="35" t="s">
        <v>58</v>
      </c>
      <c r="D28" s="41" t="s">
        <v>74</v>
      </c>
      <c r="E28" s="37" t="s">
        <v>85</v>
      </c>
      <c r="F28" s="35" t="s">
        <v>32</v>
      </c>
      <c r="G28" s="38">
        <v>11</v>
      </c>
      <c r="H28" s="42">
        <v>2</v>
      </c>
      <c r="I28" s="2">
        <f t="shared" si="0"/>
        <v>0.18181818181818182</v>
      </c>
      <c r="J28" s="40">
        <f>+H28+AGOSTO!J28</f>
        <v>8</v>
      </c>
      <c r="K28" s="2">
        <f t="shared" si="1"/>
        <v>0.72727272727272729</v>
      </c>
    </row>
    <row r="29" spans="2:16" ht="34.5" x14ac:dyDescent="0.35">
      <c r="B29" s="43">
        <v>5</v>
      </c>
      <c r="C29" s="35" t="s">
        <v>59</v>
      </c>
      <c r="D29" s="41" t="s">
        <v>75</v>
      </c>
      <c r="E29" s="37" t="s">
        <v>85</v>
      </c>
      <c r="F29" s="35" t="s">
        <v>32</v>
      </c>
      <c r="G29" s="38">
        <v>11</v>
      </c>
      <c r="H29" s="42">
        <v>1</v>
      </c>
      <c r="I29" s="2">
        <f t="shared" si="0"/>
        <v>9.0909090909090912E-2</v>
      </c>
      <c r="J29" s="40">
        <f>+H29+AGOSTO!J29</f>
        <v>4</v>
      </c>
      <c r="K29" s="2">
        <f t="shared" si="1"/>
        <v>0.36363636363636365</v>
      </c>
    </row>
    <row r="30" spans="2:16" ht="57.5" x14ac:dyDescent="0.35">
      <c r="B30" s="44">
        <v>5</v>
      </c>
      <c r="C30" s="45" t="s">
        <v>60</v>
      </c>
      <c r="D30" s="46" t="s">
        <v>76</v>
      </c>
      <c r="E30" s="47" t="s">
        <v>85</v>
      </c>
      <c r="F30" s="35" t="s">
        <v>32</v>
      </c>
      <c r="G30" s="38">
        <v>11</v>
      </c>
      <c r="H30" s="48">
        <v>1</v>
      </c>
      <c r="I30" s="2">
        <f t="shared" si="0"/>
        <v>9.0909090909090912E-2</v>
      </c>
      <c r="J30" s="40">
        <f>+H30+AGOSTO!J30</f>
        <v>3</v>
      </c>
      <c r="K30" s="2">
        <f t="shared" si="1"/>
        <v>0.27272727272727271</v>
      </c>
    </row>
    <row r="31" spans="2:16" s="14" customFormat="1" x14ac:dyDescent="0.35">
      <c r="B31" s="12"/>
      <c r="C31" s="12"/>
      <c r="D31" s="12"/>
      <c r="E31" s="12"/>
      <c r="F31" s="20"/>
      <c r="G31" s="80" t="str">
        <f>+CONCATENATE("TOTAL A ",D7)</f>
        <v>TOTAL A SEPTIEMBRE</v>
      </c>
      <c r="H31" s="81"/>
      <c r="I31" s="82"/>
      <c r="J31" s="80" t="s">
        <v>33</v>
      </c>
      <c r="K31" s="82"/>
      <c r="N31" s="50"/>
      <c r="P31" s="50"/>
    </row>
    <row r="32" spans="2:16" x14ac:dyDescent="0.35">
      <c r="B32" s="12"/>
      <c r="C32" s="12"/>
      <c r="D32" s="14"/>
      <c r="E32" s="14"/>
      <c r="F32" s="14"/>
      <c r="G32" s="51">
        <f>+SUM(G13:G30)</f>
        <v>198</v>
      </c>
      <c r="H32" s="51">
        <f>+SUM(H13:H30)</f>
        <v>30</v>
      </c>
      <c r="I32" s="3">
        <f>IFERROR(H32/G32,0)</f>
        <v>0.15151515151515152</v>
      </c>
      <c r="J32" s="52">
        <f>+SUM(J13:J30)</f>
        <v>108</v>
      </c>
      <c r="K32" s="3">
        <f>IFERROR(J32/G32,0)</f>
        <v>0.54545454545454541</v>
      </c>
    </row>
    <row r="34" spans="2:16" x14ac:dyDescent="0.35">
      <c r="B34" s="66" t="s">
        <v>34</v>
      </c>
      <c r="C34" s="66"/>
      <c r="D34" s="67" t="s">
        <v>35</v>
      </c>
      <c r="E34" s="68"/>
      <c r="F34" s="68"/>
      <c r="G34" s="68"/>
      <c r="H34" s="68"/>
      <c r="I34" s="68"/>
      <c r="J34" s="68"/>
      <c r="K34" s="68"/>
    </row>
    <row r="35" spans="2:16" x14ac:dyDescent="0.35">
      <c r="B35" s="69" t="s">
        <v>36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6" x14ac:dyDescent="0.35"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2:16" x14ac:dyDescent="0.35">
      <c r="B37" s="53" t="s">
        <v>37</v>
      </c>
      <c r="C37" s="54"/>
      <c r="D37" s="54"/>
      <c r="E37" s="54"/>
      <c r="F37" s="54"/>
      <c r="G37" s="54"/>
      <c r="H37" s="54"/>
      <c r="I37" s="54"/>
      <c r="J37" s="54"/>
      <c r="K37" s="55"/>
    </row>
    <row r="38" spans="2:16" ht="24.5" x14ac:dyDescent="0.45">
      <c r="B38" s="56" t="s">
        <v>38</v>
      </c>
      <c r="C38" s="57"/>
      <c r="D38" s="70" t="s">
        <v>35</v>
      </c>
      <c r="E38" s="70"/>
      <c r="F38" s="70"/>
      <c r="G38" s="70"/>
      <c r="H38" s="70"/>
      <c r="I38" s="70"/>
      <c r="J38" s="70"/>
      <c r="K38" s="70"/>
    </row>
    <row r="39" spans="2:16" ht="24.5" x14ac:dyDescent="0.45">
      <c r="B39" s="56" t="s">
        <v>39</v>
      </c>
      <c r="C39" s="57"/>
      <c r="D39" s="70"/>
      <c r="E39" s="70"/>
      <c r="F39" s="70"/>
      <c r="G39" s="70"/>
      <c r="H39" s="70"/>
      <c r="I39" s="70"/>
      <c r="J39" s="70"/>
      <c r="K39" s="70"/>
    </row>
    <row r="40" spans="2:16" s="14" customFormat="1" x14ac:dyDescent="0.35">
      <c r="B40" s="71" t="s">
        <v>36</v>
      </c>
      <c r="C40" s="71"/>
      <c r="D40" s="71"/>
      <c r="E40" s="71"/>
      <c r="F40" s="71"/>
      <c r="G40" s="71"/>
      <c r="H40" s="71"/>
      <c r="I40" s="71"/>
      <c r="J40" s="71"/>
      <c r="K40" s="71"/>
      <c r="N40" s="50"/>
      <c r="P40" s="50"/>
    </row>
    <row r="41" spans="2:16" x14ac:dyDescent="0.35"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2:16" x14ac:dyDescent="0.35">
      <c r="B42" s="53" t="s">
        <v>40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2:16" ht="24.5" x14ac:dyDescent="0.45">
      <c r="B43" s="56" t="s">
        <v>38</v>
      </c>
      <c r="C43" s="57"/>
      <c r="D43" s="70" t="s">
        <v>35</v>
      </c>
      <c r="E43" s="70"/>
      <c r="F43" s="70"/>
      <c r="G43" s="70"/>
      <c r="H43" s="70"/>
      <c r="I43" s="70"/>
      <c r="J43" s="70"/>
      <c r="K43" s="70"/>
    </row>
    <row r="44" spans="2:16" ht="24.5" x14ac:dyDescent="0.45">
      <c r="B44" s="56" t="s">
        <v>39</v>
      </c>
      <c r="C44" s="57"/>
      <c r="D44" s="70"/>
      <c r="E44" s="70"/>
      <c r="F44" s="70"/>
      <c r="G44" s="70"/>
      <c r="H44" s="70"/>
      <c r="I44" s="70"/>
      <c r="J44" s="70"/>
      <c r="K44" s="70"/>
    </row>
    <row r="47" spans="2:16" s="14" customFormat="1" ht="16.5" customHeight="1" x14ac:dyDescent="0.35">
      <c r="B47" s="63"/>
      <c r="C47" s="63"/>
      <c r="D47" s="63"/>
      <c r="E47" s="5"/>
      <c r="F47" s="5"/>
      <c r="G47" s="63"/>
      <c r="H47" s="63"/>
      <c r="I47" s="63"/>
      <c r="J47" s="63"/>
      <c r="K47" s="5"/>
      <c r="N47"/>
      <c r="P47"/>
    </row>
    <row r="48" spans="2:16" x14ac:dyDescent="0.35">
      <c r="B48" s="12" t="s">
        <v>41</v>
      </c>
      <c r="C48" s="64"/>
      <c r="D48" s="64"/>
      <c r="G48" s="12" t="s">
        <v>42</v>
      </c>
      <c r="H48" s="65" t="s">
        <v>86</v>
      </c>
      <c r="I48" s="65"/>
      <c r="J48" s="65"/>
    </row>
    <row r="49" ht="80" customHeight="1" x14ac:dyDescent="0.35"/>
    <row r="51" ht="20.149999999999999" customHeight="1" x14ac:dyDescent="0.35"/>
    <row r="52" ht="19.399999999999999" customHeight="1" x14ac:dyDescent="0.35"/>
    <row r="53" ht="20.149999999999999" customHeight="1" x14ac:dyDescent="0.35"/>
    <row r="54" ht="20.149999999999999" customHeight="1" x14ac:dyDescent="0.35"/>
    <row r="56" ht="15" customHeight="1" x14ac:dyDescent="0.35"/>
    <row r="58" ht="20.149999999999999" customHeight="1" x14ac:dyDescent="0.35"/>
    <row r="59" ht="20.149999999999999" customHeight="1" x14ac:dyDescent="0.35"/>
    <row r="62" ht="19.5" customHeight="1" x14ac:dyDescent="0.35"/>
    <row r="63" ht="23.9" customHeight="1" x14ac:dyDescent="0.35"/>
    <row r="80" spans="2:2" x14ac:dyDescent="0.35">
      <c r="B80" s="6"/>
    </row>
    <row r="81" spans="1:17" x14ac:dyDescent="0.35">
      <c r="B81" s="6"/>
    </row>
    <row r="82" spans="1:17" x14ac:dyDescent="0.35">
      <c r="B82" s="6"/>
    </row>
    <row r="83" spans="1:17" x14ac:dyDescent="0.35">
      <c r="B83" s="14"/>
    </row>
    <row r="84" spans="1:17" x14ac:dyDescent="0.35">
      <c r="B84" s="6"/>
    </row>
    <row r="85" spans="1:17" x14ac:dyDescent="0.35">
      <c r="B85" s="14"/>
    </row>
    <row r="86" spans="1:17" x14ac:dyDescent="0.35">
      <c r="B86" s="14"/>
    </row>
    <row r="87" spans="1:17" x14ac:dyDescent="0.35">
      <c r="B87" s="14"/>
    </row>
    <row r="88" spans="1:17" x14ac:dyDescent="0.35">
      <c r="B88" s="14"/>
    </row>
    <row r="89" spans="1:17" x14ac:dyDescent="0.35">
      <c r="B89" s="14"/>
    </row>
    <row r="90" spans="1:17" x14ac:dyDescent="0.35">
      <c r="B90" s="6"/>
    </row>
    <row r="91" spans="1:17" x14ac:dyDescent="0.35">
      <c r="B91" s="6"/>
    </row>
    <row r="92" spans="1:17" x14ac:dyDescent="0.35">
      <c r="B92" s="6"/>
    </row>
    <row r="95" spans="1:17" s="5" customFormat="1" hidden="1" x14ac:dyDescent="0.35">
      <c r="A95" t="s">
        <v>0</v>
      </c>
      <c r="L95" s="6"/>
      <c r="M95" s="6"/>
      <c r="N95"/>
      <c r="O95" s="6"/>
      <c r="P95"/>
      <c r="Q95" s="6"/>
    </row>
    <row r="96" spans="1:17" s="5" customFormat="1" hidden="1" x14ac:dyDescent="0.35">
      <c r="A96" t="s">
        <v>2</v>
      </c>
      <c r="L96" s="6"/>
      <c r="M96" s="6"/>
      <c r="N96"/>
      <c r="O96" s="6"/>
      <c r="P96"/>
      <c r="Q96" s="6"/>
    </row>
    <row r="97" spans="1:17" s="5" customFormat="1" hidden="1" x14ac:dyDescent="0.35">
      <c r="A97" t="s">
        <v>6</v>
      </c>
      <c r="L97" s="6"/>
      <c r="M97" s="6"/>
      <c r="N97"/>
      <c r="O97" s="6"/>
      <c r="P97"/>
      <c r="Q97" s="6"/>
    </row>
    <row r="98" spans="1:17" s="5" customFormat="1" hidden="1" x14ac:dyDescent="0.35">
      <c r="A98" t="s">
        <v>8</v>
      </c>
      <c r="L98" s="6"/>
      <c r="M98" s="6"/>
      <c r="N98"/>
      <c r="O98" s="6"/>
      <c r="P98"/>
      <c r="Q98" s="6"/>
    </row>
    <row r="99" spans="1:17" s="5" customFormat="1" hidden="1" x14ac:dyDescent="0.35">
      <c r="A99" t="s">
        <v>9</v>
      </c>
      <c r="L99" s="6"/>
      <c r="M99" s="6"/>
      <c r="N99"/>
      <c r="O99" s="6"/>
      <c r="P99"/>
      <c r="Q99" s="6"/>
    </row>
    <row r="100" spans="1:17" s="5" customFormat="1" hidden="1" x14ac:dyDescent="0.35">
      <c r="A100" t="s">
        <v>10</v>
      </c>
      <c r="L100" s="6"/>
      <c r="M100" s="6"/>
      <c r="N100"/>
      <c r="O100" s="6"/>
      <c r="P100"/>
      <c r="Q100" s="6"/>
    </row>
    <row r="101" spans="1:17" s="5" customFormat="1" hidden="1" x14ac:dyDescent="0.35">
      <c r="A101" t="s">
        <v>11</v>
      </c>
      <c r="L101" s="6"/>
      <c r="M101" s="6"/>
      <c r="N101"/>
      <c r="O101" s="6"/>
      <c r="P101"/>
      <c r="Q101" s="6"/>
    </row>
    <row r="102" spans="1:17" s="5" customFormat="1" hidden="1" x14ac:dyDescent="0.35">
      <c r="A102" t="s">
        <v>13</v>
      </c>
      <c r="L102" s="6"/>
      <c r="M102" s="6"/>
      <c r="N102"/>
      <c r="O102" s="6"/>
      <c r="P102"/>
      <c r="Q102" s="6"/>
    </row>
    <row r="103" spans="1:17" s="5" customFormat="1" hidden="1" x14ac:dyDescent="0.35">
      <c r="A103" t="s">
        <v>14</v>
      </c>
      <c r="L103" s="6"/>
      <c r="M103" s="6"/>
      <c r="N103"/>
      <c r="O103" s="6"/>
      <c r="P103"/>
      <c r="Q103" s="6"/>
    </row>
    <row r="104" spans="1:17" s="5" customFormat="1" hidden="1" x14ac:dyDescent="0.35">
      <c r="A104" t="s">
        <v>16</v>
      </c>
      <c r="L104" s="6"/>
      <c r="M104" s="6"/>
      <c r="N104"/>
      <c r="O104" s="6"/>
      <c r="P104"/>
      <c r="Q104" s="6"/>
    </row>
    <row r="105" spans="1:17" s="5" customFormat="1" hidden="1" x14ac:dyDescent="0.35">
      <c r="A105" t="s">
        <v>17</v>
      </c>
      <c r="L105" s="6"/>
      <c r="M105" s="6"/>
      <c r="N105"/>
      <c r="O105" s="6"/>
      <c r="P105"/>
      <c r="Q105" s="6"/>
    </row>
    <row r="106" spans="1:17" s="5" customFormat="1" hidden="1" x14ac:dyDescent="0.35">
      <c r="A106" t="s">
        <v>21</v>
      </c>
      <c r="L106" s="6"/>
      <c r="M106" s="6"/>
      <c r="N106"/>
      <c r="O106" s="6"/>
      <c r="P106"/>
      <c r="Q106" s="6"/>
    </row>
    <row r="107" spans="1:17" s="5" customFormat="1" hidden="1" x14ac:dyDescent="0.35">
      <c r="A107" t="s">
        <v>31</v>
      </c>
      <c r="L107" s="6"/>
      <c r="M107" s="6"/>
      <c r="N107"/>
      <c r="O107" s="6"/>
      <c r="P107"/>
      <c r="Q107" s="6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G31:I31"/>
    <mergeCell ref="J31:K31"/>
    <mergeCell ref="B2:K2"/>
    <mergeCell ref="B3:D3"/>
    <mergeCell ref="E3:H3"/>
    <mergeCell ref="I3:K3"/>
    <mergeCell ref="B5:C5"/>
    <mergeCell ref="B7:C7"/>
    <mergeCell ref="B9:C9"/>
    <mergeCell ref="B11:G11"/>
    <mergeCell ref="H11:I11"/>
    <mergeCell ref="J11:K11"/>
  </mergeCells>
  <conditionalFormatting sqref="G32">
    <cfRule type="cellIs" dxfId="11" priority="3" operator="greaterThan">
      <formula>350</formula>
    </cfRule>
  </conditionalFormatting>
  <conditionalFormatting sqref="K13:K30">
    <cfRule type="cellIs" dxfId="10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13:H3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2 G13:G3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$A$96:$A$107</formula1>
    </dataValidation>
  </dataValidations>
  <pageMargins left="0.7" right="0.7" top="0.75" bottom="0.75" header="0.3" footer="0.3"/>
  <pageSetup scale="47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showGridLines="0" view="pageBreakPreview" zoomScaleNormal="100" zoomScaleSheetLayoutView="100" workbookViewId="0">
      <selection activeCell="D7" sqref="D7"/>
    </sheetView>
  </sheetViews>
  <sheetFormatPr baseColWidth="10" defaultColWidth="8.6328125" defaultRowHeight="14.5" x14ac:dyDescent="0.35"/>
  <cols>
    <col min="1" max="1" width="4.453125" style="6" customWidth="1"/>
    <col min="2" max="2" width="15.6328125" style="5" customWidth="1"/>
    <col min="3" max="3" width="8.54296875" style="5" bestFit="1" customWidth="1"/>
    <col min="4" max="4" width="43.36328125" style="5" customWidth="1"/>
    <col min="5" max="5" width="14.08984375" style="5" bestFit="1" customWidth="1"/>
    <col min="6" max="6" width="13.453125" style="5" customWidth="1"/>
    <col min="7" max="7" width="13.6328125" style="5" customWidth="1"/>
    <col min="8" max="8" width="13.453125" style="5" customWidth="1"/>
    <col min="9" max="9" width="10.453125" style="5" customWidth="1"/>
    <col min="10" max="10" width="12.453125" style="5" customWidth="1"/>
    <col min="11" max="11" width="12.36328125" style="5" customWidth="1"/>
    <col min="12" max="12" width="6.6328125" style="6" customWidth="1"/>
    <col min="13" max="13" width="16.453125" style="6" customWidth="1"/>
    <col min="15" max="15" width="16.453125" style="6" customWidth="1"/>
    <col min="16" max="16" width="0" hidden="1" customWidth="1"/>
    <col min="17" max="17" width="16.453125" style="6" customWidth="1"/>
    <col min="18" max="16384" width="8.6328125" style="6"/>
  </cols>
  <sheetData>
    <row r="1" spans="2:16" x14ac:dyDescent="0.35">
      <c r="P1" t="s">
        <v>0</v>
      </c>
    </row>
    <row r="2" spans="2:16" ht="49.5" customHeight="1" x14ac:dyDescent="0.35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P2" t="s">
        <v>2</v>
      </c>
    </row>
    <row r="3" spans="2:16" ht="18.75" customHeight="1" x14ac:dyDescent="0.35">
      <c r="B3" s="76" t="s">
        <v>3</v>
      </c>
      <c r="C3" s="77"/>
      <c r="D3" s="77"/>
      <c r="E3" s="77" t="s">
        <v>4</v>
      </c>
      <c r="F3" s="77"/>
      <c r="G3" s="77"/>
      <c r="H3" s="77"/>
      <c r="I3" s="77" t="s">
        <v>5</v>
      </c>
      <c r="J3" s="77"/>
      <c r="K3" s="78"/>
    </row>
    <row r="4" spans="2:16" x14ac:dyDescent="0.35">
      <c r="B4" s="7"/>
      <c r="C4" s="8"/>
      <c r="K4" s="9"/>
      <c r="P4" t="s">
        <v>6</v>
      </c>
    </row>
    <row r="5" spans="2:16" s="14" customFormat="1" ht="27.65" customHeight="1" x14ac:dyDescent="0.35">
      <c r="B5" s="79" t="s">
        <v>7</v>
      </c>
      <c r="C5" s="79"/>
      <c r="D5" s="10">
        <v>90227898</v>
      </c>
      <c r="E5" s="11"/>
      <c r="F5" s="11"/>
      <c r="G5" s="12"/>
      <c r="H5" s="12"/>
      <c r="I5" s="12"/>
      <c r="J5" s="12"/>
      <c r="K5" s="13"/>
      <c r="N5"/>
      <c r="P5" t="s">
        <v>8</v>
      </c>
    </row>
    <row r="6" spans="2:16" x14ac:dyDescent="0.35">
      <c r="B6" s="15"/>
      <c r="K6" s="16"/>
      <c r="P6" t="s">
        <v>9</v>
      </c>
    </row>
    <row r="7" spans="2:16" s="14" customFormat="1" x14ac:dyDescent="0.35">
      <c r="B7" s="79" t="s">
        <v>12</v>
      </c>
      <c r="C7" s="79"/>
      <c r="D7" s="17" t="s">
        <v>17</v>
      </c>
      <c r="E7" s="18"/>
      <c r="F7" s="18"/>
      <c r="G7" s="12"/>
      <c r="H7" s="12"/>
      <c r="I7" s="12"/>
      <c r="J7" s="12"/>
      <c r="K7" s="13"/>
      <c r="N7"/>
      <c r="P7" t="s">
        <v>13</v>
      </c>
    </row>
    <row r="8" spans="2:16" s="14" customFormat="1" x14ac:dyDescent="0.35">
      <c r="B8" s="19"/>
      <c r="C8" s="20"/>
      <c r="D8" s="18"/>
      <c r="E8" s="18"/>
      <c r="F8" s="18"/>
      <c r="G8" s="12"/>
      <c r="H8" s="12"/>
      <c r="I8" s="12"/>
      <c r="J8" s="12"/>
      <c r="K8" s="13"/>
      <c r="N8"/>
      <c r="P8" t="s">
        <v>14</v>
      </c>
    </row>
    <row r="9" spans="2:16" s="14" customFormat="1" x14ac:dyDescent="0.35">
      <c r="B9" s="79" t="s">
        <v>15</v>
      </c>
      <c r="C9" s="79"/>
      <c r="D9" s="21">
        <v>45961</v>
      </c>
      <c r="E9" s="22"/>
      <c r="F9" s="22"/>
      <c r="G9" s="12"/>
      <c r="H9" s="12"/>
      <c r="I9" s="12"/>
      <c r="J9" s="12"/>
      <c r="K9" s="13"/>
      <c r="N9"/>
      <c r="P9" t="s">
        <v>16</v>
      </c>
    </row>
    <row r="10" spans="2:16" x14ac:dyDescent="0.35">
      <c r="B10" s="23"/>
      <c r="C10" s="24"/>
      <c r="K10" s="25"/>
      <c r="P10" t="s">
        <v>17</v>
      </c>
    </row>
    <row r="11" spans="2:16" ht="26.9" customHeight="1" x14ac:dyDescent="0.35">
      <c r="B11" s="66" t="s">
        <v>18</v>
      </c>
      <c r="C11" s="66"/>
      <c r="D11" s="66"/>
      <c r="E11" s="66"/>
      <c r="F11" s="66"/>
      <c r="G11" s="66"/>
      <c r="H11" s="79" t="s">
        <v>19</v>
      </c>
      <c r="I11" s="79"/>
      <c r="J11" s="79" t="s">
        <v>20</v>
      </c>
      <c r="K11" s="79"/>
      <c r="P11" t="s">
        <v>21</v>
      </c>
    </row>
    <row r="12" spans="2:16" ht="57.65" customHeight="1" x14ac:dyDescent="0.35"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29</v>
      </c>
      <c r="P12" t="s">
        <v>31</v>
      </c>
    </row>
    <row r="13" spans="2:16" ht="57.5" x14ac:dyDescent="0.35">
      <c r="B13" s="27">
        <v>3</v>
      </c>
      <c r="C13" s="28" t="s">
        <v>43</v>
      </c>
      <c r="D13" s="29" t="s">
        <v>77</v>
      </c>
      <c r="E13" s="30" t="s">
        <v>79</v>
      </c>
      <c r="F13" s="31" t="s">
        <v>32</v>
      </c>
      <c r="G13" s="32">
        <v>11</v>
      </c>
      <c r="H13" s="32">
        <v>1</v>
      </c>
      <c r="I13" s="1">
        <f>IFERROR(H13/G13,0)</f>
        <v>9.0909090909090912E-2</v>
      </c>
      <c r="J13" s="33">
        <f>+H13+SEPTIEMBRE!J13</f>
        <v>8</v>
      </c>
      <c r="K13" s="1">
        <f>IFERROR(J13/G13,0)</f>
        <v>0.72727272727272729</v>
      </c>
    </row>
    <row r="14" spans="2:16" ht="92" x14ac:dyDescent="0.35">
      <c r="B14" s="34">
        <v>3</v>
      </c>
      <c r="C14" s="35" t="s">
        <v>44</v>
      </c>
      <c r="D14" s="36" t="s">
        <v>78</v>
      </c>
      <c r="E14" s="37" t="s">
        <v>80</v>
      </c>
      <c r="F14" s="35" t="s">
        <v>32</v>
      </c>
      <c r="G14" s="38">
        <v>11</v>
      </c>
      <c r="H14" s="39">
        <v>2</v>
      </c>
      <c r="I14" s="2">
        <f>IFERROR(H14/G14,0)</f>
        <v>0.18181818181818182</v>
      </c>
      <c r="J14" s="40">
        <f>+H14+SEPTIEMBRE!J14</f>
        <v>8</v>
      </c>
      <c r="K14" s="2">
        <f>IFERROR(J14/G14,0)</f>
        <v>0.72727272727272729</v>
      </c>
    </row>
    <row r="15" spans="2:16" ht="23" x14ac:dyDescent="0.35">
      <c r="B15" s="34">
        <v>3</v>
      </c>
      <c r="C15" s="35" t="s">
        <v>45</v>
      </c>
      <c r="D15" s="41" t="s">
        <v>61</v>
      </c>
      <c r="E15" s="37" t="s">
        <v>81</v>
      </c>
      <c r="F15" s="35" t="s">
        <v>32</v>
      </c>
      <c r="G15" s="38">
        <v>11</v>
      </c>
      <c r="H15" s="42">
        <v>2</v>
      </c>
      <c r="I15" s="2">
        <f t="shared" ref="I15:I30" si="0">IFERROR(H15/G15,0)</f>
        <v>0.18181818181818182</v>
      </c>
      <c r="J15" s="40">
        <f>+H15+SEPTIEMBRE!J15</f>
        <v>9</v>
      </c>
      <c r="K15" s="2">
        <f t="shared" ref="K15:K30" si="1">IFERROR(J15/G15,0)</f>
        <v>0.81818181818181823</v>
      </c>
    </row>
    <row r="16" spans="2:16" ht="23" x14ac:dyDescent="0.35">
      <c r="B16" s="34">
        <v>3</v>
      </c>
      <c r="C16" s="35" t="s">
        <v>46</v>
      </c>
      <c r="D16" s="41" t="s">
        <v>62</v>
      </c>
      <c r="E16" s="37" t="s">
        <v>81</v>
      </c>
      <c r="F16" s="35" t="s">
        <v>32</v>
      </c>
      <c r="G16" s="38">
        <v>11</v>
      </c>
      <c r="H16" s="42">
        <v>1</v>
      </c>
      <c r="I16" s="2">
        <f t="shared" si="0"/>
        <v>9.0909090909090912E-2</v>
      </c>
      <c r="J16" s="40">
        <f>+H16+SEPTIEMBRE!J16</f>
        <v>8</v>
      </c>
      <c r="K16" s="2">
        <f t="shared" si="1"/>
        <v>0.72727272727272729</v>
      </c>
    </row>
    <row r="17" spans="2:16" ht="57.5" x14ac:dyDescent="0.35">
      <c r="B17" s="34">
        <v>3</v>
      </c>
      <c r="C17" s="35" t="s">
        <v>47</v>
      </c>
      <c r="D17" s="41" t="s">
        <v>63</v>
      </c>
      <c r="E17" s="37" t="s">
        <v>82</v>
      </c>
      <c r="F17" s="35" t="s">
        <v>32</v>
      </c>
      <c r="G17" s="38">
        <v>11</v>
      </c>
      <c r="H17" s="42">
        <v>3</v>
      </c>
      <c r="I17" s="2">
        <f t="shared" si="0"/>
        <v>0.27272727272727271</v>
      </c>
      <c r="J17" s="40">
        <f>+H17+SEPTIEMBRE!J17</f>
        <v>7</v>
      </c>
      <c r="K17" s="2">
        <f t="shared" si="1"/>
        <v>0.63636363636363635</v>
      </c>
    </row>
    <row r="18" spans="2:16" ht="57.5" x14ac:dyDescent="0.35">
      <c r="B18" s="34">
        <v>3</v>
      </c>
      <c r="C18" s="35" t="s">
        <v>48</v>
      </c>
      <c r="D18" s="41" t="s">
        <v>64</v>
      </c>
      <c r="E18" s="37" t="s">
        <v>83</v>
      </c>
      <c r="F18" s="35" t="s">
        <v>32</v>
      </c>
      <c r="G18" s="38">
        <v>11</v>
      </c>
      <c r="H18" s="42">
        <v>1</v>
      </c>
      <c r="I18" s="2">
        <f t="shared" si="0"/>
        <v>9.0909090909090912E-2</v>
      </c>
      <c r="J18" s="40">
        <f>+H18+SEPTIEMBRE!J18</f>
        <v>8</v>
      </c>
      <c r="K18" s="2">
        <f t="shared" si="1"/>
        <v>0.72727272727272729</v>
      </c>
    </row>
    <row r="19" spans="2:16" ht="34.5" x14ac:dyDescent="0.35">
      <c r="B19" s="34">
        <v>3</v>
      </c>
      <c r="C19" s="35" t="s">
        <v>49</v>
      </c>
      <c r="D19" s="41" t="s">
        <v>65</v>
      </c>
      <c r="E19" s="37" t="s">
        <v>84</v>
      </c>
      <c r="F19" s="35" t="s">
        <v>32</v>
      </c>
      <c r="G19" s="38">
        <v>11</v>
      </c>
      <c r="H19" s="42">
        <v>1</v>
      </c>
      <c r="I19" s="2">
        <f t="shared" si="0"/>
        <v>9.0909090909090912E-2</v>
      </c>
      <c r="J19" s="40">
        <f>+H19+SEPTIEMBRE!J19</f>
        <v>9</v>
      </c>
      <c r="K19" s="2">
        <f t="shared" si="1"/>
        <v>0.81818181818181823</v>
      </c>
    </row>
    <row r="20" spans="2:16" ht="34.5" x14ac:dyDescent="0.35">
      <c r="B20" s="34">
        <v>3</v>
      </c>
      <c r="C20" s="35" t="s">
        <v>50</v>
      </c>
      <c r="D20" s="41" t="s">
        <v>66</v>
      </c>
      <c r="E20" s="37" t="s">
        <v>85</v>
      </c>
      <c r="F20" s="35" t="s">
        <v>32</v>
      </c>
      <c r="G20" s="38">
        <v>11</v>
      </c>
      <c r="H20" s="42">
        <v>1</v>
      </c>
      <c r="I20" s="2">
        <f t="shared" si="0"/>
        <v>9.0909090909090912E-2</v>
      </c>
      <c r="J20" s="40">
        <f>+H20+SEPTIEMBRE!J20</f>
        <v>8</v>
      </c>
      <c r="K20" s="2">
        <f t="shared" si="1"/>
        <v>0.72727272727272729</v>
      </c>
    </row>
    <row r="21" spans="2:16" ht="34.5" x14ac:dyDescent="0.35">
      <c r="B21" s="43">
        <v>5</v>
      </c>
      <c r="C21" s="35" t="s">
        <v>51</v>
      </c>
      <c r="D21" s="41" t="s">
        <v>67</v>
      </c>
      <c r="E21" s="37" t="s">
        <v>84</v>
      </c>
      <c r="F21" s="35" t="s">
        <v>32</v>
      </c>
      <c r="G21" s="38">
        <v>11</v>
      </c>
      <c r="H21" s="42">
        <v>2</v>
      </c>
      <c r="I21" s="2">
        <f t="shared" si="0"/>
        <v>0.18181818181818182</v>
      </c>
      <c r="J21" s="40">
        <f>+H21+SEPTIEMBRE!J21</f>
        <v>6</v>
      </c>
      <c r="K21" s="2">
        <f t="shared" si="1"/>
        <v>0.54545454545454541</v>
      </c>
    </row>
    <row r="22" spans="2:16" ht="34.5" x14ac:dyDescent="0.35">
      <c r="B22" s="43">
        <v>5</v>
      </c>
      <c r="C22" s="35" t="s">
        <v>52</v>
      </c>
      <c r="D22" s="41" t="s">
        <v>68</v>
      </c>
      <c r="E22" s="37" t="s">
        <v>85</v>
      </c>
      <c r="F22" s="35" t="s">
        <v>32</v>
      </c>
      <c r="G22" s="38">
        <v>11</v>
      </c>
      <c r="H22" s="42">
        <v>1</v>
      </c>
      <c r="I22" s="2">
        <f t="shared" si="0"/>
        <v>9.0909090909090912E-2</v>
      </c>
      <c r="J22" s="40">
        <f>+H22+SEPTIEMBRE!J22</f>
        <v>8</v>
      </c>
      <c r="K22" s="2">
        <f t="shared" si="1"/>
        <v>0.72727272727272729</v>
      </c>
    </row>
    <row r="23" spans="2:16" ht="34.5" x14ac:dyDescent="0.35">
      <c r="B23" s="43">
        <v>5</v>
      </c>
      <c r="C23" s="35" t="s">
        <v>53</v>
      </c>
      <c r="D23" s="41" t="s">
        <v>69</v>
      </c>
      <c r="E23" s="37" t="s">
        <v>85</v>
      </c>
      <c r="F23" s="35" t="s">
        <v>32</v>
      </c>
      <c r="G23" s="38">
        <v>11</v>
      </c>
      <c r="H23" s="42">
        <v>2</v>
      </c>
      <c r="I23" s="2">
        <f t="shared" si="0"/>
        <v>0.18181818181818182</v>
      </c>
      <c r="J23" s="40">
        <f>+H23+SEPTIEMBRE!J23</f>
        <v>8</v>
      </c>
      <c r="K23" s="2">
        <f t="shared" si="1"/>
        <v>0.72727272727272729</v>
      </c>
    </row>
    <row r="24" spans="2:16" ht="46" x14ac:dyDescent="0.35">
      <c r="B24" s="43">
        <v>5</v>
      </c>
      <c r="C24" s="35" t="s">
        <v>54</v>
      </c>
      <c r="D24" s="41" t="s">
        <v>70</v>
      </c>
      <c r="E24" s="37" t="s">
        <v>85</v>
      </c>
      <c r="F24" s="35" t="s">
        <v>32</v>
      </c>
      <c r="G24" s="38">
        <v>11</v>
      </c>
      <c r="H24" s="42">
        <v>2</v>
      </c>
      <c r="I24" s="2">
        <f t="shared" si="0"/>
        <v>0.18181818181818182</v>
      </c>
      <c r="J24" s="40">
        <f>+H24+SEPTIEMBRE!J24</f>
        <v>7</v>
      </c>
      <c r="K24" s="2">
        <f t="shared" si="1"/>
        <v>0.63636363636363635</v>
      </c>
    </row>
    <row r="25" spans="2:16" ht="46" x14ac:dyDescent="0.35">
      <c r="B25" s="43">
        <v>5</v>
      </c>
      <c r="C25" s="35" t="s">
        <v>55</v>
      </c>
      <c r="D25" s="41" t="s">
        <v>71</v>
      </c>
      <c r="E25" s="37" t="s">
        <v>85</v>
      </c>
      <c r="F25" s="35" t="s">
        <v>32</v>
      </c>
      <c r="G25" s="38">
        <v>11</v>
      </c>
      <c r="H25" s="42">
        <v>1</v>
      </c>
      <c r="I25" s="2">
        <f t="shared" si="0"/>
        <v>9.0909090909090912E-2</v>
      </c>
      <c r="J25" s="40">
        <f>+H25+SEPTIEMBRE!J25</f>
        <v>9</v>
      </c>
      <c r="K25" s="2">
        <f t="shared" si="1"/>
        <v>0.81818181818181823</v>
      </c>
    </row>
    <row r="26" spans="2:16" ht="46" x14ac:dyDescent="0.35">
      <c r="B26" s="43">
        <v>5</v>
      </c>
      <c r="C26" s="35" t="s">
        <v>56</v>
      </c>
      <c r="D26" s="41" t="s">
        <v>72</v>
      </c>
      <c r="E26" s="37" t="s">
        <v>85</v>
      </c>
      <c r="F26" s="35" t="s">
        <v>32</v>
      </c>
      <c r="G26" s="38">
        <v>11</v>
      </c>
      <c r="H26" s="42">
        <v>2</v>
      </c>
      <c r="I26" s="2">
        <f t="shared" si="0"/>
        <v>0.18181818181818182</v>
      </c>
      <c r="J26" s="40">
        <f>+H26+SEPTIEMBRE!J26</f>
        <v>6</v>
      </c>
      <c r="K26" s="2">
        <f t="shared" si="1"/>
        <v>0.54545454545454541</v>
      </c>
    </row>
    <row r="27" spans="2:16" ht="46" x14ac:dyDescent="0.35">
      <c r="B27" s="43">
        <v>5</v>
      </c>
      <c r="C27" s="35" t="s">
        <v>57</v>
      </c>
      <c r="D27" s="41" t="s">
        <v>73</v>
      </c>
      <c r="E27" s="37" t="s">
        <v>85</v>
      </c>
      <c r="F27" s="35" t="s">
        <v>32</v>
      </c>
      <c r="G27" s="38">
        <v>11</v>
      </c>
      <c r="H27" s="42">
        <v>2</v>
      </c>
      <c r="I27" s="2">
        <f t="shared" si="0"/>
        <v>0.18181818181818182</v>
      </c>
      <c r="J27" s="40">
        <f>+H27+SEPTIEMBRE!J27</f>
        <v>8</v>
      </c>
      <c r="K27" s="2">
        <f t="shared" si="1"/>
        <v>0.72727272727272729</v>
      </c>
    </row>
    <row r="28" spans="2:16" ht="46" x14ac:dyDescent="0.35">
      <c r="B28" s="43">
        <v>5</v>
      </c>
      <c r="C28" s="35" t="s">
        <v>58</v>
      </c>
      <c r="D28" s="41" t="s">
        <v>74</v>
      </c>
      <c r="E28" s="37" t="s">
        <v>85</v>
      </c>
      <c r="F28" s="35" t="s">
        <v>32</v>
      </c>
      <c r="G28" s="38">
        <v>11</v>
      </c>
      <c r="H28" s="42">
        <v>1</v>
      </c>
      <c r="I28" s="2">
        <f t="shared" si="0"/>
        <v>9.0909090909090912E-2</v>
      </c>
      <c r="J28" s="40">
        <f>+H28+SEPTIEMBRE!J28</f>
        <v>9</v>
      </c>
      <c r="K28" s="2">
        <f t="shared" si="1"/>
        <v>0.81818181818181823</v>
      </c>
    </row>
    <row r="29" spans="2:16" ht="34.5" x14ac:dyDescent="0.35">
      <c r="B29" s="43">
        <v>5</v>
      </c>
      <c r="C29" s="35" t="s">
        <v>59</v>
      </c>
      <c r="D29" s="41" t="s">
        <v>75</v>
      </c>
      <c r="E29" s="37" t="s">
        <v>85</v>
      </c>
      <c r="F29" s="35" t="s">
        <v>32</v>
      </c>
      <c r="G29" s="38">
        <v>11</v>
      </c>
      <c r="H29" s="42">
        <v>2</v>
      </c>
      <c r="I29" s="2">
        <f t="shared" si="0"/>
        <v>0.18181818181818182</v>
      </c>
      <c r="J29" s="40">
        <f>+H29+SEPTIEMBRE!J29</f>
        <v>6</v>
      </c>
      <c r="K29" s="2">
        <f t="shared" si="1"/>
        <v>0.54545454545454541</v>
      </c>
    </row>
    <row r="30" spans="2:16" ht="57.5" x14ac:dyDescent="0.35">
      <c r="B30" s="44">
        <v>5</v>
      </c>
      <c r="C30" s="45" t="s">
        <v>60</v>
      </c>
      <c r="D30" s="46" t="s">
        <v>76</v>
      </c>
      <c r="E30" s="47" t="s">
        <v>85</v>
      </c>
      <c r="F30" s="45" t="s">
        <v>32</v>
      </c>
      <c r="G30" s="38">
        <v>11</v>
      </c>
      <c r="H30" s="48">
        <v>3</v>
      </c>
      <c r="I30" s="2">
        <f t="shared" si="0"/>
        <v>0.27272727272727271</v>
      </c>
      <c r="J30" s="40">
        <f>+H30+SEPTIEMBRE!J30</f>
        <v>6</v>
      </c>
      <c r="K30" s="2">
        <f t="shared" si="1"/>
        <v>0.54545454545454541</v>
      </c>
    </row>
    <row r="31" spans="2:16" s="14" customFormat="1" x14ac:dyDescent="0.35">
      <c r="B31" s="12"/>
      <c r="C31" s="12"/>
      <c r="D31" s="12"/>
      <c r="E31" s="12"/>
      <c r="F31" s="20"/>
      <c r="G31" s="80" t="str">
        <f>+CONCATENATE("TOTAL A ",D7)</f>
        <v>TOTAL A OCTUBRE</v>
      </c>
      <c r="H31" s="81"/>
      <c r="I31" s="82"/>
      <c r="J31" s="80" t="s">
        <v>33</v>
      </c>
      <c r="K31" s="82"/>
      <c r="N31" s="50"/>
      <c r="P31" s="50"/>
    </row>
    <row r="32" spans="2:16" x14ac:dyDescent="0.35">
      <c r="B32" s="12"/>
      <c r="C32" s="12"/>
      <c r="D32" s="14"/>
      <c r="E32" s="14"/>
      <c r="F32" s="14"/>
      <c r="G32" s="51">
        <f>+SUM(G13:G30)</f>
        <v>198</v>
      </c>
      <c r="H32" s="51">
        <f>+SUM(H13:H30)</f>
        <v>30</v>
      </c>
      <c r="I32" s="3">
        <f>IFERROR(H32/G32,0)</f>
        <v>0.15151515151515152</v>
      </c>
      <c r="J32" s="52">
        <f>+SUM(J13:J30)</f>
        <v>138</v>
      </c>
      <c r="K32" s="3">
        <f>IFERROR(J32/G32,0)</f>
        <v>0.69696969696969702</v>
      </c>
    </row>
    <row r="34" spans="2:16" x14ac:dyDescent="0.35">
      <c r="B34" s="66" t="s">
        <v>34</v>
      </c>
      <c r="C34" s="66"/>
      <c r="D34" s="67" t="s">
        <v>35</v>
      </c>
      <c r="E34" s="68"/>
      <c r="F34" s="68"/>
      <c r="G34" s="68"/>
      <c r="H34" s="68"/>
      <c r="I34" s="68"/>
      <c r="J34" s="68"/>
      <c r="K34" s="68"/>
    </row>
    <row r="35" spans="2:16" x14ac:dyDescent="0.35">
      <c r="B35" s="69" t="s">
        <v>36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6" x14ac:dyDescent="0.35"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2:16" x14ac:dyDescent="0.35">
      <c r="B37" s="53" t="s">
        <v>37</v>
      </c>
      <c r="C37" s="54"/>
      <c r="D37" s="54"/>
      <c r="E37" s="54"/>
      <c r="F37" s="54"/>
      <c r="G37" s="54"/>
      <c r="H37" s="54"/>
      <c r="I37" s="54"/>
      <c r="J37" s="54"/>
      <c r="K37" s="55"/>
    </row>
    <row r="38" spans="2:16" ht="24.5" x14ac:dyDescent="0.45">
      <c r="B38" s="56" t="s">
        <v>38</v>
      </c>
      <c r="C38" s="57"/>
      <c r="D38" s="70" t="s">
        <v>35</v>
      </c>
      <c r="E38" s="70"/>
      <c r="F38" s="70"/>
      <c r="G38" s="70"/>
      <c r="H38" s="70"/>
      <c r="I38" s="70"/>
      <c r="J38" s="70"/>
      <c r="K38" s="70"/>
    </row>
    <row r="39" spans="2:16" ht="24.5" x14ac:dyDescent="0.45">
      <c r="B39" s="56" t="s">
        <v>39</v>
      </c>
      <c r="C39" s="57"/>
      <c r="D39" s="70"/>
      <c r="E39" s="70"/>
      <c r="F39" s="70"/>
      <c r="G39" s="70"/>
      <c r="H39" s="70"/>
      <c r="I39" s="70"/>
      <c r="J39" s="70"/>
      <c r="K39" s="70"/>
    </row>
    <row r="40" spans="2:16" s="14" customFormat="1" x14ac:dyDescent="0.35">
      <c r="B40" s="71" t="s">
        <v>36</v>
      </c>
      <c r="C40" s="71"/>
      <c r="D40" s="71"/>
      <c r="E40" s="71"/>
      <c r="F40" s="71"/>
      <c r="G40" s="71"/>
      <c r="H40" s="71"/>
      <c r="I40" s="71"/>
      <c r="J40" s="71"/>
      <c r="K40" s="71"/>
      <c r="N40" s="50"/>
      <c r="P40" s="50"/>
    </row>
    <row r="41" spans="2:16" x14ac:dyDescent="0.35"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2:16" x14ac:dyDescent="0.35">
      <c r="B42" s="53" t="s">
        <v>40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2:16" ht="24.5" x14ac:dyDescent="0.45">
      <c r="B43" s="56" t="s">
        <v>38</v>
      </c>
      <c r="C43" s="57"/>
      <c r="D43" s="70" t="s">
        <v>35</v>
      </c>
      <c r="E43" s="70"/>
      <c r="F43" s="70"/>
      <c r="G43" s="70"/>
      <c r="H43" s="70"/>
      <c r="I43" s="70"/>
      <c r="J43" s="70"/>
      <c r="K43" s="70"/>
    </row>
    <row r="44" spans="2:16" ht="24.5" x14ac:dyDescent="0.45">
      <c r="B44" s="56" t="s">
        <v>39</v>
      </c>
      <c r="C44" s="57"/>
      <c r="D44" s="70"/>
      <c r="E44" s="70"/>
      <c r="F44" s="70"/>
      <c r="G44" s="70"/>
      <c r="H44" s="70"/>
      <c r="I44" s="70"/>
      <c r="J44" s="70"/>
      <c r="K44" s="70"/>
    </row>
    <row r="47" spans="2:16" s="14" customFormat="1" ht="16.5" customHeight="1" x14ac:dyDescent="0.35">
      <c r="B47" s="63"/>
      <c r="C47" s="63"/>
      <c r="D47" s="63"/>
      <c r="E47" s="5"/>
      <c r="F47" s="5"/>
      <c r="G47" s="63"/>
      <c r="H47" s="63"/>
      <c r="I47" s="63"/>
      <c r="J47" s="63"/>
      <c r="K47" s="5"/>
      <c r="N47"/>
      <c r="P47"/>
    </row>
    <row r="48" spans="2:16" x14ac:dyDescent="0.35">
      <c r="B48" s="12" t="s">
        <v>41</v>
      </c>
      <c r="C48" s="64"/>
      <c r="D48" s="64"/>
      <c r="G48" s="12" t="s">
        <v>42</v>
      </c>
      <c r="H48" s="65" t="s">
        <v>86</v>
      </c>
      <c r="I48" s="65"/>
      <c r="J48" s="65"/>
    </row>
    <row r="49" ht="80" customHeight="1" x14ac:dyDescent="0.35"/>
    <row r="51" ht="20.149999999999999" customHeight="1" x14ac:dyDescent="0.35"/>
    <row r="52" ht="19.399999999999999" customHeight="1" x14ac:dyDescent="0.35"/>
    <row r="53" ht="20.149999999999999" customHeight="1" x14ac:dyDescent="0.35"/>
    <row r="54" ht="20.149999999999999" customHeight="1" x14ac:dyDescent="0.35"/>
    <row r="56" ht="15" customHeight="1" x14ac:dyDescent="0.35"/>
    <row r="58" ht="20.149999999999999" customHeight="1" x14ac:dyDescent="0.35"/>
    <row r="59" ht="20.149999999999999" customHeight="1" x14ac:dyDescent="0.35"/>
    <row r="62" ht="19.5" customHeight="1" x14ac:dyDescent="0.35"/>
    <row r="63" ht="23.9" customHeight="1" x14ac:dyDescent="0.35"/>
    <row r="80" spans="2:2" x14ac:dyDescent="0.35">
      <c r="B80" s="6"/>
    </row>
    <row r="81" spans="1:17" x14ac:dyDescent="0.35">
      <c r="B81" s="6"/>
    </row>
    <row r="82" spans="1:17" x14ac:dyDescent="0.35">
      <c r="B82" s="6"/>
    </row>
    <row r="83" spans="1:17" x14ac:dyDescent="0.35">
      <c r="B83" s="14"/>
    </row>
    <row r="84" spans="1:17" x14ac:dyDescent="0.35">
      <c r="B84" s="6"/>
    </row>
    <row r="85" spans="1:17" x14ac:dyDescent="0.35">
      <c r="B85" s="14"/>
    </row>
    <row r="86" spans="1:17" x14ac:dyDescent="0.35">
      <c r="B86" s="14"/>
    </row>
    <row r="87" spans="1:17" x14ac:dyDescent="0.35">
      <c r="B87" s="14"/>
    </row>
    <row r="88" spans="1:17" x14ac:dyDescent="0.35">
      <c r="B88" s="14"/>
    </row>
    <row r="89" spans="1:17" x14ac:dyDescent="0.35">
      <c r="B89" s="14"/>
    </row>
    <row r="90" spans="1:17" x14ac:dyDescent="0.35">
      <c r="B90" s="6"/>
    </row>
    <row r="91" spans="1:17" x14ac:dyDescent="0.35">
      <c r="B91" s="6"/>
    </row>
    <row r="92" spans="1:17" x14ac:dyDescent="0.35">
      <c r="B92" s="6"/>
    </row>
    <row r="95" spans="1:17" s="5" customFormat="1" hidden="1" x14ac:dyDescent="0.35">
      <c r="A95" t="s">
        <v>0</v>
      </c>
      <c r="L95" s="6"/>
      <c r="M95" s="6"/>
      <c r="N95"/>
      <c r="O95" s="6"/>
      <c r="P95"/>
      <c r="Q95" s="6"/>
    </row>
    <row r="96" spans="1:17" s="5" customFormat="1" hidden="1" x14ac:dyDescent="0.35">
      <c r="A96" t="s">
        <v>2</v>
      </c>
      <c r="L96" s="6"/>
      <c r="M96" s="6"/>
      <c r="N96"/>
      <c r="O96" s="6"/>
      <c r="P96"/>
      <c r="Q96" s="6"/>
    </row>
    <row r="97" spans="1:17" s="5" customFormat="1" hidden="1" x14ac:dyDescent="0.35">
      <c r="A97" t="s">
        <v>6</v>
      </c>
      <c r="L97" s="6"/>
      <c r="M97" s="6"/>
      <c r="N97"/>
      <c r="O97" s="6"/>
      <c r="P97"/>
      <c r="Q97" s="6"/>
    </row>
    <row r="98" spans="1:17" s="5" customFormat="1" hidden="1" x14ac:dyDescent="0.35">
      <c r="A98" t="s">
        <v>8</v>
      </c>
      <c r="L98" s="6"/>
      <c r="M98" s="6"/>
      <c r="N98"/>
      <c r="O98" s="6"/>
      <c r="P98"/>
      <c r="Q98" s="6"/>
    </row>
    <row r="99" spans="1:17" s="5" customFormat="1" hidden="1" x14ac:dyDescent="0.35">
      <c r="A99" t="s">
        <v>9</v>
      </c>
      <c r="L99" s="6"/>
      <c r="M99" s="6"/>
      <c r="N99"/>
      <c r="O99" s="6"/>
      <c r="P99"/>
      <c r="Q99" s="6"/>
    </row>
    <row r="100" spans="1:17" s="5" customFormat="1" hidden="1" x14ac:dyDescent="0.35">
      <c r="A100" t="s">
        <v>10</v>
      </c>
      <c r="L100" s="6"/>
      <c r="M100" s="6"/>
      <c r="N100"/>
      <c r="O100" s="6"/>
      <c r="P100"/>
      <c r="Q100" s="6"/>
    </row>
    <row r="101" spans="1:17" s="5" customFormat="1" hidden="1" x14ac:dyDescent="0.35">
      <c r="A101" t="s">
        <v>11</v>
      </c>
      <c r="L101" s="6"/>
      <c r="M101" s="6"/>
      <c r="N101"/>
      <c r="O101" s="6"/>
      <c r="P101"/>
      <c r="Q101" s="6"/>
    </row>
    <row r="102" spans="1:17" s="5" customFormat="1" hidden="1" x14ac:dyDescent="0.35">
      <c r="A102" t="s">
        <v>13</v>
      </c>
      <c r="L102" s="6"/>
      <c r="M102" s="6"/>
      <c r="N102"/>
      <c r="O102" s="6"/>
      <c r="P102"/>
      <c r="Q102" s="6"/>
    </row>
    <row r="103" spans="1:17" s="5" customFormat="1" hidden="1" x14ac:dyDescent="0.35">
      <c r="A103" t="s">
        <v>14</v>
      </c>
      <c r="L103" s="6"/>
      <c r="M103" s="6"/>
      <c r="N103"/>
      <c r="O103" s="6"/>
      <c r="P103"/>
      <c r="Q103" s="6"/>
    </row>
    <row r="104" spans="1:17" s="5" customFormat="1" hidden="1" x14ac:dyDescent="0.35">
      <c r="A104" t="s">
        <v>16</v>
      </c>
      <c r="L104" s="6"/>
      <c r="M104" s="6"/>
      <c r="N104"/>
      <c r="O104" s="6"/>
      <c r="P104"/>
      <c r="Q104" s="6"/>
    </row>
    <row r="105" spans="1:17" s="5" customFormat="1" hidden="1" x14ac:dyDescent="0.35">
      <c r="A105" t="s">
        <v>17</v>
      </c>
      <c r="L105" s="6"/>
      <c r="M105" s="6"/>
      <c r="N105"/>
      <c r="O105" s="6"/>
      <c r="P105"/>
      <c r="Q105" s="6"/>
    </row>
    <row r="106" spans="1:17" s="5" customFormat="1" hidden="1" x14ac:dyDescent="0.35">
      <c r="A106" t="s">
        <v>21</v>
      </c>
      <c r="L106" s="6"/>
      <c r="M106" s="6"/>
      <c r="N106"/>
      <c r="O106" s="6"/>
      <c r="P106"/>
      <c r="Q106" s="6"/>
    </row>
    <row r="107" spans="1:17" s="5" customFormat="1" hidden="1" x14ac:dyDescent="0.35">
      <c r="A107" t="s">
        <v>31</v>
      </c>
      <c r="L107" s="6"/>
      <c r="M107" s="6"/>
      <c r="N107"/>
      <c r="O107" s="6"/>
      <c r="P107"/>
      <c r="Q107" s="6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G31:I31"/>
    <mergeCell ref="J31:K31"/>
    <mergeCell ref="B2:K2"/>
    <mergeCell ref="B3:D3"/>
    <mergeCell ref="E3:H3"/>
    <mergeCell ref="I3:K3"/>
    <mergeCell ref="B5:C5"/>
    <mergeCell ref="B7:C7"/>
    <mergeCell ref="B9:C9"/>
    <mergeCell ref="B11:G11"/>
    <mergeCell ref="H11:I11"/>
    <mergeCell ref="J11:K11"/>
  </mergeCells>
  <conditionalFormatting sqref="G32">
    <cfRule type="cellIs" dxfId="9" priority="3" operator="greaterThan">
      <formula>350</formula>
    </cfRule>
  </conditionalFormatting>
  <conditionalFormatting sqref="K13:K30">
    <cfRule type="cellIs" dxfId="8" priority="1" operator="greaterThan">
      <formula>1</formula>
    </cfRule>
  </conditionalFormatting>
  <dataValidations count="4">
    <dataValidation type="list" allowBlank="1" showInputMessage="1" showErrorMessage="1" sqref="D7">
      <formula1>$A$96:$A$107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3:H30">
      <formula1>0</formula1>
      <formula2>30</formula2>
    </dataValidation>
  </dataValidations>
  <pageMargins left="0.7" right="0.7" top="0.75" bottom="0.75" header="0.3" footer="0.3"/>
  <pageSetup scale="44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4.453125" style="6" customWidth="1"/>
    <col min="2" max="2" width="15.6328125" style="5" customWidth="1"/>
    <col min="3" max="3" width="8.54296875" style="5" bestFit="1" customWidth="1"/>
    <col min="4" max="4" width="43.36328125" style="5" customWidth="1"/>
    <col min="5" max="5" width="14.08984375" style="5" bestFit="1" customWidth="1"/>
    <col min="6" max="6" width="13.453125" style="5" customWidth="1"/>
    <col min="7" max="7" width="13.6328125" style="5" customWidth="1"/>
    <col min="8" max="8" width="13.453125" style="5" customWidth="1"/>
    <col min="9" max="9" width="10.453125" style="5" customWidth="1"/>
    <col min="10" max="10" width="12.453125" style="5" customWidth="1"/>
    <col min="11" max="11" width="12.36328125" style="5" customWidth="1"/>
    <col min="12" max="12" width="6.6328125" style="6" customWidth="1"/>
    <col min="13" max="13" width="16.453125" style="6" customWidth="1"/>
    <col min="15" max="15" width="16.453125" style="6" customWidth="1"/>
    <col min="16" max="16" width="0" hidden="1" customWidth="1"/>
    <col min="17" max="17" width="16.453125" style="6" customWidth="1"/>
    <col min="18" max="16384" width="8.6328125" style="6"/>
  </cols>
  <sheetData>
    <row r="1" spans="2:16" x14ac:dyDescent="0.35">
      <c r="P1" t="s">
        <v>0</v>
      </c>
    </row>
    <row r="2" spans="2:16" ht="49.5" customHeight="1" x14ac:dyDescent="0.35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P2" t="s">
        <v>2</v>
      </c>
    </row>
    <row r="3" spans="2:16" ht="18.75" customHeight="1" x14ac:dyDescent="0.35">
      <c r="B3" s="76" t="s">
        <v>3</v>
      </c>
      <c r="C3" s="77"/>
      <c r="D3" s="77"/>
      <c r="E3" s="77" t="s">
        <v>4</v>
      </c>
      <c r="F3" s="77"/>
      <c r="G3" s="77"/>
      <c r="H3" s="77"/>
      <c r="I3" s="77" t="s">
        <v>5</v>
      </c>
      <c r="J3" s="77"/>
      <c r="K3" s="78"/>
    </row>
    <row r="4" spans="2:16" x14ac:dyDescent="0.35">
      <c r="B4" s="7"/>
      <c r="C4" s="8"/>
      <c r="K4" s="9"/>
      <c r="P4" t="s">
        <v>6</v>
      </c>
    </row>
    <row r="5" spans="2:16" s="14" customFormat="1" ht="27.65" customHeight="1" x14ac:dyDescent="0.35">
      <c r="B5" s="79" t="s">
        <v>7</v>
      </c>
      <c r="C5" s="79"/>
      <c r="D5" s="10">
        <v>90227898</v>
      </c>
      <c r="E5" s="11"/>
      <c r="F5" s="11"/>
      <c r="G5" s="12"/>
      <c r="H5" s="12"/>
      <c r="I5" s="12"/>
      <c r="J5" s="12"/>
      <c r="K5" s="13"/>
      <c r="N5"/>
      <c r="P5" t="s">
        <v>8</v>
      </c>
    </row>
    <row r="6" spans="2:16" x14ac:dyDescent="0.35">
      <c r="B6" s="15"/>
      <c r="K6" s="16"/>
      <c r="P6" t="s">
        <v>9</v>
      </c>
    </row>
    <row r="7" spans="2:16" s="14" customFormat="1" x14ac:dyDescent="0.35">
      <c r="B7" s="79" t="s">
        <v>12</v>
      </c>
      <c r="C7" s="79"/>
      <c r="D7" s="17" t="s">
        <v>21</v>
      </c>
      <c r="E7" s="18"/>
      <c r="F7" s="18"/>
      <c r="G7" s="12"/>
      <c r="H7" s="12"/>
      <c r="I7" s="12"/>
      <c r="J7" s="12"/>
      <c r="K7" s="13"/>
      <c r="N7"/>
      <c r="P7" t="s">
        <v>13</v>
      </c>
    </row>
    <row r="8" spans="2:16" s="14" customFormat="1" x14ac:dyDescent="0.35">
      <c r="B8" s="19"/>
      <c r="C8" s="20"/>
      <c r="D8" s="18"/>
      <c r="E8" s="18"/>
      <c r="F8" s="18"/>
      <c r="G8" s="12"/>
      <c r="H8" s="12"/>
      <c r="I8" s="12"/>
      <c r="J8" s="12"/>
      <c r="K8" s="13"/>
      <c r="N8"/>
      <c r="P8" t="s">
        <v>14</v>
      </c>
    </row>
    <row r="9" spans="2:16" s="14" customFormat="1" x14ac:dyDescent="0.35">
      <c r="B9" s="79" t="s">
        <v>15</v>
      </c>
      <c r="C9" s="79"/>
      <c r="D9" s="21">
        <v>45991</v>
      </c>
      <c r="E9" s="22"/>
      <c r="F9" s="22"/>
      <c r="G9" s="12"/>
      <c r="H9" s="12"/>
      <c r="I9" s="12"/>
      <c r="J9" s="12"/>
      <c r="K9" s="13"/>
      <c r="N9"/>
      <c r="P9" t="s">
        <v>16</v>
      </c>
    </row>
    <row r="10" spans="2:16" x14ac:dyDescent="0.35">
      <c r="B10" s="23"/>
      <c r="C10" s="24"/>
      <c r="K10" s="25"/>
      <c r="P10" t="s">
        <v>17</v>
      </c>
    </row>
    <row r="11" spans="2:16" ht="26.9" customHeight="1" x14ac:dyDescent="0.35">
      <c r="B11" s="66" t="s">
        <v>18</v>
      </c>
      <c r="C11" s="66"/>
      <c r="D11" s="66"/>
      <c r="E11" s="66"/>
      <c r="F11" s="66"/>
      <c r="G11" s="66"/>
      <c r="H11" s="79" t="s">
        <v>19</v>
      </c>
      <c r="I11" s="79"/>
      <c r="J11" s="79" t="s">
        <v>20</v>
      </c>
      <c r="K11" s="79"/>
      <c r="P11" t="s">
        <v>21</v>
      </c>
    </row>
    <row r="12" spans="2:16" ht="57.65" customHeight="1" x14ac:dyDescent="0.35"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29</v>
      </c>
      <c r="P12" t="s">
        <v>31</v>
      </c>
    </row>
    <row r="13" spans="2:16" ht="57.5" x14ac:dyDescent="0.35">
      <c r="B13" s="27">
        <v>3</v>
      </c>
      <c r="C13" s="28" t="s">
        <v>43</v>
      </c>
      <c r="D13" s="29" t="s">
        <v>77</v>
      </c>
      <c r="E13" s="30" t="s">
        <v>79</v>
      </c>
      <c r="F13" s="31" t="s">
        <v>32</v>
      </c>
      <c r="G13" s="32">
        <v>11</v>
      </c>
      <c r="H13" s="32">
        <v>1</v>
      </c>
      <c r="I13" s="1">
        <f>IFERROR(H13/G13,0)</f>
        <v>9.0909090909090912E-2</v>
      </c>
      <c r="J13" s="33">
        <f>+H13+OCTUBRE!J13</f>
        <v>9</v>
      </c>
      <c r="K13" s="1">
        <f>IFERROR(J13/G13,0)</f>
        <v>0.81818181818181823</v>
      </c>
    </row>
    <row r="14" spans="2:16" ht="92" x14ac:dyDescent="0.35">
      <c r="B14" s="34">
        <v>3</v>
      </c>
      <c r="C14" s="35" t="s">
        <v>44</v>
      </c>
      <c r="D14" s="36" t="s">
        <v>78</v>
      </c>
      <c r="E14" s="37" t="s">
        <v>80</v>
      </c>
      <c r="F14" s="35" t="s">
        <v>32</v>
      </c>
      <c r="G14" s="38">
        <v>11</v>
      </c>
      <c r="H14" s="39">
        <v>1</v>
      </c>
      <c r="I14" s="2">
        <f>IFERROR(H14/G14,0)</f>
        <v>9.0909090909090912E-2</v>
      </c>
      <c r="J14" s="40">
        <f>+H14+OCTUBRE!J14</f>
        <v>9</v>
      </c>
      <c r="K14" s="2">
        <f>IFERROR(J14/G14,0)</f>
        <v>0.81818181818181823</v>
      </c>
    </row>
    <row r="15" spans="2:16" ht="23" x14ac:dyDescent="0.35">
      <c r="B15" s="34">
        <v>3</v>
      </c>
      <c r="C15" s="35" t="s">
        <v>45</v>
      </c>
      <c r="D15" s="41" t="s">
        <v>61</v>
      </c>
      <c r="E15" s="37" t="s">
        <v>81</v>
      </c>
      <c r="F15" s="35" t="s">
        <v>32</v>
      </c>
      <c r="G15" s="38">
        <v>11</v>
      </c>
      <c r="H15" s="42">
        <v>1</v>
      </c>
      <c r="I15" s="2">
        <f t="shared" ref="I15:I30" si="0">IFERROR(H15/G15,0)</f>
        <v>9.0909090909090912E-2</v>
      </c>
      <c r="J15" s="40">
        <f>+H15+OCTUBRE!J15</f>
        <v>10</v>
      </c>
      <c r="K15" s="2">
        <f t="shared" ref="K15:K30" si="1">IFERROR(J15/G15,0)</f>
        <v>0.90909090909090906</v>
      </c>
    </row>
    <row r="16" spans="2:16" ht="23" x14ac:dyDescent="0.35">
      <c r="B16" s="34">
        <v>3</v>
      </c>
      <c r="C16" s="35" t="s">
        <v>46</v>
      </c>
      <c r="D16" s="41" t="s">
        <v>62</v>
      </c>
      <c r="E16" s="37" t="s">
        <v>81</v>
      </c>
      <c r="F16" s="35" t="s">
        <v>32</v>
      </c>
      <c r="G16" s="38">
        <v>11</v>
      </c>
      <c r="H16" s="42">
        <v>2</v>
      </c>
      <c r="I16" s="2">
        <f t="shared" si="0"/>
        <v>0.18181818181818182</v>
      </c>
      <c r="J16" s="40">
        <f>+H16+OCTUBRE!J16</f>
        <v>10</v>
      </c>
      <c r="K16" s="2">
        <f t="shared" si="1"/>
        <v>0.90909090909090906</v>
      </c>
    </row>
    <row r="17" spans="2:16" ht="57.5" x14ac:dyDescent="0.35">
      <c r="B17" s="34">
        <v>3</v>
      </c>
      <c r="C17" s="35" t="s">
        <v>47</v>
      </c>
      <c r="D17" s="41" t="s">
        <v>63</v>
      </c>
      <c r="E17" s="37" t="s">
        <v>82</v>
      </c>
      <c r="F17" s="35" t="s">
        <v>32</v>
      </c>
      <c r="G17" s="38">
        <v>11</v>
      </c>
      <c r="H17" s="42">
        <v>3</v>
      </c>
      <c r="I17" s="2">
        <f t="shared" si="0"/>
        <v>0.27272727272727271</v>
      </c>
      <c r="J17" s="40">
        <f>+H17+OCTUBRE!J17</f>
        <v>10</v>
      </c>
      <c r="K17" s="2">
        <f t="shared" si="1"/>
        <v>0.90909090909090906</v>
      </c>
    </row>
    <row r="18" spans="2:16" ht="57.5" x14ac:dyDescent="0.35">
      <c r="B18" s="34">
        <v>3</v>
      </c>
      <c r="C18" s="35" t="s">
        <v>48</v>
      </c>
      <c r="D18" s="41" t="s">
        <v>64</v>
      </c>
      <c r="E18" s="37" t="s">
        <v>83</v>
      </c>
      <c r="F18" s="35" t="s">
        <v>32</v>
      </c>
      <c r="G18" s="38">
        <v>11</v>
      </c>
      <c r="H18" s="42">
        <v>1</v>
      </c>
      <c r="I18" s="2">
        <f t="shared" si="0"/>
        <v>9.0909090909090912E-2</v>
      </c>
      <c r="J18" s="40">
        <f>+H18+OCTUBRE!J18</f>
        <v>9</v>
      </c>
      <c r="K18" s="2">
        <f t="shared" si="1"/>
        <v>0.81818181818181823</v>
      </c>
    </row>
    <row r="19" spans="2:16" ht="34.5" x14ac:dyDescent="0.35">
      <c r="B19" s="34">
        <v>3</v>
      </c>
      <c r="C19" s="35" t="s">
        <v>49</v>
      </c>
      <c r="D19" s="41" t="s">
        <v>65</v>
      </c>
      <c r="E19" s="37" t="s">
        <v>84</v>
      </c>
      <c r="F19" s="35" t="s">
        <v>32</v>
      </c>
      <c r="G19" s="38">
        <v>11</v>
      </c>
      <c r="H19" s="42">
        <v>1</v>
      </c>
      <c r="I19" s="2">
        <f t="shared" si="0"/>
        <v>9.0909090909090912E-2</v>
      </c>
      <c r="J19" s="40">
        <f>+H19+OCTUBRE!J19</f>
        <v>10</v>
      </c>
      <c r="K19" s="2">
        <f t="shared" si="1"/>
        <v>0.90909090909090906</v>
      </c>
    </row>
    <row r="20" spans="2:16" ht="34.5" x14ac:dyDescent="0.35">
      <c r="B20" s="34">
        <v>3</v>
      </c>
      <c r="C20" s="35" t="s">
        <v>50</v>
      </c>
      <c r="D20" s="41" t="s">
        <v>66</v>
      </c>
      <c r="E20" s="37" t="s">
        <v>85</v>
      </c>
      <c r="F20" s="35" t="s">
        <v>32</v>
      </c>
      <c r="G20" s="38">
        <v>11</v>
      </c>
      <c r="H20" s="42">
        <v>1</v>
      </c>
      <c r="I20" s="2">
        <f t="shared" si="0"/>
        <v>9.0909090909090912E-2</v>
      </c>
      <c r="J20" s="40">
        <f>+H20+OCTUBRE!J20</f>
        <v>9</v>
      </c>
      <c r="K20" s="2">
        <f t="shared" si="1"/>
        <v>0.81818181818181823</v>
      </c>
    </row>
    <row r="21" spans="2:16" ht="34.5" x14ac:dyDescent="0.35">
      <c r="B21" s="43">
        <v>5</v>
      </c>
      <c r="C21" s="35" t="s">
        <v>51</v>
      </c>
      <c r="D21" s="41" t="s">
        <v>67</v>
      </c>
      <c r="E21" s="37" t="s">
        <v>84</v>
      </c>
      <c r="F21" s="35" t="s">
        <v>32</v>
      </c>
      <c r="G21" s="38">
        <v>11</v>
      </c>
      <c r="H21" s="42">
        <v>3</v>
      </c>
      <c r="I21" s="2">
        <f t="shared" si="0"/>
        <v>0.27272727272727271</v>
      </c>
      <c r="J21" s="40">
        <f>+H21+OCTUBRE!J21</f>
        <v>9</v>
      </c>
      <c r="K21" s="2">
        <f t="shared" si="1"/>
        <v>0.81818181818181823</v>
      </c>
    </row>
    <row r="22" spans="2:16" ht="34.5" x14ac:dyDescent="0.35">
      <c r="B22" s="43">
        <v>5</v>
      </c>
      <c r="C22" s="35" t="s">
        <v>52</v>
      </c>
      <c r="D22" s="41" t="s">
        <v>68</v>
      </c>
      <c r="E22" s="37" t="s">
        <v>85</v>
      </c>
      <c r="F22" s="35" t="s">
        <v>32</v>
      </c>
      <c r="G22" s="38">
        <v>11</v>
      </c>
      <c r="H22" s="42">
        <v>1</v>
      </c>
      <c r="I22" s="2">
        <f t="shared" si="0"/>
        <v>9.0909090909090912E-2</v>
      </c>
      <c r="J22" s="40">
        <f>+H22+OCTUBRE!J22</f>
        <v>9</v>
      </c>
      <c r="K22" s="2">
        <f t="shared" si="1"/>
        <v>0.81818181818181823</v>
      </c>
    </row>
    <row r="23" spans="2:16" ht="34.5" x14ac:dyDescent="0.35">
      <c r="B23" s="43">
        <v>5</v>
      </c>
      <c r="C23" s="35" t="s">
        <v>53</v>
      </c>
      <c r="D23" s="41" t="s">
        <v>69</v>
      </c>
      <c r="E23" s="37" t="s">
        <v>85</v>
      </c>
      <c r="F23" s="35" t="s">
        <v>32</v>
      </c>
      <c r="G23" s="38">
        <v>11</v>
      </c>
      <c r="H23" s="42">
        <v>1</v>
      </c>
      <c r="I23" s="2">
        <f t="shared" si="0"/>
        <v>9.0909090909090912E-2</v>
      </c>
      <c r="J23" s="40">
        <f>+H23+OCTUBRE!J23</f>
        <v>9</v>
      </c>
      <c r="K23" s="2">
        <f t="shared" si="1"/>
        <v>0.81818181818181823</v>
      </c>
    </row>
    <row r="24" spans="2:16" ht="46" x14ac:dyDescent="0.35">
      <c r="B24" s="43">
        <v>5</v>
      </c>
      <c r="C24" s="35" t="s">
        <v>54</v>
      </c>
      <c r="D24" s="41" t="s">
        <v>70</v>
      </c>
      <c r="E24" s="37" t="s">
        <v>85</v>
      </c>
      <c r="F24" s="35" t="s">
        <v>32</v>
      </c>
      <c r="G24" s="38">
        <v>11</v>
      </c>
      <c r="H24" s="42">
        <v>2</v>
      </c>
      <c r="I24" s="2">
        <f t="shared" si="0"/>
        <v>0.18181818181818182</v>
      </c>
      <c r="J24" s="40">
        <f>+H24+OCTUBRE!J24</f>
        <v>9</v>
      </c>
      <c r="K24" s="2">
        <f t="shared" si="1"/>
        <v>0.81818181818181823</v>
      </c>
    </row>
    <row r="25" spans="2:16" ht="46" x14ac:dyDescent="0.35">
      <c r="B25" s="43">
        <v>5</v>
      </c>
      <c r="C25" s="35" t="s">
        <v>55</v>
      </c>
      <c r="D25" s="41" t="s">
        <v>71</v>
      </c>
      <c r="E25" s="37" t="s">
        <v>85</v>
      </c>
      <c r="F25" s="35" t="s">
        <v>32</v>
      </c>
      <c r="G25" s="38">
        <v>11</v>
      </c>
      <c r="H25" s="42">
        <v>1</v>
      </c>
      <c r="I25" s="2">
        <f t="shared" si="0"/>
        <v>9.0909090909090912E-2</v>
      </c>
      <c r="J25" s="40">
        <f>+H25+OCTUBRE!J25</f>
        <v>10</v>
      </c>
      <c r="K25" s="2">
        <f t="shared" si="1"/>
        <v>0.90909090909090906</v>
      </c>
    </row>
    <row r="26" spans="2:16" ht="46" x14ac:dyDescent="0.35">
      <c r="B26" s="43">
        <v>5</v>
      </c>
      <c r="C26" s="35" t="s">
        <v>56</v>
      </c>
      <c r="D26" s="41" t="s">
        <v>72</v>
      </c>
      <c r="E26" s="37" t="s">
        <v>85</v>
      </c>
      <c r="F26" s="35" t="s">
        <v>32</v>
      </c>
      <c r="G26" s="38">
        <v>11</v>
      </c>
      <c r="H26" s="42">
        <v>3</v>
      </c>
      <c r="I26" s="2">
        <f t="shared" si="0"/>
        <v>0.27272727272727271</v>
      </c>
      <c r="J26" s="40">
        <f>+H26+OCTUBRE!J26</f>
        <v>9</v>
      </c>
      <c r="K26" s="2">
        <f t="shared" si="1"/>
        <v>0.81818181818181823</v>
      </c>
    </row>
    <row r="27" spans="2:16" ht="46" x14ac:dyDescent="0.35">
      <c r="B27" s="43">
        <v>5</v>
      </c>
      <c r="C27" s="35" t="s">
        <v>57</v>
      </c>
      <c r="D27" s="41" t="s">
        <v>73</v>
      </c>
      <c r="E27" s="37" t="s">
        <v>85</v>
      </c>
      <c r="F27" s="35" t="s">
        <v>32</v>
      </c>
      <c r="G27" s="38">
        <v>11</v>
      </c>
      <c r="H27" s="42">
        <v>1</v>
      </c>
      <c r="I27" s="2">
        <f t="shared" si="0"/>
        <v>9.0909090909090912E-2</v>
      </c>
      <c r="J27" s="40">
        <f>+H27+OCTUBRE!J27</f>
        <v>9</v>
      </c>
      <c r="K27" s="2">
        <f t="shared" si="1"/>
        <v>0.81818181818181823</v>
      </c>
    </row>
    <row r="28" spans="2:16" ht="46" x14ac:dyDescent="0.35">
      <c r="B28" s="43">
        <v>5</v>
      </c>
      <c r="C28" s="35" t="s">
        <v>58</v>
      </c>
      <c r="D28" s="41" t="s">
        <v>74</v>
      </c>
      <c r="E28" s="37" t="s">
        <v>85</v>
      </c>
      <c r="F28" s="35" t="s">
        <v>32</v>
      </c>
      <c r="G28" s="38">
        <v>11</v>
      </c>
      <c r="H28" s="42">
        <v>1</v>
      </c>
      <c r="I28" s="2">
        <f t="shared" si="0"/>
        <v>9.0909090909090912E-2</v>
      </c>
      <c r="J28" s="40">
        <f>+H28+OCTUBRE!J28</f>
        <v>10</v>
      </c>
      <c r="K28" s="2">
        <f t="shared" si="1"/>
        <v>0.90909090909090906</v>
      </c>
    </row>
    <row r="29" spans="2:16" ht="34.5" x14ac:dyDescent="0.35">
      <c r="B29" s="43">
        <v>5</v>
      </c>
      <c r="C29" s="35" t="s">
        <v>59</v>
      </c>
      <c r="D29" s="41" t="s">
        <v>75</v>
      </c>
      <c r="E29" s="37" t="s">
        <v>85</v>
      </c>
      <c r="F29" s="35" t="s">
        <v>32</v>
      </c>
      <c r="G29" s="38">
        <v>11</v>
      </c>
      <c r="H29" s="42">
        <v>3</v>
      </c>
      <c r="I29" s="2">
        <f t="shared" si="0"/>
        <v>0.27272727272727271</v>
      </c>
      <c r="J29" s="40">
        <f>+H29+OCTUBRE!J29</f>
        <v>9</v>
      </c>
      <c r="K29" s="2">
        <f t="shared" si="1"/>
        <v>0.81818181818181823</v>
      </c>
    </row>
    <row r="30" spans="2:16" ht="57.5" x14ac:dyDescent="0.35">
      <c r="B30" s="44">
        <v>5</v>
      </c>
      <c r="C30" s="45" t="s">
        <v>60</v>
      </c>
      <c r="D30" s="46" t="s">
        <v>76</v>
      </c>
      <c r="E30" s="47" t="s">
        <v>85</v>
      </c>
      <c r="F30" s="35" t="s">
        <v>32</v>
      </c>
      <c r="G30" s="38">
        <v>11</v>
      </c>
      <c r="H30" s="48">
        <v>3</v>
      </c>
      <c r="I30" s="2">
        <f t="shared" si="0"/>
        <v>0.27272727272727271</v>
      </c>
      <c r="J30" s="40">
        <f>+H30+OCTUBRE!J30</f>
        <v>9</v>
      </c>
      <c r="K30" s="2">
        <f t="shared" si="1"/>
        <v>0.81818181818181823</v>
      </c>
    </row>
    <row r="31" spans="2:16" s="14" customFormat="1" x14ac:dyDescent="0.35">
      <c r="B31" s="12"/>
      <c r="C31" s="12"/>
      <c r="D31" s="12"/>
      <c r="E31" s="12"/>
      <c r="F31" s="20"/>
      <c r="G31" s="80" t="str">
        <f>+CONCATENATE("TOTAL A ",D7)</f>
        <v>TOTAL A NOVIEMBRE</v>
      </c>
      <c r="H31" s="81"/>
      <c r="I31" s="82"/>
      <c r="J31" s="80" t="s">
        <v>33</v>
      </c>
      <c r="K31" s="82"/>
      <c r="N31" s="50"/>
      <c r="P31" s="50"/>
    </row>
    <row r="32" spans="2:16" x14ac:dyDescent="0.35">
      <c r="B32" s="12"/>
      <c r="C32" s="12"/>
      <c r="D32" s="14"/>
      <c r="E32" s="14"/>
      <c r="F32" s="14"/>
      <c r="G32" s="51">
        <f>+SUM(G13:G30)</f>
        <v>198</v>
      </c>
      <c r="H32" s="51">
        <f>+SUM(H13:H30)</f>
        <v>30</v>
      </c>
      <c r="I32" s="3">
        <f>IFERROR(H32/G32,0)</f>
        <v>0.15151515151515152</v>
      </c>
      <c r="J32" s="52">
        <f>+SUM(J13:J30)</f>
        <v>168</v>
      </c>
      <c r="K32" s="3">
        <f>IFERROR(J32/G32,0)</f>
        <v>0.84848484848484851</v>
      </c>
    </row>
    <row r="34" spans="2:16" x14ac:dyDescent="0.35">
      <c r="B34" s="66" t="s">
        <v>34</v>
      </c>
      <c r="C34" s="66"/>
      <c r="D34" s="67" t="s">
        <v>35</v>
      </c>
      <c r="E34" s="68"/>
      <c r="F34" s="68"/>
      <c r="G34" s="68"/>
      <c r="H34" s="68"/>
      <c r="I34" s="68"/>
      <c r="J34" s="68"/>
      <c r="K34" s="68"/>
    </row>
    <row r="35" spans="2:16" x14ac:dyDescent="0.35">
      <c r="B35" s="69" t="s">
        <v>36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6" x14ac:dyDescent="0.35"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2:16" x14ac:dyDescent="0.35">
      <c r="B37" s="53" t="s">
        <v>37</v>
      </c>
      <c r="C37" s="54"/>
      <c r="D37" s="54"/>
      <c r="E37" s="54"/>
      <c r="F37" s="54"/>
      <c r="G37" s="54"/>
      <c r="H37" s="54"/>
      <c r="I37" s="54"/>
      <c r="J37" s="54"/>
      <c r="K37" s="55"/>
    </row>
    <row r="38" spans="2:16" ht="24.5" x14ac:dyDescent="0.45">
      <c r="B38" s="56" t="s">
        <v>38</v>
      </c>
      <c r="C38" s="57"/>
      <c r="D38" s="70" t="s">
        <v>35</v>
      </c>
      <c r="E38" s="70"/>
      <c r="F38" s="70"/>
      <c r="G38" s="70"/>
      <c r="H38" s="70"/>
      <c r="I38" s="70"/>
      <c r="J38" s="70"/>
      <c r="K38" s="70"/>
    </row>
    <row r="39" spans="2:16" ht="24.5" x14ac:dyDescent="0.45">
      <c r="B39" s="56" t="s">
        <v>39</v>
      </c>
      <c r="C39" s="57"/>
      <c r="D39" s="70"/>
      <c r="E39" s="70"/>
      <c r="F39" s="70"/>
      <c r="G39" s="70"/>
      <c r="H39" s="70"/>
      <c r="I39" s="70"/>
      <c r="J39" s="70"/>
      <c r="K39" s="70"/>
    </row>
    <row r="40" spans="2:16" s="14" customFormat="1" x14ac:dyDescent="0.35">
      <c r="B40" s="71" t="s">
        <v>36</v>
      </c>
      <c r="C40" s="71"/>
      <c r="D40" s="71"/>
      <c r="E40" s="71"/>
      <c r="F40" s="71"/>
      <c r="G40" s="71"/>
      <c r="H40" s="71"/>
      <c r="I40" s="71"/>
      <c r="J40" s="71"/>
      <c r="K40" s="71"/>
      <c r="N40" s="50"/>
      <c r="P40" s="50"/>
    </row>
    <row r="41" spans="2:16" x14ac:dyDescent="0.35"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2:16" x14ac:dyDescent="0.35">
      <c r="B42" s="53" t="s">
        <v>40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2:16" ht="24.5" x14ac:dyDescent="0.45">
      <c r="B43" s="56" t="s">
        <v>38</v>
      </c>
      <c r="C43" s="57"/>
      <c r="D43" s="70" t="s">
        <v>35</v>
      </c>
      <c r="E43" s="70"/>
      <c r="F43" s="70"/>
      <c r="G43" s="70"/>
      <c r="H43" s="70"/>
      <c r="I43" s="70"/>
      <c r="J43" s="70"/>
      <c r="K43" s="70"/>
    </row>
    <row r="44" spans="2:16" ht="24.5" x14ac:dyDescent="0.45">
      <c r="B44" s="56" t="s">
        <v>39</v>
      </c>
      <c r="C44" s="57"/>
      <c r="D44" s="70"/>
      <c r="E44" s="70"/>
      <c r="F44" s="70"/>
      <c r="G44" s="70"/>
      <c r="H44" s="70"/>
      <c r="I44" s="70"/>
      <c r="J44" s="70"/>
      <c r="K44" s="70"/>
    </row>
    <row r="47" spans="2:16" s="14" customFormat="1" ht="16.5" customHeight="1" x14ac:dyDescent="0.35">
      <c r="B47" s="63"/>
      <c r="C47" s="63"/>
      <c r="D47" s="63"/>
      <c r="E47" s="5"/>
      <c r="F47" s="5"/>
      <c r="G47" s="63"/>
      <c r="H47" s="63"/>
      <c r="I47" s="63"/>
      <c r="J47" s="63"/>
      <c r="K47" s="5"/>
      <c r="N47"/>
      <c r="P47"/>
    </row>
    <row r="48" spans="2:16" x14ac:dyDescent="0.35">
      <c r="B48" s="12" t="s">
        <v>41</v>
      </c>
      <c r="C48" s="64"/>
      <c r="D48" s="64"/>
      <c r="G48" s="12" t="s">
        <v>42</v>
      </c>
      <c r="H48" s="65" t="s">
        <v>86</v>
      </c>
      <c r="I48" s="65"/>
      <c r="J48" s="65"/>
    </row>
    <row r="49" ht="80" customHeight="1" x14ac:dyDescent="0.35"/>
    <row r="51" ht="20.149999999999999" customHeight="1" x14ac:dyDescent="0.35"/>
    <row r="52" ht="19.399999999999999" customHeight="1" x14ac:dyDescent="0.35"/>
    <row r="53" ht="20.149999999999999" customHeight="1" x14ac:dyDescent="0.35"/>
    <row r="54" ht="20.149999999999999" customHeight="1" x14ac:dyDescent="0.35"/>
    <row r="56" ht="15" customHeight="1" x14ac:dyDescent="0.35"/>
    <row r="58" ht="20.149999999999999" customHeight="1" x14ac:dyDescent="0.35"/>
    <row r="59" ht="20.149999999999999" customHeight="1" x14ac:dyDescent="0.35"/>
    <row r="62" ht="19.5" customHeight="1" x14ac:dyDescent="0.35"/>
    <row r="63" ht="23.9" customHeight="1" x14ac:dyDescent="0.35"/>
    <row r="80" spans="2:2" x14ac:dyDescent="0.35">
      <c r="B80" s="6"/>
    </row>
    <row r="81" spans="1:17" x14ac:dyDescent="0.35">
      <c r="B81" s="6"/>
    </row>
    <row r="82" spans="1:17" x14ac:dyDescent="0.35">
      <c r="B82" s="6"/>
    </row>
    <row r="83" spans="1:17" x14ac:dyDescent="0.35">
      <c r="B83" s="14"/>
    </row>
    <row r="84" spans="1:17" x14ac:dyDescent="0.35">
      <c r="B84" s="6"/>
    </row>
    <row r="85" spans="1:17" x14ac:dyDescent="0.35">
      <c r="B85" s="14"/>
    </row>
    <row r="86" spans="1:17" x14ac:dyDescent="0.35">
      <c r="B86" s="14"/>
    </row>
    <row r="87" spans="1:17" x14ac:dyDescent="0.35">
      <c r="B87" s="14"/>
    </row>
    <row r="88" spans="1:17" x14ac:dyDescent="0.35">
      <c r="B88" s="14"/>
    </row>
    <row r="89" spans="1:17" x14ac:dyDescent="0.35">
      <c r="B89" s="14"/>
    </row>
    <row r="90" spans="1:17" x14ac:dyDescent="0.35">
      <c r="B90" s="6"/>
    </row>
    <row r="91" spans="1:17" x14ac:dyDescent="0.35">
      <c r="B91" s="6"/>
    </row>
    <row r="92" spans="1:17" x14ac:dyDescent="0.35">
      <c r="B92" s="6"/>
    </row>
    <row r="95" spans="1:17" s="5" customFormat="1" hidden="1" x14ac:dyDescent="0.35">
      <c r="A95" t="s">
        <v>0</v>
      </c>
      <c r="L95" s="6"/>
      <c r="M95" s="6"/>
      <c r="N95"/>
      <c r="O95" s="6"/>
      <c r="P95"/>
      <c r="Q95" s="6"/>
    </row>
    <row r="96" spans="1:17" s="5" customFormat="1" hidden="1" x14ac:dyDescent="0.35">
      <c r="A96" t="s">
        <v>2</v>
      </c>
      <c r="L96" s="6"/>
      <c r="M96" s="6"/>
      <c r="N96"/>
      <c r="O96" s="6"/>
      <c r="P96"/>
      <c r="Q96" s="6"/>
    </row>
    <row r="97" spans="1:17" s="5" customFormat="1" hidden="1" x14ac:dyDescent="0.35">
      <c r="A97" t="s">
        <v>6</v>
      </c>
      <c r="L97" s="6"/>
      <c r="M97" s="6"/>
      <c r="N97"/>
      <c r="O97" s="6"/>
      <c r="P97"/>
      <c r="Q97" s="6"/>
    </row>
    <row r="98" spans="1:17" s="5" customFormat="1" hidden="1" x14ac:dyDescent="0.35">
      <c r="A98" t="s">
        <v>8</v>
      </c>
      <c r="L98" s="6"/>
      <c r="M98" s="6"/>
      <c r="N98"/>
      <c r="O98" s="6"/>
      <c r="P98"/>
      <c r="Q98" s="6"/>
    </row>
    <row r="99" spans="1:17" s="5" customFormat="1" hidden="1" x14ac:dyDescent="0.35">
      <c r="A99" t="s">
        <v>9</v>
      </c>
      <c r="L99" s="6"/>
      <c r="M99" s="6"/>
      <c r="N99"/>
      <c r="O99" s="6"/>
      <c r="P99"/>
      <c r="Q99" s="6"/>
    </row>
    <row r="100" spans="1:17" s="5" customFormat="1" hidden="1" x14ac:dyDescent="0.35">
      <c r="A100" t="s">
        <v>10</v>
      </c>
      <c r="L100" s="6"/>
      <c r="M100" s="6"/>
      <c r="N100"/>
      <c r="O100" s="6"/>
      <c r="P100"/>
      <c r="Q100" s="6"/>
    </row>
    <row r="101" spans="1:17" s="5" customFormat="1" hidden="1" x14ac:dyDescent="0.35">
      <c r="A101" t="s">
        <v>11</v>
      </c>
      <c r="L101" s="6"/>
      <c r="M101" s="6"/>
      <c r="N101"/>
      <c r="O101" s="6"/>
      <c r="P101"/>
      <c r="Q101" s="6"/>
    </row>
    <row r="102" spans="1:17" s="5" customFormat="1" hidden="1" x14ac:dyDescent="0.35">
      <c r="A102" t="s">
        <v>13</v>
      </c>
      <c r="L102" s="6"/>
      <c r="M102" s="6"/>
      <c r="N102"/>
      <c r="O102" s="6"/>
      <c r="P102"/>
      <c r="Q102" s="6"/>
    </row>
    <row r="103" spans="1:17" s="5" customFormat="1" hidden="1" x14ac:dyDescent="0.35">
      <c r="A103" t="s">
        <v>14</v>
      </c>
      <c r="L103" s="6"/>
      <c r="M103" s="6"/>
      <c r="N103"/>
      <c r="O103" s="6"/>
      <c r="P103"/>
      <c r="Q103" s="6"/>
    </row>
    <row r="104" spans="1:17" s="5" customFormat="1" hidden="1" x14ac:dyDescent="0.35">
      <c r="A104" t="s">
        <v>16</v>
      </c>
      <c r="L104" s="6"/>
      <c r="M104" s="6"/>
      <c r="N104"/>
      <c r="O104" s="6"/>
      <c r="P104"/>
      <c r="Q104" s="6"/>
    </row>
    <row r="105" spans="1:17" s="5" customFormat="1" hidden="1" x14ac:dyDescent="0.35">
      <c r="A105" t="s">
        <v>17</v>
      </c>
      <c r="L105" s="6"/>
      <c r="M105" s="6"/>
      <c r="N105"/>
      <c r="O105" s="6"/>
      <c r="P105"/>
      <c r="Q105" s="6"/>
    </row>
    <row r="106" spans="1:17" s="5" customFormat="1" hidden="1" x14ac:dyDescent="0.35">
      <c r="A106" t="s">
        <v>21</v>
      </c>
      <c r="L106" s="6"/>
      <c r="M106" s="6"/>
      <c r="N106"/>
      <c r="O106" s="6"/>
      <c r="P106"/>
      <c r="Q106" s="6"/>
    </row>
    <row r="107" spans="1:17" s="5" customFormat="1" hidden="1" x14ac:dyDescent="0.35">
      <c r="A107" t="s">
        <v>31</v>
      </c>
      <c r="L107" s="6"/>
      <c r="M107" s="6"/>
      <c r="N107"/>
      <c r="O107" s="6"/>
      <c r="P107"/>
      <c r="Q107" s="6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G31:I31"/>
    <mergeCell ref="J31:K31"/>
    <mergeCell ref="B2:K2"/>
    <mergeCell ref="B3:D3"/>
    <mergeCell ref="E3:H3"/>
    <mergeCell ref="I3:K3"/>
    <mergeCell ref="B5:C5"/>
    <mergeCell ref="B7:C7"/>
    <mergeCell ref="B9:C9"/>
    <mergeCell ref="B11:G11"/>
    <mergeCell ref="H11:I11"/>
    <mergeCell ref="J11:K11"/>
  </mergeCells>
  <conditionalFormatting sqref="G32">
    <cfRule type="cellIs" dxfId="7" priority="3" operator="greaterThan">
      <formula>350</formula>
    </cfRule>
  </conditionalFormatting>
  <conditionalFormatting sqref="K13:K30">
    <cfRule type="cellIs" dxfId="6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13:H3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2 G13:G3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$A$96:$A$107</formula1>
    </dataValidation>
  </dataValidations>
  <pageMargins left="0.7" right="0.7" top="0.75" bottom="0.75" header="0.3" footer="0.3"/>
  <pageSetup scale="44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4.453125" style="6" customWidth="1"/>
    <col min="2" max="2" width="15.6328125" style="5" customWidth="1"/>
    <col min="3" max="3" width="8.54296875" style="5" bestFit="1" customWidth="1"/>
    <col min="4" max="4" width="43.36328125" style="5" customWidth="1"/>
    <col min="5" max="5" width="14.08984375" style="5" bestFit="1" customWidth="1"/>
    <col min="6" max="6" width="13.453125" style="5" customWidth="1"/>
    <col min="7" max="7" width="13.6328125" style="5" customWidth="1"/>
    <col min="8" max="8" width="13.453125" style="5" customWidth="1"/>
    <col min="9" max="9" width="10.453125" style="5" customWidth="1"/>
    <col min="10" max="10" width="12.453125" style="5" customWidth="1"/>
    <col min="11" max="11" width="12.36328125" style="5" customWidth="1"/>
    <col min="12" max="12" width="6.6328125" style="6" customWidth="1"/>
    <col min="13" max="13" width="16.453125" style="6" customWidth="1"/>
    <col min="15" max="15" width="16.453125" style="6" customWidth="1"/>
    <col min="16" max="16" width="0" hidden="1" customWidth="1"/>
    <col min="17" max="17" width="16.453125" style="6" customWidth="1"/>
    <col min="18" max="16384" width="8.6328125" style="6"/>
  </cols>
  <sheetData>
    <row r="1" spans="2:16" x14ac:dyDescent="0.35">
      <c r="P1" t="s">
        <v>0</v>
      </c>
    </row>
    <row r="2" spans="2:16" ht="49.5" customHeight="1" x14ac:dyDescent="0.35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P2" t="s">
        <v>2</v>
      </c>
    </row>
    <row r="3" spans="2:16" ht="18.75" customHeight="1" x14ac:dyDescent="0.35">
      <c r="B3" s="76" t="s">
        <v>3</v>
      </c>
      <c r="C3" s="77"/>
      <c r="D3" s="77"/>
      <c r="E3" s="77" t="s">
        <v>4</v>
      </c>
      <c r="F3" s="77"/>
      <c r="G3" s="77"/>
      <c r="H3" s="77"/>
      <c r="I3" s="77" t="s">
        <v>5</v>
      </c>
      <c r="J3" s="77"/>
      <c r="K3" s="78"/>
    </row>
    <row r="4" spans="2:16" x14ac:dyDescent="0.35">
      <c r="B4" s="7"/>
      <c r="C4" s="8"/>
      <c r="K4" s="9"/>
      <c r="P4" t="s">
        <v>6</v>
      </c>
    </row>
    <row r="5" spans="2:16" s="14" customFormat="1" ht="27.65" customHeight="1" x14ac:dyDescent="0.35">
      <c r="B5" s="79" t="s">
        <v>7</v>
      </c>
      <c r="C5" s="79"/>
      <c r="D5" s="10">
        <v>90227898</v>
      </c>
      <c r="E5" s="11"/>
      <c r="F5" s="11"/>
      <c r="G5" s="12"/>
      <c r="H5" s="12"/>
      <c r="I5" s="12"/>
      <c r="J5" s="12"/>
      <c r="K5" s="13"/>
      <c r="N5"/>
      <c r="P5" t="s">
        <v>8</v>
      </c>
    </row>
    <row r="6" spans="2:16" x14ac:dyDescent="0.35">
      <c r="B6" s="15"/>
      <c r="K6" s="16"/>
      <c r="P6" t="s">
        <v>9</v>
      </c>
    </row>
    <row r="7" spans="2:16" s="14" customFormat="1" x14ac:dyDescent="0.35">
      <c r="B7" s="79" t="s">
        <v>12</v>
      </c>
      <c r="C7" s="79"/>
      <c r="D7" s="17" t="s">
        <v>31</v>
      </c>
      <c r="E7" s="18"/>
      <c r="F7" s="18"/>
      <c r="G7" s="12"/>
      <c r="H7" s="12"/>
      <c r="I7" s="12"/>
      <c r="J7" s="12"/>
      <c r="K7" s="13"/>
      <c r="N7"/>
      <c r="P7" t="s">
        <v>13</v>
      </c>
    </row>
    <row r="8" spans="2:16" s="14" customFormat="1" x14ac:dyDescent="0.35">
      <c r="B8" s="19"/>
      <c r="C8" s="20"/>
      <c r="D8" s="18"/>
      <c r="E8" s="18"/>
      <c r="F8" s="18"/>
      <c r="G8" s="12"/>
      <c r="H8" s="12"/>
      <c r="I8" s="12"/>
      <c r="J8" s="12"/>
      <c r="K8" s="13"/>
      <c r="N8"/>
      <c r="P8" t="s">
        <v>14</v>
      </c>
    </row>
    <row r="9" spans="2:16" s="14" customFormat="1" x14ac:dyDescent="0.35">
      <c r="B9" s="79" t="s">
        <v>15</v>
      </c>
      <c r="C9" s="79"/>
      <c r="D9" s="21">
        <v>46022</v>
      </c>
      <c r="E9" s="22"/>
      <c r="F9" s="22"/>
      <c r="G9" s="12"/>
      <c r="H9" s="12"/>
      <c r="I9" s="12"/>
      <c r="J9" s="12"/>
      <c r="K9" s="13"/>
      <c r="N9"/>
      <c r="P9" t="s">
        <v>16</v>
      </c>
    </row>
    <row r="10" spans="2:16" x14ac:dyDescent="0.35">
      <c r="B10" s="23"/>
      <c r="C10" s="24"/>
      <c r="K10" s="25"/>
      <c r="P10" t="s">
        <v>17</v>
      </c>
    </row>
    <row r="11" spans="2:16" ht="26.9" customHeight="1" x14ac:dyDescent="0.35">
      <c r="B11" s="66" t="s">
        <v>18</v>
      </c>
      <c r="C11" s="66"/>
      <c r="D11" s="66"/>
      <c r="E11" s="66"/>
      <c r="F11" s="66"/>
      <c r="G11" s="66"/>
      <c r="H11" s="79" t="s">
        <v>19</v>
      </c>
      <c r="I11" s="79"/>
      <c r="J11" s="79" t="s">
        <v>20</v>
      </c>
      <c r="K11" s="79"/>
      <c r="P11" t="s">
        <v>21</v>
      </c>
    </row>
    <row r="12" spans="2:16" ht="57.65" customHeight="1" x14ac:dyDescent="0.35"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29</v>
      </c>
      <c r="P12" t="s">
        <v>31</v>
      </c>
    </row>
    <row r="13" spans="2:16" ht="57.5" x14ac:dyDescent="0.35">
      <c r="B13" s="27">
        <v>3</v>
      </c>
      <c r="C13" s="28" t="s">
        <v>43</v>
      </c>
      <c r="D13" s="29" t="s">
        <v>77</v>
      </c>
      <c r="E13" s="30" t="s">
        <v>79</v>
      </c>
      <c r="F13" s="31" t="s">
        <v>32</v>
      </c>
      <c r="G13" s="32">
        <v>11</v>
      </c>
      <c r="H13" s="32">
        <v>2</v>
      </c>
      <c r="I13" s="1">
        <f>IFERROR(H13/G13,0)</f>
        <v>0.18181818181818182</v>
      </c>
      <c r="J13" s="33">
        <f>+H13+NOVIEMBRE!J13</f>
        <v>11</v>
      </c>
      <c r="K13" s="58">
        <f>IFERROR(J13/G13,0)</f>
        <v>1</v>
      </c>
    </row>
    <row r="14" spans="2:16" ht="92" x14ac:dyDescent="0.35">
      <c r="B14" s="34">
        <v>3</v>
      </c>
      <c r="C14" s="35" t="s">
        <v>44</v>
      </c>
      <c r="D14" s="36" t="s">
        <v>78</v>
      </c>
      <c r="E14" s="37" t="s">
        <v>80</v>
      </c>
      <c r="F14" s="35" t="s">
        <v>32</v>
      </c>
      <c r="G14" s="38">
        <v>11</v>
      </c>
      <c r="H14" s="39">
        <v>2</v>
      </c>
      <c r="I14" s="2">
        <f>IFERROR(H14/G14,0)</f>
        <v>0.18181818181818182</v>
      </c>
      <c r="J14" s="40">
        <f>+H14+NOVIEMBRE!J14</f>
        <v>11</v>
      </c>
      <c r="K14" s="59">
        <f>IFERROR(J14/G14,0)</f>
        <v>1</v>
      </c>
    </row>
    <row r="15" spans="2:16" ht="23" x14ac:dyDescent="0.35">
      <c r="B15" s="34">
        <v>3</v>
      </c>
      <c r="C15" s="35" t="s">
        <v>45</v>
      </c>
      <c r="D15" s="41" t="s">
        <v>61</v>
      </c>
      <c r="E15" s="37" t="s">
        <v>81</v>
      </c>
      <c r="F15" s="35" t="s">
        <v>32</v>
      </c>
      <c r="G15" s="38">
        <v>11</v>
      </c>
      <c r="H15" s="42">
        <v>1</v>
      </c>
      <c r="I15" s="2">
        <f t="shared" ref="I15:I30" si="0">IFERROR(H15/G15,0)</f>
        <v>9.0909090909090912E-2</v>
      </c>
      <c r="J15" s="40">
        <f>+H15+NOVIEMBRE!J15</f>
        <v>11</v>
      </c>
      <c r="K15" s="59">
        <f t="shared" ref="K15:K30" si="1">IFERROR(J15/G15,0)</f>
        <v>1</v>
      </c>
    </row>
    <row r="16" spans="2:16" ht="23" x14ac:dyDescent="0.35">
      <c r="B16" s="34">
        <v>3</v>
      </c>
      <c r="C16" s="35" t="s">
        <v>46</v>
      </c>
      <c r="D16" s="41" t="s">
        <v>62</v>
      </c>
      <c r="E16" s="37" t="s">
        <v>81</v>
      </c>
      <c r="F16" s="35" t="s">
        <v>32</v>
      </c>
      <c r="G16" s="38">
        <v>11</v>
      </c>
      <c r="H16" s="42">
        <v>1</v>
      </c>
      <c r="I16" s="2">
        <f t="shared" si="0"/>
        <v>9.0909090909090912E-2</v>
      </c>
      <c r="J16" s="40">
        <f>+H16+NOVIEMBRE!J16</f>
        <v>11</v>
      </c>
      <c r="K16" s="59">
        <f t="shared" si="1"/>
        <v>1</v>
      </c>
    </row>
    <row r="17" spans="2:16" ht="57.5" x14ac:dyDescent="0.35">
      <c r="B17" s="34">
        <v>3</v>
      </c>
      <c r="C17" s="35" t="s">
        <v>47</v>
      </c>
      <c r="D17" s="41" t="s">
        <v>63</v>
      </c>
      <c r="E17" s="37" t="s">
        <v>82</v>
      </c>
      <c r="F17" s="35" t="s">
        <v>32</v>
      </c>
      <c r="G17" s="38">
        <v>11</v>
      </c>
      <c r="H17" s="42">
        <v>1</v>
      </c>
      <c r="I17" s="2">
        <f t="shared" si="0"/>
        <v>9.0909090909090912E-2</v>
      </c>
      <c r="J17" s="40">
        <f>+H17+NOVIEMBRE!J17</f>
        <v>11</v>
      </c>
      <c r="K17" s="59">
        <f t="shared" si="1"/>
        <v>1</v>
      </c>
    </row>
    <row r="18" spans="2:16" ht="57.5" x14ac:dyDescent="0.35">
      <c r="B18" s="34">
        <v>3</v>
      </c>
      <c r="C18" s="35" t="s">
        <v>48</v>
      </c>
      <c r="D18" s="41" t="s">
        <v>64</v>
      </c>
      <c r="E18" s="37" t="s">
        <v>83</v>
      </c>
      <c r="F18" s="35" t="s">
        <v>32</v>
      </c>
      <c r="G18" s="38">
        <v>11</v>
      </c>
      <c r="H18" s="42">
        <v>2</v>
      </c>
      <c r="I18" s="2">
        <f t="shared" si="0"/>
        <v>0.18181818181818182</v>
      </c>
      <c r="J18" s="40">
        <f>+H18+NOVIEMBRE!J18</f>
        <v>11</v>
      </c>
      <c r="K18" s="59">
        <f t="shared" si="1"/>
        <v>1</v>
      </c>
    </row>
    <row r="19" spans="2:16" ht="34.5" x14ac:dyDescent="0.35">
      <c r="B19" s="34">
        <v>3</v>
      </c>
      <c r="C19" s="35" t="s">
        <v>49</v>
      </c>
      <c r="D19" s="41" t="s">
        <v>65</v>
      </c>
      <c r="E19" s="37" t="s">
        <v>84</v>
      </c>
      <c r="F19" s="35" t="s">
        <v>32</v>
      </c>
      <c r="G19" s="38">
        <v>11</v>
      </c>
      <c r="H19" s="42">
        <v>1</v>
      </c>
      <c r="I19" s="2">
        <f t="shared" si="0"/>
        <v>9.0909090909090912E-2</v>
      </c>
      <c r="J19" s="40">
        <f>+H19+NOVIEMBRE!J19</f>
        <v>11</v>
      </c>
      <c r="K19" s="59">
        <f t="shared" si="1"/>
        <v>1</v>
      </c>
    </row>
    <row r="20" spans="2:16" ht="34.5" x14ac:dyDescent="0.35">
      <c r="B20" s="34">
        <v>3</v>
      </c>
      <c r="C20" s="35" t="s">
        <v>50</v>
      </c>
      <c r="D20" s="41" t="s">
        <v>66</v>
      </c>
      <c r="E20" s="37" t="s">
        <v>85</v>
      </c>
      <c r="F20" s="35" t="s">
        <v>32</v>
      </c>
      <c r="G20" s="38">
        <v>11</v>
      </c>
      <c r="H20" s="42">
        <v>2</v>
      </c>
      <c r="I20" s="2">
        <f t="shared" si="0"/>
        <v>0.18181818181818182</v>
      </c>
      <c r="J20" s="40">
        <f>+H20+NOVIEMBRE!J20</f>
        <v>11</v>
      </c>
      <c r="K20" s="59">
        <f t="shared" si="1"/>
        <v>1</v>
      </c>
    </row>
    <row r="21" spans="2:16" ht="34.5" x14ac:dyDescent="0.35">
      <c r="B21" s="43">
        <v>5</v>
      </c>
      <c r="C21" s="35" t="s">
        <v>51</v>
      </c>
      <c r="D21" s="41" t="s">
        <v>67</v>
      </c>
      <c r="E21" s="37" t="s">
        <v>84</v>
      </c>
      <c r="F21" s="35" t="s">
        <v>32</v>
      </c>
      <c r="G21" s="38">
        <v>11</v>
      </c>
      <c r="H21" s="42">
        <v>2</v>
      </c>
      <c r="I21" s="2">
        <f t="shared" si="0"/>
        <v>0.18181818181818182</v>
      </c>
      <c r="J21" s="40">
        <f>+H21+NOVIEMBRE!J21</f>
        <v>11</v>
      </c>
      <c r="K21" s="59">
        <f t="shared" si="1"/>
        <v>1</v>
      </c>
    </row>
    <row r="22" spans="2:16" ht="34.5" x14ac:dyDescent="0.35">
      <c r="B22" s="43">
        <v>5</v>
      </c>
      <c r="C22" s="35" t="s">
        <v>52</v>
      </c>
      <c r="D22" s="41" t="s">
        <v>68</v>
      </c>
      <c r="E22" s="37" t="s">
        <v>85</v>
      </c>
      <c r="F22" s="35" t="s">
        <v>32</v>
      </c>
      <c r="G22" s="38">
        <v>11</v>
      </c>
      <c r="H22" s="42">
        <v>2</v>
      </c>
      <c r="I22" s="2">
        <f t="shared" si="0"/>
        <v>0.18181818181818182</v>
      </c>
      <c r="J22" s="40">
        <f>+H22+NOVIEMBRE!J22</f>
        <v>11</v>
      </c>
      <c r="K22" s="59">
        <f t="shared" si="1"/>
        <v>1</v>
      </c>
    </row>
    <row r="23" spans="2:16" ht="34.5" x14ac:dyDescent="0.35">
      <c r="B23" s="43">
        <v>5</v>
      </c>
      <c r="C23" s="35" t="s">
        <v>53</v>
      </c>
      <c r="D23" s="41" t="s">
        <v>69</v>
      </c>
      <c r="E23" s="37" t="s">
        <v>85</v>
      </c>
      <c r="F23" s="35" t="s">
        <v>32</v>
      </c>
      <c r="G23" s="38">
        <v>11</v>
      </c>
      <c r="H23" s="42">
        <v>2</v>
      </c>
      <c r="I23" s="2">
        <f t="shared" si="0"/>
        <v>0.18181818181818182</v>
      </c>
      <c r="J23" s="40">
        <f>+H23+NOVIEMBRE!J23</f>
        <v>11</v>
      </c>
      <c r="K23" s="59">
        <f t="shared" si="1"/>
        <v>1</v>
      </c>
    </row>
    <row r="24" spans="2:16" ht="46" x14ac:dyDescent="0.35">
      <c r="B24" s="43">
        <v>5</v>
      </c>
      <c r="C24" s="35" t="s">
        <v>54</v>
      </c>
      <c r="D24" s="41" t="s">
        <v>70</v>
      </c>
      <c r="E24" s="37" t="s">
        <v>85</v>
      </c>
      <c r="F24" s="35" t="s">
        <v>32</v>
      </c>
      <c r="G24" s="38">
        <v>11</v>
      </c>
      <c r="H24" s="42">
        <v>2</v>
      </c>
      <c r="I24" s="2">
        <f t="shared" si="0"/>
        <v>0.18181818181818182</v>
      </c>
      <c r="J24" s="40">
        <f>+H24+NOVIEMBRE!J24</f>
        <v>11</v>
      </c>
      <c r="K24" s="59">
        <f t="shared" si="1"/>
        <v>1</v>
      </c>
    </row>
    <row r="25" spans="2:16" ht="46" x14ac:dyDescent="0.35">
      <c r="B25" s="43">
        <v>5</v>
      </c>
      <c r="C25" s="35" t="s">
        <v>55</v>
      </c>
      <c r="D25" s="41" t="s">
        <v>71</v>
      </c>
      <c r="E25" s="37" t="s">
        <v>85</v>
      </c>
      <c r="F25" s="35" t="s">
        <v>32</v>
      </c>
      <c r="G25" s="38">
        <v>11</v>
      </c>
      <c r="H25" s="42">
        <v>1</v>
      </c>
      <c r="I25" s="2">
        <f t="shared" si="0"/>
        <v>9.0909090909090912E-2</v>
      </c>
      <c r="J25" s="40">
        <f>+H25+NOVIEMBRE!J25</f>
        <v>11</v>
      </c>
      <c r="K25" s="59">
        <f t="shared" si="1"/>
        <v>1</v>
      </c>
    </row>
    <row r="26" spans="2:16" ht="46" x14ac:dyDescent="0.35">
      <c r="B26" s="43">
        <v>5</v>
      </c>
      <c r="C26" s="35" t="s">
        <v>56</v>
      </c>
      <c r="D26" s="41" t="s">
        <v>72</v>
      </c>
      <c r="E26" s="37" t="s">
        <v>85</v>
      </c>
      <c r="F26" s="35" t="s">
        <v>32</v>
      </c>
      <c r="G26" s="38">
        <v>11</v>
      </c>
      <c r="H26" s="42">
        <v>2</v>
      </c>
      <c r="I26" s="2">
        <f t="shared" si="0"/>
        <v>0.18181818181818182</v>
      </c>
      <c r="J26" s="40">
        <f>+H26+NOVIEMBRE!J26</f>
        <v>11</v>
      </c>
      <c r="K26" s="59">
        <f t="shared" si="1"/>
        <v>1</v>
      </c>
    </row>
    <row r="27" spans="2:16" ht="46" x14ac:dyDescent="0.35">
      <c r="B27" s="43">
        <v>5</v>
      </c>
      <c r="C27" s="35" t="s">
        <v>57</v>
      </c>
      <c r="D27" s="41" t="s">
        <v>73</v>
      </c>
      <c r="E27" s="37" t="s">
        <v>85</v>
      </c>
      <c r="F27" s="35" t="s">
        <v>32</v>
      </c>
      <c r="G27" s="38">
        <v>11</v>
      </c>
      <c r="H27" s="42">
        <v>2</v>
      </c>
      <c r="I27" s="2">
        <f t="shared" si="0"/>
        <v>0.18181818181818182</v>
      </c>
      <c r="J27" s="40">
        <f>+H27+NOVIEMBRE!J27</f>
        <v>11</v>
      </c>
      <c r="K27" s="59">
        <f t="shared" si="1"/>
        <v>1</v>
      </c>
    </row>
    <row r="28" spans="2:16" ht="46" x14ac:dyDescent="0.35">
      <c r="B28" s="43">
        <v>5</v>
      </c>
      <c r="C28" s="35" t="s">
        <v>58</v>
      </c>
      <c r="D28" s="41" t="s">
        <v>74</v>
      </c>
      <c r="E28" s="37" t="s">
        <v>85</v>
      </c>
      <c r="F28" s="35" t="s">
        <v>32</v>
      </c>
      <c r="G28" s="38">
        <v>11</v>
      </c>
      <c r="H28" s="42">
        <v>1</v>
      </c>
      <c r="I28" s="2">
        <f t="shared" si="0"/>
        <v>9.0909090909090912E-2</v>
      </c>
      <c r="J28" s="40">
        <f>+H28+NOVIEMBRE!J28</f>
        <v>11</v>
      </c>
      <c r="K28" s="59">
        <f t="shared" si="1"/>
        <v>1</v>
      </c>
    </row>
    <row r="29" spans="2:16" ht="34.5" x14ac:dyDescent="0.35">
      <c r="B29" s="43">
        <v>5</v>
      </c>
      <c r="C29" s="35" t="s">
        <v>59</v>
      </c>
      <c r="D29" s="41" t="s">
        <v>75</v>
      </c>
      <c r="E29" s="37" t="s">
        <v>85</v>
      </c>
      <c r="F29" s="35" t="s">
        <v>32</v>
      </c>
      <c r="G29" s="38">
        <v>11</v>
      </c>
      <c r="H29" s="42">
        <v>2</v>
      </c>
      <c r="I29" s="2">
        <f t="shared" si="0"/>
        <v>0.18181818181818182</v>
      </c>
      <c r="J29" s="40">
        <f>+H29+NOVIEMBRE!J29</f>
        <v>11</v>
      </c>
      <c r="K29" s="59">
        <f t="shared" si="1"/>
        <v>1</v>
      </c>
    </row>
    <row r="30" spans="2:16" ht="57.5" x14ac:dyDescent="0.35">
      <c r="B30" s="44">
        <v>5</v>
      </c>
      <c r="C30" s="45" t="s">
        <v>60</v>
      </c>
      <c r="D30" s="46" t="s">
        <v>76</v>
      </c>
      <c r="E30" s="47" t="s">
        <v>85</v>
      </c>
      <c r="F30" s="35" t="s">
        <v>32</v>
      </c>
      <c r="G30" s="38">
        <v>11</v>
      </c>
      <c r="H30" s="48">
        <v>2</v>
      </c>
      <c r="I30" s="2">
        <f t="shared" si="0"/>
        <v>0.18181818181818182</v>
      </c>
      <c r="J30" s="40">
        <f>+H30+NOVIEMBRE!J30</f>
        <v>11</v>
      </c>
      <c r="K30" s="59">
        <f t="shared" si="1"/>
        <v>1</v>
      </c>
    </row>
    <row r="31" spans="2:16" s="14" customFormat="1" x14ac:dyDescent="0.35">
      <c r="B31" s="12"/>
      <c r="C31" s="12"/>
      <c r="D31" s="12"/>
      <c r="E31" s="12"/>
      <c r="F31" s="20"/>
      <c r="G31" s="80" t="str">
        <f>+CONCATENATE("TOTAL A ",D7)</f>
        <v>TOTAL A DICIEMBRE</v>
      </c>
      <c r="H31" s="81"/>
      <c r="I31" s="82"/>
      <c r="J31" s="80" t="s">
        <v>33</v>
      </c>
      <c r="K31" s="82"/>
      <c r="N31" s="50"/>
      <c r="P31" s="50"/>
    </row>
    <row r="32" spans="2:16" x14ac:dyDescent="0.35">
      <c r="B32" s="12"/>
      <c r="C32" s="12"/>
      <c r="D32" s="14"/>
      <c r="E32" s="14"/>
      <c r="F32" s="14"/>
      <c r="G32" s="51">
        <f>+SUM(G13:G30)</f>
        <v>198</v>
      </c>
      <c r="H32" s="51">
        <f>+SUM(H13:H30)</f>
        <v>30</v>
      </c>
      <c r="I32" s="3">
        <f>IFERROR(H32/G32,0)</f>
        <v>0.15151515151515152</v>
      </c>
      <c r="J32" s="52">
        <f>+SUM(J13:J30)</f>
        <v>198</v>
      </c>
      <c r="K32" s="3">
        <f>IFERROR(J32/G32,0)</f>
        <v>1</v>
      </c>
    </row>
    <row r="34" spans="2:16" x14ac:dyDescent="0.35">
      <c r="B34" s="66" t="s">
        <v>34</v>
      </c>
      <c r="C34" s="66"/>
      <c r="D34" s="67" t="s">
        <v>35</v>
      </c>
      <c r="E34" s="68"/>
      <c r="F34" s="68"/>
      <c r="G34" s="68"/>
      <c r="H34" s="68"/>
      <c r="I34" s="68"/>
      <c r="J34" s="68"/>
      <c r="K34" s="68"/>
    </row>
    <row r="35" spans="2:16" x14ac:dyDescent="0.35">
      <c r="B35" s="69" t="s">
        <v>36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6" x14ac:dyDescent="0.35"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2:16" x14ac:dyDescent="0.35">
      <c r="B37" s="53" t="s">
        <v>37</v>
      </c>
      <c r="C37" s="54"/>
      <c r="D37" s="54"/>
      <c r="E37" s="54"/>
      <c r="F37" s="54"/>
      <c r="G37" s="54"/>
      <c r="H37" s="54"/>
      <c r="I37" s="54"/>
      <c r="J37" s="54"/>
      <c r="K37" s="55"/>
    </row>
    <row r="38" spans="2:16" ht="24.5" x14ac:dyDescent="0.45">
      <c r="B38" s="56" t="s">
        <v>38</v>
      </c>
      <c r="C38" s="57"/>
      <c r="D38" s="70" t="s">
        <v>35</v>
      </c>
      <c r="E38" s="70"/>
      <c r="F38" s="70"/>
      <c r="G38" s="70"/>
      <c r="H38" s="70"/>
      <c r="I38" s="70"/>
      <c r="J38" s="70"/>
      <c r="K38" s="70"/>
    </row>
    <row r="39" spans="2:16" ht="24.5" x14ac:dyDescent="0.45">
      <c r="B39" s="56" t="s">
        <v>39</v>
      </c>
      <c r="C39" s="57"/>
      <c r="D39" s="70"/>
      <c r="E39" s="70"/>
      <c r="F39" s="70"/>
      <c r="G39" s="70"/>
      <c r="H39" s="70"/>
      <c r="I39" s="70"/>
      <c r="J39" s="70"/>
      <c r="K39" s="70"/>
    </row>
    <row r="40" spans="2:16" s="14" customFormat="1" x14ac:dyDescent="0.35">
      <c r="B40" s="71" t="s">
        <v>36</v>
      </c>
      <c r="C40" s="71"/>
      <c r="D40" s="71"/>
      <c r="E40" s="71"/>
      <c r="F40" s="71"/>
      <c r="G40" s="71"/>
      <c r="H40" s="71"/>
      <c r="I40" s="71"/>
      <c r="J40" s="71"/>
      <c r="K40" s="71"/>
      <c r="N40" s="50"/>
      <c r="P40" s="50"/>
    </row>
    <row r="41" spans="2:16" x14ac:dyDescent="0.35"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2:16" x14ac:dyDescent="0.35">
      <c r="B42" s="53" t="s">
        <v>40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2:16" ht="24.5" x14ac:dyDescent="0.45">
      <c r="B43" s="56" t="s">
        <v>38</v>
      </c>
      <c r="C43" s="57"/>
      <c r="D43" s="70" t="s">
        <v>35</v>
      </c>
      <c r="E43" s="70"/>
      <c r="F43" s="70"/>
      <c r="G43" s="70"/>
      <c r="H43" s="70"/>
      <c r="I43" s="70"/>
      <c r="J43" s="70"/>
      <c r="K43" s="70"/>
    </row>
    <row r="44" spans="2:16" ht="24.5" x14ac:dyDescent="0.45">
      <c r="B44" s="56" t="s">
        <v>39</v>
      </c>
      <c r="C44" s="57"/>
      <c r="D44" s="70"/>
      <c r="E44" s="70"/>
      <c r="F44" s="70"/>
      <c r="G44" s="70"/>
      <c r="H44" s="70"/>
      <c r="I44" s="70"/>
      <c r="J44" s="70"/>
      <c r="K44" s="70"/>
    </row>
    <row r="47" spans="2:16" s="14" customFormat="1" ht="16.5" customHeight="1" x14ac:dyDescent="0.35">
      <c r="B47" s="63"/>
      <c r="C47" s="63"/>
      <c r="D47" s="63"/>
      <c r="E47" s="5"/>
      <c r="F47" s="5"/>
      <c r="G47" s="63"/>
      <c r="H47" s="63"/>
      <c r="I47" s="63"/>
      <c r="J47" s="63"/>
      <c r="K47" s="5"/>
      <c r="N47"/>
      <c r="P47"/>
    </row>
    <row r="48" spans="2:16" x14ac:dyDescent="0.35">
      <c r="B48" s="12" t="s">
        <v>41</v>
      </c>
      <c r="C48" s="64"/>
      <c r="D48" s="64"/>
      <c r="G48" s="12" t="s">
        <v>42</v>
      </c>
      <c r="H48" s="65" t="s">
        <v>86</v>
      </c>
      <c r="I48" s="65"/>
      <c r="J48" s="65"/>
    </row>
    <row r="49" ht="80" customHeight="1" x14ac:dyDescent="0.35"/>
    <row r="51" ht="20.149999999999999" customHeight="1" x14ac:dyDescent="0.35"/>
    <row r="52" ht="19.399999999999999" customHeight="1" x14ac:dyDescent="0.35"/>
    <row r="53" ht="20.149999999999999" customHeight="1" x14ac:dyDescent="0.35"/>
    <row r="54" ht="20.149999999999999" customHeight="1" x14ac:dyDescent="0.35"/>
    <row r="56" ht="15" customHeight="1" x14ac:dyDescent="0.35"/>
    <row r="58" ht="20.149999999999999" customHeight="1" x14ac:dyDescent="0.35"/>
    <row r="59" ht="20.149999999999999" customHeight="1" x14ac:dyDescent="0.35"/>
    <row r="62" ht="19.5" customHeight="1" x14ac:dyDescent="0.35"/>
    <row r="63" ht="23.9" customHeight="1" x14ac:dyDescent="0.35"/>
    <row r="80" spans="2:2" x14ac:dyDescent="0.35">
      <c r="B80" s="6"/>
    </row>
    <row r="81" spans="1:17" x14ac:dyDescent="0.35">
      <c r="B81" s="6"/>
    </row>
    <row r="82" spans="1:17" x14ac:dyDescent="0.35">
      <c r="B82" s="6"/>
    </row>
    <row r="83" spans="1:17" x14ac:dyDescent="0.35">
      <c r="B83" s="14"/>
    </row>
    <row r="84" spans="1:17" x14ac:dyDescent="0.35">
      <c r="B84" s="6"/>
    </row>
    <row r="85" spans="1:17" x14ac:dyDescent="0.35">
      <c r="B85" s="14"/>
    </row>
    <row r="86" spans="1:17" x14ac:dyDescent="0.35">
      <c r="B86" s="14"/>
    </row>
    <row r="87" spans="1:17" x14ac:dyDescent="0.35">
      <c r="B87" s="14"/>
    </row>
    <row r="88" spans="1:17" x14ac:dyDescent="0.35">
      <c r="B88" s="14"/>
    </row>
    <row r="89" spans="1:17" x14ac:dyDescent="0.35">
      <c r="B89" s="14"/>
    </row>
    <row r="90" spans="1:17" x14ac:dyDescent="0.35">
      <c r="B90" s="6"/>
    </row>
    <row r="91" spans="1:17" x14ac:dyDescent="0.35">
      <c r="B91" s="6"/>
    </row>
    <row r="92" spans="1:17" x14ac:dyDescent="0.35">
      <c r="B92" s="6"/>
    </row>
    <row r="95" spans="1:17" s="5" customFormat="1" hidden="1" x14ac:dyDescent="0.35">
      <c r="A95" t="s">
        <v>0</v>
      </c>
      <c r="L95" s="6"/>
      <c r="M95" s="6"/>
      <c r="N95"/>
      <c r="O95" s="6"/>
      <c r="P95"/>
      <c r="Q95" s="6"/>
    </row>
    <row r="96" spans="1:17" s="5" customFormat="1" hidden="1" x14ac:dyDescent="0.35">
      <c r="A96" t="s">
        <v>2</v>
      </c>
      <c r="L96" s="6"/>
      <c r="M96" s="6"/>
      <c r="N96"/>
      <c r="O96" s="6"/>
      <c r="P96"/>
      <c r="Q96" s="6"/>
    </row>
    <row r="97" spans="1:17" s="5" customFormat="1" hidden="1" x14ac:dyDescent="0.35">
      <c r="A97" t="s">
        <v>6</v>
      </c>
      <c r="L97" s="6"/>
      <c r="M97" s="6"/>
      <c r="N97"/>
      <c r="O97" s="6"/>
      <c r="P97"/>
      <c r="Q97" s="6"/>
    </row>
    <row r="98" spans="1:17" s="5" customFormat="1" hidden="1" x14ac:dyDescent="0.35">
      <c r="A98" t="s">
        <v>8</v>
      </c>
      <c r="L98" s="6"/>
      <c r="M98" s="6"/>
      <c r="N98"/>
      <c r="O98" s="6"/>
      <c r="P98"/>
      <c r="Q98" s="6"/>
    </row>
    <row r="99" spans="1:17" s="5" customFormat="1" hidden="1" x14ac:dyDescent="0.35">
      <c r="A99" t="s">
        <v>9</v>
      </c>
      <c r="L99" s="6"/>
      <c r="M99" s="6"/>
      <c r="N99"/>
      <c r="O99" s="6"/>
      <c r="P99"/>
      <c r="Q99" s="6"/>
    </row>
    <row r="100" spans="1:17" s="5" customFormat="1" hidden="1" x14ac:dyDescent="0.35">
      <c r="A100" t="s">
        <v>10</v>
      </c>
      <c r="L100" s="6"/>
      <c r="M100" s="6"/>
      <c r="N100"/>
      <c r="O100" s="6"/>
      <c r="P100"/>
      <c r="Q100" s="6"/>
    </row>
    <row r="101" spans="1:17" s="5" customFormat="1" hidden="1" x14ac:dyDescent="0.35">
      <c r="A101" t="s">
        <v>11</v>
      </c>
      <c r="L101" s="6"/>
      <c r="M101" s="6"/>
      <c r="N101"/>
      <c r="O101" s="6"/>
      <c r="P101"/>
      <c r="Q101" s="6"/>
    </row>
    <row r="102" spans="1:17" s="5" customFormat="1" hidden="1" x14ac:dyDescent="0.35">
      <c r="A102" t="s">
        <v>13</v>
      </c>
      <c r="L102" s="6"/>
      <c r="M102" s="6"/>
      <c r="N102"/>
      <c r="O102" s="6"/>
      <c r="P102"/>
      <c r="Q102" s="6"/>
    </row>
    <row r="103" spans="1:17" s="5" customFormat="1" hidden="1" x14ac:dyDescent="0.35">
      <c r="A103" t="s">
        <v>14</v>
      </c>
      <c r="L103" s="6"/>
      <c r="M103" s="6"/>
      <c r="N103"/>
      <c r="O103" s="6"/>
      <c r="P103"/>
      <c r="Q103" s="6"/>
    </row>
    <row r="104" spans="1:17" s="5" customFormat="1" hidden="1" x14ac:dyDescent="0.35">
      <c r="A104" t="s">
        <v>16</v>
      </c>
      <c r="L104" s="6"/>
      <c r="M104" s="6"/>
      <c r="N104"/>
      <c r="O104" s="6"/>
      <c r="P104"/>
      <c r="Q104" s="6"/>
    </row>
    <row r="105" spans="1:17" s="5" customFormat="1" hidden="1" x14ac:dyDescent="0.35">
      <c r="A105" t="s">
        <v>17</v>
      </c>
      <c r="L105" s="6"/>
      <c r="M105" s="6"/>
      <c r="N105"/>
      <c r="O105" s="6"/>
      <c r="P105"/>
      <c r="Q105" s="6"/>
    </row>
    <row r="106" spans="1:17" s="5" customFormat="1" hidden="1" x14ac:dyDescent="0.35">
      <c r="A106" t="s">
        <v>21</v>
      </c>
      <c r="L106" s="6"/>
      <c r="M106" s="6"/>
      <c r="N106"/>
      <c r="O106" s="6"/>
      <c r="P106"/>
      <c r="Q106" s="6"/>
    </row>
    <row r="107" spans="1:17" s="5" customFormat="1" hidden="1" x14ac:dyDescent="0.35">
      <c r="A107" t="s">
        <v>31</v>
      </c>
      <c r="L107" s="6"/>
      <c r="M107" s="6"/>
      <c r="N107"/>
      <c r="O107" s="6"/>
      <c r="P107"/>
      <c r="Q107" s="6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G31:I31"/>
    <mergeCell ref="J31:K31"/>
    <mergeCell ref="B2:K2"/>
    <mergeCell ref="B3:D3"/>
    <mergeCell ref="E3:H3"/>
    <mergeCell ref="I3:K3"/>
    <mergeCell ref="B5:C5"/>
    <mergeCell ref="B7:C7"/>
    <mergeCell ref="B9:C9"/>
    <mergeCell ref="B11:G11"/>
    <mergeCell ref="H11:I11"/>
    <mergeCell ref="J11:K11"/>
  </mergeCells>
  <conditionalFormatting sqref="G32">
    <cfRule type="cellIs" dxfId="5" priority="3" operator="greaterThan">
      <formula>350</formula>
    </cfRule>
  </conditionalFormatting>
  <conditionalFormatting sqref="K13:K30">
    <cfRule type="cellIs" dxfId="4" priority="1" operator="greaterThan">
      <formula>1</formula>
    </cfRule>
  </conditionalFormatting>
  <dataValidations count="4">
    <dataValidation type="list" allowBlank="1" showInputMessage="1" showErrorMessage="1" sqref="D7">
      <formula1>$A$96:$A$107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3:H30">
      <formula1>0</formula1>
      <formula2>30</formula2>
    </dataValidation>
  </dataValidations>
  <pageMargins left="0.7" right="0.7" top="0.75" bottom="0.75" header="0.3" footer="0.3"/>
  <pageSetup scale="47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4.453125" style="6" customWidth="1"/>
    <col min="2" max="2" width="15.6328125" style="5" customWidth="1"/>
    <col min="3" max="3" width="8.54296875" style="5" bestFit="1" customWidth="1"/>
    <col min="4" max="4" width="43.36328125" style="5" customWidth="1"/>
    <col min="5" max="5" width="14.08984375" style="5" bestFit="1" customWidth="1"/>
    <col min="6" max="6" width="13.453125" style="5" customWidth="1"/>
    <col min="7" max="7" width="13.6328125" style="5" customWidth="1"/>
    <col min="8" max="8" width="13.453125" style="5" customWidth="1"/>
    <col min="9" max="9" width="10.453125" style="5" customWidth="1"/>
    <col min="10" max="10" width="12.453125" style="5" customWidth="1"/>
    <col min="11" max="11" width="12.36328125" style="5" customWidth="1"/>
    <col min="12" max="12" width="6.6328125" style="6" customWidth="1"/>
    <col min="13" max="13" width="16.453125" style="6" customWidth="1"/>
    <col min="15" max="15" width="16.453125" style="6" customWidth="1"/>
    <col min="16" max="16" width="0" hidden="1" customWidth="1"/>
    <col min="17" max="17" width="16.453125" style="6" customWidth="1"/>
    <col min="18" max="16384" width="8.6328125" style="6"/>
  </cols>
  <sheetData>
    <row r="1" spans="2:16" x14ac:dyDescent="0.35">
      <c r="P1" t="s">
        <v>0</v>
      </c>
    </row>
    <row r="2" spans="2:16" ht="49.5" customHeight="1" x14ac:dyDescent="0.35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P2" t="s">
        <v>2</v>
      </c>
    </row>
    <row r="3" spans="2:16" ht="18.75" customHeight="1" x14ac:dyDescent="0.35">
      <c r="B3" s="76" t="s">
        <v>3</v>
      </c>
      <c r="C3" s="77"/>
      <c r="D3" s="77"/>
      <c r="E3" s="77" t="s">
        <v>4</v>
      </c>
      <c r="F3" s="77"/>
      <c r="G3" s="77"/>
      <c r="H3" s="77"/>
      <c r="I3" s="77" t="s">
        <v>5</v>
      </c>
      <c r="J3" s="77"/>
      <c r="K3" s="78"/>
    </row>
    <row r="4" spans="2:16" x14ac:dyDescent="0.35">
      <c r="B4" s="7"/>
      <c r="C4" s="8"/>
      <c r="K4" s="9"/>
      <c r="P4" t="s">
        <v>6</v>
      </c>
    </row>
    <row r="5" spans="2:16" s="14" customFormat="1" ht="27.65" customHeight="1" x14ac:dyDescent="0.35">
      <c r="B5" s="79" t="s">
        <v>7</v>
      </c>
      <c r="C5" s="79"/>
      <c r="D5" s="10">
        <v>90227898</v>
      </c>
      <c r="E5" s="11"/>
      <c r="F5" s="11"/>
      <c r="G5" s="12"/>
      <c r="H5" s="12"/>
      <c r="I5" s="12"/>
      <c r="J5" s="12"/>
      <c r="K5" s="13"/>
      <c r="N5"/>
      <c r="P5" t="s">
        <v>8</v>
      </c>
    </row>
    <row r="6" spans="2:16" x14ac:dyDescent="0.35">
      <c r="B6" s="15"/>
      <c r="K6" s="16"/>
      <c r="P6" t="s">
        <v>9</v>
      </c>
    </row>
    <row r="7" spans="2:16" s="14" customFormat="1" x14ac:dyDescent="0.35">
      <c r="B7" s="79" t="s">
        <v>12</v>
      </c>
      <c r="C7" s="79"/>
      <c r="D7" s="17" t="s">
        <v>2</v>
      </c>
      <c r="E7" s="18"/>
      <c r="F7" s="18"/>
      <c r="G7" s="12"/>
      <c r="H7" s="12"/>
      <c r="I7" s="12"/>
      <c r="J7" s="12"/>
      <c r="K7" s="13"/>
      <c r="N7"/>
      <c r="P7" t="s">
        <v>13</v>
      </c>
    </row>
    <row r="8" spans="2:16" s="14" customFormat="1" x14ac:dyDescent="0.35">
      <c r="B8" s="19"/>
      <c r="C8" s="20"/>
      <c r="D8" s="18"/>
      <c r="E8" s="18"/>
      <c r="F8" s="18"/>
      <c r="G8" s="12"/>
      <c r="H8" s="12"/>
      <c r="I8" s="12"/>
      <c r="J8" s="12"/>
      <c r="K8" s="13"/>
      <c r="N8"/>
      <c r="P8" t="s">
        <v>14</v>
      </c>
    </row>
    <row r="9" spans="2:16" s="14" customFormat="1" x14ac:dyDescent="0.35">
      <c r="B9" s="79" t="s">
        <v>15</v>
      </c>
      <c r="C9" s="79"/>
      <c r="D9" s="21">
        <v>46053</v>
      </c>
      <c r="E9" s="22"/>
      <c r="F9" s="22"/>
      <c r="G9" s="12"/>
      <c r="H9" s="12"/>
      <c r="I9" s="12"/>
      <c r="J9" s="12"/>
      <c r="K9" s="13"/>
      <c r="N9"/>
      <c r="P9" t="s">
        <v>16</v>
      </c>
    </row>
    <row r="10" spans="2:16" x14ac:dyDescent="0.35">
      <c r="B10" s="23"/>
      <c r="C10" s="24"/>
      <c r="K10" s="25"/>
      <c r="P10" t="s">
        <v>17</v>
      </c>
    </row>
    <row r="11" spans="2:16" ht="26.9" customHeight="1" x14ac:dyDescent="0.35">
      <c r="B11" s="66" t="s">
        <v>18</v>
      </c>
      <c r="C11" s="66"/>
      <c r="D11" s="66"/>
      <c r="E11" s="66"/>
      <c r="F11" s="66"/>
      <c r="G11" s="66"/>
      <c r="H11" s="79" t="s">
        <v>19</v>
      </c>
      <c r="I11" s="79"/>
      <c r="J11" s="79" t="s">
        <v>20</v>
      </c>
      <c r="K11" s="79"/>
      <c r="P11" t="s">
        <v>21</v>
      </c>
    </row>
    <row r="12" spans="2:16" ht="57.65" customHeight="1" x14ac:dyDescent="0.35"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29</v>
      </c>
      <c r="P12" t="s">
        <v>31</v>
      </c>
    </row>
    <row r="13" spans="2:16" ht="57.5" x14ac:dyDescent="0.35">
      <c r="B13" s="27">
        <v>3</v>
      </c>
      <c r="C13" s="28" t="s">
        <v>43</v>
      </c>
      <c r="D13" s="29" t="s">
        <v>77</v>
      </c>
      <c r="E13" s="30" t="s">
        <v>79</v>
      </c>
      <c r="F13" s="31" t="s">
        <v>32</v>
      </c>
      <c r="G13" s="32">
        <v>16</v>
      </c>
      <c r="H13" s="32">
        <v>1</v>
      </c>
      <c r="I13" s="1">
        <f>IFERROR(H13/G13,0)</f>
        <v>6.25E-2</v>
      </c>
      <c r="J13" s="33">
        <f>+H13+DICIEMBRE!J13</f>
        <v>12</v>
      </c>
      <c r="K13" s="60">
        <f>IFERROR(J13/G13,0)</f>
        <v>0.75</v>
      </c>
    </row>
    <row r="14" spans="2:16" ht="92" x14ac:dyDescent="0.35">
      <c r="B14" s="34">
        <v>3</v>
      </c>
      <c r="C14" s="35" t="s">
        <v>44</v>
      </c>
      <c r="D14" s="36" t="s">
        <v>78</v>
      </c>
      <c r="E14" s="37" t="s">
        <v>80</v>
      </c>
      <c r="F14" s="35" t="s">
        <v>32</v>
      </c>
      <c r="G14" s="38">
        <v>16</v>
      </c>
      <c r="H14" s="39">
        <v>1</v>
      </c>
      <c r="I14" s="2">
        <f>IFERROR(H14/G14,0)</f>
        <v>6.25E-2</v>
      </c>
      <c r="J14" s="40">
        <f>+H14+DICIEMBRE!J14</f>
        <v>12</v>
      </c>
      <c r="K14" s="61">
        <f>IFERROR(J14/G14,0)</f>
        <v>0.75</v>
      </c>
    </row>
    <row r="15" spans="2:16" ht="23" x14ac:dyDescent="0.35">
      <c r="B15" s="34">
        <v>3</v>
      </c>
      <c r="C15" s="35" t="s">
        <v>45</v>
      </c>
      <c r="D15" s="41" t="s">
        <v>61</v>
      </c>
      <c r="E15" s="37" t="s">
        <v>81</v>
      </c>
      <c r="F15" s="35" t="s">
        <v>32</v>
      </c>
      <c r="G15" s="38">
        <v>16</v>
      </c>
      <c r="H15" s="42">
        <v>1</v>
      </c>
      <c r="I15" s="2">
        <f t="shared" ref="I15:I30" si="0">IFERROR(H15/G15,0)</f>
        <v>6.25E-2</v>
      </c>
      <c r="J15" s="40">
        <f>+H15+DICIEMBRE!J15</f>
        <v>12</v>
      </c>
      <c r="K15" s="61">
        <f t="shared" ref="K15:K30" si="1">IFERROR(J15/G15,0)</f>
        <v>0.75</v>
      </c>
    </row>
    <row r="16" spans="2:16" ht="23" x14ac:dyDescent="0.35">
      <c r="B16" s="34">
        <v>3</v>
      </c>
      <c r="C16" s="35" t="s">
        <v>46</v>
      </c>
      <c r="D16" s="41" t="s">
        <v>62</v>
      </c>
      <c r="E16" s="37" t="s">
        <v>81</v>
      </c>
      <c r="F16" s="35" t="s">
        <v>32</v>
      </c>
      <c r="G16" s="38">
        <v>16</v>
      </c>
      <c r="H16" s="42">
        <v>2</v>
      </c>
      <c r="I16" s="2">
        <f t="shared" si="0"/>
        <v>0.125</v>
      </c>
      <c r="J16" s="40">
        <f>+H16+DICIEMBRE!J16</f>
        <v>13</v>
      </c>
      <c r="K16" s="61">
        <f t="shared" si="1"/>
        <v>0.8125</v>
      </c>
    </row>
    <row r="17" spans="2:16" ht="57.5" x14ac:dyDescent="0.35">
      <c r="B17" s="34">
        <v>3</v>
      </c>
      <c r="C17" s="35" t="s">
        <v>47</v>
      </c>
      <c r="D17" s="41" t="s">
        <v>63</v>
      </c>
      <c r="E17" s="37" t="s">
        <v>82</v>
      </c>
      <c r="F17" s="35" t="s">
        <v>32</v>
      </c>
      <c r="G17" s="38">
        <v>16</v>
      </c>
      <c r="H17" s="42">
        <v>3</v>
      </c>
      <c r="I17" s="2">
        <f t="shared" si="0"/>
        <v>0.1875</v>
      </c>
      <c r="J17" s="40">
        <f>+H17+DICIEMBRE!J17</f>
        <v>14</v>
      </c>
      <c r="K17" s="61">
        <f t="shared" si="1"/>
        <v>0.875</v>
      </c>
    </row>
    <row r="18" spans="2:16" ht="57.5" x14ac:dyDescent="0.35">
      <c r="B18" s="34">
        <v>3</v>
      </c>
      <c r="C18" s="35" t="s">
        <v>48</v>
      </c>
      <c r="D18" s="41" t="s">
        <v>64</v>
      </c>
      <c r="E18" s="37" t="s">
        <v>83</v>
      </c>
      <c r="F18" s="35" t="s">
        <v>32</v>
      </c>
      <c r="G18" s="38">
        <v>16</v>
      </c>
      <c r="H18" s="42">
        <v>1</v>
      </c>
      <c r="I18" s="2">
        <f t="shared" si="0"/>
        <v>6.25E-2</v>
      </c>
      <c r="J18" s="40">
        <f>+H18+DICIEMBRE!J18</f>
        <v>12</v>
      </c>
      <c r="K18" s="61">
        <f t="shared" si="1"/>
        <v>0.75</v>
      </c>
    </row>
    <row r="19" spans="2:16" ht="34.5" x14ac:dyDescent="0.35">
      <c r="B19" s="34">
        <v>3</v>
      </c>
      <c r="C19" s="35" t="s">
        <v>49</v>
      </c>
      <c r="D19" s="41" t="s">
        <v>65</v>
      </c>
      <c r="E19" s="37" t="s">
        <v>84</v>
      </c>
      <c r="F19" s="35" t="s">
        <v>32</v>
      </c>
      <c r="G19" s="38">
        <v>16</v>
      </c>
      <c r="H19" s="42">
        <v>1</v>
      </c>
      <c r="I19" s="2">
        <f t="shared" si="0"/>
        <v>6.25E-2</v>
      </c>
      <c r="J19" s="40">
        <f>+H19+DICIEMBRE!J19</f>
        <v>12</v>
      </c>
      <c r="K19" s="61">
        <f t="shared" si="1"/>
        <v>0.75</v>
      </c>
    </row>
    <row r="20" spans="2:16" ht="34.5" x14ac:dyDescent="0.35">
      <c r="B20" s="34">
        <v>3</v>
      </c>
      <c r="C20" s="35" t="s">
        <v>50</v>
      </c>
      <c r="D20" s="41" t="s">
        <v>66</v>
      </c>
      <c r="E20" s="37" t="s">
        <v>85</v>
      </c>
      <c r="F20" s="35" t="s">
        <v>32</v>
      </c>
      <c r="G20" s="38">
        <v>16</v>
      </c>
      <c r="H20" s="42">
        <v>1</v>
      </c>
      <c r="I20" s="2">
        <f t="shared" si="0"/>
        <v>6.25E-2</v>
      </c>
      <c r="J20" s="40">
        <f>+H20+DICIEMBRE!J20</f>
        <v>12</v>
      </c>
      <c r="K20" s="61">
        <f t="shared" si="1"/>
        <v>0.75</v>
      </c>
    </row>
    <row r="21" spans="2:16" ht="34.5" x14ac:dyDescent="0.35">
      <c r="B21" s="43">
        <v>5</v>
      </c>
      <c r="C21" s="35" t="s">
        <v>51</v>
      </c>
      <c r="D21" s="41" t="s">
        <v>67</v>
      </c>
      <c r="E21" s="37" t="s">
        <v>84</v>
      </c>
      <c r="F21" s="35" t="s">
        <v>32</v>
      </c>
      <c r="G21" s="38">
        <v>16</v>
      </c>
      <c r="H21" s="42">
        <v>3</v>
      </c>
      <c r="I21" s="2">
        <f t="shared" si="0"/>
        <v>0.1875</v>
      </c>
      <c r="J21" s="40">
        <f>+H21+DICIEMBRE!J21</f>
        <v>14</v>
      </c>
      <c r="K21" s="61">
        <f t="shared" si="1"/>
        <v>0.875</v>
      </c>
    </row>
    <row r="22" spans="2:16" ht="34.5" x14ac:dyDescent="0.35">
      <c r="B22" s="43">
        <v>5</v>
      </c>
      <c r="C22" s="35" t="s">
        <v>52</v>
      </c>
      <c r="D22" s="41" t="s">
        <v>68</v>
      </c>
      <c r="E22" s="37" t="s">
        <v>85</v>
      </c>
      <c r="F22" s="35" t="s">
        <v>32</v>
      </c>
      <c r="G22" s="38">
        <v>16</v>
      </c>
      <c r="H22" s="42">
        <v>1</v>
      </c>
      <c r="I22" s="2">
        <f t="shared" si="0"/>
        <v>6.25E-2</v>
      </c>
      <c r="J22" s="40">
        <f>+H22+DICIEMBRE!J22</f>
        <v>12</v>
      </c>
      <c r="K22" s="61">
        <f t="shared" si="1"/>
        <v>0.75</v>
      </c>
    </row>
    <row r="23" spans="2:16" ht="34.5" x14ac:dyDescent="0.35">
      <c r="B23" s="43">
        <v>5</v>
      </c>
      <c r="C23" s="35" t="s">
        <v>53</v>
      </c>
      <c r="D23" s="41" t="s">
        <v>69</v>
      </c>
      <c r="E23" s="37" t="s">
        <v>85</v>
      </c>
      <c r="F23" s="35" t="s">
        <v>32</v>
      </c>
      <c r="G23" s="38">
        <v>16</v>
      </c>
      <c r="H23" s="42">
        <v>1</v>
      </c>
      <c r="I23" s="2">
        <f t="shared" si="0"/>
        <v>6.25E-2</v>
      </c>
      <c r="J23" s="40">
        <f>+H23+DICIEMBRE!J23</f>
        <v>12</v>
      </c>
      <c r="K23" s="61">
        <f t="shared" si="1"/>
        <v>0.75</v>
      </c>
    </row>
    <row r="24" spans="2:16" ht="46" x14ac:dyDescent="0.35">
      <c r="B24" s="43">
        <v>5</v>
      </c>
      <c r="C24" s="35" t="s">
        <v>54</v>
      </c>
      <c r="D24" s="41" t="s">
        <v>70</v>
      </c>
      <c r="E24" s="37" t="s">
        <v>85</v>
      </c>
      <c r="F24" s="35" t="s">
        <v>32</v>
      </c>
      <c r="G24" s="38">
        <v>16</v>
      </c>
      <c r="H24" s="42">
        <v>2</v>
      </c>
      <c r="I24" s="2">
        <f t="shared" si="0"/>
        <v>0.125</v>
      </c>
      <c r="J24" s="40">
        <f>+H24+DICIEMBRE!J24</f>
        <v>13</v>
      </c>
      <c r="K24" s="61">
        <f t="shared" si="1"/>
        <v>0.8125</v>
      </c>
    </row>
    <row r="25" spans="2:16" ht="46" x14ac:dyDescent="0.35">
      <c r="B25" s="43">
        <v>5</v>
      </c>
      <c r="C25" s="35" t="s">
        <v>55</v>
      </c>
      <c r="D25" s="41" t="s">
        <v>71</v>
      </c>
      <c r="E25" s="37" t="s">
        <v>85</v>
      </c>
      <c r="F25" s="35" t="s">
        <v>32</v>
      </c>
      <c r="G25" s="38">
        <v>16</v>
      </c>
      <c r="H25" s="42">
        <v>1</v>
      </c>
      <c r="I25" s="2">
        <f t="shared" si="0"/>
        <v>6.25E-2</v>
      </c>
      <c r="J25" s="40">
        <f>+H25+DICIEMBRE!J25</f>
        <v>12</v>
      </c>
      <c r="K25" s="61">
        <f t="shared" si="1"/>
        <v>0.75</v>
      </c>
    </row>
    <row r="26" spans="2:16" ht="46" x14ac:dyDescent="0.35">
      <c r="B26" s="43">
        <v>5</v>
      </c>
      <c r="C26" s="35" t="s">
        <v>56</v>
      </c>
      <c r="D26" s="41" t="s">
        <v>72</v>
      </c>
      <c r="E26" s="37" t="s">
        <v>85</v>
      </c>
      <c r="F26" s="35" t="s">
        <v>32</v>
      </c>
      <c r="G26" s="38">
        <v>16</v>
      </c>
      <c r="H26" s="42">
        <v>3</v>
      </c>
      <c r="I26" s="2">
        <f t="shared" si="0"/>
        <v>0.1875</v>
      </c>
      <c r="J26" s="40">
        <f>+H26+DICIEMBRE!J26</f>
        <v>14</v>
      </c>
      <c r="K26" s="61">
        <f t="shared" si="1"/>
        <v>0.875</v>
      </c>
    </row>
    <row r="27" spans="2:16" ht="46" x14ac:dyDescent="0.35">
      <c r="B27" s="43">
        <v>5</v>
      </c>
      <c r="C27" s="35" t="s">
        <v>57</v>
      </c>
      <c r="D27" s="41" t="s">
        <v>73</v>
      </c>
      <c r="E27" s="37" t="s">
        <v>85</v>
      </c>
      <c r="F27" s="35" t="s">
        <v>32</v>
      </c>
      <c r="G27" s="38">
        <v>16</v>
      </c>
      <c r="H27" s="42">
        <v>1</v>
      </c>
      <c r="I27" s="2">
        <f t="shared" si="0"/>
        <v>6.25E-2</v>
      </c>
      <c r="J27" s="40">
        <f>+H27+DICIEMBRE!J27</f>
        <v>12</v>
      </c>
      <c r="K27" s="61">
        <f t="shared" si="1"/>
        <v>0.75</v>
      </c>
    </row>
    <row r="28" spans="2:16" ht="46" x14ac:dyDescent="0.35">
      <c r="B28" s="43">
        <v>5</v>
      </c>
      <c r="C28" s="35" t="s">
        <v>58</v>
      </c>
      <c r="D28" s="41" t="s">
        <v>74</v>
      </c>
      <c r="E28" s="37" t="s">
        <v>85</v>
      </c>
      <c r="F28" s="35" t="s">
        <v>32</v>
      </c>
      <c r="G28" s="38">
        <v>16</v>
      </c>
      <c r="H28" s="42">
        <v>1</v>
      </c>
      <c r="I28" s="2">
        <f t="shared" si="0"/>
        <v>6.25E-2</v>
      </c>
      <c r="J28" s="40">
        <f>+H28+DICIEMBRE!J28</f>
        <v>12</v>
      </c>
      <c r="K28" s="61">
        <f t="shared" si="1"/>
        <v>0.75</v>
      </c>
    </row>
    <row r="29" spans="2:16" ht="34.5" x14ac:dyDescent="0.35">
      <c r="B29" s="43">
        <v>5</v>
      </c>
      <c r="C29" s="35" t="s">
        <v>59</v>
      </c>
      <c r="D29" s="41" t="s">
        <v>75</v>
      </c>
      <c r="E29" s="37" t="s">
        <v>85</v>
      </c>
      <c r="F29" s="35" t="s">
        <v>32</v>
      </c>
      <c r="G29" s="38">
        <v>16</v>
      </c>
      <c r="H29" s="42">
        <v>3</v>
      </c>
      <c r="I29" s="2">
        <f t="shared" si="0"/>
        <v>0.1875</v>
      </c>
      <c r="J29" s="40">
        <f>+H29+DICIEMBRE!J29</f>
        <v>14</v>
      </c>
      <c r="K29" s="61">
        <f t="shared" si="1"/>
        <v>0.875</v>
      </c>
    </row>
    <row r="30" spans="2:16" ht="57.5" x14ac:dyDescent="0.35">
      <c r="B30" s="44">
        <v>5</v>
      </c>
      <c r="C30" s="45" t="s">
        <v>60</v>
      </c>
      <c r="D30" s="46" t="s">
        <v>76</v>
      </c>
      <c r="E30" s="47" t="s">
        <v>85</v>
      </c>
      <c r="F30" s="45" t="s">
        <v>32</v>
      </c>
      <c r="G30" s="48">
        <v>16</v>
      </c>
      <c r="H30" s="48">
        <v>3</v>
      </c>
      <c r="I30" s="4">
        <f t="shared" si="0"/>
        <v>0.1875</v>
      </c>
      <c r="J30" s="49">
        <f>+H30+DICIEMBRE!J30</f>
        <v>14</v>
      </c>
      <c r="K30" s="62">
        <f t="shared" si="1"/>
        <v>0.875</v>
      </c>
    </row>
    <row r="31" spans="2:16" s="14" customFormat="1" x14ac:dyDescent="0.35">
      <c r="B31" s="12"/>
      <c r="C31" s="12"/>
      <c r="D31" s="12"/>
      <c r="E31" s="12"/>
      <c r="F31" s="20"/>
      <c r="G31" s="72" t="str">
        <f>+CONCATENATE("TOTAL A ",D7)</f>
        <v>TOTAL A ENERO</v>
      </c>
      <c r="H31" s="73"/>
      <c r="I31" s="74"/>
      <c r="J31" s="72" t="s">
        <v>33</v>
      </c>
      <c r="K31" s="74"/>
      <c r="N31" s="50"/>
      <c r="P31" s="50"/>
    </row>
    <row r="32" spans="2:16" x14ac:dyDescent="0.35">
      <c r="B32" s="12"/>
      <c r="C32" s="12"/>
      <c r="D32" s="14"/>
      <c r="E32" s="14"/>
      <c r="F32" s="14"/>
      <c r="G32" s="51">
        <f>+SUM(G13:G30)</f>
        <v>288</v>
      </c>
      <c r="H32" s="51">
        <f>+SUM(H13:H30)</f>
        <v>30</v>
      </c>
      <c r="I32" s="3">
        <f>IFERROR(H32/G32,0)</f>
        <v>0.10416666666666667</v>
      </c>
      <c r="J32" s="52">
        <f>+SUM(J13:J30)</f>
        <v>228</v>
      </c>
      <c r="K32" s="3">
        <f>IFERROR(J32/G32,0)</f>
        <v>0.79166666666666663</v>
      </c>
    </row>
    <row r="34" spans="2:16" x14ac:dyDescent="0.35">
      <c r="B34" s="66" t="s">
        <v>34</v>
      </c>
      <c r="C34" s="66"/>
      <c r="D34" s="67" t="s">
        <v>35</v>
      </c>
      <c r="E34" s="68"/>
      <c r="F34" s="68"/>
      <c r="G34" s="68"/>
      <c r="H34" s="68"/>
      <c r="I34" s="68"/>
      <c r="J34" s="68"/>
      <c r="K34" s="68"/>
    </row>
    <row r="35" spans="2:16" x14ac:dyDescent="0.35">
      <c r="B35" s="69" t="s">
        <v>36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6" x14ac:dyDescent="0.35"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2:16" x14ac:dyDescent="0.35">
      <c r="B37" s="53" t="s">
        <v>37</v>
      </c>
      <c r="C37" s="54"/>
      <c r="D37" s="54"/>
      <c r="E37" s="54"/>
      <c r="F37" s="54"/>
      <c r="G37" s="54"/>
      <c r="H37" s="54"/>
      <c r="I37" s="54"/>
      <c r="J37" s="54"/>
      <c r="K37" s="55"/>
    </row>
    <row r="38" spans="2:16" ht="24.5" x14ac:dyDescent="0.45">
      <c r="B38" s="56" t="s">
        <v>38</v>
      </c>
      <c r="C38" s="57"/>
      <c r="D38" s="70" t="s">
        <v>35</v>
      </c>
      <c r="E38" s="70"/>
      <c r="F38" s="70"/>
      <c r="G38" s="70"/>
      <c r="H38" s="70"/>
      <c r="I38" s="70"/>
      <c r="J38" s="70"/>
      <c r="K38" s="70"/>
    </row>
    <row r="39" spans="2:16" ht="24.5" x14ac:dyDescent="0.45">
      <c r="B39" s="56" t="s">
        <v>39</v>
      </c>
      <c r="C39" s="57"/>
      <c r="D39" s="70"/>
      <c r="E39" s="70"/>
      <c r="F39" s="70"/>
      <c r="G39" s="70"/>
      <c r="H39" s="70"/>
      <c r="I39" s="70"/>
      <c r="J39" s="70"/>
      <c r="K39" s="70"/>
    </row>
    <row r="40" spans="2:16" s="14" customFormat="1" x14ac:dyDescent="0.35">
      <c r="B40" s="71" t="s">
        <v>36</v>
      </c>
      <c r="C40" s="71"/>
      <c r="D40" s="71"/>
      <c r="E40" s="71"/>
      <c r="F40" s="71"/>
      <c r="G40" s="71"/>
      <c r="H40" s="71"/>
      <c r="I40" s="71"/>
      <c r="J40" s="71"/>
      <c r="K40" s="71"/>
      <c r="N40" s="50"/>
      <c r="P40" s="50"/>
    </row>
    <row r="41" spans="2:16" x14ac:dyDescent="0.35"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2:16" x14ac:dyDescent="0.35">
      <c r="B42" s="53" t="s">
        <v>40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2:16" ht="24.5" x14ac:dyDescent="0.45">
      <c r="B43" s="56" t="s">
        <v>38</v>
      </c>
      <c r="C43" s="57"/>
      <c r="D43" s="70" t="s">
        <v>35</v>
      </c>
      <c r="E43" s="70"/>
      <c r="F43" s="70"/>
      <c r="G43" s="70"/>
      <c r="H43" s="70"/>
      <c r="I43" s="70"/>
      <c r="J43" s="70"/>
      <c r="K43" s="70"/>
    </row>
    <row r="44" spans="2:16" ht="24.5" x14ac:dyDescent="0.45">
      <c r="B44" s="56" t="s">
        <v>39</v>
      </c>
      <c r="C44" s="57"/>
      <c r="D44" s="70"/>
      <c r="E44" s="70"/>
      <c r="F44" s="70"/>
      <c r="G44" s="70"/>
      <c r="H44" s="70"/>
      <c r="I44" s="70"/>
      <c r="J44" s="70"/>
      <c r="K44" s="70"/>
    </row>
    <row r="47" spans="2:16" s="14" customFormat="1" ht="16.5" customHeight="1" x14ac:dyDescent="0.35">
      <c r="B47" s="63"/>
      <c r="C47" s="63"/>
      <c r="D47" s="63"/>
      <c r="E47" s="5"/>
      <c r="F47" s="5"/>
      <c r="G47" s="63"/>
      <c r="H47" s="63"/>
      <c r="I47" s="63"/>
      <c r="J47" s="63"/>
      <c r="K47" s="5"/>
      <c r="N47"/>
      <c r="P47"/>
    </row>
    <row r="48" spans="2:16" x14ac:dyDescent="0.35">
      <c r="B48" s="12" t="s">
        <v>41</v>
      </c>
      <c r="C48" s="64"/>
      <c r="D48" s="64"/>
      <c r="G48" s="12" t="s">
        <v>42</v>
      </c>
      <c r="H48" s="65" t="s">
        <v>86</v>
      </c>
      <c r="I48" s="65"/>
      <c r="J48" s="65"/>
    </row>
    <row r="49" ht="80" customHeight="1" x14ac:dyDescent="0.35"/>
    <row r="51" ht="20.149999999999999" customHeight="1" x14ac:dyDescent="0.35"/>
    <row r="52" ht="19.399999999999999" customHeight="1" x14ac:dyDescent="0.35"/>
    <row r="53" ht="20.149999999999999" customHeight="1" x14ac:dyDescent="0.35"/>
    <row r="54" ht="20.149999999999999" customHeight="1" x14ac:dyDescent="0.35"/>
    <row r="56" ht="15" customHeight="1" x14ac:dyDescent="0.35"/>
    <row r="58" ht="20.149999999999999" customHeight="1" x14ac:dyDescent="0.35"/>
    <row r="59" ht="20.149999999999999" customHeight="1" x14ac:dyDescent="0.35"/>
    <row r="62" ht="19.5" customHeight="1" x14ac:dyDescent="0.35"/>
    <row r="63" ht="23.9" customHeight="1" x14ac:dyDescent="0.35"/>
    <row r="80" spans="2:2" x14ac:dyDescent="0.35">
      <c r="B80" s="6"/>
    </row>
    <row r="81" spans="1:17" x14ac:dyDescent="0.35">
      <c r="B81" s="6"/>
    </row>
    <row r="82" spans="1:17" x14ac:dyDescent="0.35">
      <c r="B82" s="6"/>
    </row>
    <row r="83" spans="1:17" x14ac:dyDescent="0.35">
      <c r="B83" s="14"/>
    </row>
    <row r="84" spans="1:17" x14ac:dyDescent="0.35">
      <c r="B84" s="6"/>
    </row>
    <row r="85" spans="1:17" x14ac:dyDescent="0.35">
      <c r="B85" s="14"/>
    </row>
    <row r="86" spans="1:17" x14ac:dyDescent="0.35">
      <c r="B86" s="14"/>
    </row>
    <row r="87" spans="1:17" x14ac:dyDescent="0.35">
      <c r="B87" s="14"/>
    </row>
    <row r="88" spans="1:17" x14ac:dyDescent="0.35">
      <c r="B88" s="14"/>
    </row>
    <row r="89" spans="1:17" x14ac:dyDescent="0.35">
      <c r="B89" s="14"/>
    </row>
    <row r="90" spans="1:17" x14ac:dyDescent="0.35">
      <c r="B90" s="6"/>
    </row>
    <row r="91" spans="1:17" x14ac:dyDescent="0.35">
      <c r="B91" s="6"/>
    </row>
    <row r="92" spans="1:17" x14ac:dyDescent="0.35">
      <c r="B92" s="6"/>
    </row>
    <row r="95" spans="1:17" s="5" customFormat="1" hidden="1" x14ac:dyDescent="0.35">
      <c r="A95" t="s">
        <v>0</v>
      </c>
      <c r="L95" s="6"/>
      <c r="M95" s="6"/>
      <c r="N95"/>
      <c r="O95" s="6"/>
      <c r="P95"/>
      <c r="Q95" s="6"/>
    </row>
    <row r="96" spans="1:17" s="5" customFormat="1" hidden="1" x14ac:dyDescent="0.35">
      <c r="A96" t="s">
        <v>2</v>
      </c>
      <c r="L96" s="6"/>
      <c r="M96" s="6"/>
      <c r="N96"/>
      <c r="O96" s="6"/>
      <c r="P96"/>
      <c r="Q96" s="6"/>
    </row>
    <row r="97" spans="1:17" s="5" customFormat="1" hidden="1" x14ac:dyDescent="0.35">
      <c r="A97" t="s">
        <v>6</v>
      </c>
      <c r="L97" s="6"/>
      <c r="M97" s="6"/>
      <c r="N97"/>
      <c r="O97" s="6"/>
      <c r="P97"/>
      <c r="Q97" s="6"/>
    </row>
    <row r="98" spans="1:17" s="5" customFormat="1" hidden="1" x14ac:dyDescent="0.35">
      <c r="A98" t="s">
        <v>8</v>
      </c>
      <c r="L98" s="6"/>
      <c r="M98" s="6"/>
      <c r="N98"/>
      <c r="O98" s="6"/>
      <c r="P98"/>
      <c r="Q98" s="6"/>
    </row>
    <row r="99" spans="1:17" s="5" customFormat="1" hidden="1" x14ac:dyDescent="0.35">
      <c r="A99" t="s">
        <v>9</v>
      </c>
      <c r="L99" s="6"/>
      <c r="M99" s="6"/>
      <c r="N99"/>
      <c r="O99" s="6"/>
      <c r="P99"/>
      <c r="Q99" s="6"/>
    </row>
    <row r="100" spans="1:17" s="5" customFormat="1" hidden="1" x14ac:dyDescent="0.35">
      <c r="A100" t="s">
        <v>10</v>
      </c>
      <c r="L100" s="6"/>
      <c r="M100" s="6"/>
      <c r="N100"/>
      <c r="O100" s="6"/>
      <c r="P100"/>
      <c r="Q100" s="6"/>
    </row>
    <row r="101" spans="1:17" s="5" customFormat="1" hidden="1" x14ac:dyDescent="0.35">
      <c r="A101" t="s">
        <v>11</v>
      </c>
      <c r="L101" s="6"/>
      <c r="M101" s="6"/>
      <c r="N101"/>
      <c r="O101" s="6"/>
      <c r="P101"/>
      <c r="Q101" s="6"/>
    </row>
    <row r="102" spans="1:17" s="5" customFormat="1" hidden="1" x14ac:dyDescent="0.35">
      <c r="A102" t="s">
        <v>13</v>
      </c>
      <c r="L102" s="6"/>
      <c r="M102" s="6"/>
      <c r="N102"/>
      <c r="O102" s="6"/>
      <c r="P102"/>
      <c r="Q102" s="6"/>
    </row>
    <row r="103" spans="1:17" s="5" customFormat="1" hidden="1" x14ac:dyDescent="0.35">
      <c r="A103" t="s">
        <v>14</v>
      </c>
      <c r="L103" s="6"/>
      <c r="M103" s="6"/>
      <c r="N103"/>
      <c r="O103" s="6"/>
      <c r="P103"/>
      <c r="Q103" s="6"/>
    </row>
    <row r="104" spans="1:17" s="5" customFormat="1" hidden="1" x14ac:dyDescent="0.35">
      <c r="A104" t="s">
        <v>16</v>
      </c>
      <c r="L104" s="6"/>
      <c r="M104" s="6"/>
      <c r="N104"/>
      <c r="O104" s="6"/>
      <c r="P104"/>
      <c r="Q104" s="6"/>
    </row>
    <row r="105" spans="1:17" s="5" customFormat="1" hidden="1" x14ac:dyDescent="0.35">
      <c r="A105" t="s">
        <v>17</v>
      </c>
      <c r="L105" s="6"/>
      <c r="M105" s="6"/>
      <c r="N105"/>
      <c r="O105" s="6"/>
      <c r="P105"/>
      <c r="Q105" s="6"/>
    </row>
    <row r="106" spans="1:17" s="5" customFormat="1" hidden="1" x14ac:dyDescent="0.35">
      <c r="A106" t="s">
        <v>21</v>
      </c>
      <c r="L106" s="6"/>
      <c r="M106" s="6"/>
      <c r="N106"/>
      <c r="O106" s="6"/>
      <c r="P106"/>
      <c r="Q106" s="6"/>
    </row>
    <row r="107" spans="1:17" s="5" customFormat="1" hidden="1" x14ac:dyDescent="0.35">
      <c r="A107" t="s">
        <v>31</v>
      </c>
      <c r="L107" s="6"/>
      <c r="M107" s="6"/>
      <c r="N107"/>
      <c r="O107" s="6"/>
      <c r="P107"/>
      <c r="Q107" s="6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B9:C9"/>
    <mergeCell ref="B11:G11"/>
    <mergeCell ref="H11:I11"/>
    <mergeCell ref="J11:K11"/>
    <mergeCell ref="G31:I31"/>
    <mergeCell ref="J31:K31"/>
    <mergeCell ref="B7:C7"/>
    <mergeCell ref="B2:K2"/>
    <mergeCell ref="B3:D3"/>
    <mergeCell ref="E3:H3"/>
    <mergeCell ref="I3:K3"/>
    <mergeCell ref="B5:C5"/>
  </mergeCells>
  <conditionalFormatting sqref="G32">
    <cfRule type="cellIs" dxfId="3" priority="2" operator="greaterThan">
      <formula>350</formula>
    </cfRule>
  </conditionalFormatting>
  <conditionalFormatting sqref="K13:K30">
    <cfRule type="cellIs" dxfId="2" priority="1" operator="greaterThan">
      <formula>1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13:H3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32 G13:G3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$A$96:$A$107</formula1>
    </dataValidation>
  </dataValidations>
  <pageMargins left="0.7" right="0.7" top="0.75" bottom="0.75" header="0.3" footer="0.3"/>
  <pageSetup scale="47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7"/>
  <sheetViews>
    <sheetView showGridLines="0" tabSelected="1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4.453125" style="6" customWidth="1"/>
    <col min="2" max="2" width="15.6328125" style="5" customWidth="1"/>
    <col min="3" max="3" width="8.54296875" style="5" bestFit="1" customWidth="1"/>
    <col min="4" max="4" width="43.36328125" style="5" customWidth="1"/>
    <col min="5" max="5" width="14.08984375" style="5" bestFit="1" customWidth="1"/>
    <col min="6" max="6" width="13.453125" style="5" customWidth="1"/>
    <col min="7" max="7" width="13.6328125" style="5" customWidth="1"/>
    <col min="8" max="8" width="13.453125" style="5" customWidth="1"/>
    <col min="9" max="9" width="10.453125" style="5" customWidth="1"/>
    <col min="10" max="10" width="12.453125" style="5" customWidth="1"/>
    <col min="11" max="11" width="12.36328125" style="5" customWidth="1"/>
    <col min="12" max="12" width="6.6328125" style="6" customWidth="1"/>
    <col min="13" max="13" width="16.453125" style="6" customWidth="1"/>
    <col min="15" max="15" width="16.453125" style="6" customWidth="1"/>
    <col min="16" max="16" width="0" hidden="1" customWidth="1"/>
    <col min="17" max="17" width="16.453125" style="6" customWidth="1"/>
    <col min="18" max="16384" width="8.6328125" style="6"/>
  </cols>
  <sheetData>
    <row r="1" spans="2:16" x14ac:dyDescent="0.35">
      <c r="P1" t="s">
        <v>0</v>
      </c>
    </row>
    <row r="2" spans="2:16" ht="49.5" customHeight="1" x14ac:dyDescent="0.35"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5"/>
      <c r="P2" t="s">
        <v>2</v>
      </c>
    </row>
    <row r="3" spans="2:16" ht="18.75" customHeight="1" x14ac:dyDescent="0.35">
      <c r="B3" s="76" t="s">
        <v>3</v>
      </c>
      <c r="C3" s="77"/>
      <c r="D3" s="77"/>
      <c r="E3" s="77" t="s">
        <v>4</v>
      </c>
      <c r="F3" s="77"/>
      <c r="G3" s="77"/>
      <c r="H3" s="77"/>
      <c r="I3" s="77" t="s">
        <v>5</v>
      </c>
      <c r="J3" s="77"/>
      <c r="K3" s="78"/>
    </row>
    <row r="4" spans="2:16" x14ac:dyDescent="0.35">
      <c r="B4" s="7"/>
      <c r="C4" s="8"/>
      <c r="K4" s="9"/>
      <c r="P4" t="s">
        <v>6</v>
      </c>
    </row>
    <row r="5" spans="2:16" s="14" customFormat="1" ht="27.65" customHeight="1" x14ac:dyDescent="0.35">
      <c r="B5" s="79" t="s">
        <v>7</v>
      </c>
      <c r="C5" s="79"/>
      <c r="D5" s="10">
        <v>90227898</v>
      </c>
      <c r="E5" s="11"/>
      <c r="F5" s="11"/>
      <c r="G5" s="12"/>
      <c r="H5" s="12"/>
      <c r="I5" s="12"/>
      <c r="J5" s="12"/>
      <c r="K5" s="13"/>
      <c r="N5"/>
      <c r="P5" t="s">
        <v>8</v>
      </c>
    </row>
    <row r="6" spans="2:16" x14ac:dyDescent="0.35">
      <c r="B6" s="15"/>
      <c r="K6" s="16"/>
      <c r="P6" t="s">
        <v>9</v>
      </c>
    </row>
    <row r="7" spans="2:16" s="14" customFormat="1" x14ac:dyDescent="0.35">
      <c r="B7" s="79" t="s">
        <v>12</v>
      </c>
      <c r="C7" s="79"/>
      <c r="D7" s="17" t="s">
        <v>6</v>
      </c>
      <c r="E7" s="18"/>
      <c r="F7" s="18"/>
      <c r="G7" s="12"/>
      <c r="H7" s="12"/>
      <c r="I7" s="12"/>
      <c r="J7" s="12"/>
      <c r="K7" s="13"/>
      <c r="N7"/>
      <c r="P7" t="s">
        <v>13</v>
      </c>
    </row>
    <row r="8" spans="2:16" s="14" customFormat="1" x14ac:dyDescent="0.35">
      <c r="B8" s="19"/>
      <c r="C8" s="20"/>
      <c r="D8" s="18"/>
      <c r="E8" s="18"/>
      <c r="F8" s="18"/>
      <c r="G8" s="12"/>
      <c r="H8" s="12"/>
      <c r="I8" s="12"/>
      <c r="J8" s="12"/>
      <c r="K8" s="13"/>
      <c r="N8"/>
      <c r="P8" t="s">
        <v>14</v>
      </c>
    </row>
    <row r="9" spans="2:16" s="14" customFormat="1" x14ac:dyDescent="0.35">
      <c r="B9" s="79" t="s">
        <v>15</v>
      </c>
      <c r="C9" s="79"/>
      <c r="D9" s="21">
        <v>46081</v>
      </c>
      <c r="E9" s="22"/>
      <c r="F9" s="22"/>
      <c r="G9" s="12"/>
      <c r="H9" s="12"/>
      <c r="I9" s="12"/>
      <c r="J9" s="12"/>
      <c r="K9" s="13"/>
      <c r="N9"/>
      <c r="P9" t="s">
        <v>16</v>
      </c>
    </row>
    <row r="10" spans="2:16" x14ac:dyDescent="0.35">
      <c r="B10" s="23"/>
      <c r="C10" s="24"/>
      <c r="K10" s="25"/>
      <c r="P10" t="s">
        <v>17</v>
      </c>
    </row>
    <row r="11" spans="2:16" ht="26.9" customHeight="1" x14ac:dyDescent="0.35">
      <c r="B11" s="66" t="s">
        <v>18</v>
      </c>
      <c r="C11" s="66"/>
      <c r="D11" s="66"/>
      <c r="E11" s="66"/>
      <c r="F11" s="66"/>
      <c r="G11" s="66"/>
      <c r="H11" s="79" t="s">
        <v>19</v>
      </c>
      <c r="I11" s="79"/>
      <c r="J11" s="79" t="s">
        <v>20</v>
      </c>
      <c r="K11" s="79"/>
      <c r="P11" t="s">
        <v>21</v>
      </c>
    </row>
    <row r="12" spans="2:16" ht="57.65" customHeight="1" x14ac:dyDescent="0.35">
      <c r="B12" s="26" t="s">
        <v>22</v>
      </c>
      <c r="C12" s="26" t="s">
        <v>23</v>
      </c>
      <c r="D12" s="26" t="s">
        <v>24</v>
      </c>
      <c r="E12" s="26" t="s">
        <v>25</v>
      </c>
      <c r="F12" s="26" t="s">
        <v>26</v>
      </c>
      <c r="G12" s="26" t="s">
        <v>27</v>
      </c>
      <c r="H12" s="26" t="s">
        <v>28</v>
      </c>
      <c r="I12" s="26" t="s">
        <v>29</v>
      </c>
      <c r="J12" s="26" t="s">
        <v>30</v>
      </c>
      <c r="K12" s="26" t="s">
        <v>29</v>
      </c>
      <c r="P12" t="s">
        <v>31</v>
      </c>
    </row>
    <row r="13" spans="2:16" ht="57.5" x14ac:dyDescent="0.35">
      <c r="B13" s="27">
        <v>3</v>
      </c>
      <c r="C13" s="28" t="s">
        <v>43</v>
      </c>
      <c r="D13" s="29" t="s">
        <v>77</v>
      </c>
      <c r="E13" s="30" t="s">
        <v>79</v>
      </c>
      <c r="F13" s="31" t="s">
        <v>32</v>
      </c>
      <c r="G13" s="32">
        <v>16</v>
      </c>
      <c r="H13" s="32">
        <v>2</v>
      </c>
      <c r="I13" s="1">
        <f>IFERROR(H13/G13,0)</f>
        <v>0.125</v>
      </c>
      <c r="J13" s="33">
        <f>+H13+'ENERO 2026'!J13</f>
        <v>14</v>
      </c>
      <c r="K13" s="60">
        <f>IFERROR(J13/G13,0)</f>
        <v>0.875</v>
      </c>
    </row>
    <row r="14" spans="2:16" ht="92" x14ac:dyDescent="0.35">
      <c r="B14" s="34">
        <v>3</v>
      </c>
      <c r="C14" s="35" t="s">
        <v>44</v>
      </c>
      <c r="D14" s="36" t="s">
        <v>78</v>
      </c>
      <c r="E14" s="37" t="s">
        <v>80</v>
      </c>
      <c r="F14" s="35" t="s">
        <v>32</v>
      </c>
      <c r="G14" s="38">
        <v>16</v>
      </c>
      <c r="H14" s="39">
        <v>2</v>
      </c>
      <c r="I14" s="2">
        <f>IFERROR(H14/G14,0)</f>
        <v>0.125</v>
      </c>
      <c r="J14" s="40">
        <f>+H14+'ENERO 2026'!J14</f>
        <v>14</v>
      </c>
      <c r="K14" s="61">
        <f>IFERROR(J14/G14,0)</f>
        <v>0.875</v>
      </c>
    </row>
    <row r="15" spans="2:16" ht="23" x14ac:dyDescent="0.35">
      <c r="B15" s="34">
        <v>3</v>
      </c>
      <c r="C15" s="35" t="s">
        <v>45</v>
      </c>
      <c r="D15" s="41" t="s">
        <v>61</v>
      </c>
      <c r="E15" s="37" t="s">
        <v>81</v>
      </c>
      <c r="F15" s="35" t="s">
        <v>32</v>
      </c>
      <c r="G15" s="38">
        <v>16</v>
      </c>
      <c r="H15" s="42">
        <v>2</v>
      </c>
      <c r="I15" s="2">
        <f t="shared" ref="I15:I30" si="0">IFERROR(H15/G15,0)</f>
        <v>0.125</v>
      </c>
      <c r="J15" s="40">
        <f>+H15+'ENERO 2026'!J15</f>
        <v>14</v>
      </c>
      <c r="K15" s="61">
        <f t="shared" ref="K15:K30" si="1">IFERROR(J15/G15,0)</f>
        <v>0.875</v>
      </c>
    </row>
    <row r="16" spans="2:16" ht="23" x14ac:dyDescent="0.35">
      <c r="B16" s="34">
        <v>3</v>
      </c>
      <c r="C16" s="35" t="s">
        <v>46</v>
      </c>
      <c r="D16" s="41" t="s">
        <v>62</v>
      </c>
      <c r="E16" s="37" t="s">
        <v>81</v>
      </c>
      <c r="F16" s="35" t="s">
        <v>32</v>
      </c>
      <c r="G16" s="38">
        <v>16</v>
      </c>
      <c r="H16" s="42">
        <v>2</v>
      </c>
      <c r="I16" s="2">
        <f t="shared" si="0"/>
        <v>0.125</v>
      </c>
      <c r="J16" s="40">
        <f>+H16+'ENERO 2026'!J16</f>
        <v>15</v>
      </c>
      <c r="K16" s="61">
        <f t="shared" si="1"/>
        <v>0.9375</v>
      </c>
    </row>
    <row r="17" spans="2:16" ht="57.5" x14ac:dyDescent="0.35">
      <c r="B17" s="34">
        <v>3</v>
      </c>
      <c r="C17" s="35" t="s">
        <v>47</v>
      </c>
      <c r="D17" s="41" t="s">
        <v>63</v>
      </c>
      <c r="E17" s="37" t="s">
        <v>82</v>
      </c>
      <c r="F17" s="35" t="s">
        <v>32</v>
      </c>
      <c r="G17" s="38">
        <v>16</v>
      </c>
      <c r="H17" s="42">
        <v>1</v>
      </c>
      <c r="I17" s="2">
        <f t="shared" si="0"/>
        <v>6.25E-2</v>
      </c>
      <c r="J17" s="40">
        <f>+H17+'ENERO 2026'!J17</f>
        <v>15</v>
      </c>
      <c r="K17" s="61">
        <f t="shared" si="1"/>
        <v>0.9375</v>
      </c>
    </row>
    <row r="18" spans="2:16" ht="57.5" x14ac:dyDescent="0.35">
      <c r="B18" s="34">
        <v>3</v>
      </c>
      <c r="C18" s="35" t="s">
        <v>48</v>
      </c>
      <c r="D18" s="41" t="s">
        <v>64</v>
      </c>
      <c r="E18" s="37" t="s">
        <v>83</v>
      </c>
      <c r="F18" s="35" t="s">
        <v>32</v>
      </c>
      <c r="G18" s="38">
        <v>16</v>
      </c>
      <c r="H18" s="42">
        <v>2</v>
      </c>
      <c r="I18" s="2">
        <f t="shared" si="0"/>
        <v>0.125</v>
      </c>
      <c r="J18" s="40">
        <f>+H18+'ENERO 2026'!J18</f>
        <v>14</v>
      </c>
      <c r="K18" s="61">
        <f t="shared" si="1"/>
        <v>0.875</v>
      </c>
    </row>
    <row r="19" spans="2:16" ht="34.5" x14ac:dyDescent="0.35">
      <c r="B19" s="34">
        <v>3</v>
      </c>
      <c r="C19" s="35" t="s">
        <v>49</v>
      </c>
      <c r="D19" s="41" t="s">
        <v>65</v>
      </c>
      <c r="E19" s="37" t="s">
        <v>84</v>
      </c>
      <c r="F19" s="35" t="s">
        <v>32</v>
      </c>
      <c r="G19" s="38">
        <v>16</v>
      </c>
      <c r="H19" s="42">
        <v>1</v>
      </c>
      <c r="I19" s="2">
        <f t="shared" si="0"/>
        <v>6.25E-2</v>
      </c>
      <c r="J19" s="40">
        <f>+H19+'ENERO 2026'!J19</f>
        <v>13</v>
      </c>
      <c r="K19" s="61">
        <f t="shared" si="1"/>
        <v>0.8125</v>
      </c>
    </row>
    <row r="20" spans="2:16" ht="34.5" x14ac:dyDescent="0.35">
      <c r="B20" s="34">
        <v>3</v>
      </c>
      <c r="C20" s="35" t="s">
        <v>50</v>
      </c>
      <c r="D20" s="41" t="s">
        <v>66</v>
      </c>
      <c r="E20" s="37" t="s">
        <v>85</v>
      </c>
      <c r="F20" s="35" t="s">
        <v>32</v>
      </c>
      <c r="G20" s="38">
        <v>16</v>
      </c>
      <c r="H20" s="42">
        <v>2</v>
      </c>
      <c r="I20" s="2">
        <f t="shared" si="0"/>
        <v>0.125</v>
      </c>
      <c r="J20" s="40">
        <f>+H20+'ENERO 2026'!J20</f>
        <v>14</v>
      </c>
      <c r="K20" s="61">
        <f t="shared" si="1"/>
        <v>0.875</v>
      </c>
    </row>
    <row r="21" spans="2:16" ht="34.5" x14ac:dyDescent="0.35">
      <c r="B21" s="43">
        <v>5</v>
      </c>
      <c r="C21" s="35" t="s">
        <v>51</v>
      </c>
      <c r="D21" s="41" t="s">
        <v>67</v>
      </c>
      <c r="E21" s="37" t="s">
        <v>84</v>
      </c>
      <c r="F21" s="35" t="s">
        <v>32</v>
      </c>
      <c r="G21" s="38">
        <v>16</v>
      </c>
      <c r="H21" s="42">
        <v>1</v>
      </c>
      <c r="I21" s="2">
        <f t="shared" si="0"/>
        <v>6.25E-2</v>
      </c>
      <c r="J21" s="40">
        <f>+H21+'ENERO 2026'!J21</f>
        <v>15</v>
      </c>
      <c r="K21" s="61">
        <f t="shared" si="1"/>
        <v>0.9375</v>
      </c>
    </row>
    <row r="22" spans="2:16" ht="34.5" x14ac:dyDescent="0.35">
      <c r="B22" s="43">
        <v>5</v>
      </c>
      <c r="C22" s="35" t="s">
        <v>52</v>
      </c>
      <c r="D22" s="41" t="s">
        <v>68</v>
      </c>
      <c r="E22" s="37" t="s">
        <v>85</v>
      </c>
      <c r="F22" s="35" t="s">
        <v>32</v>
      </c>
      <c r="G22" s="38">
        <v>16</v>
      </c>
      <c r="H22" s="42">
        <v>2</v>
      </c>
      <c r="I22" s="2">
        <f t="shared" si="0"/>
        <v>0.125</v>
      </c>
      <c r="J22" s="40">
        <f>+H22+'ENERO 2026'!J22</f>
        <v>14</v>
      </c>
      <c r="K22" s="61">
        <f t="shared" si="1"/>
        <v>0.875</v>
      </c>
    </row>
    <row r="23" spans="2:16" ht="34.5" x14ac:dyDescent="0.35">
      <c r="B23" s="43">
        <v>5</v>
      </c>
      <c r="C23" s="35" t="s">
        <v>53</v>
      </c>
      <c r="D23" s="41" t="s">
        <v>69</v>
      </c>
      <c r="E23" s="37" t="s">
        <v>85</v>
      </c>
      <c r="F23" s="35" t="s">
        <v>32</v>
      </c>
      <c r="G23" s="38">
        <v>16</v>
      </c>
      <c r="H23" s="42">
        <v>2</v>
      </c>
      <c r="I23" s="2">
        <f t="shared" si="0"/>
        <v>0.125</v>
      </c>
      <c r="J23" s="40">
        <f>+H23+'ENERO 2026'!J23</f>
        <v>14</v>
      </c>
      <c r="K23" s="61">
        <f t="shared" si="1"/>
        <v>0.875</v>
      </c>
    </row>
    <row r="24" spans="2:16" ht="46" x14ac:dyDescent="0.35">
      <c r="B24" s="43">
        <v>5</v>
      </c>
      <c r="C24" s="35" t="s">
        <v>54</v>
      </c>
      <c r="D24" s="41" t="s">
        <v>70</v>
      </c>
      <c r="E24" s="37" t="s">
        <v>85</v>
      </c>
      <c r="F24" s="35" t="s">
        <v>32</v>
      </c>
      <c r="G24" s="38">
        <v>16</v>
      </c>
      <c r="H24" s="42">
        <v>2</v>
      </c>
      <c r="I24" s="2">
        <f t="shared" si="0"/>
        <v>0.125</v>
      </c>
      <c r="J24" s="40">
        <f>+H24+'ENERO 2026'!J24</f>
        <v>15</v>
      </c>
      <c r="K24" s="61">
        <f t="shared" si="1"/>
        <v>0.9375</v>
      </c>
    </row>
    <row r="25" spans="2:16" ht="46" x14ac:dyDescent="0.35">
      <c r="B25" s="43">
        <v>5</v>
      </c>
      <c r="C25" s="35" t="s">
        <v>55</v>
      </c>
      <c r="D25" s="41" t="s">
        <v>71</v>
      </c>
      <c r="E25" s="37" t="s">
        <v>85</v>
      </c>
      <c r="F25" s="35" t="s">
        <v>32</v>
      </c>
      <c r="G25" s="38">
        <v>16</v>
      </c>
      <c r="H25" s="42">
        <v>2</v>
      </c>
      <c r="I25" s="2">
        <f t="shared" si="0"/>
        <v>0.125</v>
      </c>
      <c r="J25" s="40">
        <f>+H25+'ENERO 2026'!J25</f>
        <v>14</v>
      </c>
      <c r="K25" s="61">
        <f t="shared" si="1"/>
        <v>0.875</v>
      </c>
    </row>
    <row r="26" spans="2:16" ht="46" x14ac:dyDescent="0.35">
      <c r="B26" s="43">
        <v>5</v>
      </c>
      <c r="C26" s="35" t="s">
        <v>56</v>
      </c>
      <c r="D26" s="41" t="s">
        <v>72</v>
      </c>
      <c r="E26" s="37" t="s">
        <v>85</v>
      </c>
      <c r="F26" s="35" t="s">
        <v>32</v>
      </c>
      <c r="G26" s="38">
        <v>16</v>
      </c>
      <c r="H26" s="42">
        <v>1</v>
      </c>
      <c r="I26" s="2">
        <f t="shared" si="0"/>
        <v>6.25E-2</v>
      </c>
      <c r="J26" s="40">
        <f>+H26+'ENERO 2026'!J26</f>
        <v>15</v>
      </c>
      <c r="K26" s="61">
        <f t="shared" si="1"/>
        <v>0.9375</v>
      </c>
    </row>
    <row r="27" spans="2:16" ht="46" x14ac:dyDescent="0.35">
      <c r="B27" s="43">
        <v>5</v>
      </c>
      <c r="C27" s="35" t="s">
        <v>57</v>
      </c>
      <c r="D27" s="41" t="s">
        <v>73</v>
      </c>
      <c r="E27" s="37" t="s">
        <v>85</v>
      </c>
      <c r="F27" s="35" t="s">
        <v>32</v>
      </c>
      <c r="G27" s="38">
        <v>16</v>
      </c>
      <c r="H27" s="42">
        <v>2</v>
      </c>
      <c r="I27" s="2">
        <f t="shared" si="0"/>
        <v>0.125</v>
      </c>
      <c r="J27" s="40">
        <f>+H27+'ENERO 2026'!J27</f>
        <v>14</v>
      </c>
      <c r="K27" s="61">
        <f t="shared" si="1"/>
        <v>0.875</v>
      </c>
    </row>
    <row r="28" spans="2:16" ht="46" x14ac:dyDescent="0.35">
      <c r="B28" s="43">
        <v>5</v>
      </c>
      <c r="C28" s="35" t="s">
        <v>58</v>
      </c>
      <c r="D28" s="41" t="s">
        <v>74</v>
      </c>
      <c r="E28" s="37" t="s">
        <v>85</v>
      </c>
      <c r="F28" s="35" t="s">
        <v>32</v>
      </c>
      <c r="G28" s="38">
        <v>16</v>
      </c>
      <c r="H28" s="42">
        <v>2</v>
      </c>
      <c r="I28" s="2">
        <f t="shared" si="0"/>
        <v>0.125</v>
      </c>
      <c r="J28" s="40">
        <f>+H28+'ENERO 2026'!J28</f>
        <v>14</v>
      </c>
      <c r="K28" s="61">
        <f t="shared" si="1"/>
        <v>0.875</v>
      </c>
    </row>
    <row r="29" spans="2:16" ht="34.5" x14ac:dyDescent="0.35">
      <c r="B29" s="43">
        <v>5</v>
      </c>
      <c r="C29" s="35" t="s">
        <v>59</v>
      </c>
      <c r="D29" s="41" t="s">
        <v>75</v>
      </c>
      <c r="E29" s="37" t="s">
        <v>85</v>
      </c>
      <c r="F29" s="35" t="s">
        <v>32</v>
      </c>
      <c r="G29" s="38">
        <v>16</v>
      </c>
      <c r="H29" s="42">
        <v>1</v>
      </c>
      <c r="I29" s="2">
        <f t="shared" si="0"/>
        <v>6.25E-2</v>
      </c>
      <c r="J29" s="40">
        <f>+H29+'ENERO 2026'!J29</f>
        <v>15</v>
      </c>
      <c r="K29" s="61">
        <f t="shared" si="1"/>
        <v>0.9375</v>
      </c>
    </row>
    <row r="30" spans="2:16" ht="57.5" x14ac:dyDescent="0.35">
      <c r="B30" s="44">
        <v>5</v>
      </c>
      <c r="C30" s="45" t="s">
        <v>60</v>
      </c>
      <c r="D30" s="46" t="s">
        <v>76</v>
      </c>
      <c r="E30" s="47" t="s">
        <v>85</v>
      </c>
      <c r="F30" s="45" t="s">
        <v>32</v>
      </c>
      <c r="G30" s="48">
        <v>16</v>
      </c>
      <c r="H30" s="48">
        <v>1</v>
      </c>
      <c r="I30" s="4">
        <f t="shared" si="0"/>
        <v>6.25E-2</v>
      </c>
      <c r="J30" s="49">
        <f>+H30+'ENERO 2026'!J30</f>
        <v>15</v>
      </c>
      <c r="K30" s="62">
        <f t="shared" si="1"/>
        <v>0.9375</v>
      </c>
    </row>
    <row r="31" spans="2:16" s="14" customFormat="1" x14ac:dyDescent="0.35">
      <c r="B31" s="12"/>
      <c r="C31" s="12"/>
      <c r="D31" s="12"/>
      <c r="E31" s="12"/>
      <c r="F31" s="20"/>
      <c r="G31" s="72" t="str">
        <f>+CONCATENATE("TOTAL A ",D7)</f>
        <v>TOTAL A FEBRERO</v>
      </c>
      <c r="H31" s="73"/>
      <c r="I31" s="74"/>
      <c r="J31" s="72" t="s">
        <v>33</v>
      </c>
      <c r="K31" s="74"/>
      <c r="N31" s="50"/>
      <c r="P31" s="50"/>
    </row>
    <row r="32" spans="2:16" x14ac:dyDescent="0.35">
      <c r="B32" s="12"/>
      <c r="C32" s="12"/>
      <c r="D32" s="14"/>
      <c r="E32" s="14"/>
      <c r="F32" s="14"/>
      <c r="G32" s="51">
        <f>+SUM(G13:G30)</f>
        <v>288</v>
      </c>
      <c r="H32" s="51">
        <f>+SUM(H13:H30)</f>
        <v>30</v>
      </c>
      <c r="I32" s="3">
        <f>IFERROR(H32/G32,0)</f>
        <v>0.10416666666666667</v>
      </c>
      <c r="J32" s="52">
        <f>+SUM(J13:J30)</f>
        <v>258</v>
      </c>
      <c r="K32" s="3">
        <f>IFERROR(J32/G32,0)</f>
        <v>0.89583333333333337</v>
      </c>
    </row>
    <row r="34" spans="2:16" x14ac:dyDescent="0.35">
      <c r="B34" s="66" t="s">
        <v>34</v>
      </c>
      <c r="C34" s="66"/>
      <c r="D34" s="67" t="s">
        <v>35</v>
      </c>
      <c r="E34" s="68"/>
      <c r="F34" s="68"/>
      <c r="G34" s="68"/>
      <c r="H34" s="68"/>
      <c r="I34" s="68"/>
      <c r="J34" s="68"/>
      <c r="K34" s="68"/>
    </row>
    <row r="35" spans="2:16" x14ac:dyDescent="0.35">
      <c r="B35" s="69" t="s">
        <v>36</v>
      </c>
      <c r="C35" s="69"/>
      <c r="D35" s="69"/>
      <c r="E35" s="69"/>
      <c r="F35" s="69"/>
      <c r="G35" s="69"/>
      <c r="H35" s="69"/>
      <c r="I35" s="69"/>
      <c r="J35" s="69"/>
      <c r="K35" s="69"/>
    </row>
    <row r="36" spans="2:16" x14ac:dyDescent="0.35"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2:16" x14ac:dyDescent="0.35">
      <c r="B37" s="53" t="s">
        <v>37</v>
      </c>
      <c r="C37" s="54"/>
      <c r="D37" s="54"/>
      <c r="E37" s="54"/>
      <c r="F37" s="54"/>
      <c r="G37" s="54"/>
      <c r="H37" s="54"/>
      <c r="I37" s="54"/>
      <c r="J37" s="54"/>
      <c r="K37" s="55"/>
    </row>
    <row r="38" spans="2:16" ht="24.5" x14ac:dyDescent="0.45">
      <c r="B38" s="56" t="s">
        <v>38</v>
      </c>
      <c r="C38" s="57"/>
      <c r="D38" s="70" t="s">
        <v>35</v>
      </c>
      <c r="E38" s="70"/>
      <c r="F38" s="70"/>
      <c r="G38" s="70"/>
      <c r="H38" s="70"/>
      <c r="I38" s="70"/>
      <c r="J38" s="70"/>
      <c r="K38" s="70"/>
    </row>
    <row r="39" spans="2:16" ht="24.5" x14ac:dyDescent="0.45">
      <c r="B39" s="56" t="s">
        <v>39</v>
      </c>
      <c r="C39" s="57"/>
      <c r="D39" s="70"/>
      <c r="E39" s="70"/>
      <c r="F39" s="70"/>
      <c r="G39" s="70"/>
      <c r="H39" s="70"/>
      <c r="I39" s="70"/>
      <c r="J39" s="70"/>
      <c r="K39" s="70"/>
    </row>
    <row r="40" spans="2:16" s="14" customFormat="1" x14ac:dyDescent="0.35">
      <c r="B40" s="71" t="s">
        <v>36</v>
      </c>
      <c r="C40" s="71"/>
      <c r="D40" s="71"/>
      <c r="E40" s="71"/>
      <c r="F40" s="71"/>
      <c r="G40" s="71"/>
      <c r="H40" s="71"/>
      <c r="I40" s="71"/>
      <c r="J40" s="71"/>
      <c r="K40" s="71"/>
      <c r="N40" s="50"/>
      <c r="P40" s="50"/>
    </row>
    <row r="41" spans="2:16" x14ac:dyDescent="0.35"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spans="2:16" x14ac:dyDescent="0.35">
      <c r="B42" s="53" t="s">
        <v>40</v>
      </c>
      <c r="C42" s="54"/>
      <c r="D42" s="54"/>
      <c r="E42" s="54"/>
      <c r="F42" s="54"/>
      <c r="G42" s="54"/>
      <c r="H42" s="54"/>
      <c r="I42" s="54"/>
      <c r="J42" s="54"/>
      <c r="K42" s="55"/>
    </row>
    <row r="43" spans="2:16" ht="24.5" x14ac:dyDescent="0.45">
      <c r="B43" s="56" t="s">
        <v>38</v>
      </c>
      <c r="C43" s="57"/>
      <c r="D43" s="70" t="s">
        <v>35</v>
      </c>
      <c r="E43" s="70"/>
      <c r="F43" s="70"/>
      <c r="G43" s="70"/>
      <c r="H43" s="70"/>
      <c r="I43" s="70"/>
      <c r="J43" s="70"/>
      <c r="K43" s="70"/>
    </row>
    <row r="44" spans="2:16" ht="24.5" x14ac:dyDescent="0.45">
      <c r="B44" s="56" t="s">
        <v>39</v>
      </c>
      <c r="C44" s="57"/>
      <c r="D44" s="70"/>
      <c r="E44" s="70"/>
      <c r="F44" s="70"/>
      <c r="G44" s="70"/>
      <c r="H44" s="70"/>
      <c r="I44" s="70"/>
      <c r="J44" s="70"/>
      <c r="K44" s="70"/>
    </row>
    <row r="47" spans="2:16" s="14" customFormat="1" ht="16.5" customHeight="1" x14ac:dyDescent="0.35">
      <c r="B47" s="63"/>
      <c r="C47" s="63"/>
      <c r="D47" s="63"/>
      <c r="E47" s="5"/>
      <c r="F47" s="5"/>
      <c r="G47" s="63"/>
      <c r="H47" s="63"/>
      <c r="I47" s="63"/>
      <c r="J47" s="63"/>
      <c r="K47" s="5"/>
      <c r="N47"/>
      <c r="P47"/>
    </row>
    <row r="48" spans="2:16" x14ac:dyDescent="0.35">
      <c r="B48" s="12" t="s">
        <v>41</v>
      </c>
      <c r="C48" s="64"/>
      <c r="D48" s="64"/>
      <c r="G48" s="12" t="s">
        <v>42</v>
      </c>
      <c r="H48" s="65" t="s">
        <v>86</v>
      </c>
      <c r="I48" s="65"/>
      <c r="J48" s="65"/>
    </row>
    <row r="49" ht="80" customHeight="1" x14ac:dyDescent="0.35"/>
    <row r="51" ht="20.149999999999999" customHeight="1" x14ac:dyDescent="0.35"/>
    <row r="52" ht="19.399999999999999" customHeight="1" x14ac:dyDescent="0.35"/>
    <row r="53" ht="20.149999999999999" customHeight="1" x14ac:dyDescent="0.35"/>
    <row r="54" ht="20.149999999999999" customHeight="1" x14ac:dyDescent="0.35"/>
    <row r="56" ht="15" customHeight="1" x14ac:dyDescent="0.35"/>
    <row r="58" ht="20.149999999999999" customHeight="1" x14ac:dyDescent="0.35"/>
    <row r="59" ht="20.149999999999999" customHeight="1" x14ac:dyDescent="0.35"/>
    <row r="62" ht="19.5" customHeight="1" x14ac:dyDescent="0.35"/>
    <row r="63" ht="23.9" customHeight="1" x14ac:dyDescent="0.35"/>
    <row r="80" spans="2:2" x14ac:dyDescent="0.35">
      <c r="B80" s="6"/>
    </row>
    <row r="81" spans="1:17" x14ac:dyDescent="0.35">
      <c r="B81" s="6"/>
    </row>
    <row r="82" spans="1:17" x14ac:dyDescent="0.35">
      <c r="B82" s="6"/>
    </row>
    <row r="83" spans="1:17" x14ac:dyDescent="0.35">
      <c r="B83" s="14"/>
    </row>
    <row r="84" spans="1:17" x14ac:dyDescent="0.35">
      <c r="B84" s="6"/>
    </row>
    <row r="85" spans="1:17" x14ac:dyDescent="0.35">
      <c r="B85" s="14"/>
    </row>
    <row r="86" spans="1:17" x14ac:dyDescent="0.35">
      <c r="B86" s="14"/>
    </row>
    <row r="87" spans="1:17" x14ac:dyDescent="0.35">
      <c r="B87" s="14"/>
    </row>
    <row r="88" spans="1:17" x14ac:dyDescent="0.35">
      <c r="B88" s="14"/>
    </row>
    <row r="89" spans="1:17" x14ac:dyDescent="0.35">
      <c r="B89" s="14"/>
    </row>
    <row r="90" spans="1:17" x14ac:dyDescent="0.35">
      <c r="B90" s="6"/>
    </row>
    <row r="91" spans="1:17" x14ac:dyDescent="0.35">
      <c r="B91" s="6"/>
    </row>
    <row r="92" spans="1:17" x14ac:dyDescent="0.35">
      <c r="B92" s="6"/>
    </row>
    <row r="95" spans="1:17" s="5" customFormat="1" hidden="1" x14ac:dyDescent="0.35">
      <c r="A95" t="s">
        <v>0</v>
      </c>
      <c r="L95" s="6"/>
      <c r="M95" s="6"/>
      <c r="N95"/>
      <c r="O95" s="6"/>
      <c r="P95"/>
      <c r="Q95" s="6"/>
    </row>
    <row r="96" spans="1:17" s="5" customFormat="1" hidden="1" x14ac:dyDescent="0.35">
      <c r="A96" t="s">
        <v>2</v>
      </c>
      <c r="L96" s="6"/>
      <c r="M96" s="6"/>
      <c r="N96"/>
      <c r="O96" s="6"/>
      <c r="P96"/>
      <c r="Q96" s="6"/>
    </row>
    <row r="97" spans="1:17" s="5" customFormat="1" hidden="1" x14ac:dyDescent="0.35">
      <c r="A97" t="s">
        <v>6</v>
      </c>
      <c r="L97" s="6"/>
      <c r="M97" s="6"/>
      <c r="N97"/>
      <c r="O97" s="6"/>
      <c r="P97"/>
      <c r="Q97" s="6"/>
    </row>
    <row r="98" spans="1:17" s="5" customFormat="1" hidden="1" x14ac:dyDescent="0.35">
      <c r="A98" t="s">
        <v>8</v>
      </c>
      <c r="L98" s="6"/>
      <c r="M98" s="6"/>
      <c r="N98"/>
      <c r="O98" s="6"/>
      <c r="P98"/>
      <c r="Q98" s="6"/>
    </row>
    <row r="99" spans="1:17" s="5" customFormat="1" hidden="1" x14ac:dyDescent="0.35">
      <c r="A99" t="s">
        <v>9</v>
      </c>
      <c r="L99" s="6"/>
      <c r="M99" s="6"/>
      <c r="N99"/>
      <c r="O99" s="6"/>
      <c r="P99"/>
      <c r="Q99" s="6"/>
    </row>
    <row r="100" spans="1:17" s="5" customFormat="1" hidden="1" x14ac:dyDescent="0.35">
      <c r="A100" t="s">
        <v>10</v>
      </c>
      <c r="L100" s="6"/>
      <c r="M100" s="6"/>
      <c r="N100"/>
      <c r="O100" s="6"/>
      <c r="P100"/>
      <c r="Q100" s="6"/>
    </row>
    <row r="101" spans="1:17" s="5" customFormat="1" hidden="1" x14ac:dyDescent="0.35">
      <c r="A101" t="s">
        <v>11</v>
      </c>
      <c r="L101" s="6"/>
      <c r="M101" s="6"/>
      <c r="N101"/>
      <c r="O101" s="6"/>
      <c r="P101"/>
      <c r="Q101" s="6"/>
    </row>
    <row r="102" spans="1:17" s="5" customFormat="1" hidden="1" x14ac:dyDescent="0.35">
      <c r="A102" t="s">
        <v>13</v>
      </c>
      <c r="L102" s="6"/>
      <c r="M102" s="6"/>
      <c r="N102"/>
      <c r="O102" s="6"/>
      <c r="P102"/>
      <c r="Q102" s="6"/>
    </row>
    <row r="103" spans="1:17" s="5" customFormat="1" hidden="1" x14ac:dyDescent="0.35">
      <c r="A103" t="s">
        <v>14</v>
      </c>
      <c r="L103" s="6"/>
      <c r="M103" s="6"/>
      <c r="N103"/>
      <c r="O103" s="6"/>
      <c r="P103"/>
      <c r="Q103" s="6"/>
    </row>
    <row r="104" spans="1:17" s="5" customFormat="1" hidden="1" x14ac:dyDescent="0.35">
      <c r="A104" t="s">
        <v>16</v>
      </c>
      <c r="L104" s="6"/>
      <c r="M104" s="6"/>
      <c r="N104"/>
      <c r="O104" s="6"/>
      <c r="P104"/>
      <c r="Q104" s="6"/>
    </row>
    <row r="105" spans="1:17" s="5" customFormat="1" hidden="1" x14ac:dyDescent="0.35">
      <c r="A105" t="s">
        <v>17</v>
      </c>
      <c r="L105" s="6"/>
      <c r="M105" s="6"/>
      <c r="N105"/>
      <c r="O105" s="6"/>
      <c r="P105"/>
      <c r="Q105" s="6"/>
    </row>
    <row r="106" spans="1:17" s="5" customFormat="1" hidden="1" x14ac:dyDescent="0.35">
      <c r="A106" t="s">
        <v>21</v>
      </c>
      <c r="L106" s="6"/>
      <c r="M106" s="6"/>
      <c r="N106"/>
      <c r="O106" s="6"/>
      <c r="P106"/>
      <c r="Q106" s="6"/>
    </row>
    <row r="107" spans="1:17" s="5" customFormat="1" hidden="1" x14ac:dyDescent="0.35">
      <c r="A107" t="s">
        <v>31</v>
      </c>
      <c r="L107" s="6"/>
      <c r="M107" s="6"/>
      <c r="N107"/>
      <c r="O107" s="6"/>
      <c r="P107"/>
      <c r="Q107" s="6"/>
    </row>
  </sheetData>
  <sheetProtection formatCells="0" formatColumns="0" formatRows="0" insertColumns="0" insertRows="0" insertHyperlinks="0" deleteColumns="0" deleteRows="0" sort="0" autoFilter="0" pivotTables="0"/>
  <mergeCells count="22">
    <mergeCell ref="B47:D47"/>
    <mergeCell ref="G47:J47"/>
    <mergeCell ref="C48:D48"/>
    <mergeCell ref="H48:J48"/>
    <mergeCell ref="B34:C34"/>
    <mergeCell ref="D34:K34"/>
    <mergeCell ref="B35:K36"/>
    <mergeCell ref="D38:K39"/>
    <mergeCell ref="B40:K41"/>
    <mergeCell ref="D43:K44"/>
    <mergeCell ref="B9:C9"/>
    <mergeCell ref="B11:G11"/>
    <mergeCell ref="H11:I11"/>
    <mergeCell ref="J11:K11"/>
    <mergeCell ref="G31:I31"/>
    <mergeCell ref="J31:K31"/>
    <mergeCell ref="B7:C7"/>
    <mergeCell ref="B2:K2"/>
    <mergeCell ref="B3:D3"/>
    <mergeCell ref="E3:H3"/>
    <mergeCell ref="I3:K3"/>
    <mergeCell ref="B5:C5"/>
  </mergeCells>
  <conditionalFormatting sqref="G32">
    <cfRule type="cellIs" dxfId="1" priority="2" operator="greaterThan">
      <formula>350</formula>
    </cfRule>
  </conditionalFormatting>
  <conditionalFormatting sqref="K13:K30">
    <cfRule type="cellIs" dxfId="0" priority="1" operator="greaterThan">
      <formula>1</formula>
    </cfRule>
  </conditionalFormatting>
  <dataValidations count="4">
    <dataValidation type="list" allowBlank="1" showInputMessage="1" showErrorMessage="1" sqref="D7">
      <formula1>$A$96:$A$107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32 G13:G3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3:H30">
      <formula1>0</formula1>
      <formula2>30</formula2>
    </dataValidation>
  </dataValidations>
  <pageMargins left="0.7" right="0.7" top="0.75" bottom="0.75" header="0.3" footer="0.3"/>
  <pageSetup scale="4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JUNIO</vt:lpstr>
      <vt:lpstr>JULIO</vt:lpstr>
      <vt:lpstr>AGOSTO</vt:lpstr>
      <vt:lpstr>SEPTIEMBRE</vt:lpstr>
      <vt:lpstr>OCTUBRE</vt:lpstr>
      <vt:lpstr>NOVIEMBRE</vt:lpstr>
      <vt:lpstr>DICIEMBRE</vt:lpstr>
      <vt:lpstr>ENERO 2026</vt:lpstr>
      <vt:lpstr>FEBRERO 2026</vt:lpstr>
      <vt:lpstr>AGOSTO!Área_de_impresión</vt:lpstr>
      <vt:lpstr>DICIEMBRE!Área_de_impresión</vt:lpstr>
      <vt:lpstr>'ENERO 2026'!Área_de_impresión</vt:lpstr>
      <vt:lpstr>'FEBRERO 2026'!Área_de_impresión</vt:lpstr>
      <vt:lpstr>JULIO!Área_de_impresión</vt:lpstr>
      <vt:lpstr>JUNIO!Área_de_impresión</vt:lpstr>
      <vt:lpstr>NOVIEMBRE!Área_de_impresión</vt:lpstr>
      <vt:lpstr>OCTUBRE!Área_de_impresión</vt:lpstr>
      <vt:lpstr>SEPTIEMBRE!Área_de_impresión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cp:lastPrinted>2025-05-10T00:18:50Z</cp:lastPrinted>
  <dcterms:created xsi:type="dcterms:W3CDTF">2024-01-10T22:00:55Z</dcterms:created>
  <dcterms:modified xsi:type="dcterms:W3CDTF">2026-03-06T19:58:57Z</dcterms:modified>
</cp:coreProperties>
</file>