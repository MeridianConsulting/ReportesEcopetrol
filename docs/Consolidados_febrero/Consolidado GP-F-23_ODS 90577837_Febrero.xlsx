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activeTab="1"/>
  </bookViews>
  <sheets>
    <sheet name="ENERO" sheetId="24" r:id="rId1"/>
    <sheet name="FEBRERO" sheetId="25" r:id="rId2"/>
  </sheets>
  <definedNames>
    <definedName name="_xlnm.Print_Area" localSheetId="0">ENERO!$A$1:$L$33</definedName>
    <definedName name="_xlnm.Print_Area" localSheetId="1">FEBRERO!$A$1:$L$33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5" l="1"/>
  <c r="G17" i="25"/>
  <c r="G16" i="25"/>
  <c r="I15" i="25"/>
  <c r="I14" i="25"/>
  <c r="I13" i="25"/>
  <c r="I17" i="25" l="1"/>
  <c r="J14" i="24"/>
  <c r="I14" i="24"/>
  <c r="I15" i="24"/>
  <c r="K14" i="24" l="1"/>
  <c r="J14" i="25"/>
  <c r="K14" i="25" s="1"/>
  <c r="H17" i="24"/>
  <c r="G17" i="24"/>
  <c r="G16" i="24"/>
  <c r="J15" i="24"/>
  <c r="J13" i="24"/>
  <c r="I13" i="24"/>
  <c r="K13" i="24" l="1"/>
  <c r="J13" i="25"/>
  <c r="K15" i="24"/>
  <c r="J15" i="25"/>
  <c r="K15" i="25" s="1"/>
  <c r="J17" i="24"/>
  <c r="K17" i="24" s="1"/>
  <c r="I17" i="24"/>
  <c r="J17" i="25" l="1"/>
  <c r="K17" i="25" s="1"/>
  <c r="K13" i="25"/>
</calcChain>
</file>

<file path=xl/comments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2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2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33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33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2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2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33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33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<sst xmlns="http://schemas.openxmlformats.org/spreadsheetml/2006/main" count="144" uniqueCount="52">
  <si>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</si>
  <si>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</si>
  <si>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</si>
  <si>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</si>
  <si>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</si>
  <si>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</si>
  <si>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</si>
  <si>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</si>
  <si>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</si>
  <si>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</si>
  <si>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</si>
  <si>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</si>
  <si>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</si>
  <si>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</si>
  <si>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</si>
  <si>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</si>
  <si>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</si>
  <si>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</si>
  <si>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</si>
  <si>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</si>
  <si>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</si>
  <si>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</si>
  <si>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</si>
  <si>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</si>
  <si>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</si>
  <si>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</si>
  <si>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</si>
  <si>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</si>
  <si>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</si>
  <si>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</si>
  <si>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</si>
  <si>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</si>
  <si>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</si>
  <si>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</si>
  <si>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</si>
  <si>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</si>
  <si>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</si>
  <si>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</si>
  <si>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</si>
  <si>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</si>
  <si>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</si>
  <si>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</si>
  <si>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7.1</t>
  </si>
  <si>
    <t xml:space="preserve">Informe de la Evaluación </t>
  </si>
  <si>
    <t>7.2</t>
  </si>
  <si>
    <t>7.3</t>
  </si>
  <si>
    <t>Generación de Opex y Capex para la adecuación de facilidades existentes y/o la construcción de nuevas facilidades</t>
  </si>
  <si>
    <t xml:space="preserve">Bases de Datos - Informe de la Evaluación </t>
  </si>
  <si>
    <t>Digital</t>
  </si>
  <si>
    <t>Evaluar el estatus de las facilidades (Operatividad) y disponibilidad de tratamiento Informe de la Evaluación nuevas facilidades Bases de Datos - Informe de la Evaluación</t>
  </si>
  <si>
    <t xml:space="preserve">Evaluar la Integridad de las facilidades existentes Informe de la Evaluación </t>
  </si>
  <si>
    <t>Gleyden Lucila Duarte Benitez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</si>
</sst>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164" fontId="4" fillId="0" borderId="8" xfId="1" applyNumberFormat="1" applyFont="1" applyBorder="1" applyAlignment="1" applyProtection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1" applyFont="1" applyFill="1" applyBorder="1" applyAlignment="1" applyProtection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9" fontId="2" fillId="3" borderId="15" xfId="1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3" borderId="17" xfId="1" applyFont="1" applyFill="1" applyBorder="1" applyAlignment="1" applyProtection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3" fillId="0" borderId="12" xfId="0" applyFont="1" applyBorder="1"/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2" fillId="7" borderId="1" xfId="1" applyFont="1" applyFill="1" applyBorder="1" applyAlignment="1" applyProtection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top" wrapText="1"/>
    </xf>
    <xf numFmtId="0" fontId="4" fillId="6" borderId="6" xfId="0" applyFont="1" applyFill="1" applyBorder="1" applyAlignment="1">
      <alignment horizontal="center" vertical="top" wrapText="1"/>
    </xf>
    <xf numFmtId="0" fontId="4" fillId="6" borderId="7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center" vertical="top" wrapText="1"/>
    </xf>
    <xf numFmtId="0" fontId="4" fillId="6" borderId="12" xfId="0" applyFont="1" applyFill="1" applyBorder="1" applyAlignment="1">
      <alignment horizontal="center" vertical="top" wrapText="1"/>
    </xf>
    <xf numFmtId="0" fontId="4" fillId="6" borderId="13" xfId="0" applyFont="1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left" vertical="center" wrapText="1"/>
    </xf>
    <xf numFmtId="0" fontId="2" fillId="5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7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5703125" defaultRowHeight="15" x14ac:dyDescent="0.25"/>
  <cols>
    <col min="1" max="1" width="4.42578125" style="3" customWidth="1"/>
    <col min="2" max="2" width="15.5703125" style="2" customWidth="1"/>
    <col min="3" max="3" width="8.5703125" style="2" bestFit="1" customWidth="1"/>
    <col min="4" max="4" width="43.42578125" style="2" customWidth="1"/>
    <col min="5" max="5" width="14.140625" style="2" bestFit="1" customWidth="1"/>
    <col min="6" max="6" width="13.42578125" style="2" customWidth="1"/>
    <col min="7" max="7" width="13.5703125" style="2" customWidth="1"/>
    <col min="8" max="8" width="13.42578125" style="2" customWidth="1"/>
    <col min="9" max="9" width="10.42578125" style="2" customWidth="1"/>
    <col min="10" max="11" width="12.42578125" style="2" customWidth="1"/>
    <col min="12" max="12" width="6.5703125" style="3" customWidth="1"/>
    <col min="13" max="13" width="16.42578125" style="3" customWidth="1"/>
    <col min="15" max="15" width="16.42578125" style="3" customWidth="1"/>
    <col min="16" max="16" width="0" hidden="1" customWidth="1"/>
    <col min="17" max="17" width="16.42578125" style="3" customWidth="1"/>
    <col min="18" max="16384" width="8.5703125" style="3"/>
  </cols>
  <sheetData>
    <row r="1" spans="2:16" x14ac:dyDescent="0.25">
      <c r="P1" t="s">
        <v>0</v>
      </c>
    </row>
    <row r="2" spans="2:16" ht="49.5" customHeight="1" x14ac:dyDescent="0.25"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P2" t="s">
        <v>2</v>
      </c>
    </row>
    <row r="3" spans="2:16" ht="18.75" customHeight="1" x14ac:dyDescent="0.25">
      <c r="B3" s="62" t="s">
        <v>3</v>
      </c>
      <c r="C3" s="63"/>
      <c r="D3" s="63"/>
      <c r="E3" s="63" t="s">
        <v>4</v>
      </c>
      <c r="F3" s="63"/>
      <c r="G3" s="63"/>
      <c r="H3" s="63"/>
      <c r="I3" s="63" t="s">
        <v>5</v>
      </c>
      <c r="J3" s="63"/>
      <c r="K3" s="64"/>
    </row>
    <row r="4" spans="2:16" x14ac:dyDescent="0.25">
      <c r="B4" s="4"/>
      <c r="C4" s="5"/>
      <c r="K4" s="6"/>
      <c r="P4" t="s">
        <v>6</v>
      </c>
    </row>
    <row r="5" spans="2:16" s="11" customFormat="1" ht="27.6" customHeight="1" x14ac:dyDescent="0.25">
      <c r="B5" s="59" t="s">
        <v>7</v>
      </c>
      <c r="C5" s="59"/>
      <c r="D5" s="7">
        <v>90577837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2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25">
      <c r="B7" s="59" t="s">
        <v>12</v>
      </c>
      <c r="C7" s="59"/>
      <c r="D7" s="13" t="s">
        <v>2</v>
      </c>
      <c r="E7"/>
      <c r="F7"/>
      <c r="G7"/>
      <c r="H7"/>
      <c r="I7" s="9"/>
      <c r="J7" s="9"/>
      <c r="K7" s="10"/>
      <c r="N7"/>
      <c r="P7" t="s">
        <v>13</v>
      </c>
    </row>
    <row r="8" spans="2:16" s="11" customFormat="1" x14ac:dyDescent="0.25">
      <c r="B8" s="15"/>
      <c r="C8" s="16"/>
      <c r="D8" s="14"/>
      <c r="E8"/>
      <c r="F8"/>
      <c r="G8"/>
      <c r="H8"/>
      <c r="I8" s="9"/>
      <c r="J8" s="9"/>
      <c r="K8" s="10"/>
      <c r="N8"/>
      <c r="P8" t="s">
        <v>14</v>
      </c>
    </row>
    <row r="9" spans="2:16" s="11" customFormat="1" x14ac:dyDescent="0.25">
      <c r="B9" s="59" t="s">
        <v>15</v>
      </c>
      <c r="C9" s="59"/>
      <c r="D9" s="17">
        <v>46053</v>
      </c>
      <c r="E9"/>
      <c r="F9"/>
      <c r="G9"/>
      <c r="H9"/>
      <c r="I9" s="9"/>
      <c r="J9" s="9"/>
      <c r="K9" s="10"/>
      <c r="N9"/>
      <c r="P9" t="s">
        <v>16</v>
      </c>
    </row>
    <row r="10" spans="2:16" x14ac:dyDescent="0.25">
      <c r="B10" s="18"/>
      <c r="C10" s="19"/>
      <c r="E10"/>
      <c r="F10"/>
      <c r="G10"/>
      <c r="H10"/>
      <c r="K10" s="20"/>
      <c r="P10" t="s">
        <v>17</v>
      </c>
    </row>
    <row r="11" spans="2:16" ht="26.85" customHeight="1" x14ac:dyDescent="0.25">
      <c r="B11" s="48" t="s">
        <v>18</v>
      </c>
      <c r="C11" s="48"/>
      <c r="D11" s="48"/>
      <c r="E11" s="48"/>
      <c r="F11" s="48"/>
      <c r="G11" s="48"/>
      <c r="H11" s="59" t="s">
        <v>19</v>
      </c>
      <c r="I11" s="59"/>
      <c r="J11" s="59" t="s">
        <v>20</v>
      </c>
      <c r="K11" s="59"/>
      <c r="P11" t="s">
        <v>21</v>
      </c>
    </row>
    <row r="12" spans="2:16" ht="57.6" customHeight="1" x14ac:dyDescent="0.25">
      <c r="B12" s="21" t="s">
        <v>22</v>
      </c>
      <c r="C12" s="21" t="s">
        <v>23</v>
      </c>
      <c r="D12" s="21" t="s">
        <v>24</v>
      </c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29</v>
      </c>
      <c r="P12" t="s">
        <v>31</v>
      </c>
    </row>
    <row r="13" spans="2:16" ht="45" x14ac:dyDescent="0.25">
      <c r="B13" s="22">
        <v>7</v>
      </c>
      <c r="C13" s="22" t="s">
        <v>42</v>
      </c>
      <c r="D13" s="23" t="s">
        <v>49</v>
      </c>
      <c r="E13" s="24" t="s">
        <v>43</v>
      </c>
      <c r="F13" s="22" t="s">
        <v>48</v>
      </c>
      <c r="G13" s="25">
        <v>80</v>
      </c>
      <c r="H13" s="25">
        <v>10</v>
      </c>
      <c r="I13" s="26">
        <f>IFERROR(H13/G13,0)</f>
        <v>0.125</v>
      </c>
      <c r="J13" s="25">
        <f>+H13</f>
        <v>10</v>
      </c>
      <c r="K13" s="26">
        <f>IFERROR(J13/G13,0)</f>
        <v>0.125</v>
      </c>
    </row>
    <row r="14" spans="2:16" ht="22.5" x14ac:dyDescent="0.25">
      <c r="B14" s="27">
        <v>7</v>
      </c>
      <c r="C14" s="27" t="s">
        <v>44</v>
      </c>
      <c r="D14" s="28" t="s">
        <v>50</v>
      </c>
      <c r="E14" s="29" t="s">
        <v>43</v>
      </c>
      <c r="F14" s="30" t="s">
        <v>48</v>
      </c>
      <c r="G14" s="31">
        <v>80</v>
      </c>
      <c r="H14" s="32">
        <v>10</v>
      </c>
      <c r="I14" s="33">
        <f t="shared" ref="I14:I15" si="0">IFERROR(H14/G14,0)</f>
        <v>0.125</v>
      </c>
      <c r="J14" s="32">
        <f>+H14</f>
        <v>10</v>
      </c>
      <c r="K14" s="33">
        <f>IFERROR(J14/G14,0)</f>
        <v>0.125</v>
      </c>
    </row>
    <row r="15" spans="2:16" ht="45" x14ac:dyDescent="0.25">
      <c r="B15" s="27">
        <v>7</v>
      </c>
      <c r="C15" s="27" t="s">
        <v>45</v>
      </c>
      <c r="D15" s="28" t="s">
        <v>46</v>
      </c>
      <c r="E15" s="29" t="s">
        <v>47</v>
      </c>
      <c r="F15" s="27" t="s">
        <v>48</v>
      </c>
      <c r="G15" s="34">
        <v>80</v>
      </c>
      <c r="H15" s="35">
        <v>10</v>
      </c>
      <c r="I15" s="36">
        <f t="shared" si="0"/>
        <v>0.125</v>
      </c>
      <c r="J15" s="35">
        <f>+H15</f>
        <v>10</v>
      </c>
      <c r="K15" s="36">
        <f>IFERROR(J15/G15,0)</f>
        <v>0.125</v>
      </c>
    </row>
    <row r="16" spans="2:16" x14ac:dyDescent="0.25">
      <c r="B16" s="9"/>
      <c r="C16" s="9"/>
      <c r="D16" s="9"/>
      <c r="E16" s="9"/>
      <c r="F16" s="16"/>
      <c r="G16" s="60" t="str">
        <f>+CONCATENATE("TOTAL A ",D7)</f>
        <v>TOTAL A ENERO</v>
      </c>
      <c r="H16" s="60"/>
      <c r="I16" s="60"/>
      <c r="J16" s="60" t="s">
        <v>32</v>
      </c>
      <c r="K16" s="60"/>
    </row>
    <row r="17" spans="1:16" s="11" customFormat="1" ht="16.5" customHeight="1" x14ac:dyDescent="0.25">
      <c r="B17" s="9"/>
      <c r="C17" s="9"/>
      <c r="G17" s="37">
        <f>+SUM(G13:G15)</f>
        <v>240</v>
      </c>
      <c r="H17" s="37">
        <f>+SUM(H13:H15)</f>
        <v>30</v>
      </c>
      <c r="I17" s="1">
        <f>IFERROR(H17/G17,0)</f>
        <v>0.125</v>
      </c>
      <c r="J17" s="38">
        <f>+SUM(J13:J15)</f>
        <v>30</v>
      </c>
      <c r="K17" s="1">
        <f>IFERROR(J17/G17,0)</f>
        <v>0.125</v>
      </c>
      <c r="N17"/>
      <c r="P17"/>
    </row>
    <row r="19" spans="1:16" ht="32.25" customHeight="1" x14ac:dyDescent="0.25">
      <c r="B19" s="48" t="s">
        <v>33</v>
      </c>
      <c r="C19" s="48"/>
      <c r="D19" s="49"/>
      <c r="E19" s="50"/>
      <c r="F19" s="50"/>
      <c r="G19" s="50"/>
      <c r="H19" s="50"/>
      <c r="I19" s="50"/>
      <c r="J19" s="50"/>
      <c r="K19" s="50"/>
    </row>
    <row r="20" spans="1:16" customFormat="1" ht="14.45" customHeight="1" x14ac:dyDescent="0.25">
      <c r="A20" s="39"/>
      <c r="B20" s="51" t="s">
        <v>35</v>
      </c>
      <c r="C20" s="52"/>
      <c r="D20" s="52"/>
      <c r="E20" s="52"/>
      <c r="F20" s="52"/>
      <c r="G20" s="52"/>
      <c r="H20" s="52"/>
      <c r="I20" s="52"/>
      <c r="J20" s="52"/>
      <c r="K20" s="53"/>
    </row>
    <row r="21" spans="1:16" customFormat="1" ht="20.100000000000001" customHeight="1" x14ac:dyDescent="0.25">
      <c r="A21" s="3"/>
      <c r="B21" s="54"/>
      <c r="C21" s="55"/>
      <c r="D21" s="55"/>
      <c r="E21" s="55"/>
      <c r="F21" s="55"/>
      <c r="G21" s="55"/>
      <c r="H21" s="55"/>
      <c r="I21" s="55"/>
      <c r="J21" s="55"/>
      <c r="K21" s="56"/>
    </row>
    <row r="22" spans="1:16" ht="19.350000000000001" customHeight="1" x14ac:dyDescent="0.25">
      <c r="B22" s="40" t="s">
        <v>36</v>
      </c>
      <c r="C22" s="41"/>
      <c r="D22" s="41"/>
      <c r="E22" s="41"/>
      <c r="F22" s="41"/>
      <c r="G22" s="41"/>
      <c r="H22" s="41"/>
      <c r="I22" s="41"/>
      <c r="J22" s="41"/>
      <c r="K22" s="42"/>
    </row>
    <row r="23" spans="1:16" ht="20.100000000000001" customHeight="1" x14ac:dyDescent="0.3">
      <c r="B23" s="43" t="s">
        <v>37</v>
      </c>
      <c r="C23" s="44"/>
      <c r="D23" s="57" t="s">
        <v>34</v>
      </c>
      <c r="E23" s="57"/>
      <c r="F23" s="57"/>
      <c r="G23" s="57"/>
      <c r="H23" s="57"/>
      <c r="I23" s="57"/>
      <c r="J23" s="57"/>
      <c r="K23" s="57"/>
    </row>
    <row r="24" spans="1:16" ht="20.100000000000001" customHeight="1" x14ac:dyDescent="0.3">
      <c r="B24" s="43" t="s">
        <v>38</v>
      </c>
      <c r="C24" s="44"/>
      <c r="D24" s="57"/>
      <c r="E24" s="57"/>
      <c r="F24" s="57"/>
      <c r="G24" s="57"/>
      <c r="H24" s="57"/>
      <c r="I24" s="57"/>
      <c r="J24" s="57"/>
      <c r="K24" s="57"/>
    </row>
    <row r="25" spans="1:16" x14ac:dyDescent="0.25">
      <c r="B25" s="58" t="s">
        <v>35</v>
      </c>
      <c r="C25" s="58"/>
      <c r="D25" s="58"/>
      <c r="E25" s="58"/>
      <c r="F25" s="58"/>
      <c r="G25" s="58"/>
      <c r="H25" s="58"/>
      <c r="I25" s="58"/>
      <c r="J25" s="58"/>
      <c r="K25" s="58"/>
    </row>
    <row r="26" spans="1:16" ht="15" customHeight="1" x14ac:dyDescent="0.25">
      <c r="B26" s="58"/>
      <c r="C26" s="58"/>
      <c r="D26" s="58"/>
      <c r="E26" s="58"/>
      <c r="F26" s="58"/>
      <c r="G26" s="58"/>
      <c r="H26" s="58"/>
      <c r="I26" s="58"/>
      <c r="J26" s="58"/>
      <c r="K26" s="58"/>
    </row>
    <row r="27" spans="1:16" x14ac:dyDescent="0.25">
      <c r="B27" s="40" t="s">
        <v>39</v>
      </c>
      <c r="C27" s="41"/>
      <c r="D27" s="41"/>
      <c r="E27" s="41"/>
      <c r="F27" s="41"/>
      <c r="G27" s="41"/>
      <c r="H27" s="41"/>
      <c r="I27" s="41"/>
      <c r="J27" s="41"/>
      <c r="K27" s="42"/>
    </row>
    <row r="28" spans="1:16" ht="20.100000000000001" customHeight="1" x14ac:dyDescent="0.3">
      <c r="B28" s="43" t="s">
        <v>37</v>
      </c>
      <c r="C28" s="44"/>
      <c r="D28" s="57" t="s">
        <v>34</v>
      </c>
      <c r="E28" s="57"/>
      <c r="F28" s="57"/>
      <c r="G28" s="57"/>
      <c r="H28" s="57"/>
      <c r="I28" s="57"/>
      <c r="J28" s="57"/>
      <c r="K28" s="57"/>
    </row>
    <row r="29" spans="1:16" ht="20.100000000000001" customHeight="1" x14ac:dyDescent="0.3">
      <c r="B29" s="43" t="s">
        <v>38</v>
      </c>
      <c r="C29" s="44"/>
      <c r="D29" s="57"/>
      <c r="E29" s="57"/>
      <c r="F29" s="57"/>
      <c r="G29" s="57"/>
      <c r="H29" s="57"/>
      <c r="I29" s="57"/>
      <c r="J29" s="57"/>
      <c r="K29" s="57"/>
    </row>
    <row r="32" spans="1:16" ht="19.5" customHeight="1" x14ac:dyDescent="0.25">
      <c r="B32" s="45"/>
      <c r="C32" s="45"/>
      <c r="D32" s="45"/>
      <c r="G32" s="45"/>
      <c r="H32" s="45"/>
      <c r="I32" s="45"/>
      <c r="J32" s="45"/>
    </row>
    <row r="33" spans="2:10" ht="23.85" customHeight="1" x14ac:dyDescent="0.25">
      <c r="B33" s="9" t="s">
        <v>40</v>
      </c>
      <c r="C33" s="46"/>
      <c r="D33" s="46"/>
      <c r="G33" s="9" t="s">
        <v>41</v>
      </c>
      <c r="H33" s="47" t="s">
        <v>51</v>
      </c>
      <c r="I33" s="47"/>
      <c r="J33" s="47"/>
    </row>
    <row r="65" spans="1:17" s="2" customFormat="1" hidden="1" x14ac:dyDescent="0.25">
      <c r="A65" t="s">
        <v>0</v>
      </c>
      <c r="B65" s="3"/>
      <c r="L65" s="3"/>
      <c r="M65" s="3"/>
      <c r="N65"/>
      <c r="O65" s="3"/>
      <c r="P65"/>
      <c r="Q65" s="3"/>
    </row>
    <row r="66" spans="1:17" s="2" customFormat="1" hidden="1" x14ac:dyDescent="0.25">
      <c r="A66" t="s">
        <v>2</v>
      </c>
      <c r="B66" s="3"/>
      <c r="L66" s="3"/>
      <c r="M66" s="3"/>
      <c r="N66"/>
      <c r="O66" s="3"/>
      <c r="P66"/>
      <c r="Q66" s="3"/>
    </row>
    <row r="67" spans="1:17" s="2" customFormat="1" hidden="1" x14ac:dyDescent="0.25">
      <c r="A67" t="s">
        <v>6</v>
      </c>
      <c r="B67" s="3"/>
      <c r="L67" s="3"/>
      <c r="M67" s="3"/>
      <c r="N67"/>
      <c r="O67" s="3"/>
      <c r="P67"/>
      <c r="Q67" s="3"/>
    </row>
    <row r="68" spans="1:17" s="2" customFormat="1" hidden="1" x14ac:dyDescent="0.25">
      <c r="A68" t="s">
        <v>8</v>
      </c>
      <c r="B68" s="11"/>
      <c r="L68" s="3"/>
      <c r="M68" s="3"/>
      <c r="N68"/>
      <c r="O68" s="3"/>
      <c r="P68"/>
      <c r="Q68" s="3"/>
    </row>
    <row r="69" spans="1:17" s="2" customFormat="1" hidden="1" x14ac:dyDescent="0.25">
      <c r="A69" t="s">
        <v>9</v>
      </c>
      <c r="B69" s="3"/>
      <c r="L69" s="3"/>
      <c r="M69" s="3"/>
      <c r="N69"/>
      <c r="O69" s="3"/>
      <c r="P69"/>
      <c r="Q69" s="3"/>
    </row>
    <row r="70" spans="1:17" s="2" customFormat="1" hidden="1" x14ac:dyDescent="0.25">
      <c r="A70" t="s">
        <v>10</v>
      </c>
      <c r="B70" s="11"/>
      <c r="L70" s="3"/>
      <c r="M70" s="3"/>
      <c r="N70"/>
      <c r="O70" s="3"/>
      <c r="P70"/>
      <c r="Q70" s="3"/>
    </row>
    <row r="71" spans="1:17" s="2" customFormat="1" hidden="1" x14ac:dyDescent="0.25">
      <c r="A71" t="s">
        <v>11</v>
      </c>
      <c r="B71" s="11"/>
      <c r="L71" s="3"/>
      <c r="M71" s="3"/>
      <c r="N71"/>
      <c r="O71" s="3"/>
      <c r="P71"/>
      <c r="Q71" s="3"/>
    </row>
    <row r="72" spans="1:17" s="2" customFormat="1" hidden="1" x14ac:dyDescent="0.25">
      <c r="A72" t="s">
        <v>13</v>
      </c>
      <c r="B72" s="11"/>
      <c r="L72" s="3"/>
      <c r="M72" s="3"/>
      <c r="N72"/>
      <c r="O72" s="3"/>
      <c r="P72"/>
      <c r="Q72" s="3"/>
    </row>
    <row r="73" spans="1:17" s="2" customFormat="1" hidden="1" x14ac:dyDescent="0.25">
      <c r="A73" t="s">
        <v>14</v>
      </c>
      <c r="B73" s="11"/>
      <c r="L73" s="3"/>
      <c r="M73" s="3"/>
      <c r="N73"/>
      <c r="O73" s="3"/>
      <c r="P73"/>
      <c r="Q73" s="3"/>
    </row>
    <row r="74" spans="1:17" s="2" customFormat="1" hidden="1" x14ac:dyDescent="0.25">
      <c r="A74" t="s">
        <v>16</v>
      </c>
      <c r="B74" s="11"/>
      <c r="L74" s="3"/>
      <c r="M74" s="3"/>
      <c r="N74"/>
      <c r="O74" s="3"/>
      <c r="P74"/>
      <c r="Q74" s="3"/>
    </row>
    <row r="75" spans="1:17" s="2" customFormat="1" hidden="1" x14ac:dyDescent="0.25">
      <c r="A75" t="s">
        <v>17</v>
      </c>
      <c r="B75" s="3"/>
      <c r="L75" s="3"/>
      <c r="M75" s="3"/>
      <c r="N75"/>
      <c r="O75" s="3"/>
      <c r="P75"/>
      <c r="Q75" s="3"/>
    </row>
    <row r="76" spans="1:17" s="2" customFormat="1" hidden="1" x14ac:dyDescent="0.25">
      <c r="A76" t="s">
        <v>21</v>
      </c>
      <c r="B76" s="3"/>
      <c r="L76" s="3"/>
      <c r="M76" s="3"/>
      <c r="N76"/>
      <c r="O76" s="3"/>
      <c r="P76"/>
      <c r="Q76" s="3"/>
    </row>
    <row r="77" spans="1:17" s="2" customFormat="1" hidden="1" x14ac:dyDescent="0.25">
      <c r="A77" t="s">
        <v>31</v>
      </c>
      <c r="B77" s="3"/>
      <c r="L77" s="3"/>
      <c r="M77" s="3"/>
      <c r="N77"/>
      <c r="O77" s="3"/>
      <c r="P77"/>
      <c r="Q77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16:I16"/>
    <mergeCell ref="J16:K16"/>
    <mergeCell ref="B32:D32"/>
    <mergeCell ref="G32:J32"/>
    <mergeCell ref="C33:D33"/>
    <mergeCell ref="H33:J33"/>
    <mergeCell ref="B19:C19"/>
    <mergeCell ref="D19:K19"/>
    <mergeCell ref="B20:K21"/>
    <mergeCell ref="D23:K24"/>
    <mergeCell ref="B25:K26"/>
    <mergeCell ref="D28:K29"/>
  </mergeCells>
  <conditionalFormatting sqref="G17">
    <cfRule type="cellIs" dxfId="1" priority="2" operator="greaterThan">
      <formula>350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15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17 G13:G15">
      <formula1>0</formula1>
      <formula2>366</formula2>
    </dataValidation>
    <dataValidation type="list" allowBlank="1" showInputMessage="1" showErrorMessage="1" sqref="D8">
      <formula1>#REF!</formula1>
    </dataValidation>
    <dataValidation type="list" allowBlank="1" showInputMessage="1" showErrorMessage="1" sqref="D7">
      <formula1>$A$66:$A$77</formula1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7"/>
  <sheetViews>
    <sheetView showGridLines="0" tabSelected="1" view="pageBreakPreview" topLeftCell="A7" zoomScaleNormal="100" zoomScaleSheetLayoutView="100" workbookViewId="0">
      <selection activeCell="B11" sqref="B11:G11"/>
    </sheetView>
  </sheetViews>
  <sheetFormatPr baseColWidth="10" defaultColWidth="8.5703125" defaultRowHeight="15" x14ac:dyDescent="0.25"/>
  <cols>
    <col min="1" max="1" width="4.42578125" style="3" customWidth="1"/>
    <col min="2" max="2" width="15.5703125" style="2" customWidth="1"/>
    <col min="3" max="3" width="8.5703125" style="2" bestFit="1" customWidth="1"/>
    <col min="4" max="4" width="43.42578125" style="2" customWidth="1"/>
    <col min="5" max="5" width="14.140625" style="2" bestFit="1" customWidth="1"/>
    <col min="6" max="6" width="13.42578125" style="2" customWidth="1"/>
    <col min="7" max="7" width="13.5703125" style="2" customWidth="1"/>
    <col min="8" max="8" width="13.42578125" style="2" customWidth="1"/>
    <col min="9" max="9" width="10.42578125" style="2" customWidth="1"/>
    <col min="10" max="11" width="12.42578125" style="2" customWidth="1"/>
    <col min="12" max="12" width="6.5703125" style="3" customWidth="1"/>
    <col min="13" max="13" width="16.42578125" style="3" customWidth="1"/>
    <col min="15" max="15" width="16.42578125" style="3" customWidth="1"/>
    <col min="16" max="16" width="0" hidden="1" customWidth="1"/>
    <col min="17" max="17" width="16.42578125" style="3" customWidth="1"/>
    <col min="18" max="16384" width="8.5703125" style="3"/>
  </cols>
  <sheetData>
    <row r="1" spans="2:16" x14ac:dyDescent="0.25">
      <c r="P1" t="s">
        <v>0</v>
      </c>
    </row>
    <row r="2" spans="2:16" ht="49.5" customHeight="1" x14ac:dyDescent="0.25"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P2" t="s">
        <v>2</v>
      </c>
    </row>
    <row r="3" spans="2:16" ht="18.75" customHeight="1" x14ac:dyDescent="0.25">
      <c r="B3" s="62" t="s">
        <v>3</v>
      </c>
      <c r="C3" s="63"/>
      <c r="D3" s="63"/>
      <c r="E3" s="63" t="s">
        <v>4</v>
      </c>
      <c r="F3" s="63"/>
      <c r="G3" s="63"/>
      <c r="H3" s="63"/>
      <c r="I3" s="63" t="s">
        <v>5</v>
      </c>
      <c r="J3" s="63"/>
      <c r="K3" s="64"/>
    </row>
    <row r="4" spans="2:16" x14ac:dyDescent="0.25">
      <c r="B4" s="4"/>
      <c r="C4" s="5"/>
      <c r="K4" s="6"/>
      <c r="P4" t="s">
        <v>6</v>
      </c>
    </row>
    <row r="5" spans="2:16" s="11" customFormat="1" ht="27.6" customHeight="1" x14ac:dyDescent="0.25">
      <c r="B5" s="59" t="s">
        <v>7</v>
      </c>
      <c r="C5" s="59"/>
      <c r="D5" s="72">
        <v>90577837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2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25">
      <c r="B7" s="59" t="s">
        <v>12</v>
      </c>
      <c r="C7" s="59"/>
      <c r="D7" s="13" t="s">
        <v>6</v>
      </c>
      <c r="E7"/>
      <c r="F7"/>
      <c r="G7"/>
      <c r="H7"/>
      <c r="I7" s="9"/>
      <c r="J7" s="9"/>
      <c r="K7" s="10"/>
      <c r="N7"/>
      <c r="P7" t="s">
        <v>13</v>
      </c>
    </row>
    <row r="8" spans="2:16" s="11" customFormat="1" x14ac:dyDescent="0.25">
      <c r="B8" s="15"/>
      <c r="C8" s="16"/>
      <c r="D8" s="14"/>
      <c r="E8"/>
      <c r="F8"/>
      <c r="G8"/>
      <c r="H8"/>
      <c r="I8" s="9"/>
      <c r="J8" s="9"/>
      <c r="K8" s="10"/>
      <c r="N8"/>
      <c r="P8" t="s">
        <v>14</v>
      </c>
    </row>
    <row r="9" spans="2:16" s="11" customFormat="1" x14ac:dyDescent="0.25">
      <c r="B9" s="59" t="s">
        <v>15</v>
      </c>
      <c r="C9" s="59"/>
      <c r="D9" s="17">
        <v>46081</v>
      </c>
      <c r="E9"/>
      <c r="F9"/>
      <c r="G9"/>
      <c r="H9"/>
      <c r="I9" s="9"/>
      <c r="J9" s="9"/>
      <c r="K9" s="10"/>
      <c r="N9"/>
      <c r="P9" t="s">
        <v>16</v>
      </c>
    </row>
    <row r="10" spans="2:16" x14ac:dyDescent="0.25">
      <c r="B10" s="18"/>
      <c r="C10" s="19"/>
      <c r="E10"/>
      <c r="F10"/>
      <c r="G10"/>
      <c r="H10"/>
      <c r="K10" s="20"/>
      <c r="P10" t="s">
        <v>17</v>
      </c>
    </row>
    <row r="11" spans="2:16" ht="26.85" customHeight="1" x14ac:dyDescent="0.25">
      <c r="B11" s="48" t="s">
        <v>18</v>
      </c>
      <c r="C11" s="48"/>
      <c r="D11" s="48"/>
      <c r="E11" s="48"/>
      <c r="F11" s="48"/>
      <c r="G11" s="48"/>
      <c r="H11" s="59" t="s">
        <v>19</v>
      </c>
      <c r="I11" s="59"/>
      <c r="J11" s="59" t="s">
        <v>20</v>
      </c>
      <c r="K11" s="59"/>
      <c r="P11" t="s">
        <v>21</v>
      </c>
    </row>
    <row r="12" spans="2:16" ht="57.6" customHeight="1" x14ac:dyDescent="0.25">
      <c r="B12" s="21" t="s">
        <v>22</v>
      </c>
      <c r="C12" s="21" t="s">
        <v>23</v>
      </c>
      <c r="D12" s="21" t="s">
        <v>24</v>
      </c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29</v>
      </c>
      <c r="P12" t="s">
        <v>31</v>
      </c>
    </row>
    <row r="13" spans="2:16" ht="45" x14ac:dyDescent="0.25">
      <c r="B13" s="65">
        <v>7</v>
      </c>
      <c r="C13" s="66" t="s">
        <v>42</v>
      </c>
      <c r="D13" s="67" t="s">
        <v>49</v>
      </c>
      <c r="E13" s="68" t="s">
        <v>43</v>
      </c>
      <c r="F13" s="69" t="s">
        <v>48</v>
      </c>
      <c r="G13" s="66">
        <v>80</v>
      </c>
      <c r="H13" s="69">
        <v>10</v>
      </c>
      <c r="I13" s="70">
        <f>IFERROR(H13/G13,0)</f>
        <v>0.125</v>
      </c>
      <c r="J13" s="71">
        <f>+H13+ENERO!J13</f>
        <v>20</v>
      </c>
      <c r="K13" s="70">
        <f>IFERROR(J13/G13,0)</f>
        <v>0.25</v>
      </c>
    </row>
    <row r="14" spans="2:16" ht="22.5" x14ac:dyDescent="0.25">
      <c r="B14" s="80">
        <v>7</v>
      </c>
      <c r="C14" s="81" t="s">
        <v>44</v>
      </c>
      <c r="D14" s="82" t="s">
        <v>50</v>
      </c>
      <c r="E14" s="29" t="s">
        <v>43</v>
      </c>
      <c r="F14" s="30" t="s">
        <v>48</v>
      </c>
      <c r="G14" s="83">
        <v>80</v>
      </c>
      <c r="H14" s="32">
        <v>10</v>
      </c>
      <c r="I14" s="33">
        <f t="shared" ref="I14:I15" si="0">IFERROR(H14/G14,0)</f>
        <v>0.125</v>
      </c>
      <c r="J14" s="32">
        <f>+H14+ENERO!J14</f>
        <v>20</v>
      </c>
      <c r="K14" s="33">
        <f>IFERROR(J14/G14,0)</f>
        <v>0.25</v>
      </c>
    </row>
    <row r="15" spans="2:16" ht="45" x14ac:dyDescent="0.25">
      <c r="B15" s="81">
        <v>7</v>
      </c>
      <c r="C15" s="81" t="s">
        <v>45</v>
      </c>
      <c r="D15" s="82" t="s">
        <v>46</v>
      </c>
      <c r="E15" s="29" t="s">
        <v>47</v>
      </c>
      <c r="F15" s="27" t="s">
        <v>48</v>
      </c>
      <c r="G15" s="81">
        <v>80</v>
      </c>
      <c r="H15" s="35">
        <v>10</v>
      </c>
      <c r="I15" s="36">
        <f t="shared" si="0"/>
        <v>0.125</v>
      </c>
      <c r="J15" s="35">
        <f>+H15+ENERO!J15</f>
        <v>20</v>
      </c>
      <c r="K15" s="36">
        <f>IFERROR(J15/G15,0)</f>
        <v>0.25</v>
      </c>
    </row>
    <row r="16" spans="2:16" x14ac:dyDescent="0.25">
      <c r="B16" s="9"/>
      <c r="C16" s="9"/>
      <c r="D16" s="9"/>
      <c r="E16" s="9"/>
      <c r="F16" s="16"/>
      <c r="G16" s="60" t="str">
        <f>+CONCATENATE("TOTAL A ",D7)</f>
        <v>TOTAL A FEBRERO</v>
      </c>
      <c r="H16" s="60"/>
      <c r="I16" s="60"/>
      <c r="J16" s="60" t="s">
        <v>32</v>
      </c>
      <c r="K16" s="60"/>
    </row>
    <row r="17" spans="1:16" s="11" customFormat="1" ht="16.5" customHeight="1" x14ac:dyDescent="0.25">
      <c r="B17" s="9"/>
      <c r="C17" s="9"/>
      <c r="G17" s="37">
        <f>+SUM(G13:G15)</f>
        <v>240</v>
      </c>
      <c r="H17" s="37">
        <f>+SUM(H13:H15)</f>
        <v>30</v>
      </c>
      <c r="I17" s="1">
        <f>IFERROR(H17/G17,0)</f>
        <v>0.125</v>
      </c>
      <c r="J17" s="38">
        <f>+SUM(J13:J15)</f>
        <v>60</v>
      </c>
      <c r="K17" s="1">
        <f>IFERROR(J17/G17,0)</f>
        <v>0.25</v>
      </c>
      <c r="N17"/>
      <c r="P17"/>
    </row>
    <row r="19" spans="1:16" ht="32.25" customHeight="1" x14ac:dyDescent="0.25">
      <c r="B19" s="48" t="s">
        <v>33</v>
      </c>
      <c r="C19" s="48"/>
      <c r="D19" s="49"/>
      <c r="E19" s="50"/>
      <c r="F19" s="50"/>
      <c r="G19" s="50"/>
      <c r="H19" s="50"/>
      <c r="I19" s="50"/>
      <c r="J19" s="50"/>
      <c r="K19" s="50"/>
    </row>
    <row r="20" spans="1:16" customFormat="1" ht="14.45" customHeight="1" x14ac:dyDescent="0.25">
      <c r="A20" s="39"/>
      <c r="B20" s="73" t="s">
        <v>35</v>
      </c>
      <c r="C20" s="74"/>
      <c r="D20" s="74"/>
      <c r="E20" s="74"/>
      <c r="F20" s="74"/>
      <c r="G20" s="74"/>
      <c r="H20" s="74"/>
      <c r="I20" s="74"/>
      <c r="J20" s="74"/>
      <c r="K20" s="75"/>
    </row>
    <row r="21" spans="1:16" customFormat="1" ht="20.100000000000001" customHeight="1" x14ac:dyDescent="0.25">
      <c r="A21" s="3"/>
      <c r="B21" s="76"/>
      <c r="C21" s="77"/>
      <c r="D21" s="77"/>
      <c r="E21" s="77"/>
      <c r="F21" s="77"/>
      <c r="G21" s="77"/>
      <c r="H21" s="77"/>
      <c r="I21" s="77"/>
      <c r="J21" s="77"/>
      <c r="K21" s="78"/>
    </row>
    <row r="22" spans="1:16" ht="19.350000000000001" customHeight="1" x14ac:dyDescent="0.25">
      <c r="B22" s="40" t="s">
        <v>36</v>
      </c>
      <c r="C22" s="41"/>
      <c r="D22" s="41"/>
      <c r="E22" s="41"/>
      <c r="F22" s="41"/>
      <c r="G22" s="41"/>
      <c r="H22" s="41"/>
      <c r="I22" s="41"/>
      <c r="J22" s="41"/>
      <c r="K22" s="42"/>
    </row>
    <row r="23" spans="1:16" ht="20.100000000000001" customHeight="1" x14ac:dyDescent="0.3">
      <c r="B23" s="43" t="s">
        <v>37</v>
      </c>
      <c r="C23" s="44"/>
      <c r="D23" s="57" t="s">
        <v>34</v>
      </c>
      <c r="E23" s="57"/>
      <c r="F23" s="57"/>
      <c r="G23" s="57"/>
      <c r="H23" s="57"/>
      <c r="I23" s="57"/>
      <c r="J23" s="57"/>
      <c r="K23" s="57"/>
    </row>
    <row r="24" spans="1:16" ht="20.100000000000001" customHeight="1" x14ac:dyDescent="0.3">
      <c r="B24" s="43" t="s">
        <v>38</v>
      </c>
      <c r="C24" s="44"/>
      <c r="D24" s="57"/>
      <c r="E24" s="57"/>
      <c r="F24" s="57"/>
      <c r="G24" s="57"/>
      <c r="H24" s="57"/>
      <c r="I24" s="57"/>
      <c r="J24" s="57"/>
      <c r="K24" s="57"/>
    </row>
    <row r="25" spans="1:16" x14ac:dyDescent="0.25">
      <c r="B25" s="58" t="s">
        <v>35</v>
      </c>
      <c r="C25" s="58"/>
      <c r="D25" s="58"/>
      <c r="E25" s="58"/>
      <c r="F25" s="58"/>
      <c r="G25" s="58"/>
      <c r="H25" s="58"/>
      <c r="I25" s="58"/>
      <c r="J25" s="58"/>
      <c r="K25" s="58"/>
    </row>
    <row r="26" spans="1:16" ht="15" customHeight="1" x14ac:dyDescent="0.25">
      <c r="B26" s="58"/>
      <c r="C26" s="58"/>
      <c r="D26" s="58"/>
      <c r="E26" s="58"/>
      <c r="F26" s="58"/>
      <c r="G26" s="58"/>
      <c r="H26" s="58"/>
      <c r="I26" s="58"/>
      <c r="J26" s="58"/>
      <c r="K26" s="58"/>
    </row>
    <row r="27" spans="1:16" x14ac:dyDescent="0.25">
      <c r="B27" s="40" t="s">
        <v>39</v>
      </c>
      <c r="C27" s="41"/>
      <c r="D27" s="41"/>
      <c r="E27" s="41"/>
      <c r="F27" s="41"/>
      <c r="G27" s="41"/>
      <c r="H27" s="41"/>
      <c r="I27" s="41"/>
      <c r="J27" s="41"/>
      <c r="K27" s="42"/>
    </row>
    <row r="28" spans="1:16" ht="20.100000000000001" customHeight="1" x14ac:dyDescent="0.3">
      <c r="B28" s="43" t="s">
        <v>37</v>
      </c>
      <c r="C28" s="44"/>
      <c r="D28" s="57" t="s">
        <v>34</v>
      </c>
      <c r="E28" s="57"/>
      <c r="F28" s="57"/>
      <c r="G28" s="57"/>
      <c r="H28" s="57"/>
      <c r="I28" s="57"/>
      <c r="J28" s="57"/>
      <c r="K28" s="57"/>
    </row>
    <row r="29" spans="1:16" ht="20.100000000000001" customHeight="1" x14ac:dyDescent="0.3">
      <c r="B29" s="43" t="s">
        <v>38</v>
      </c>
      <c r="C29" s="44"/>
      <c r="D29" s="57"/>
      <c r="E29" s="57"/>
      <c r="F29" s="57"/>
      <c r="G29" s="57"/>
      <c r="H29" s="57"/>
      <c r="I29" s="57"/>
      <c r="J29" s="57"/>
      <c r="K29" s="57"/>
    </row>
    <row r="32" spans="1:16" ht="19.5" customHeight="1" x14ac:dyDescent="0.25">
      <c r="B32" s="45"/>
      <c r="C32" s="45"/>
      <c r="D32" s="45"/>
      <c r="G32" s="79"/>
      <c r="H32" s="79"/>
      <c r="I32" s="79"/>
      <c r="J32" s="79"/>
    </row>
    <row r="33" spans="2:10" ht="23.85" customHeight="1" x14ac:dyDescent="0.25">
      <c r="B33" s="9" t="s">
        <v>40</v>
      </c>
      <c r="C33" s="46"/>
      <c r="D33" s="46"/>
      <c r="G33" s="9" t="s">
        <v>41</v>
      </c>
      <c r="H33" s="47" t="s">
        <v>51</v>
      </c>
      <c r="I33" s="47"/>
      <c r="J33" s="47"/>
    </row>
    <row r="65" spans="1:17" s="2" customFormat="1" hidden="1" x14ac:dyDescent="0.25">
      <c r="A65" t="s">
        <v>0</v>
      </c>
      <c r="B65" s="3"/>
      <c r="L65" s="3"/>
      <c r="M65" s="3"/>
      <c r="N65"/>
      <c r="O65" s="3"/>
      <c r="P65"/>
      <c r="Q65" s="3"/>
    </row>
    <row r="66" spans="1:17" s="2" customFormat="1" hidden="1" x14ac:dyDescent="0.25">
      <c r="A66" t="s">
        <v>2</v>
      </c>
      <c r="B66" s="3"/>
      <c r="L66" s="3"/>
      <c r="M66" s="3"/>
      <c r="N66"/>
      <c r="O66" s="3"/>
      <c r="P66"/>
      <c r="Q66" s="3"/>
    </row>
    <row r="67" spans="1:17" s="2" customFormat="1" hidden="1" x14ac:dyDescent="0.25">
      <c r="A67" t="s">
        <v>6</v>
      </c>
      <c r="B67" s="3"/>
      <c r="L67" s="3"/>
      <c r="M67" s="3"/>
      <c r="N67"/>
      <c r="O67" s="3"/>
      <c r="P67"/>
      <c r="Q67" s="3"/>
    </row>
    <row r="68" spans="1:17" s="2" customFormat="1" hidden="1" x14ac:dyDescent="0.25">
      <c r="A68" t="s">
        <v>8</v>
      </c>
      <c r="B68" s="11"/>
      <c r="L68" s="3"/>
      <c r="M68" s="3"/>
      <c r="N68"/>
      <c r="O68" s="3"/>
      <c r="P68"/>
      <c r="Q68" s="3"/>
    </row>
    <row r="69" spans="1:17" s="2" customFormat="1" hidden="1" x14ac:dyDescent="0.25">
      <c r="A69" t="s">
        <v>9</v>
      </c>
      <c r="B69" s="3"/>
      <c r="L69" s="3"/>
      <c r="M69" s="3"/>
      <c r="N69"/>
      <c r="O69" s="3"/>
      <c r="P69"/>
      <c r="Q69" s="3"/>
    </row>
    <row r="70" spans="1:17" s="2" customFormat="1" hidden="1" x14ac:dyDescent="0.25">
      <c r="A70" t="s">
        <v>10</v>
      </c>
      <c r="B70" s="11"/>
      <c r="L70" s="3"/>
      <c r="M70" s="3"/>
      <c r="N70"/>
      <c r="O70" s="3"/>
      <c r="P70"/>
      <c r="Q70" s="3"/>
    </row>
    <row r="71" spans="1:17" s="2" customFormat="1" hidden="1" x14ac:dyDescent="0.25">
      <c r="A71" t="s">
        <v>11</v>
      </c>
      <c r="B71" s="11"/>
      <c r="L71" s="3"/>
      <c r="M71" s="3"/>
      <c r="N71"/>
      <c r="O71" s="3"/>
      <c r="P71"/>
      <c r="Q71" s="3"/>
    </row>
    <row r="72" spans="1:17" s="2" customFormat="1" hidden="1" x14ac:dyDescent="0.25">
      <c r="A72" t="s">
        <v>13</v>
      </c>
      <c r="B72" s="11"/>
      <c r="L72" s="3"/>
      <c r="M72" s="3"/>
      <c r="N72"/>
      <c r="O72" s="3"/>
      <c r="P72"/>
      <c r="Q72" s="3"/>
    </row>
    <row r="73" spans="1:17" s="2" customFormat="1" hidden="1" x14ac:dyDescent="0.25">
      <c r="A73" t="s">
        <v>14</v>
      </c>
      <c r="B73" s="11"/>
      <c r="L73" s="3"/>
      <c r="M73" s="3"/>
      <c r="N73"/>
      <c r="O73" s="3"/>
      <c r="P73"/>
      <c r="Q73" s="3"/>
    </row>
    <row r="74" spans="1:17" s="2" customFormat="1" hidden="1" x14ac:dyDescent="0.25">
      <c r="A74" t="s">
        <v>16</v>
      </c>
      <c r="B74" s="11"/>
      <c r="L74" s="3"/>
      <c r="M74" s="3"/>
      <c r="N74"/>
      <c r="O74" s="3"/>
      <c r="P74"/>
      <c r="Q74" s="3"/>
    </row>
    <row r="75" spans="1:17" s="2" customFormat="1" hidden="1" x14ac:dyDescent="0.25">
      <c r="A75" t="s">
        <v>17</v>
      </c>
      <c r="B75" s="3"/>
      <c r="L75" s="3"/>
      <c r="M75" s="3"/>
      <c r="N75"/>
      <c r="O75" s="3"/>
      <c r="P75"/>
      <c r="Q75" s="3"/>
    </row>
    <row r="76" spans="1:17" s="2" customFormat="1" hidden="1" x14ac:dyDescent="0.25">
      <c r="A76" t="s">
        <v>21</v>
      </c>
      <c r="B76" s="3"/>
      <c r="L76" s="3"/>
      <c r="M76" s="3"/>
      <c r="N76"/>
      <c r="O76" s="3"/>
      <c r="P76"/>
      <c r="Q76" s="3"/>
    </row>
    <row r="77" spans="1:17" s="2" customFormat="1" hidden="1" x14ac:dyDescent="0.25">
      <c r="A77" t="s">
        <v>31</v>
      </c>
      <c r="B77" s="3"/>
      <c r="L77" s="3"/>
      <c r="M77" s="3"/>
      <c r="N77"/>
      <c r="O77" s="3"/>
      <c r="P77"/>
      <c r="Q77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16:I16"/>
    <mergeCell ref="J16:K16"/>
    <mergeCell ref="B32:D32"/>
    <mergeCell ref="G32:J32"/>
    <mergeCell ref="C33:D33"/>
    <mergeCell ref="H33:J33"/>
    <mergeCell ref="B19:C19"/>
    <mergeCell ref="D19:K19"/>
    <mergeCell ref="B20:K21"/>
    <mergeCell ref="D23:K24"/>
    <mergeCell ref="B25:K26"/>
    <mergeCell ref="D28:K29"/>
  </mergeCells>
  <conditionalFormatting sqref="G17">
    <cfRule type="cellIs" dxfId="0" priority="1" operator="greaterThan">
      <formula>350</formula>
    </cfRule>
  </conditionalFormatting>
  <dataValidations count="4">
    <dataValidation type="list" allowBlank="1" showInputMessage="1" showErrorMessage="1" sqref="D7">
      <formula1>$A$66:$A$77</formula1>
    </dataValidation>
    <dataValidation type="list" allowBlank="1" showInputMessage="1" showErrorMessage="1" sqref="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17 G13:G15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15">
      <formula1>0</formula1>
      <formula2>30</formula2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</vt:lpstr>
      <vt:lpstr>FEBRERO</vt:lpstr>
      <vt:lpstr>ENERO!Área_de_impresión</vt:lpstr>
      <vt:lpstr>FEBRERO!Área_de_impresión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2026-03-09T15:22:00Z</dcterms:modified>
</cp:coreProperties>
</file>