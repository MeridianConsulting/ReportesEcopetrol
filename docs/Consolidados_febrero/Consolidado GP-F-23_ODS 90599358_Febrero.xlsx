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eportesEcopetrol\docs\Consolidados_febrero\"/>
    </mc:Choice>
  </mc:AlternateContent>
  <bookViews>
    <workbookView xWindow="0" yWindow="0" windowWidth="19200" windowHeight="6600" activeTab="1"/>
  </bookViews>
  <sheets>
    <sheet name="ENERO" sheetId="16" r:id="rId1"/>
    <sheet name="FEBRERO" sheetId="17" r:id="rId2"/>
  </sheets>
  <definedNames>
    <definedName name="_xlnm.Print_Area" localSheetId="0">ENERO!$A$1:$M$56</definedName>
    <definedName name="_xlnm.Print_Area" localSheetId="1">FEBRERO!$A$1:$M$56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6" l="1"/>
  <c r="K31" i="17" s="1"/>
  <c r="L31" i="17" s="1"/>
  <c r="J31" i="16"/>
  <c r="J31" i="17"/>
  <c r="J22" i="16"/>
  <c r="K22" i="16"/>
  <c r="K22" i="17" s="1"/>
  <c r="L22" i="17" s="1"/>
  <c r="L22" i="16"/>
  <c r="J22" i="17"/>
  <c r="L31" i="16" l="1"/>
  <c r="I39" i="17"/>
  <c r="H39" i="17"/>
  <c r="J37" i="17"/>
  <c r="J36" i="17"/>
  <c r="J35" i="17"/>
  <c r="J34" i="17"/>
  <c r="J33" i="17"/>
  <c r="J32" i="17"/>
  <c r="J30" i="17"/>
  <c r="J29" i="17"/>
  <c r="J28" i="17"/>
  <c r="J27" i="17"/>
  <c r="J26" i="17"/>
  <c r="J25" i="17"/>
  <c r="J24" i="17"/>
  <c r="J23" i="17"/>
  <c r="J21" i="17"/>
  <c r="J20" i="17"/>
  <c r="J19" i="17"/>
  <c r="J18" i="17"/>
  <c r="J17" i="17"/>
  <c r="J16" i="17"/>
  <c r="J15" i="17"/>
  <c r="J14" i="17"/>
  <c r="J13" i="17"/>
  <c r="J39" i="17" l="1"/>
  <c r="H39" i="16"/>
  <c r="I39" i="16"/>
  <c r="J39" i="16" l="1"/>
  <c r="J26" i="16"/>
  <c r="J25" i="16"/>
  <c r="J24" i="16"/>
  <c r="J23" i="16"/>
  <c r="J37" i="16"/>
  <c r="K17" i="16" l="1"/>
  <c r="K17" i="17" s="1"/>
  <c r="L17" i="17" s="1"/>
  <c r="K16" i="16"/>
  <c r="K16" i="17" s="1"/>
  <c r="L16" i="17" s="1"/>
  <c r="K15" i="16"/>
  <c r="K15" i="17" s="1"/>
  <c r="L15" i="17" s="1"/>
  <c r="K14" i="16"/>
  <c r="K14" i="17" s="1"/>
  <c r="L14" i="17" s="1"/>
  <c r="K13" i="16"/>
  <c r="K13" i="17" s="1"/>
  <c r="L13" i="17" s="1"/>
  <c r="J13" i="16" l="1"/>
  <c r="J14" i="16"/>
  <c r="J15" i="16"/>
  <c r="J16" i="16"/>
  <c r="J17" i="16"/>
  <c r="K36" i="16" l="1"/>
  <c r="K36" i="17" s="1"/>
  <c r="L36" i="17" s="1"/>
  <c r="J36" i="16"/>
  <c r="K35" i="16"/>
  <c r="K35" i="17" s="1"/>
  <c r="L35" i="17" s="1"/>
  <c r="J35" i="16"/>
  <c r="K34" i="16"/>
  <c r="K34" i="17" s="1"/>
  <c r="L34" i="17" s="1"/>
  <c r="J34" i="16"/>
  <c r="K33" i="16"/>
  <c r="K33" i="17" s="1"/>
  <c r="L33" i="17" s="1"/>
  <c r="J33" i="16"/>
  <c r="K32" i="16"/>
  <c r="K32" i="17" s="1"/>
  <c r="L32" i="17" s="1"/>
  <c r="J32" i="16"/>
  <c r="K30" i="16"/>
  <c r="J30" i="16"/>
  <c r="K29" i="16"/>
  <c r="K29" i="17" s="1"/>
  <c r="L29" i="17" s="1"/>
  <c r="J29" i="16"/>
  <c r="K28" i="16"/>
  <c r="K28" i="17" s="1"/>
  <c r="L28" i="17" s="1"/>
  <c r="J28" i="16"/>
  <c r="K27" i="16"/>
  <c r="K27" i="17" s="1"/>
  <c r="L27" i="17" s="1"/>
  <c r="J27" i="16"/>
  <c r="K26" i="16"/>
  <c r="K26" i="17" s="1"/>
  <c r="L26" i="17" s="1"/>
  <c r="K25" i="16"/>
  <c r="K25" i="17" s="1"/>
  <c r="L25" i="17" s="1"/>
  <c r="K24" i="16"/>
  <c r="K24" i="17" s="1"/>
  <c r="L24" i="17" s="1"/>
  <c r="K23" i="16"/>
  <c r="K23" i="17" s="1"/>
  <c r="L23" i="17" s="1"/>
  <c r="K37" i="16"/>
  <c r="K37" i="17" s="1"/>
  <c r="L37" i="17" s="1"/>
  <c r="K21" i="16"/>
  <c r="K21" i="17" s="1"/>
  <c r="J21" i="16"/>
  <c r="K20" i="16"/>
  <c r="K20" i="17" s="1"/>
  <c r="L20" i="17" s="1"/>
  <c r="J20" i="16"/>
  <c r="K19" i="16"/>
  <c r="K19" i="17" s="1"/>
  <c r="L19" i="17" s="1"/>
  <c r="J19" i="16"/>
  <c r="K18" i="16"/>
  <c r="K18" i="17" s="1"/>
  <c r="L18" i="17" s="1"/>
  <c r="J18" i="16"/>
  <c r="K30" i="17" l="1"/>
  <c r="L30" i="17" s="1"/>
  <c r="K39" i="16"/>
  <c r="L39" i="16" s="1"/>
  <c r="L25" i="16"/>
  <c r="L29" i="16"/>
  <c r="L34" i="16"/>
  <c r="L21" i="16"/>
  <c r="L37" i="16"/>
  <c r="L26" i="16"/>
  <c r="L30" i="16"/>
  <c r="L19" i="16"/>
  <c r="L23" i="16"/>
  <c r="L27" i="16"/>
  <c r="L36" i="16"/>
  <c r="L32" i="16"/>
  <c r="L35" i="16"/>
  <c r="L20" i="16"/>
  <c r="L24" i="16"/>
  <c r="L28" i="16"/>
  <c r="L33" i="16"/>
  <c r="L18" i="16"/>
  <c r="L17" i="16"/>
  <c r="L16" i="16"/>
  <c r="L15" i="16"/>
  <c r="L14" i="16"/>
  <c r="L13" i="16"/>
  <c r="L21" i="17" l="1"/>
  <c r="K39" i="17"/>
  <c r="L39" i="17" s="1"/>
</calcChain>
</file>

<file path=xl/comments1.xml><?xml version="1.0" encoding="utf-8"?>
<comments xmlns="http://schemas.openxmlformats.org/spreadsheetml/2006/main">
  <authors>
    <author>Autor</author>
  </authors>
  <commentList>
    <comment ref="K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5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C56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I56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K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55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C56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I56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<sst xmlns="http://schemas.openxmlformats.org/spreadsheetml/2006/main" count="332" uniqueCount="120">
  <si>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</si>
  <si>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</si>
  <si>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</si>
  <si>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</si>
  <si>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</si>
  <si>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</si>
  <si>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</si>
  <si>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</si>
  <si>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</si>
  <si>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</si>
  <si>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</si>
  <si>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</si>
  <si>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</si>
  <si>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</si>
  <si>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</si>
  <si>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</si>
  <si>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</si>
  <si>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</si>
  <si>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</si>
  <si>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</si>
  <si>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</si>
  <si>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</si>
  <si>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</si>
  <si>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</si>
  <si>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</si>
  <si>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</si>
  <si>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</si>
  <si>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</t>
  </si>
  <si>
    <t>% avance</t>
  </si>
  <si>
    <t xml:space="preserve">Días </t>
  </si>
  <si>
    <t>DICIEMBRE</t>
  </si>
  <si>
    <t>Digital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</si>
  <si>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</si>
  <si>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</si>
  <si>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</si>
  <si>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</si>
  <si>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</si>
  <si>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</si>
  <si>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</si>
  <si>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</si>
  <si>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</si>
  <si>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Días contratados Acta de Inicio</t>
  </si>
  <si>
    <t>Modelo - Informe del Modelo</t>
  </si>
  <si>
    <t>2.1</t>
  </si>
  <si>
    <t>QAQC e Interpretación de información de Corazones</t>
  </si>
  <si>
    <t>Data corazones pozo Loro15 unidad Villeta N para software Core Analysis</t>
  </si>
  <si>
    <t>2.2</t>
  </si>
  <si>
    <t>Generación Modelo Petrofísico</t>
  </si>
  <si>
    <t>Curva porosidad corregida por gas unidad K1 campo Suria</t>
  </si>
  <si>
    <t>2.3</t>
  </si>
  <si>
    <t>Definir Contactos de Fluidos, Arena neta, Net pay, por pozo</t>
  </si>
  <si>
    <t>2.4</t>
  </si>
  <si>
    <t>Realizar inventario y análisis de información petrofísica</t>
  </si>
  <si>
    <t>Estado de avance de las cadenas de custodia en la Disciplina Petrofísica</t>
  </si>
  <si>
    <t>2.5</t>
  </si>
  <si>
    <t>Realizar caracterización Scal (interpretación)</t>
  </si>
  <si>
    <t>Interpretación presiones capilares, swirr unidad Villeta N pozo Loro15</t>
  </si>
  <si>
    <t>2.6</t>
  </si>
  <si>
    <t>Realizar la digitalización de registros, normalización de curvas</t>
  </si>
  <si>
    <t>2.7</t>
  </si>
  <si>
    <t>Realizar la implementación y poblamiento</t>
  </si>
  <si>
    <t>2.8</t>
  </si>
  <si>
    <t>Realizar el diagnóstico e interpretación de los análisis</t>
  </si>
  <si>
    <t>Interpretación curvas porosidad corregida por gas vs curva original unidad K1 campo Suria</t>
  </si>
  <si>
    <t>2.9</t>
  </si>
  <si>
    <t>Generar tipos de roca / unidades de flujo por yacimiento</t>
  </si>
  <si>
    <t xml:space="preserve">E:\c1098782\ITCC </t>
  </si>
  <si>
    <t>E:\c1098782\Porosidad gas K1 Suria</t>
  </si>
  <si>
    <t>\\10.100.25.60\sya\Disciplina_Petrofisica</t>
  </si>
  <si>
    <t>2.12</t>
  </si>
  <si>
    <t>Interpretación avanzada de Registros de imágenes</t>
  </si>
  <si>
    <t xml:space="preserve">Base de Datos - Modelo Generado </t>
  </si>
  <si>
    <t>Inventario - Informe</t>
  </si>
  <si>
    <t>Informe</t>
  </si>
  <si>
    <t>Información digital - Informe</t>
  </si>
  <si>
    <t>Cronograma de planeación y seguimiento de actividades: CronogramaCA.xlsx
CronogramaCA.pbix /  PowerBI_GanttChart.xlsx
Presupuesto 2026_Desem-NoDesem_Vr4.6.xlsx
Req_CoreAnalysis_2026.xlsx
Memorandos 2025</t>
  </si>
  <si>
    <t>Plan de trabajo</t>
  </si>
  <si>
    <t>Correos eletrónicos con presupuestos 2026.
Correos electrónicos con protocolos enviados.
CronogramaCA_2026.pbix / PowerBI_GanttChart_2026.xlsx
CHIC_PruebasT2_f25.xlsx</t>
  </si>
  <si>
    <t>Realizar la implementación y poblamiento (y/o extrapolación) del modelo petrofísico</t>
  </si>
  <si>
    <t>Realizar el diagnóstico e interpretación de los análisis de laboratorio (Básicos y Scal)</t>
  </si>
  <si>
    <t>Correos electrónicos con protocolos enviados.
CHIC_PruebasT2_f26.xlsx</t>
  </si>
  <si>
    <t xml:space="preserve">SharePoint ‘MERIDIAN-ECP’ &gt; 'Documentos' &gt; 'SeguimientoCore' (enlace: https://ecopetrol.sharepoint.com/:f:/r/sites/CEC2/Documentos%20compartidos/SeguimientoCore?csf=1&amp;web=1&amp;e=aNdVcO)
SharePoint ‘MERIDIAN-ECP’ &gt; Documento' &gt; SeguimientoCore &gt; Cronogramas y Requerimientos &gt; 'CronogramaCA.xlsx'.
SharePoint ‘MERIDIAN-ECP’ &gt; Documentos' &gt; SeguimientoCore &gt; Cronogramas y Requerimientos &gt;  ‘CronogramaCA.pbix’ / 'PowerBI_GanttChart.xlsx'
SharePoint ‘MERIDIAN-ECP’ &gt; Documentos &gt; SeguimientoCore &gt; Cronogramas y Requerimientos &gt; Plan2026 &gt; 'Presupuesto 2026_Desem-NoDesem_Vr4.6.xlsx’
SharePoint ‘MERIDIAN-ECP’ &gt; Documentos &gt; SeguimientoCore &gt; Cronogramas y Requerimientos &gt; RAP_2026 &gt; ‘Req_CoreAnalysis_2026.xlsx’
SharePoint ‘MERIDIAN-ECP’: ‘Documentos' &gt; ‘SeguimientoCore’ &gt; ‘Memorandos’ &gt; 2025
</t>
  </si>
  <si>
    <t>SharePoint ‘MERIDIAN-ECP’ &gt; 'Documentos' &gt; 'SeguimientoCore' (enlace: https://ecopetrol.sharepoint.com/:f:/r/sites/CEC2/Documentos%20compartidos/SeguimientoCore?csf=1&amp;web=1&amp;e=aNdVcO)
Correos electrónicos
SharePoint ‘MERIDIAN-ECP’ &gt; Documentos &gt; SeguimientoCore &gt; Cronogramas y Requerimientos &gt; Cronograma_2026 &gt; ‘CronogramaCA_2026.pbix’, 'PowerBI_GanttChart_2026.xlsx'
SharePoint ‘MERIDIAN-ECP’ &gt; Documentos &gt; SegimientoCore &gt; ChichimeneNG &gt; 8. INFORME INTEGRADO &gt; ‘CHIC_PruebasT2_f25.xlsx’.</t>
  </si>
  <si>
    <t>Correos electrónicos.
SharePoint ‘MERIDIAN-ECP’ &gt; Documentos &gt; SegimientoCore &gt; ChichimeneNG &gt; 8. INFORME INTEGRADO &gt; ‘CHIC_PruebasT2_f26.xlsx’.</t>
  </si>
  <si>
    <t>Ingrid Tatiana Cabrejo Cárdenas</t>
  </si>
  <si>
    <t>Ruben Dario Ortiz Murcia</t>
  </si>
  <si>
    <t>Maria Alejandra Joya Rincon</t>
  </si>
  <si>
    <t>Liliana Martinez Uribe</t>
  </si>
  <si>
    <t>Juan Sebastian Avila Parra</t>
  </si>
  <si>
    <t>Profesional a cargo</t>
  </si>
  <si>
    <r>
      <t xml:space="preserve">2.1 2.2 2.3 2.4 2.5 2.6 2.7 2.8 2.9 Junior (JA):
</t>
    </r>
    <r>
      <rPr>
        <sz val="9"/>
        <color theme="1"/>
        <rFont val="Verdana"/>
        <family val="2"/>
      </rPr>
      <t>Se realizó avance en actividades asignadas correspondientes al mes de Enero.</t>
    </r>
  </si>
  <si>
    <r>
      <t>2.1 2.2 2.5 2.7 2.8 Senior (RO):</t>
    </r>
    <r>
      <rPr>
        <sz val="9"/>
        <color theme="1"/>
        <rFont val="Verdana"/>
        <family val="2"/>
      </rPr>
      <t xml:space="preserve">
Se realiza envío de informe (GP-F-25_Ruben Ortiz_Ene_2026) junto con el presente formato el día 02/02/2026.</t>
    </r>
  </si>
  <si>
    <t>-</t>
  </si>
  <si>
    <t xml:space="preserve">Informe de la interpretación de </t>
  </si>
  <si>
    <t>Modelo Petrofísico – Informe…</t>
  </si>
  <si>
    <t xml:space="preserve">QAQC, Interpretación cores Taller Gorgon ICPet, SGC </t>
  </si>
  <si>
    <t>https://acortar.link/pEYQ0w</t>
  </si>
  <si>
    <t>Validación ecuaciones Pd, lambda, Swirr unidad T2 campo Suria</t>
  </si>
  <si>
    <t>\\10.100.25.60\sya\Disciplina_Petrofisica\GDO\CadenaCustodia_APIAY\Proyecto\POR-PERM NMS SURIA SHIFT\shift_NMS FINAL_LAS\VSH_LAS\ParaIngTatiana\2025</t>
  </si>
  <si>
    <t>Inventario data core pozos Gorgon, cadena de Custodia campo Casabe</t>
  </si>
  <si>
    <t>\\10.100.25.60\sya\Disciplina_Petrofisica\GCE\VMM\CadenaCustodia_CASABE_2026</t>
  </si>
  <si>
    <t>Interpretación presiones capilares unidad T2 campo Suria</t>
  </si>
  <si>
    <t xml:space="preserve">Digitalización registros para plotters Taller Gorgon ICPet, SGC </t>
  </si>
  <si>
    <t>Diagnostico e interpretación para muestreo de pruebas laboratorio pozos Gorgon</t>
  </si>
  <si>
    <t>https://ecopetrol.sharepoint.com/:f:/r/sites/EntregablesMeridiamODS90599358GG3037132/Shared%20Documents/Liliana%20Martinez/Enero/Anexos?csf=1&amp;web=1&amp;e=heg37y</t>
  </si>
  <si>
    <t>Entregables digitales</t>
  </si>
  <si>
    <t>https://ecopetrol.sharepoint.com/:f:/r/sites/EntregablesMeridiamODS90599358GG3037132/Shared%20Documents/Liliana%20Martinez/Febrero/Anexos?csf=1&amp;web=1&amp;e=YNypFn</t>
  </si>
  <si>
    <r>
      <t xml:space="preserve">2.1 2.2 2.3 2.4 2.5 2.6 2.7 2.8 2.9 Junior (JA):
</t>
    </r>
    <r>
      <rPr>
        <sz val="9"/>
        <color theme="1"/>
        <rFont val="Verdana"/>
        <family val="2"/>
      </rPr>
      <t xml:space="preserve">Se realizó avance en actividades asignadas correspondientes al mes de Febrero.       
</t>
    </r>
  </si>
  <si>
    <t>Cronograma de planeación y seguimiento de actividades: CronogramaCA.xlsx
CronogramaCA.pbix /  PowerBI_GanttChart.xlsx
Presupuesto 2026_Desem-NoDesem_Vr4.6.xlsx
Req_CoreAnalysis_2026.xlsx
Req_CoreAnalysis_2026_Gorgon.xlsx
Memorandos 2025
Antecedentes-Plan2026_f26-02.pptx</t>
  </si>
  <si>
    <t xml:space="preserve">SharePoint ‘MERIDIAN-ECP’ &gt; 'Documentos' &gt; 'SeguimientoCore' (enlace: https://ecopetrol.sharepoint.com/:f:/r/sites/CEC2/Documentos%20compartidos/SeguimientoCore?csf=1&amp;web=1&amp;e=aNdVcO)
SharePoint ‘MERIDIAN-ECP’ &gt; Documento' &gt; SeguimientoCore &gt; Cronogramas y Requerimientos &gt; 'CronogramaCA.xlsx'.
SharePoint ‘MERIDIAN-ECP’ &gt; Documentos' &gt; SeguimientoCore &gt; Cronogramas y Requerimientos &gt;  ‘CronogramaCA.pbix’ / 'PowerBI_GanttChart.xlsx'
SharePoint ‘MERIDIAN-ECP’ &gt; Documentos &gt; SeguimientoCore &gt; Cronogramas y Requerimientos &gt; Plan2026 &gt; 'Presupuesto 2026_Desem-NoDesem_Vr4.6.xlsx’
SharePoint ‘MERIDIAN-ECP’ &gt; Documentos &gt; SeguimientoCore &gt; Cronogramas y Requerimientos &gt; RAP_2026 &gt; ‘Req_CoreAnalysis_2026.xlsx’
SharePoint ‘MERIDIAN-ECP' &gt; Documentos &gt; SeguimientoCore &gt; Cronogramas y Requerimientos&gt;  RAP_2026 &gt; Offshore &gt; ‘Req_CoreAnalysis_2026_Gorgon.xlsx’.
SharePoint ‘MERIDIAN-ECP’: ‘Documentos' &gt; ‘SeguimientoCore’ &gt; ‘Memorandos’ &gt; 2025
SharePoint ‘MERIDIAN-ECP’ &gt; Documentos &gt; SegimientoCore &gt; Composites Apiay-Suria &gt; ‘Antecedentes-Plan2026_f26-02.pptx’.
</t>
  </si>
  <si>
    <t>Posters para taller de núcleos (Gorgon-1, Gorgon-2 y Gorgon-2ST2)
VariosCore.tlpx</t>
  </si>
  <si>
    <t>SharePoint ‘Entregables Meridiam ODS 90599358 G&amp;G 3037132’ &gt; Documents &gt; Ruben Ortiz &gt; Entregables &gt; Pósteres_Gorgon
SharePoint ‘Entregables Meridiam ODS 90599358 G&amp;G 3037132’ &gt; Documents &gt; Ruben Ortiz &gt; Entregables &gt; TechlogProj_Gorgon &gt; ‘VariosCore.tlpx’.</t>
  </si>
  <si>
    <t>Correos eletrónicos con presupuestos 2026.
Correos electrónicos con protocolos enviados.
CronogramaCA_2026.pbix / PowerBI_GanttChart_2026.xlsx
CHIC_PruebasT2_f25.xlsx
Antecedentes-Plan2026_f26-02.pptx</t>
  </si>
  <si>
    <t>SharePoint ‘MERIDIAN-ECP’ &gt; 'Documentos' &gt; 'SeguimientoCore' (enlace: https://ecopetrol.sharepoint.com/:f:/r/sites/CEC2/Documentos%20compartidos/SeguimientoCore?csf=1&amp;web=1&amp;e=aNdVcO)
Correos electrónicos
SharePoint ‘MERIDIAN-ECP’ &gt; Documentos &gt; SeguimientoCore &gt; Cronogramas y Requerimientos &gt; Cronograma_2026 &gt; ‘CronogramaCA_2026.pbix’, 'PowerBI_GanttChart_2026.xlsx'
SharePoint ‘MERIDIAN-ECP’ &gt; Documentos &gt; SegimientoCore &gt; ChichimeneNG &gt; 8. INFORME INTEGRADO &gt; ‘CHIC_PruebasT2_f25.xlsx’.
SharePoint ‘MERIDIAN-ECP’ &gt; Documentos &gt; SegimientoCore &gt; Composites Apiay-Suria &gt; ‘Antecedentes-Plan2026_f26-02.pptx’.</t>
  </si>
  <si>
    <r>
      <t>2.1 2.2 2.5 2.7 2.8 Senior (RO):</t>
    </r>
    <r>
      <rPr>
        <sz val="9"/>
        <color theme="1"/>
        <rFont val="Verdana"/>
        <family val="2"/>
      </rPr>
      <t xml:space="preserve">
Se realiza envío de informe (GP-F-25_Ruben Ortiz_Feb_2026) junto con el presente formato el día 04/03/2026.       </t>
    </r>
  </si>
  <si>
    <t>2.10</t>
  </si>
  <si>
    <t>Generar base de datos petrofísicos</t>
  </si>
  <si>
    <t>Base de Datos</t>
  </si>
  <si>
    <t>Revisión de informe técnicos</t>
  </si>
  <si>
    <t>Base de datos petrofísicos pozos Gorgon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</si>
</sst>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2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7" xfId="0" applyFont="1" applyBorder="1" applyAlignment="1">
      <alignment horizontal="center" vertical="center"/>
    </xf>
    <xf numFmtId="164" fontId="4" fillId="0" borderId="7" xfId="1" applyNumberFormat="1" applyFont="1" applyBorder="1" applyAlignment="1" applyProtection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3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0" borderId="0" xfId="1" applyNumberFormat="1" applyFont="1" applyBorder="1" applyAlignment="1" applyProtection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2" fillId="0" borderId="9" xfId="0" applyFont="1" applyBorder="1"/>
    <xf numFmtId="0" fontId="2" fillId="0" borderId="8" xfId="0" applyFont="1" applyBorder="1"/>
    <xf numFmtId="0" fontId="2" fillId="2" borderId="7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9" fontId="2" fillId="0" borderId="16" xfId="1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9" fontId="2" fillId="0" borderId="18" xfId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9" fontId="2" fillId="0" borderId="16" xfId="1" applyFont="1" applyBorder="1" applyAlignment="1" applyProtection="1">
      <alignment horizontal="center" vertical="center" wrapText="1"/>
    </xf>
    <xf numFmtId="9" fontId="2" fillId="0" borderId="19" xfId="1" applyFont="1" applyBorder="1" applyAlignment="1" applyProtection="1">
      <alignment horizontal="center" vertical="center" wrapText="1"/>
    </xf>
    <xf numFmtId="9" fontId="2" fillId="0" borderId="17" xfId="1" applyFont="1" applyBorder="1" applyAlignment="1" applyProtection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left" vertical="center"/>
    </xf>
    <xf numFmtId="9" fontId="2" fillId="0" borderId="7" xfId="1" applyFont="1" applyBorder="1" applyAlignment="1">
      <alignment horizontal="center" vertical="center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1" fontId="2" fillId="0" borderId="18" xfId="0" applyNumberFormat="1" applyFont="1" applyBorder="1" applyAlignment="1">
      <alignment horizontal="center" vertical="center" wrapText="1"/>
    </xf>
    <xf numFmtId="9" fontId="2" fillId="0" borderId="18" xfId="1" applyFont="1" applyBorder="1" applyAlignment="1" applyProtection="1">
      <alignment horizontal="center" vertical="center" wrapText="1"/>
    </xf>
    <xf numFmtId="0" fontId="2" fillId="3" borderId="13" xfId="0" applyFont="1" applyFill="1" applyBorder="1" applyAlignment="1" applyProtection="1">
      <alignment horizontal="center" vertical="center" wrapText="1"/>
      <protection locked="0"/>
    </xf>
    <xf numFmtId="0" fontId="2" fillId="3" borderId="21" xfId="0" applyFont="1" applyFill="1" applyBorder="1" applyAlignment="1" applyProtection="1">
      <alignment horizontal="center" vertical="center" wrapText="1"/>
      <protection locked="0"/>
    </xf>
    <xf numFmtId="0" fontId="2" fillId="3" borderId="16" xfId="0" applyFont="1" applyFill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 applyProtection="1">
      <alignment horizontal="center" vertical="center" wrapText="1"/>
      <protection locked="0"/>
    </xf>
    <xf numFmtId="0" fontId="2" fillId="3" borderId="17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13" xfId="0" applyFont="1" applyFill="1" applyBorder="1" applyAlignment="1" applyProtection="1">
      <alignment horizontal="center" vertical="center"/>
      <protection locked="0"/>
    </xf>
    <xf numFmtId="0" fontId="2" fillId="3" borderId="21" xfId="0" applyFont="1" applyFill="1" applyBorder="1" applyAlignment="1" applyProtection="1">
      <alignment horizontal="center" vertical="center"/>
      <protection locked="0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0" fontId="2" fillId="3" borderId="19" xfId="0" applyFont="1" applyFill="1" applyBorder="1" applyAlignment="1" applyProtection="1">
      <alignment horizontal="center" vertical="center"/>
      <protection locked="0"/>
    </xf>
    <xf numFmtId="0" fontId="2" fillId="3" borderId="17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23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2" xfId="0" applyFont="1" applyBorder="1" applyAlignment="1">
      <alignment vertical="center"/>
    </xf>
    <xf numFmtId="0" fontId="10" fillId="0" borderId="17" xfId="0" applyFont="1" applyBorder="1" applyAlignment="1" applyProtection="1">
      <alignment vertical="center" wrapText="1"/>
      <protection locked="0"/>
    </xf>
    <xf numFmtId="0" fontId="2" fillId="0" borderId="17" xfId="0" applyFont="1" applyBorder="1" applyAlignment="1" applyProtection="1">
      <alignment vertical="center" wrapText="1"/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2" fillId="0" borderId="21" xfId="0" applyFont="1" applyBorder="1" applyAlignment="1" applyProtection="1">
      <alignment vertical="center" wrapText="1"/>
      <protection locked="0"/>
    </xf>
    <xf numFmtId="0" fontId="2" fillId="0" borderId="16" xfId="0" applyFont="1" applyBorder="1" applyAlignment="1" applyProtection="1">
      <alignment vertical="center"/>
      <protection locked="0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 applyProtection="1">
      <alignment vertical="center"/>
      <protection locked="0"/>
    </xf>
    <xf numFmtId="0" fontId="2" fillId="0" borderId="7" xfId="0" applyFont="1" applyBorder="1" applyAlignment="1">
      <alignment vertical="center"/>
    </xf>
    <xf numFmtId="0" fontId="11" fillId="0" borderId="7" xfId="2" applyBorder="1" applyAlignment="1" applyProtection="1">
      <alignment vertical="center"/>
      <protection locked="0"/>
    </xf>
    <xf numFmtId="0" fontId="10" fillId="0" borderId="16" xfId="0" applyFont="1" applyBorder="1" applyAlignment="1" applyProtection="1">
      <alignment vertical="center"/>
      <protection locked="0"/>
    </xf>
    <xf numFmtId="0" fontId="2" fillId="0" borderId="18" xfId="0" applyFont="1" applyBorder="1" applyAlignment="1" applyProtection="1">
      <alignment vertical="center"/>
      <protection locked="0"/>
    </xf>
    <xf numFmtId="0" fontId="2" fillId="0" borderId="19" xfId="0" applyFont="1" applyBorder="1" applyAlignment="1" applyProtection="1">
      <alignment vertical="center"/>
      <protection locked="0"/>
    </xf>
    <xf numFmtId="0" fontId="10" fillId="0" borderId="21" xfId="0" applyFont="1" applyBorder="1" applyAlignment="1" applyProtection="1">
      <alignment vertical="center"/>
      <protection locked="0"/>
    </xf>
    <xf numFmtId="0" fontId="2" fillId="0" borderId="21" xfId="0" applyFont="1" applyBorder="1" applyAlignment="1" applyProtection="1">
      <alignment vertical="center"/>
      <protection locked="0"/>
    </xf>
    <xf numFmtId="0" fontId="10" fillId="0" borderId="7" xfId="0" applyFont="1" applyBorder="1" applyAlignment="1" applyProtection="1">
      <alignment vertical="center"/>
      <protection locked="0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19240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19240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06" y="240507"/>
          <a:ext cx="19240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06" y="240507"/>
          <a:ext cx="19240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petrol.sharepoint.com/:f:/r/sites/EntregablesMeridiamODS90599358GG3037132/Shared%20Documents/Liliana%20Martinez/Enero/Anexos?csf=1&amp;web=1&amp;e=heg37y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opetrol.sharepoint.com/:f:/r/sites/EntregablesMeridiamODS90599358GG3037132/Shared%20Documents/Liliana%20Martinez/Febrero/Anexos?csf=1&amp;web=1&amp;e=YNypFn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0"/>
  <sheetViews>
    <sheetView showGridLines="0" view="pageBreakPreview" zoomScaleNormal="80" zoomScaleSheetLayoutView="100" workbookViewId="0">
      <selection activeCell="B2" sqref="B2:L2"/>
    </sheetView>
  </sheetViews>
  <sheetFormatPr baseColWidth="10" defaultColWidth="8.6328125" defaultRowHeight="14.5" x14ac:dyDescent="0.35"/>
  <cols>
    <col min="1" max="1" width="3.36328125" style="2" customWidth="1"/>
    <col min="2" max="2" width="9.36328125" style="1" customWidth="1"/>
    <col min="3" max="3" width="7.36328125" style="1" customWidth="1"/>
    <col min="4" max="4" width="43.08984375" style="1" customWidth="1"/>
    <col min="5" max="5" width="16.08984375" style="1" customWidth="1"/>
    <col min="6" max="6" width="14.08984375" style="1" bestFit="1" customWidth="1"/>
    <col min="7" max="7" width="13.453125" style="1" customWidth="1"/>
    <col min="8" max="8" width="13.6328125" style="1" customWidth="1"/>
    <col min="9" max="9" width="13.453125" style="1" customWidth="1"/>
    <col min="10" max="10" width="10.453125" style="1" customWidth="1"/>
    <col min="11" max="11" width="12.453125" style="1" customWidth="1"/>
    <col min="12" max="12" width="12.36328125" style="1" customWidth="1"/>
    <col min="13" max="13" width="3.36328125" style="2" customWidth="1"/>
    <col min="14" max="14" width="16.453125" style="2" customWidth="1"/>
    <col min="16" max="16" width="16.453125" style="2" customWidth="1"/>
    <col min="17" max="17" width="0" hidden="1" customWidth="1"/>
    <col min="18" max="18" width="16.453125" style="2" customWidth="1"/>
    <col min="19" max="16384" width="8.6328125" style="2"/>
  </cols>
  <sheetData>
    <row r="1" spans="2:17" ht="18" customHeight="1" x14ac:dyDescent="0.35">
      <c r="Q1" t="s">
        <v>0</v>
      </c>
    </row>
    <row r="2" spans="2:17" ht="49.5" customHeight="1" x14ac:dyDescent="0.35">
      <c r="B2" s="111" t="s">
        <v>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Q2" t="s">
        <v>2</v>
      </c>
    </row>
    <row r="3" spans="2:17" ht="18.75" customHeight="1" x14ac:dyDescent="0.35">
      <c r="B3" s="112" t="s">
        <v>3</v>
      </c>
      <c r="C3" s="113"/>
      <c r="D3" s="113"/>
      <c r="E3" s="66"/>
      <c r="F3" s="113" t="s">
        <v>4</v>
      </c>
      <c r="G3" s="113"/>
      <c r="H3" s="113"/>
      <c r="I3" s="113"/>
      <c r="J3" s="113" t="s">
        <v>5</v>
      </c>
      <c r="K3" s="113"/>
      <c r="L3" s="114"/>
    </row>
    <row r="4" spans="2:17" x14ac:dyDescent="0.35">
      <c r="B4" s="20"/>
      <c r="C4" s="3"/>
      <c r="L4" s="21"/>
      <c r="Q4" t="s">
        <v>6</v>
      </c>
    </row>
    <row r="5" spans="2:17" s="5" customFormat="1" ht="27.65" customHeight="1" x14ac:dyDescent="0.35">
      <c r="B5" s="110" t="s">
        <v>7</v>
      </c>
      <c r="C5" s="110"/>
      <c r="D5" s="55">
        <v>90599358</v>
      </c>
      <c r="E5"/>
      <c r="F5" s="17"/>
      <c r="G5" s="17"/>
      <c r="H5" s="17"/>
      <c r="I5" s="4"/>
      <c r="J5" s="4"/>
      <c r="K5" s="4"/>
      <c r="L5" s="22"/>
      <c r="O5"/>
      <c r="Q5" t="s">
        <v>8</v>
      </c>
    </row>
    <row r="6" spans="2:17" s="5" customFormat="1" x14ac:dyDescent="0.35">
      <c r="B6" s="23"/>
      <c r="C6" s="4"/>
      <c r="D6" s="4"/>
      <c r="E6"/>
      <c r="F6" s="4"/>
      <c r="G6" s="4"/>
      <c r="H6" s="4"/>
      <c r="I6" s="4"/>
      <c r="J6" s="4"/>
      <c r="K6" s="4"/>
      <c r="L6" s="22"/>
      <c r="O6"/>
      <c r="Q6" t="s">
        <v>11</v>
      </c>
    </row>
    <row r="7" spans="2:17" s="5" customFormat="1" x14ac:dyDescent="0.35">
      <c r="B7" s="110" t="s">
        <v>12</v>
      </c>
      <c r="C7" s="110"/>
      <c r="D7" s="6" t="s">
        <v>2</v>
      </c>
      <c r="E7"/>
      <c r="F7" s="24"/>
      <c r="G7" s="24"/>
      <c r="H7" s="24"/>
      <c r="I7" s="4"/>
      <c r="J7" s="4"/>
      <c r="K7" s="4"/>
      <c r="L7" s="22"/>
      <c r="O7"/>
      <c r="Q7" t="s">
        <v>13</v>
      </c>
    </row>
    <row r="8" spans="2:17" s="5" customFormat="1" x14ac:dyDescent="0.35">
      <c r="B8" s="25"/>
      <c r="C8" s="7"/>
      <c r="D8" s="24"/>
      <c r="E8"/>
      <c r="F8" s="24"/>
      <c r="G8" s="24"/>
      <c r="H8" s="24"/>
      <c r="I8" s="4"/>
      <c r="J8" s="4"/>
      <c r="K8" s="4"/>
      <c r="L8" s="22"/>
      <c r="O8"/>
      <c r="Q8" t="s">
        <v>14</v>
      </c>
    </row>
    <row r="9" spans="2:17" s="5" customFormat="1" x14ac:dyDescent="0.35">
      <c r="B9" s="110" t="s">
        <v>15</v>
      </c>
      <c r="C9" s="110"/>
      <c r="D9" s="8">
        <v>46053</v>
      </c>
      <c r="E9"/>
      <c r="F9" s="26"/>
      <c r="G9" s="26"/>
      <c r="H9" s="26"/>
      <c r="I9" s="4"/>
      <c r="J9" s="4"/>
      <c r="K9" s="4"/>
      <c r="L9" s="22"/>
      <c r="O9"/>
      <c r="Q9" t="s">
        <v>16</v>
      </c>
    </row>
    <row r="10" spans="2:17" x14ac:dyDescent="0.35">
      <c r="B10" s="27"/>
      <c r="L10" s="28"/>
      <c r="Q10" t="s">
        <v>17</v>
      </c>
    </row>
    <row r="11" spans="2:17" ht="26.9" customHeight="1" x14ac:dyDescent="0.35">
      <c r="B11" s="118" t="s">
        <v>18</v>
      </c>
      <c r="C11" s="118"/>
      <c r="D11" s="118"/>
      <c r="E11" s="118"/>
      <c r="F11" s="118"/>
      <c r="G11" s="118"/>
      <c r="H11" s="118"/>
      <c r="I11" s="110" t="s">
        <v>19</v>
      </c>
      <c r="J11" s="110"/>
      <c r="K11" s="110" t="s">
        <v>20</v>
      </c>
      <c r="L11" s="110"/>
      <c r="Q11" t="s">
        <v>21</v>
      </c>
    </row>
    <row r="12" spans="2:17" ht="57.65" customHeight="1" x14ac:dyDescent="0.35">
      <c r="B12" s="29" t="s">
        <v>22</v>
      </c>
      <c r="C12" s="29" t="s">
        <v>23</v>
      </c>
      <c r="D12" s="29" t="s">
        <v>24</v>
      </c>
      <c r="E12" s="29" t="s">
        <v>89</v>
      </c>
      <c r="F12" s="29" t="s">
        <v>25</v>
      </c>
      <c r="G12" s="29" t="s">
        <v>26</v>
      </c>
      <c r="H12" s="29" t="s">
        <v>41</v>
      </c>
      <c r="I12" s="29" t="s">
        <v>27</v>
      </c>
      <c r="J12" s="29" t="s">
        <v>28</v>
      </c>
      <c r="K12" s="29" t="s">
        <v>29</v>
      </c>
      <c r="L12" s="29" t="s">
        <v>28</v>
      </c>
      <c r="Q12" t="s">
        <v>30</v>
      </c>
    </row>
    <row r="13" spans="2:17" ht="14.4" customHeight="1" x14ac:dyDescent="0.35">
      <c r="B13" s="33">
        <v>2</v>
      </c>
      <c r="C13" s="33" t="s">
        <v>43</v>
      </c>
      <c r="D13" s="44" t="s">
        <v>44</v>
      </c>
      <c r="E13" s="119" t="s">
        <v>88</v>
      </c>
      <c r="F13" s="44" t="s">
        <v>45</v>
      </c>
      <c r="G13" s="44" t="s">
        <v>66</v>
      </c>
      <c r="H13" s="61">
        <v>22</v>
      </c>
      <c r="I13" s="33">
        <v>3</v>
      </c>
      <c r="J13" s="45">
        <f t="shared" ref="J13:J17" si="0">IFERROR(I13/H13,0)</f>
        <v>0.13636363636363635</v>
      </c>
      <c r="K13" s="33">
        <f t="shared" ref="K13:K20" si="1">I13</f>
        <v>3</v>
      </c>
      <c r="L13" s="45">
        <f t="shared" ref="L13:L17" si="2">IFERROR(K13/H13,0)</f>
        <v>0.13636363636363635</v>
      </c>
    </row>
    <row r="14" spans="2:17" x14ac:dyDescent="0.35">
      <c r="B14" s="36">
        <v>2</v>
      </c>
      <c r="C14" s="36" t="s">
        <v>46</v>
      </c>
      <c r="D14" s="42" t="s">
        <v>47</v>
      </c>
      <c r="E14" s="120"/>
      <c r="F14" s="42" t="s">
        <v>48</v>
      </c>
      <c r="G14" s="42" t="s">
        <v>67</v>
      </c>
      <c r="H14" s="62">
        <v>22</v>
      </c>
      <c r="I14" s="36">
        <v>3</v>
      </c>
      <c r="J14" s="43">
        <f t="shared" si="0"/>
        <v>0.13636363636363635</v>
      </c>
      <c r="K14" s="36">
        <f t="shared" si="1"/>
        <v>3</v>
      </c>
      <c r="L14" s="43">
        <f t="shared" si="2"/>
        <v>0.13636363636363635</v>
      </c>
    </row>
    <row r="15" spans="2:17" x14ac:dyDescent="0.35">
      <c r="B15" s="36">
        <v>2</v>
      </c>
      <c r="C15" s="36" t="s">
        <v>49</v>
      </c>
      <c r="D15" s="42" t="s">
        <v>50</v>
      </c>
      <c r="E15" s="120"/>
      <c r="F15" s="42" t="s">
        <v>92</v>
      </c>
      <c r="G15" s="42" t="s">
        <v>92</v>
      </c>
      <c r="H15" s="63">
        <v>22</v>
      </c>
      <c r="I15" s="36">
        <v>0</v>
      </c>
      <c r="J15" s="43">
        <f t="shared" si="0"/>
        <v>0</v>
      </c>
      <c r="K15" s="36">
        <f t="shared" si="1"/>
        <v>0</v>
      </c>
      <c r="L15" s="43">
        <f t="shared" si="2"/>
        <v>0</v>
      </c>
    </row>
    <row r="16" spans="2:17" x14ac:dyDescent="0.35">
      <c r="B16" s="36">
        <v>2</v>
      </c>
      <c r="C16" s="36" t="s">
        <v>51</v>
      </c>
      <c r="D16" s="42" t="s">
        <v>52</v>
      </c>
      <c r="E16" s="120"/>
      <c r="F16" s="42" t="s">
        <v>53</v>
      </c>
      <c r="G16" s="42" t="s">
        <v>68</v>
      </c>
      <c r="H16" s="63">
        <v>22</v>
      </c>
      <c r="I16" s="36">
        <v>3</v>
      </c>
      <c r="J16" s="43">
        <f t="shared" si="0"/>
        <v>0.13636363636363635</v>
      </c>
      <c r="K16" s="36">
        <f t="shared" si="1"/>
        <v>3</v>
      </c>
      <c r="L16" s="43">
        <f t="shared" si="2"/>
        <v>0.13636363636363635</v>
      </c>
    </row>
    <row r="17" spans="2:17" s="5" customFormat="1" x14ac:dyDescent="0.35">
      <c r="B17" s="36">
        <v>2</v>
      </c>
      <c r="C17" s="40" t="s">
        <v>54</v>
      </c>
      <c r="D17" s="41" t="s">
        <v>55</v>
      </c>
      <c r="E17" s="120"/>
      <c r="F17" s="42" t="s">
        <v>56</v>
      </c>
      <c r="G17" s="42" t="s">
        <v>66</v>
      </c>
      <c r="H17" s="63">
        <v>22</v>
      </c>
      <c r="I17" s="36">
        <v>3</v>
      </c>
      <c r="J17" s="43">
        <f t="shared" si="0"/>
        <v>0.13636363636363635</v>
      </c>
      <c r="K17" s="36">
        <f t="shared" si="1"/>
        <v>3</v>
      </c>
      <c r="L17" s="43">
        <f t="shared" si="2"/>
        <v>0.13636363636363635</v>
      </c>
      <c r="O17" s="9"/>
      <c r="Q17" s="9"/>
    </row>
    <row r="18" spans="2:17" x14ac:dyDescent="0.35">
      <c r="B18" s="39">
        <v>2</v>
      </c>
      <c r="C18" s="36" t="s">
        <v>57</v>
      </c>
      <c r="D18" s="42" t="s">
        <v>58</v>
      </c>
      <c r="E18" s="120"/>
      <c r="F18" s="41" t="s">
        <v>92</v>
      </c>
      <c r="G18" s="78" t="s">
        <v>92</v>
      </c>
      <c r="H18" s="63">
        <v>23</v>
      </c>
      <c r="I18" s="31">
        <v>0</v>
      </c>
      <c r="J18" s="52">
        <f t="shared" ref="J18:J36" si="3">IFERROR(I18/H18,0)</f>
        <v>0</v>
      </c>
      <c r="K18" s="54">
        <f t="shared" si="1"/>
        <v>0</v>
      </c>
      <c r="L18" s="52">
        <f>IFERROR(K18/H18,0)</f>
        <v>0</v>
      </c>
    </row>
    <row r="19" spans="2:17" x14ac:dyDescent="0.35">
      <c r="B19" s="34">
        <v>2</v>
      </c>
      <c r="C19" s="36" t="s">
        <v>59</v>
      </c>
      <c r="D19" s="42" t="s">
        <v>60</v>
      </c>
      <c r="E19" s="120"/>
      <c r="F19" s="42" t="s">
        <v>92</v>
      </c>
      <c r="G19" s="79" t="s">
        <v>92</v>
      </c>
      <c r="H19" s="63">
        <v>23</v>
      </c>
      <c r="I19" s="30">
        <v>0</v>
      </c>
      <c r="J19" s="51">
        <f t="shared" si="3"/>
        <v>0</v>
      </c>
      <c r="K19" s="49">
        <f t="shared" si="1"/>
        <v>0</v>
      </c>
      <c r="L19" s="51">
        <f>IFERROR(K19/H19,0)</f>
        <v>0</v>
      </c>
    </row>
    <row r="20" spans="2:17" x14ac:dyDescent="0.35">
      <c r="B20" s="34">
        <v>2</v>
      </c>
      <c r="C20" s="36" t="s">
        <v>61</v>
      </c>
      <c r="D20" s="42" t="s">
        <v>62</v>
      </c>
      <c r="E20" s="120"/>
      <c r="F20" s="41" t="s">
        <v>63</v>
      </c>
      <c r="G20" s="80" t="s">
        <v>67</v>
      </c>
      <c r="H20" s="63">
        <v>23</v>
      </c>
      <c r="I20" s="30">
        <v>3</v>
      </c>
      <c r="J20" s="51">
        <f t="shared" si="3"/>
        <v>0.13043478260869565</v>
      </c>
      <c r="K20" s="49">
        <f t="shared" si="1"/>
        <v>3</v>
      </c>
      <c r="L20" s="51">
        <f>IFERROR(K20/H20,0)</f>
        <v>0.13043478260869565</v>
      </c>
    </row>
    <row r="21" spans="2:17" x14ac:dyDescent="0.35">
      <c r="B21" s="34">
        <v>2</v>
      </c>
      <c r="C21" s="36" t="s">
        <v>64</v>
      </c>
      <c r="D21" s="42" t="s">
        <v>65</v>
      </c>
      <c r="E21" s="120"/>
      <c r="F21" s="41" t="s">
        <v>92</v>
      </c>
      <c r="G21" s="80" t="s">
        <v>92</v>
      </c>
      <c r="H21" s="63">
        <v>23</v>
      </c>
      <c r="I21" s="30">
        <v>0</v>
      </c>
      <c r="J21" s="51">
        <f t="shared" si="3"/>
        <v>0</v>
      </c>
      <c r="K21" s="49">
        <f t="shared" ref="K21:K22" si="4">I21</f>
        <v>0</v>
      </c>
      <c r="L21" s="51">
        <f t="shared" ref="L21:L22" si="5">IFERROR(K21/H21,0)</f>
        <v>0</v>
      </c>
    </row>
    <row r="22" spans="2:17" x14ac:dyDescent="0.35">
      <c r="B22" s="76">
        <v>2</v>
      </c>
      <c r="C22" s="76" t="s">
        <v>115</v>
      </c>
      <c r="D22" s="77" t="s">
        <v>116</v>
      </c>
      <c r="E22" s="121"/>
      <c r="F22" s="81" t="s">
        <v>92</v>
      </c>
      <c r="G22" s="82" t="s">
        <v>92</v>
      </c>
      <c r="H22" s="65">
        <v>23</v>
      </c>
      <c r="I22" s="30">
        <v>0</v>
      </c>
      <c r="J22" s="51">
        <f t="shared" si="3"/>
        <v>0</v>
      </c>
      <c r="K22" s="49">
        <f t="shared" si="4"/>
        <v>0</v>
      </c>
      <c r="L22" s="51">
        <f t="shared" si="5"/>
        <v>0</v>
      </c>
    </row>
    <row r="23" spans="2:17" ht="14.4" customHeight="1" x14ac:dyDescent="0.35">
      <c r="B23" s="33">
        <v>2</v>
      </c>
      <c r="C23" s="33" t="s">
        <v>43</v>
      </c>
      <c r="D23" s="32" t="s">
        <v>44</v>
      </c>
      <c r="E23" s="115" t="s">
        <v>86</v>
      </c>
      <c r="F23" s="44" t="s">
        <v>93</v>
      </c>
      <c r="G23" s="44" t="s">
        <v>31</v>
      </c>
      <c r="H23" s="61">
        <v>10</v>
      </c>
      <c r="I23" s="61">
        <v>2</v>
      </c>
      <c r="J23" s="45">
        <f t="shared" ref="J23:J31" si="6">IFERROR(I23/H23,0)</f>
        <v>0.2</v>
      </c>
      <c r="K23" s="33">
        <f t="shared" ref="K23:K31" si="7">I23</f>
        <v>2</v>
      </c>
      <c r="L23" s="45">
        <f t="shared" ref="L23:L31" si="8">IFERROR(K23/H23,0)</f>
        <v>0.2</v>
      </c>
    </row>
    <row r="24" spans="2:17" x14ac:dyDescent="0.35">
      <c r="B24" s="36">
        <v>2</v>
      </c>
      <c r="C24" s="36" t="s">
        <v>46</v>
      </c>
      <c r="D24" s="35" t="s">
        <v>47</v>
      </c>
      <c r="E24" s="116"/>
      <c r="F24" s="41" t="s">
        <v>94</v>
      </c>
      <c r="G24" s="42" t="s">
        <v>31</v>
      </c>
      <c r="H24" s="62">
        <v>10</v>
      </c>
      <c r="I24" s="63">
        <v>1</v>
      </c>
      <c r="J24" s="43">
        <f t="shared" si="6"/>
        <v>0.1</v>
      </c>
      <c r="K24" s="36">
        <f t="shared" si="7"/>
        <v>1</v>
      </c>
      <c r="L24" s="43">
        <f t="shared" si="8"/>
        <v>0.1</v>
      </c>
    </row>
    <row r="25" spans="2:17" x14ac:dyDescent="0.35">
      <c r="B25" s="36">
        <v>2</v>
      </c>
      <c r="C25" s="36" t="s">
        <v>49</v>
      </c>
      <c r="D25" s="35" t="s">
        <v>50</v>
      </c>
      <c r="E25" s="116"/>
      <c r="F25" s="41" t="s">
        <v>71</v>
      </c>
      <c r="G25" s="42" t="s">
        <v>31</v>
      </c>
      <c r="H25" s="63">
        <v>10</v>
      </c>
      <c r="I25" s="64">
        <v>1</v>
      </c>
      <c r="J25" s="43">
        <f t="shared" si="6"/>
        <v>0.1</v>
      </c>
      <c r="K25" s="36">
        <f t="shared" si="7"/>
        <v>1</v>
      </c>
      <c r="L25" s="43">
        <f t="shared" si="8"/>
        <v>0.1</v>
      </c>
    </row>
    <row r="26" spans="2:17" x14ac:dyDescent="0.35">
      <c r="B26" s="36">
        <v>2</v>
      </c>
      <c r="C26" s="36" t="s">
        <v>51</v>
      </c>
      <c r="D26" s="35" t="s">
        <v>52</v>
      </c>
      <c r="E26" s="116"/>
      <c r="F26" s="41" t="s">
        <v>72</v>
      </c>
      <c r="G26" s="42" t="s">
        <v>31</v>
      </c>
      <c r="H26" s="63">
        <v>10</v>
      </c>
      <c r="I26" s="63">
        <v>2</v>
      </c>
      <c r="J26" s="43">
        <f t="shared" si="6"/>
        <v>0.2</v>
      </c>
      <c r="K26" s="36">
        <f t="shared" si="7"/>
        <v>2</v>
      </c>
      <c r="L26" s="43">
        <f t="shared" si="8"/>
        <v>0.2</v>
      </c>
    </row>
    <row r="27" spans="2:17" x14ac:dyDescent="0.35">
      <c r="B27" s="36">
        <v>2</v>
      </c>
      <c r="C27" s="36" t="s">
        <v>54</v>
      </c>
      <c r="D27" s="35" t="s">
        <v>55</v>
      </c>
      <c r="E27" s="116"/>
      <c r="F27" s="41" t="s">
        <v>73</v>
      </c>
      <c r="G27" s="42" t="s">
        <v>31</v>
      </c>
      <c r="H27" s="63">
        <v>10</v>
      </c>
      <c r="I27" s="63">
        <v>1</v>
      </c>
      <c r="J27" s="51">
        <f t="shared" si="6"/>
        <v>0.1</v>
      </c>
      <c r="K27" s="49">
        <f t="shared" si="7"/>
        <v>1</v>
      </c>
      <c r="L27" s="51">
        <f t="shared" si="8"/>
        <v>0.1</v>
      </c>
    </row>
    <row r="28" spans="2:17" x14ac:dyDescent="0.35">
      <c r="B28" s="47">
        <v>2</v>
      </c>
      <c r="C28" s="36" t="s">
        <v>57</v>
      </c>
      <c r="D28" s="35" t="s">
        <v>58</v>
      </c>
      <c r="E28" s="116"/>
      <c r="F28" s="41" t="s">
        <v>74</v>
      </c>
      <c r="G28" s="80" t="s">
        <v>31</v>
      </c>
      <c r="H28" s="63">
        <v>10</v>
      </c>
      <c r="I28" s="63">
        <v>1</v>
      </c>
      <c r="J28" s="51">
        <f t="shared" si="6"/>
        <v>0.1</v>
      </c>
      <c r="K28" s="49">
        <f t="shared" si="7"/>
        <v>1</v>
      </c>
      <c r="L28" s="51">
        <f t="shared" si="8"/>
        <v>0.1</v>
      </c>
    </row>
    <row r="29" spans="2:17" x14ac:dyDescent="0.35">
      <c r="B29" s="47">
        <v>2</v>
      </c>
      <c r="C29" s="36" t="s">
        <v>59</v>
      </c>
      <c r="D29" s="35" t="s">
        <v>60</v>
      </c>
      <c r="E29" s="116"/>
      <c r="F29" s="41" t="s">
        <v>42</v>
      </c>
      <c r="G29" s="80" t="s">
        <v>31</v>
      </c>
      <c r="H29" s="63">
        <v>10</v>
      </c>
      <c r="I29" s="63">
        <v>1</v>
      </c>
      <c r="J29" s="51">
        <f t="shared" si="6"/>
        <v>0.1</v>
      </c>
      <c r="K29" s="49">
        <f t="shared" si="7"/>
        <v>1</v>
      </c>
      <c r="L29" s="51">
        <f t="shared" si="8"/>
        <v>0.1</v>
      </c>
    </row>
    <row r="30" spans="2:17" x14ac:dyDescent="0.35">
      <c r="B30" s="47">
        <v>2</v>
      </c>
      <c r="C30" s="36" t="s">
        <v>64</v>
      </c>
      <c r="D30" s="35" t="s">
        <v>65</v>
      </c>
      <c r="E30" s="116"/>
      <c r="F30" s="41" t="s">
        <v>42</v>
      </c>
      <c r="G30" s="80" t="s">
        <v>31</v>
      </c>
      <c r="H30" s="63">
        <v>10</v>
      </c>
      <c r="I30" s="63">
        <v>1</v>
      </c>
      <c r="J30" s="51">
        <f t="shared" si="6"/>
        <v>0.1</v>
      </c>
      <c r="K30" s="49">
        <f t="shared" si="7"/>
        <v>1</v>
      </c>
      <c r="L30" s="51">
        <f t="shared" si="8"/>
        <v>0.1</v>
      </c>
    </row>
    <row r="31" spans="2:17" x14ac:dyDescent="0.35">
      <c r="B31" s="76">
        <v>2</v>
      </c>
      <c r="C31" s="76" t="s">
        <v>115</v>
      </c>
      <c r="D31" s="77" t="s">
        <v>116</v>
      </c>
      <c r="E31" s="117"/>
      <c r="F31" s="81" t="s">
        <v>117</v>
      </c>
      <c r="G31" s="82" t="s">
        <v>31</v>
      </c>
      <c r="H31" s="65">
        <v>10</v>
      </c>
      <c r="I31" s="65">
        <v>1</v>
      </c>
      <c r="J31" s="53">
        <f t="shared" si="6"/>
        <v>0.1</v>
      </c>
      <c r="K31" s="49">
        <f t="shared" si="7"/>
        <v>1</v>
      </c>
      <c r="L31" s="51">
        <f t="shared" si="8"/>
        <v>0.1</v>
      </c>
    </row>
    <row r="32" spans="2:17" ht="14.4" customHeight="1" x14ac:dyDescent="0.35">
      <c r="B32" s="46">
        <v>2</v>
      </c>
      <c r="C32" s="33" t="s">
        <v>43</v>
      </c>
      <c r="D32" s="32" t="s">
        <v>44</v>
      </c>
      <c r="E32" s="115" t="s">
        <v>85</v>
      </c>
      <c r="F32" s="44" t="s">
        <v>75</v>
      </c>
      <c r="G32" s="83" t="s">
        <v>81</v>
      </c>
      <c r="H32" s="61">
        <v>63</v>
      </c>
      <c r="I32" s="61">
        <v>4</v>
      </c>
      <c r="J32" s="60">
        <f t="shared" si="3"/>
        <v>6.3492063492063489E-2</v>
      </c>
      <c r="K32" s="59">
        <f t="shared" ref="K32:K36" si="9">I32</f>
        <v>4</v>
      </c>
      <c r="L32" s="60">
        <f t="shared" ref="L32:L36" si="10">IFERROR(K32/H32,0)</f>
        <v>6.3492063492063489E-2</v>
      </c>
    </row>
    <row r="33" spans="2:17" s="5" customFormat="1" x14ac:dyDescent="0.35">
      <c r="B33" s="47">
        <v>2</v>
      </c>
      <c r="C33" s="36" t="s">
        <v>46</v>
      </c>
      <c r="D33" s="35" t="s">
        <v>47</v>
      </c>
      <c r="E33" s="116"/>
      <c r="F33" s="41" t="s">
        <v>76</v>
      </c>
      <c r="G33" s="84" t="s">
        <v>31</v>
      </c>
      <c r="H33" s="62">
        <v>19</v>
      </c>
      <c r="I33" s="63">
        <v>1</v>
      </c>
      <c r="J33" s="51">
        <f t="shared" si="3"/>
        <v>5.2631578947368418E-2</v>
      </c>
      <c r="K33" s="49">
        <f t="shared" si="9"/>
        <v>1</v>
      </c>
      <c r="L33" s="51">
        <f t="shared" si="10"/>
        <v>5.2631578947368418E-2</v>
      </c>
      <c r="O33" s="9"/>
      <c r="Q33" s="9"/>
    </row>
    <row r="34" spans="2:17" x14ac:dyDescent="0.35">
      <c r="B34" s="47">
        <v>2</v>
      </c>
      <c r="C34" s="36" t="s">
        <v>54</v>
      </c>
      <c r="D34" s="35" t="s">
        <v>55</v>
      </c>
      <c r="E34" s="116"/>
      <c r="F34" s="41" t="s">
        <v>77</v>
      </c>
      <c r="G34" s="85" t="s">
        <v>82</v>
      </c>
      <c r="H34" s="63">
        <v>61</v>
      </c>
      <c r="I34" s="64">
        <v>4</v>
      </c>
      <c r="J34" s="51">
        <f t="shared" si="3"/>
        <v>6.5573770491803282E-2</v>
      </c>
      <c r="K34" s="49">
        <f t="shared" si="9"/>
        <v>4</v>
      </c>
      <c r="L34" s="51">
        <f t="shared" si="10"/>
        <v>6.5573770491803282E-2</v>
      </c>
    </row>
    <row r="35" spans="2:17" x14ac:dyDescent="0.35">
      <c r="B35" s="47">
        <v>2</v>
      </c>
      <c r="C35" s="36" t="s">
        <v>59</v>
      </c>
      <c r="D35" s="35" t="s">
        <v>78</v>
      </c>
      <c r="E35" s="116"/>
      <c r="F35" s="41" t="s">
        <v>76</v>
      </c>
      <c r="G35" s="84" t="s">
        <v>31</v>
      </c>
      <c r="H35" s="63">
        <v>19</v>
      </c>
      <c r="I35" s="63">
        <v>1</v>
      </c>
      <c r="J35" s="51">
        <f t="shared" si="3"/>
        <v>5.2631578947368418E-2</v>
      </c>
      <c r="K35" s="49">
        <f t="shared" si="9"/>
        <v>1</v>
      </c>
      <c r="L35" s="51">
        <f t="shared" si="10"/>
        <v>5.2631578947368418E-2</v>
      </c>
    </row>
    <row r="36" spans="2:17" x14ac:dyDescent="0.35">
      <c r="B36" s="48">
        <v>2</v>
      </c>
      <c r="C36" s="38" t="s">
        <v>61</v>
      </c>
      <c r="D36" s="37" t="s">
        <v>79</v>
      </c>
      <c r="E36" s="117"/>
      <c r="F36" s="86" t="s">
        <v>80</v>
      </c>
      <c r="G36" s="87" t="s">
        <v>83</v>
      </c>
      <c r="H36" s="65">
        <v>63</v>
      </c>
      <c r="I36" s="65">
        <v>5</v>
      </c>
      <c r="J36" s="53">
        <f t="shared" si="3"/>
        <v>7.9365079365079361E-2</v>
      </c>
      <c r="K36" s="50">
        <f t="shared" si="9"/>
        <v>5</v>
      </c>
      <c r="L36" s="53">
        <f t="shared" si="10"/>
        <v>7.9365079365079361E-2</v>
      </c>
    </row>
    <row r="37" spans="2:17" s="5" customFormat="1" ht="23" x14ac:dyDescent="0.35">
      <c r="B37" s="15">
        <v>2</v>
      </c>
      <c r="C37" s="15" t="s">
        <v>69</v>
      </c>
      <c r="D37" s="56" t="s">
        <v>70</v>
      </c>
      <c r="E37" s="67" t="s">
        <v>87</v>
      </c>
      <c r="F37" s="88" t="s">
        <v>118</v>
      </c>
      <c r="G37" s="89" t="s">
        <v>104</v>
      </c>
      <c r="H37" s="58">
        <v>225</v>
      </c>
      <c r="I37" s="58">
        <v>15</v>
      </c>
      <c r="J37" s="57">
        <f>IFERROR(I37/H37,0)</f>
        <v>6.6666666666666666E-2</v>
      </c>
      <c r="K37" s="15">
        <f>I37</f>
        <v>15</v>
      </c>
      <c r="L37" s="57">
        <f>IFERROR(K37/H37,0)</f>
        <v>6.6666666666666666E-2</v>
      </c>
      <c r="O37" s="9"/>
      <c r="Q37" s="9"/>
    </row>
    <row r="38" spans="2:17" s="5" customFormat="1" ht="23.25" customHeight="1" x14ac:dyDescent="0.35">
      <c r="B38" s="4"/>
      <c r="C38" s="4"/>
      <c r="D38" s="4"/>
      <c r="E38" s="4"/>
      <c r="F38" s="4"/>
      <c r="G38" s="7"/>
      <c r="H38" s="96" t="s">
        <v>32</v>
      </c>
      <c r="I38" s="96"/>
      <c r="J38" s="96"/>
      <c r="K38" s="96"/>
      <c r="L38" s="96"/>
      <c r="O38"/>
      <c r="Q38"/>
    </row>
    <row r="39" spans="2:17" s="5" customFormat="1" ht="16.5" customHeight="1" x14ac:dyDescent="0.35">
      <c r="B39" s="4"/>
      <c r="C39" s="4"/>
      <c r="H39" s="10">
        <f>+SUM(H13:H37)</f>
        <v>765</v>
      </c>
      <c r="I39" s="10">
        <f>+SUM(I13:I37)</f>
        <v>56</v>
      </c>
      <c r="J39" s="11">
        <f>IFERROR(I39/H39,0)</f>
        <v>7.3202614379084971E-2</v>
      </c>
      <c r="K39" s="10">
        <f>+SUM(K13:K37)</f>
        <v>56</v>
      </c>
      <c r="L39" s="11">
        <f>IFERROR(K39/H39,0)</f>
        <v>7.3202614379084971E-2</v>
      </c>
      <c r="O39"/>
      <c r="Q39"/>
    </row>
    <row r="40" spans="2:17" s="5" customFormat="1" ht="20.25" customHeight="1" x14ac:dyDescent="0.35">
      <c r="B40" s="4"/>
      <c r="C40" s="4"/>
      <c r="I40" s="17"/>
      <c r="J40" s="18"/>
      <c r="K40" s="19"/>
      <c r="L40" s="18"/>
      <c r="O40"/>
      <c r="Q40"/>
    </row>
    <row r="41" spans="2:17" s="5" customFormat="1" ht="26.4" customHeight="1" x14ac:dyDescent="0.35">
      <c r="B41" s="102" t="s">
        <v>33</v>
      </c>
      <c r="C41" s="103"/>
      <c r="D41" s="106" t="s">
        <v>90</v>
      </c>
      <c r="E41" s="107"/>
      <c r="F41" s="107"/>
      <c r="G41" s="107"/>
      <c r="H41" s="107"/>
      <c r="I41" s="107"/>
      <c r="J41" s="107"/>
      <c r="K41" s="107"/>
      <c r="L41" s="108"/>
      <c r="O41"/>
      <c r="Q41"/>
    </row>
    <row r="42" spans="2:17" s="5" customFormat="1" ht="26.4" customHeight="1" x14ac:dyDescent="0.35">
      <c r="B42" s="104"/>
      <c r="C42" s="105"/>
      <c r="D42" s="106" t="s">
        <v>91</v>
      </c>
      <c r="E42" s="107"/>
      <c r="F42" s="107"/>
      <c r="G42" s="107"/>
      <c r="H42" s="107"/>
      <c r="I42" s="107"/>
      <c r="J42" s="107"/>
      <c r="K42" s="107"/>
      <c r="L42" s="108"/>
      <c r="O42"/>
      <c r="Q42"/>
    </row>
    <row r="43" spans="2:17" x14ac:dyDescent="0.35">
      <c r="B43" s="101" t="s">
        <v>35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</row>
    <row r="44" spans="2:17" ht="15" customHeight="1" x14ac:dyDescent="0.35"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</row>
    <row r="45" spans="2:17" x14ac:dyDescent="0.35">
      <c r="B45" s="12" t="s">
        <v>36</v>
      </c>
      <c r="C45" s="13"/>
      <c r="D45" s="13"/>
      <c r="E45" s="13"/>
      <c r="F45" s="13"/>
      <c r="G45" s="13"/>
      <c r="H45" s="13"/>
      <c r="I45" s="13"/>
      <c r="J45" s="13"/>
      <c r="K45" s="13"/>
      <c r="L45" s="14"/>
    </row>
    <row r="46" spans="2:17" ht="20.149999999999999" customHeight="1" x14ac:dyDescent="0.45">
      <c r="B46" s="15" t="s">
        <v>37</v>
      </c>
      <c r="C46" s="16"/>
      <c r="D46" s="98" t="s">
        <v>34</v>
      </c>
      <c r="E46" s="98"/>
      <c r="F46" s="98"/>
      <c r="G46" s="98"/>
      <c r="H46" s="98"/>
      <c r="I46" s="98"/>
      <c r="J46" s="98"/>
      <c r="K46" s="98"/>
      <c r="L46" s="98"/>
    </row>
    <row r="47" spans="2:17" ht="20.149999999999999" customHeight="1" x14ac:dyDescent="0.45">
      <c r="B47" s="15" t="s">
        <v>38</v>
      </c>
      <c r="C47" s="16"/>
      <c r="D47" s="98"/>
      <c r="E47" s="98"/>
      <c r="F47" s="98"/>
      <c r="G47" s="98"/>
      <c r="H47" s="98"/>
      <c r="I47" s="98"/>
      <c r="J47" s="98"/>
      <c r="K47" s="98"/>
      <c r="L47" s="98"/>
    </row>
    <row r="48" spans="2:17" x14ac:dyDescent="0.35">
      <c r="B48" s="97" t="s">
        <v>35</v>
      </c>
      <c r="C48" s="97"/>
      <c r="D48" s="97"/>
      <c r="E48" s="97"/>
      <c r="F48" s="97"/>
      <c r="G48" s="97"/>
      <c r="H48" s="97"/>
      <c r="I48" s="97"/>
      <c r="J48" s="97"/>
      <c r="K48" s="97"/>
      <c r="L48" s="97"/>
    </row>
    <row r="49" spans="2:12" x14ac:dyDescent="0.35"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</row>
    <row r="50" spans="2:12" ht="19.5" customHeight="1" x14ac:dyDescent="0.35">
      <c r="B50" s="12" t="s">
        <v>39</v>
      </c>
      <c r="C50" s="13"/>
      <c r="D50" s="13"/>
      <c r="E50" s="13"/>
      <c r="F50" s="13"/>
      <c r="G50" s="13"/>
      <c r="H50" s="13"/>
      <c r="I50" s="13"/>
      <c r="J50" s="13"/>
      <c r="K50" s="13"/>
      <c r="L50" s="14"/>
    </row>
    <row r="51" spans="2:12" ht="23.9" customHeight="1" x14ac:dyDescent="0.45">
      <c r="B51" s="15" t="s">
        <v>37</v>
      </c>
      <c r="C51" s="16"/>
      <c r="D51" s="98" t="s">
        <v>34</v>
      </c>
      <c r="E51" s="98"/>
      <c r="F51" s="98"/>
      <c r="G51" s="98"/>
      <c r="H51" s="98"/>
      <c r="I51" s="98"/>
      <c r="J51" s="98"/>
      <c r="K51" s="98"/>
      <c r="L51" s="98"/>
    </row>
    <row r="52" spans="2:12" ht="24.5" x14ac:dyDescent="0.45">
      <c r="B52" s="15" t="s">
        <v>38</v>
      </c>
      <c r="C52" s="16"/>
      <c r="D52" s="98"/>
      <c r="E52" s="98"/>
      <c r="F52" s="98"/>
      <c r="G52" s="98"/>
      <c r="H52" s="98"/>
      <c r="I52" s="98"/>
      <c r="J52" s="98"/>
      <c r="K52" s="98"/>
      <c r="L52" s="98"/>
    </row>
    <row r="55" spans="2:12" x14ac:dyDescent="0.35">
      <c r="B55" s="99"/>
      <c r="C55" s="99"/>
      <c r="D55" s="99"/>
      <c r="E55" s="69"/>
      <c r="I55" s="99"/>
      <c r="J55" s="99"/>
      <c r="K55" s="99"/>
    </row>
    <row r="56" spans="2:12" ht="18" customHeight="1" x14ac:dyDescent="0.35">
      <c r="B56" s="4" t="s">
        <v>40</v>
      </c>
      <c r="C56" s="100"/>
      <c r="D56" s="100"/>
      <c r="E56" s="68"/>
      <c r="I56" s="109" t="s">
        <v>84</v>
      </c>
      <c r="J56" s="109"/>
      <c r="K56" s="109"/>
    </row>
    <row r="83" spans="1:18" s="1" customFormat="1" hidden="1" x14ac:dyDescent="0.35">
      <c r="A83" t="s">
        <v>0</v>
      </c>
      <c r="M83" s="2"/>
      <c r="N83" s="2"/>
      <c r="O83"/>
      <c r="P83" s="2"/>
      <c r="Q83"/>
      <c r="R83" s="2"/>
    </row>
    <row r="84" spans="1:18" s="1" customFormat="1" hidden="1" x14ac:dyDescent="0.35">
      <c r="A84" t="s">
        <v>2</v>
      </c>
      <c r="M84" s="2"/>
      <c r="N84" s="2"/>
      <c r="O84"/>
      <c r="P84" s="2"/>
      <c r="Q84"/>
      <c r="R84" s="2"/>
    </row>
    <row r="85" spans="1:18" s="1" customFormat="1" hidden="1" x14ac:dyDescent="0.35">
      <c r="A85" t="s">
        <v>6</v>
      </c>
      <c r="M85" s="2"/>
      <c r="N85" s="2"/>
      <c r="O85"/>
      <c r="P85" s="2"/>
      <c r="Q85"/>
      <c r="R85" s="2"/>
    </row>
    <row r="86" spans="1:18" s="1" customFormat="1" hidden="1" x14ac:dyDescent="0.35">
      <c r="A86" t="s">
        <v>8</v>
      </c>
      <c r="M86" s="2"/>
      <c r="N86" s="2"/>
      <c r="O86"/>
      <c r="P86" s="2"/>
      <c r="Q86"/>
      <c r="R86" s="2"/>
    </row>
    <row r="87" spans="1:18" s="1" customFormat="1" hidden="1" x14ac:dyDescent="0.35">
      <c r="A87" t="s">
        <v>9</v>
      </c>
      <c r="M87" s="2"/>
      <c r="N87" s="2"/>
      <c r="O87"/>
      <c r="P87" s="2"/>
      <c r="Q87"/>
      <c r="R87" s="2"/>
    </row>
    <row r="88" spans="1:18" s="1" customFormat="1" hidden="1" x14ac:dyDescent="0.35">
      <c r="A88" t="s">
        <v>10</v>
      </c>
      <c r="B88" s="2"/>
      <c r="M88" s="2"/>
      <c r="N88" s="2"/>
      <c r="O88"/>
      <c r="P88" s="2"/>
      <c r="Q88"/>
      <c r="R88" s="2"/>
    </row>
    <row r="89" spans="1:18" s="1" customFormat="1" hidden="1" x14ac:dyDescent="0.35">
      <c r="A89" t="s">
        <v>11</v>
      </c>
      <c r="B89" s="2"/>
      <c r="M89" s="2"/>
      <c r="N89" s="2"/>
      <c r="O89"/>
      <c r="P89" s="2"/>
      <c r="Q89"/>
      <c r="R89" s="2"/>
    </row>
    <row r="90" spans="1:18" s="1" customFormat="1" hidden="1" x14ac:dyDescent="0.35">
      <c r="A90" t="s">
        <v>13</v>
      </c>
      <c r="B90" s="2"/>
      <c r="M90" s="2"/>
      <c r="N90" s="2"/>
      <c r="O90"/>
      <c r="P90" s="2"/>
      <c r="Q90"/>
      <c r="R90" s="2"/>
    </row>
    <row r="91" spans="1:18" s="1" customFormat="1" hidden="1" x14ac:dyDescent="0.35">
      <c r="A91" t="s">
        <v>14</v>
      </c>
      <c r="B91" s="5"/>
      <c r="M91" s="2"/>
      <c r="N91" s="2"/>
      <c r="O91"/>
      <c r="P91" s="2"/>
      <c r="Q91"/>
      <c r="R91" s="2"/>
    </row>
    <row r="92" spans="1:18" s="1" customFormat="1" hidden="1" x14ac:dyDescent="0.35">
      <c r="A92" t="s">
        <v>16</v>
      </c>
      <c r="B92" s="2"/>
      <c r="M92" s="2"/>
      <c r="N92" s="2"/>
      <c r="O92"/>
      <c r="P92" s="2"/>
      <c r="Q92"/>
      <c r="R92" s="2"/>
    </row>
    <row r="93" spans="1:18" s="1" customFormat="1" hidden="1" x14ac:dyDescent="0.35">
      <c r="A93" t="s">
        <v>17</v>
      </c>
      <c r="B93" s="5"/>
      <c r="M93" s="2"/>
      <c r="N93" s="2"/>
      <c r="O93"/>
      <c r="P93" s="2"/>
      <c r="Q93"/>
      <c r="R93" s="2"/>
    </row>
    <row r="94" spans="1:18" s="1" customFormat="1" hidden="1" x14ac:dyDescent="0.35">
      <c r="A94" t="s">
        <v>21</v>
      </c>
      <c r="B94" s="5"/>
      <c r="M94" s="2"/>
      <c r="N94" s="2"/>
      <c r="O94"/>
      <c r="P94" s="2"/>
      <c r="Q94"/>
      <c r="R94" s="2"/>
    </row>
    <row r="95" spans="1:18" s="1" customFormat="1" hidden="1" x14ac:dyDescent="0.35">
      <c r="A95" t="s">
        <v>30</v>
      </c>
      <c r="B95" s="5"/>
      <c r="M95" s="2"/>
      <c r="N95" s="2"/>
      <c r="O95"/>
      <c r="P95" s="2"/>
      <c r="Q95"/>
      <c r="R95" s="2"/>
    </row>
    <row r="96" spans="1:18" x14ac:dyDescent="0.35">
      <c r="B96" s="5"/>
    </row>
    <row r="97" spans="2:2" x14ac:dyDescent="0.35">
      <c r="B97" s="5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</sheetData>
  <sheetProtection formatCells="0" formatColumns="0" formatRows="0" insertColumns="0" insertRows="0" insertHyperlinks="0" deleteColumns="0" deleteRows="0" sort="0" autoFilter="0" pivotTables="0"/>
  <mergeCells count="25">
    <mergeCell ref="E32:E36"/>
    <mergeCell ref="B7:C7"/>
    <mergeCell ref="B9:C9"/>
    <mergeCell ref="B11:H11"/>
    <mergeCell ref="E13:E22"/>
    <mergeCell ref="E23:E31"/>
    <mergeCell ref="I11:J11"/>
    <mergeCell ref="K11:L11"/>
    <mergeCell ref="B2:L2"/>
    <mergeCell ref="B3:D3"/>
    <mergeCell ref="F3:I3"/>
    <mergeCell ref="J3:L3"/>
    <mergeCell ref="B5:C5"/>
    <mergeCell ref="C56:D56"/>
    <mergeCell ref="B43:L44"/>
    <mergeCell ref="D46:L47"/>
    <mergeCell ref="B41:C42"/>
    <mergeCell ref="D41:L41"/>
    <mergeCell ref="D42:L42"/>
    <mergeCell ref="I56:K56"/>
    <mergeCell ref="H38:L38"/>
    <mergeCell ref="B48:L49"/>
    <mergeCell ref="D51:L52"/>
    <mergeCell ref="B55:D55"/>
    <mergeCell ref="I55:K55"/>
  </mergeCells>
  <conditionalFormatting sqref="K39">
    <cfRule type="cellIs" dxfId="5" priority="29" operator="greaterThan">
      <formula>350</formula>
    </cfRule>
  </conditionalFormatting>
  <conditionalFormatting sqref="L18:L22">
    <cfRule type="cellIs" dxfId="4" priority="3" operator="greaterThan">
      <formula>1</formula>
    </cfRule>
  </conditionalFormatting>
  <conditionalFormatting sqref="L27:L36">
    <cfRule type="cellIs" dxfId="3" priority="1" operator="greaterThan">
      <formula>1</formula>
    </cfRule>
  </conditionalFormatting>
  <dataValidations count="4">
    <dataValidation type="list" allowBlank="1" showInputMessage="1" showErrorMessage="1" sqref="D7">
      <formula1>$A$84:$A$95</formula1>
    </dataValidation>
    <dataValidation type="list" allowBlank="1" showInputMessage="1" showErrorMessage="1" sqref="F7:H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I37 I13:I22 H13:H37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I23:I36">
      <formula1>0</formula1>
      <formula2>30</formula2>
    </dataValidation>
  </dataValidations>
  <hyperlinks>
    <hyperlink ref="G37" r:id="rId1"/>
  </hyperlinks>
  <pageMargins left="0.7" right="0.7" top="0.75" bottom="0.75" header="0.3" footer="0.3"/>
  <pageSetup scale="10"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0"/>
  <sheetViews>
    <sheetView showGridLines="0" tabSelected="1" view="pageBreakPreview" zoomScale="80" zoomScaleNormal="80" zoomScaleSheetLayoutView="80" workbookViewId="0">
      <selection activeCell="B2" sqref="B2:L2"/>
    </sheetView>
  </sheetViews>
  <sheetFormatPr baseColWidth="10" defaultColWidth="8.6328125" defaultRowHeight="14.5" x14ac:dyDescent="0.35"/>
  <cols>
    <col min="1" max="1" width="3.36328125" style="2" customWidth="1"/>
    <col min="2" max="2" width="9.36328125" style="1" customWidth="1"/>
    <col min="3" max="3" width="7.36328125" style="1" customWidth="1"/>
    <col min="4" max="4" width="43.08984375" style="1" customWidth="1"/>
    <col min="5" max="5" width="16.08984375" style="1" customWidth="1"/>
    <col min="6" max="6" width="14.08984375" style="1" bestFit="1" customWidth="1"/>
    <col min="7" max="7" width="13.453125" style="1" customWidth="1"/>
    <col min="8" max="8" width="13.6328125" style="1" customWidth="1"/>
    <col min="9" max="9" width="13.453125" style="1" customWidth="1"/>
    <col min="10" max="10" width="10.453125" style="1" customWidth="1"/>
    <col min="11" max="11" width="12.453125" style="1" customWidth="1"/>
    <col min="12" max="12" width="12.36328125" style="1" customWidth="1"/>
    <col min="13" max="13" width="3.36328125" style="2" customWidth="1"/>
    <col min="14" max="14" width="16.453125" style="2" customWidth="1"/>
    <col min="16" max="16" width="16.453125" style="2" customWidth="1"/>
    <col min="17" max="17" width="0" hidden="1" customWidth="1"/>
    <col min="18" max="18" width="16.453125" style="2" customWidth="1"/>
    <col min="19" max="16384" width="8.6328125" style="2"/>
  </cols>
  <sheetData>
    <row r="1" spans="2:17" ht="18" customHeight="1" x14ac:dyDescent="0.35">
      <c r="Q1" t="s">
        <v>0</v>
      </c>
    </row>
    <row r="2" spans="2:17" ht="49.5" customHeight="1" x14ac:dyDescent="0.35">
      <c r="B2" s="111" t="s">
        <v>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Q2" t="s">
        <v>2</v>
      </c>
    </row>
    <row r="3" spans="2:17" ht="18.75" customHeight="1" x14ac:dyDescent="0.35">
      <c r="B3" s="112" t="s">
        <v>3</v>
      </c>
      <c r="C3" s="113"/>
      <c r="D3" s="113"/>
      <c r="E3" s="66"/>
      <c r="F3" s="113" t="s">
        <v>4</v>
      </c>
      <c r="G3" s="113"/>
      <c r="H3" s="113"/>
      <c r="I3" s="113"/>
      <c r="J3" s="113" t="s">
        <v>5</v>
      </c>
      <c r="K3" s="113"/>
      <c r="L3" s="114"/>
    </row>
    <row r="4" spans="2:17" x14ac:dyDescent="0.35">
      <c r="B4" s="20"/>
      <c r="C4" s="3"/>
      <c r="L4" s="21"/>
      <c r="Q4" t="s">
        <v>6</v>
      </c>
    </row>
    <row r="5" spans="2:17" s="5" customFormat="1" ht="27.65" customHeight="1" x14ac:dyDescent="0.35">
      <c r="B5" s="110" t="s">
        <v>7</v>
      </c>
      <c r="C5" s="110"/>
      <c r="D5" s="55">
        <v>90599358</v>
      </c>
      <c r="E5"/>
      <c r="F5" s="17"/>
      <c r="G5" s="17"/>
      <c r="H5" s="17"/>
      <c r="I5" s="4"/>
      <c r="J5" s="4"/>
      <c r="K5" s="4"/>
      <c r="L5" s="22"/>
      <c r="O5"/>
      <c r="Q5" t="s">
        <v>8</v>
      </c>
    </row>
    <row r="6" spans="2:17" s="5" customFormat="1" x14ac:dyDescent="0.35">
      <c r="B6" s="23"/>
      <c r="C6" s="4"/>
      <c r="D6" s="4"/>
      <c r="E6"/>
      <c r="F6" s="4"/>
      <c r="G6" s="4"/>
      <c r="H6" s="4"/>
      <c r="I6" s="4"/>
      <c r="J6" s="4"/>
      <c r="K6" s="4"/>
      <c r="L6" s="22"/>
      <c r="O6"/>
      <c r="Q6" t="s">
        <v>11</v>
      </c>
    </row>
    <row r="7" spans="2:17" s="5" customFormat="1" x14ac:dyDescent="0.35">
      <c r="B7" s="110" t="s">
        <v>12</v>
      </c>
      <c r="C7" s="110"/>
      <c r="D7" s="6" t="s">
        <v>6</v>
      </c>
      <c r="E7"/>
      <c r="F7" s="24"/>
      <c r="G7" s="24"/>
      <c r="H7" s="24"/>
      <c r="I7" s="4"/>
      <c r="J7" s="4"/>
      <c r="K7" s="4"/>
      <c r="L7" s="22"/>
      <c r="O7"/>
      <c r="Q7" t="s">
        <v>13</v>
      </c>
    </row>
    <row r="8" spans="2:17" s="5" customFormat="1" x14ac:dyDescent="0.35">
      <c r="B8" s="25"/>
      <c r="C8" s="7"/>
      <c r="D8" s="24"/>
      <c r="E8"/>
      <c r="F8" s="24"/>
      <c r="G8" s="24"/>
      <c r="H8" s="24"/>
      <c r="I8" s="4"/>
      <c r="J8" s="4"/>
      <c r="K8" s="4"/>
      <c r="L8" s="22"/>
      <c r="O8"/>
      <c r="Q8" t="s">
        <v>14</v>
      </c>
    </row>
    <row r="9" spans="2:17" s="5" customFormat="1" x14ac:dyDescent="0.35">
      <c r="B9" s="110" t="s">
        <v>15</v>
      </c>
      <c r="C9" s="110"/>
      <c r="D9" s="8">
        <v>46081</v>
      </c>
      <c r="E9"/>
      <c r="F9" s="26"/>
      <c r="G9" s="26"/>
      <c r="H9" s="26"/>
      <c r="I9" s="4"/>
      <c r="J9" s="4"/>
      <c r="K9" s="4"/>
      <c r="L9" s="22"/>
      <c r="O9"/>
      <c r="Q9" t="s">
        <v>16</v>
      </c>
    </row>
    <row r="10" spans="2:17" x14ac:dyDescent="0.35">
      <c r="B10" s="27"/>
      <c r="L10" s="28"/>
      <c r="Q10" t="s">
        <v>17</v>
      </c>
    </row>
    <row r="11" spans="2:17" ht="26.9" customHeight="1" x14ac:dyDescent="0.35">
      <c r="B11" s="118" t="s">
        <v>18</v>
      </c>
      <c r="C11" s="118"/>
      <c r="D11" s="118"/>
      <c r="E11" s="118"/>
      <c r="F11" s="118"/>
      <c r="G11" s="118"/>
      <c r="H11" s="118"/>
      <c r="I11" s="110" t="s">
        <v>19</v>
      </c>
      <c r="J11" s="110"/>
      <c r="K11" s="110" t="s">
        <v>20</v>
      </c>
      <c r="L11" s="110"/>
      <c r="Q11" t="s">
        <v>21</v>
      </c>
    </row>
    <row r="12" spans="2:17" ht="57.65" customHeight="1" x14ac:dyDescent="0.35">
      <c r="B12" s="29" t="s">
        <v>22</v>
      </c>
      <c r="C12" s="29" t="s">
        <v>23</v>
      </c>
      <c r="D12" s="29" t="s">
        <v>24</v>
      </c>
      <c r="E12" s="29" t="s">
        <v>89</v>
      </c>
      <c r="F12" s="29" t="s">
        <v>25</v>
      </c>
      <c r="G12" s="29" t="s">
        <v>26</v>
      </c>
      <c r="H12" s="29" t="s">
        <v>41</v>
      </c>
      <c r="I12" s="29" t="s">
        <v>27</v>
      </c>
      <c r="J12" s="29" t="s">
        <v>28</v>
      </c>
      <c r="K12" s="29" t="s">
        <v>29</v>
      </c>
      <c r="L12" s="29" t="s">
        <v>28</v>
      </c>
      <c r="Q12" t="s">
        <v>30</v>
      </c>
    </row>
    <row r="13" spans="2:17" ht="14.4" customHeight="1" x14ac:dyDescent="0.35">
      <c r="B13" s="33">
        <v>2</v>
      </c>
      <c r="C13" s="33" t="s">
        <v>43</v>
      </c>
      <c r="D13" s="44" t="s">
        <v>44</v>
      </c>
      <c r="E13" s="119" t="s">
        <v>88</v>
      </c>
      <c r="F13" s="90" t="s">
        <v>95</v>
      </c>
      <c r="G13" s="91" t="s">
        <v>96</v>
      </c>
      <c r="H13" s="61">
        <v>22</v>
      </c>
      <c r="I13" s="33">
        <v>4</v>
      </c>
      <c r="J13" s="45">
        <f t="shared" ref="J13:J36" si="0">IFERROR(I13/H13,0)</f>
        <v>0.18181818181818182</v>
      </c>
      <c r="K13" s="33">
        <f>I13+ENERO!K13</f>
        <v>7</v>
      </c>
      <c r="L13" s="45">
        <f t="shared" ref="L13:L17" si="1">IFERROR(K13/H13,0)</f>
        <v>0.31818181818181818</v>
      </c>
    </row>
    <row r="14" spans="2:17" x14ac:dyDescent="0.35">
      <c r="B14" s="36">
        <v>2</v>
      </c>
      <c r="C14" s="36" t="s">
        <v>46</v>
      </c>
      <c r="D14" s="42" t="s">
        <v>47</v>
      </c>
      <c r="E14" s="120"/>
      <c r="F14" s="90" t="s">
        <v>97</v>
      </c>
      <c r="G14" s="85" t="s">
        <v>98</v>
      </c>
      <c r="H14" s="62">
        <v>22</v>
      </c>
      <c r="I14" s="36">
        <v>4</v>
      </c>
      <c r="J14" s="43">
        <f t="shared" si="0"/>
        <v>0.18181818181818182</v>
      </c>
      <c r="K14" s="36">
        <f>I14+ENERO!K14</f>
        <v>7</v>
      </c>
      <c r="L14" s="43">
        <f t="shared" si="1"/>
        <v>0.31818181818181818</v>
      </c>
    </row>
    <row r="15" spans="2:17" x14ac:dyDescent="0.35">
      <c r="B15" s="36">
        <v>2</v>
      </c>
      <c r="C15" s="36" t="s">
        <v>49</v>
      </c>
      <c r="D15" s="42" t="s">
        <v>50</v>
      </c>
      <c r="E15" s="120"/>
      <c r="F15" s="90" t="s">
        <v>92</v>
      </c>
      <c r="G15" s="92" t="s">
        <v>92</v>
      </c>
      <c r="H15" s="63">
        <v>22</v>
      </c>
      <c r="I15" s="36">
        <v>0</v>
      </c>
      <c r="J15" s="43">
        <f t="shared" si="0"/>
        <v>0</v>
      </c>
      <c r="K15" s="36">
        <f>I15+ENERO!K15</f>
        <v>0</v>
      </c>
      <c r="L15" s="43">
        <f t="shared" si="1"/>
        <v>0</v>
      </c>
    </row>
    <row r="16" spans="2:17" x14ac:dyDescent="0.35">
      <c r="B16" s="36">
        <v>2</v>
      </c>
      <c r="C16" s="36" t="s">
        <v>51</v>
      </c>
      <c r="D16" s="42" t="s">
        <v>52</v>
      </c>
      <c r="E16" s="120"/>
      <c r="F16" s="90" t="s">
        <v>99</v>
      </c>
      <c r="G16" s="85" t="s">
        <v>100</v>
      </c>
      <c r="H16" s="63">
        <v>22</v>
      </c>
      <c r="I16" s="36">
        <v>4</v>
      </c>
      <c r="J16" s="43">
        <f t="shared" si="0"/>
        <v>0.18181818181818182</v>
      </c>
      <c r="K16" s="36">
        <f>I16+ENERO!K16</f>
        <v>7</v>
      </c>
      <c r="L16" s="43">
        <f t="shared" si="1"/>
        <v>0.31818181818181818</v>
      </c>
    </row>
    <row r="17" spans="2:17" s="5" customFormat="1" x14ac:dyDescent="0.35">
      <c r="B17" s="36">
        <v>2</v>
      </c>
      <c r="C17" s="40" t="s">
        <v>54</v>
      </c>
      <c r="D17" s="41" t="s">
        <v>55</v>
      </c>
      <c r="E17" s="120"/>
      <c r="F17" s="90" t="s">
        <v>101</v>
      </c>
      <c r="G17" s="85" t="s">
        <v>98</v>
      </c>
      <c r="H17" s="63">
        <v>22</v>
      </c>
      <c r="I17" s="36">
        <v>4</v>
      </c>
      <c r="J17" s="43">
        <f t="shared" si="0"/>
        <v>0.18181818181818182</v>
      </c>
      <c r="K17" s="36">
        <f>I17+ENERO!K17</f>
        <v>7</v>
      </c>
      <c r="L17" s="43">
        <f t="shared" si="1"/>
        <v>0.31818181818181818</v>
      </c>
      <c r="O17" s="9"/>
      <c r="Q17" s="9"/>
    </row>
    <row r="18" spans="2:17" x14ac:dyDescent="0.35">
      <c r="B18" s="39">
        <v>2</v>
      </c>
      <c r="C18" s="36" t="s">
        <v>57</v>
      </c>
      <c r="D18" s="42" t="s">
        <v>58</v>
      </c>
      <c r="E18" s="120"/>
      <c r="F18" s="90" t="s">
        <v>102</v>
      </c>
      <c r="G18" s="85" t="s">
        <v>96</v>
      </c>
      <c r="H18" s="63">
        <v>23</v>
      </c>
      <c r="I18" s="31">
        <v>5</v>
      </c>
      <c r="J18" s="52">
        <f t="shared" si="0"/>
        <v>0.21739130434782608</v>
      </c>
      <c r="K18" s="54">
        <f>I18+ENERO!K18</f>
        <v>5</v>
      </c>
      <c r="L18" s="52">
        <f>IFERROR(K18/H18,0)</f>
        <v>0.21739130434782608</v>
      </c>
    </row>
    <row r="19" spans="2:17" x14ac:dyDescent="0.35">
      <c r="B19" s="34">
        <v>2</v>
      </c>
      <c r="C19" s="36" t="s">
        <v>59</v>
      </c>
      <c r="D19" s="42" t="s">
        <v>60</v>
      </c>
      <c r="E19" s="120"/>
      <c r="F19" s="90" t="s">
        <v>92</v>
      </c>
      <c r="G19" s="92" t="s">
        <v>92</v>
      </c>
      <c r="H19" s="63">
        <v>23</v>
      </c>
      <c r="I19" s="30">
        <v>0</v>
      </c>
      <c r="J19" s="51">
        <f t="shared" si="0"/>
        <v>0</v>
      </c>
      <c r="K19" s="49">
        <f>I19+ENERO!K19</f>
        <v>0</v>
      </c>
      <c r="L19" s="51">
        <f>IFERROR(K19/H19,0)</f>
        <v>0</v>
      </c>
    </row>
    <row r="20" spans="2:17" x14ac:dyDescent="0.35">
      <c r="B20" s="34">
        <v>2</v>
      </c>
      <c r="C20" s="36" t="s">
        <v>61</v>
      </c>
      <c r="D20" s="42" t="s">
        <v>62</v>
      </c>
      <c r="E20" s="120"/>
      <c r="F20" s="93" t="s">
        <v>103</v>
      </c>
      <c r="G20" s="94" t="s">
        <v>96</v>
      </c>
      <c r="H20" s="63">
        <v>23</v>
      </c>
      <c r="I20" s="30">
        <v>4</v>
      </c>
      <c r="J20" s="51">
        <f t="shared" si="0"/>
        <v>0.17391304347826086</v>
      </c>
      <c r="K20" s="49">
        <f>I20+ENERO!K20</f>
        <v>7</v>
      </c>
      <c r="L20" s="51">
        <f>IFERROR(K20/H20,0)</f>
        <v>0.30434782608695654</v>
      </c>
    </row>
    <row r="21" spans="2:17" x14ac:dyDescent="0.35">
      <c r="B21" s="34">
        <v>2</v>
      </c>
      <c r="C21" s="36" t="s">
        <v>64</v>
      </c>
      <c r="D21" s="42" t="s">
        <v>65</v>
      </c>
      <c r="E21" s="120"/>
      <c r="F21" s="93" t="s">
        <v>92</v>
      </c>
      <c r="G21" s="94" t="s">
        <v>92</v>
      </c>
      <c r="H21" s="63">
        <v>23</v>
      </c>
      <c r="I21" s="30">
        <v>0</v>
      </c>
      <c r="J21" s="51">
        <f t="shared" si="0"/>
        <v>0</v>
      </c>
      <c r="K21" s="49">
        <f>I21+ENERO!K21</f>
        <v>0</v>
      </c>
      <c r="L21" s="51">
        <f t="shared" ref="L21:L36" si="2">IFERROR(K21/H21,0)</f>
        <v>0</v>
      </c>
    </row>
    <row r="22" spans="2:17" ht="34.5" x14ac:dyDescent="0.35">
      <c r="B22" s="76">
        <v>2</v>
      </c>
      <c r="C22" s="76" t="s">
        <v>115</v>
      </c>
      <c r="D22" s="77" t="s">
        <v>116</v>
      </c>
      <c r="E22" s="121"/>
      <c r="F22" s="81" t="s">
        <v>119</v>
      </c>
      <c r="G22" s="82" t="s">
        <v>96</v>
      </c>
      <c r="H22" s="65">
        <v>23</v>
      </c>
      <c r="I22" s="65">
        <v>5</v>
      </c>
      <c r="J22" s="53">
        <f t="shared" si="0"/>
        <v>0.21739130434782608</v>
      </c>
      <c r="K22" s="50">
        <f>I22+ENERO!K22</f>
        <v>5</v>
      </c>
      <c r="L22" s="53">
        <f>IFERROR(K22/H22,0)</f>
        <v>0.21739130434782608</v>
      </c>
    </row>
    <row r="23" spans="2:17" ht="14.4" customHeight="1" x14ac:dyDescent="0.35">
      <c r="B23" s="33">
        <v>2</v>
      </c>
      <c r="C23" s="33" t="s">
        <v>43</v>
      </c>
      <c r="D23" s="32" t="s">
        <v>44</v>
      </c>
      <c r="E23" s="119" t="s">
        <v>86</v>
      </c>
      <c r="F23" s="90" t="s">
        <v>93</v>
      </c>
      <c r="G23" s="91" t="s">
        <v>31</v>
      </c>
      <c r="H23" s="61">
        <v>10</v>
      </c>
      <c r="I23" s="61">
        <v>4</v>
      </c>
      <c r="J23" s="45">
        <f t="shared" si="0"/>
        <v>0.4</v>
      </c>
      <c r="K23" s="36">
        <f>I23+ENERO!K23</f>
        <v>6</v>
      </c>
      <c r="L23" s="45">
        <f t="shared" si="2"/>
        <v>0.6</v>
      </c>
    </row>
    <row r="24" spans="2:17" x14ac:dyDescent="0.35">
      <c r="B24" s="36">
        <v>2</v>
      </c>
      <c r="C24" s="36" t="s">
        <v>46</v>
      </c>
      <c r="D24" s="35" t="s">
        <v>47</v>
      </c>
      <c r="E24" s="120"/>
      <c r="F24" s="90" t="s">
        <v>94</v>
      </c>
      <c r="G24" s="85" t="s">
        <v>31</v>
      </c>
      <c r="H24" s="62">
        <v>10</v>
      </c>
      <c r="I24" s="63">
        <v>3</v>
      </c>
      <c r="J24" s="43">
        <f t="shared" si="0"/>
        <v>0.3</v>
      </c>
      <c r="K24" s="36">
        <f>I24+ENERO!K24</f>
        <v>4</v>
      </c>
      <c r="L24" s="43">
        <f t="shared" si="2"/>
        <v>0.4</v>
      </c>
    </row>
    <row r="25" spans="2:17" x14ac:dyDescent="0.35">
      <c r="B25" s="36">
        <v>2</v>
      </c>
      <c r="C25" s="36" t="s">
        <v>49</v>
      </c>
      <c r="D25" s="35" t="s">
        <v>50</v>
      </c>
      <c r="E25" s="120"/>
      <c r="F25" s="90" t="s">
        <v>71</v>
      </c>
      <c r="G25" s="92" t="s">
        <v>31</v>
      </c>
      <c r="H25" s="63">
        <v>10</v>
      </c>
      <c r="I25" s="64">
        <v>3</v>
      </c>
      <c r="J25" s="43">
        <f t="shared" si="0"/>
        <v>0.3</v>
      </c>
      <c r="K25" s="36">
        <f>I25+ENERO!K25</f>
        <v>4</v>
      </c>
      <c r="L25" s="43">
        <f t="shared" si="2"/>
        <v>0.4</v>
      </c>
    </row>
    <row r="26" spans="2:17" x14ac:dyDescent="0.35">
      <c r="B26" s="36">
        <v>2</v>
      </c>
      <c r="C26" s="36" t="s">
        <v>51</v>
      </c>
      <c r="D26" s="35" t="s">
        <v>52</v>
      </c>
      <c r="E26" s="120"/>
      <c r="F26" s="90" t="s">
        <v>72</v>
      </c>
      <c r="G26" s="85" t="s">
        <v>31</v>
      </c>
      <c r="H26" s="63">
        <v>10</v>
      </c>
      <c r="I26" s="63">
        <v>4</v>
      </c>
      <c r="J26" s="43">
        <f t="shared" si="0"/>
        <v>0.4</v>
      </c>
      <c r="K26" s="36">
        <f>I26+ENERO!K26</f>
        <v>6</v>
      </c>
      <c r="L26" s="43">
        <f t="shared" si="2"/>
        <v>0.6</v>
      </c>
    </row>
    <row r="27" spans="2:17" x14ac:dyDescent="0.35">
      <c r="B27" s="36">
        <v>2</v>
      </c>
      <c r="C27" s="36" t="s">
        <v>54</v>
      </c>
      <c r="D27" s="35" t="s">
        <v>55</v>
      </c>
      <c r="E27" s="120"/>
      <c r="F27" s="90" t="s">
        <v>73</v>
      </c>
      <c r="G27" s="85" t="s">
        <v>31</v>
      </c>
      <c r="H27" s="63">
        <v>10</v>
      </c>
      <c r="I27" s="63">
        <v>4</v>
      </c>
      <c r="J27" s="51">
        <f t="shared" si="0"/>
        <v>0.4</v>
      </c>
      <c r="K27" s="54">
        <f>I27+ENERO!K27</f>
        <v>5</v>
      </c>
      <c r="L27" s="51">
        <f t="shared" si="2"/>
        <v>0.5</v>
      </c>
    </row>
    <row r="28" spans="2:17" x14ac:dyDescent="0.35">
      <c r="B28" s="47">
        <v>2</v>
      </c>
      <c r="C28" s="36" t="s">
        <v>57</v>
      </c>
      <c r="D28" s="35" t="s">
        <v>58</v>
      </c>
      <c r="E28" s="120"/>
      <c r="F28" s="90" t="s">
        <v>74</v>
      </c>
      <c r="G28" s="85" t="s">
        <v>31</v>
      </c>
      <c r="H28" s="63">
        <v>10</v>
      </c>
      <c r="I28" s="63">
        <v>5</v>
      </c>
      <c r="J28" s="51">
        <f t="shared" si="0"/>
        <v>0.5</v>
      </c>
      <c r="K28" s="49">
        <f>I28+ENERO!K28</f>
        <v>6</v>
      </c>
      <c r="L28" s="51">
        <f t="shared" si="2"/>
        <v>0.6</v>
      </c>
    </row>
    <row r="29" spans="2:17" x14ac:dyDescent="0.35">
      <c r="B29" s="47">
        <v>2</v>
      </c>
      <c r="C29" s="36" t="s">
        <v>59</v>
      </c>
      <c r="D29" s="35" t="s">
        <v>60</v>
      </c>
      <c r="E29" s="120"/>
      <c r="F29" s="93" t="s">
        <v>42</v>
      </c>
      <c r="G29" s="94" t="s">
        <v>31</v>
      </c>
      <c r="H29" s="63">
        <v>10</v>
      </c>
      <c r="I29" s="63">
        <v>3</v>
      </c>
      <c r="J29" s="51">
        <f t="shared" si="0"/>
        <v>0.3</v>
      </c>
      <c r="K29" s="49">
        <f>I29+ENERO!K29</f>
        <v>4</v>
      </c>
      <c r="L29" s="51">
        <f t="shared" si="2"/>
        <v>0.4</v>
      </c>
    </row>
    <row r="30" spans="2:17" x14ac:dyDescent="0.35">
      <c r="B30" s="34">
        <v>2</v>
      </c>
      <c r="C30" s="36" t="s">
        <v>64</v>
      </c>
      <c r="D30" s="42" t="s">
        <v>65</v>
      </c>
      <c r="E30" s="120"/>
      <c r="F30" s="93" t="s">
        <v>42</v>
      </c>
      <c r="G30" s="94" t="s">
        <v>31</v>
      </c>
      <c r="H30" s="63">
        <v>10</v>
      </c>
      <c r="I30" s="30">
        <v>4</v>
      </c>
      <c r="J30" s="51">
        <f t="shared" si="0"/>
        <v>0.4</v>
      </c>
      <c r="K30" s="49">
        <f>I30+ENERO!K30</f>
        <v>5</v>
      </c>
      <c r="L30" s="51">
        <f t="shared" si="2"/>
        <v>0.5</v>
      </c>
    </row>
    <row r="31" spans="2:17" x14ac:dyDescent="0.35">
      <c r="B31" s="76">
        <v>2</v>
      </c>
      <c r="C31" s="76" t="s">
        <v>115</v>
      </c>
      <c r="D31" s="77" t="s">
        <v>116</v>
      </c>
      <c r="E31" s="121"/>
      <c r="F31" s="81" t="s">
        <v>92</v>
      </c>
      <c r="G31" s="82" t="s">
        <v>92</v>
      </c>
      <c r="H31" s="65">
        <v>10</v>
      </c>
      <c r="I31" s="65">
        <v>0</v>
      </c>
      <c r="J31" s="53">
        <f t="shared" si="0"/>
        <v>0</v>
      </c>
      <c r="K31" s="50">
        <f>I31+ENERO!K31</f>
        <v>1</v>
      </c>
      <c r="L31" s="51">
        <f t="shared" si="2"/>
        <v>0.1</v>
      </c>
    </row>
    <row r="32" spans="2:17" ht="14.4" customHeight="1" x14ac:dyDescent="0.35">
      <c r="B32" s="46">
        <v>2</v>
      </c>
      <c r="C32" s="33" t="s">
        <v>43</v>
      </c>
      <c r="D32" s="32" t="s">
        <v>44</v>
      </c>
      <c r="E32" s="115" t="s">
        <v>85</v>
      </c>
      <c r="F32" s="44" t="s">
        <v>108</v>
      </c>
      <c r="G32" s="83" t="s">
        <v>109</v>
      </c>
      <c r="H32" s="70">
        <v>63</v>
      </c>
      <c r="I32" s="70">
        <v>9</v>
      </c>
      <c r="J32" s="60">
        <f t="shared" si="0"/>
        <v>0.14285714285714285</v>
      </c>
      <c r="K32" s="59">
        <f>I32+ENERO!K32</f>
        <v>13</v>
      </c>
      <c r="L32" s="60">
        <f t="shared" si="2"/>
        <v>0.20634920634920634</v>
      </c>
    </row>
    <row r="33" spans="2:17" s="5" customFormat="1" x14ac:dyDescent="0.35">
      <c r="B33" s="47">
        <v>2</v>
      </c>
      <c r="C33" s="36" t="s">
        <v>46</v>
      </c>
      <c r="D33" s="35" t="s">
        <v>47</v>
      </c>
      <c r="E33" s="116"/>
      <c r="F33" s="41" t="s">
        <v>110</v>
      </c>
      <c r="G33" s="94" t="s">
        <v>111</v>
      </c>
      <c r="H33" s="71">
        <v>19</v>
      </c>
      <c r="I33" s="72">
        <v>2</v>
      </c>
      <c r="J33" s="51">
        <f t="shared" si="0"/>
        <v>0.10526315789473684</v>
      </c>
      <c r="K33" s="49">
        <f>I33+ENERO!K33</f>
        <v>3</v>
      </c>
      <c r="L33" s="51">
        <f t="shared" si="2"/>
        <v>0.15789473684210525</v>
      </c>
      <c r="O33" s="9"/>
      <c r="Q33" s="9"/>
    </row>
    <row r="34" spans="2:17" x14ac:dyDescent="0.35">
      <c r="B34" s="47">
        <v>2</v>
      </c>
      <c r="C34" s="36" t="s">
        <v>54</v>
      </c>
      <c r="D34" s="35" t="s">
        <v>55</v>
      </c>
      <c r="E34" s="116"/>
      <c r="F34" s="41" t="s">
        <v>112</v>
      </c>
      <c r="G34" s="85" t="s">
        <v>113</v>
      </c>
      <c r="H34" s="72">
        <v>61</v>
      </c>
      <c r="I34" s="73">
        <v>8</v>
      </c>
      <c r="J34" s="51">
        <f t="shared" si="0"/>
        <v>0.13114754098360656</v>
      </c>
      <c r="K34" s="49">
        <f>I34+ENERO!K34</f>
        <v>12</v>
      </c>
      <c r="L34" s="51">
        <f t="shared" si="2"/>
        <v>0.19672131147540983</v>
      </c>
    </row>
    <row r="35" spans="2:17" x14ac:dyDescent="0.35">
      <c r="B35" s="47">
        <v>2</v>
      </c>
      <c r="C35" s="36" t="s">
        <v>59</v>
      </c>
      <c r="D35" s="35" t="s">
        <v>78</v>
      </c>
      <c r="E35" s="116"/>
      <c r="F35" s="41" t="s">
        <v>110</v>
      </c>
      <c r="G35" s="94" t="s">
        <v>111</v>
      </c>
      <c r="H35" s="72">
        <v>19</v>
      </c>
      <c r="I35" s="72">
        <v>3</v>
      </c>
      <c r="J35" s="51">
        <f t="shared" si="0"/>
        <v>0.15789473684210525</v>
      </c>
      <c r="K35" s="49">
        <f>I35+ENERO!K35</f>
        <v>4</v>
      </c>
      <c r="L35" s="51">
        <f t="shared" si="2"/>
        <v>0.21052631578947367</v>
      </c>
    </row>
    <row r="36" spans="2:17" x14ac:dyDescent="0.35">
      <c r="B36" s="48">
        <v>2</v>
      </c>
      <c r="C36" s="38" t="s">
        <v>61</v>
      </c>
      <c r="D36" s="37" t="s">
        <v>79</v>
      </c>
      <c r="E36" s="117"/>
      <c r="F36" s="86" t="s">
        <v>80</v>
      </c>
      <c r="G36" s="87" t="s">
        <v>83</v>
      </c>
      <c r="H36" s="74">
        <v>63</v>
      </c>
      <c r="I36" s="74">
        <v>8</v>
      </c>
      <c r="J36" s="53">
        <f t="shared" si="0"/>
        <v>0.12698412698412698</v>
      </c>
      <c r="K36" s="50">
        <f>I36+ENERO!K36</f>
        <v>13</v>
      </c>
      <c r="L36" s="53">
        <f t="shared" si="2"/>
        <v>0.20634920634920634</v>
      </c>
    </row>
    <row r="37" spans="2:17" s="5" customFormat="1" ht="23" x14ac:dyDescent="0.35">
      <c r="B37" s="15">
        <v>2</v>
      </c>
      <c r="C37" s="15" t="s">
        <v>69</v>
      </c>
      <c r="D37" s="56" t="s">
        <v>70</v>
      </c>
      <c r="E37" s="67" t="s">
        <v>87</v>
      </c>
      <c r="F37" s="95" t="s">
        <v>105</v>
      </c>
      <c r="G37" s="87" t="s">
        <v>106</v>
      </c>
      <c r="H37" s="75">
        <v>225</v>
      </c>
      <c r="I37" s="75">
        <v>30</v>
      </c>
      <c r="J37" s="57">
        <f>IFERROR(I37/H37,0)</f>
        <v>0.13333333333333333</v>
      </c>
      <c r="K37" s="15">
        <f>I37+ENERO!K37</f>
        <v>45</v>
      </c>
      <c r="L37" s="57">
        <f>IFERROR(K37/H37,0)</f>
        <v>0.2</v>
      </c>
      <c r="O37" s="9"/>
      <c r="Q37" s="9"/>
    </row>
    <row r="38" spans="2:17" s="5" customFormat="1" ht="23.25" customHeight="1" x14ac:dyDescent="0.35">
      <c r="B38" s="4"/>
      <c r="C38" s="4"/>
      <c r="D38" s="4"/>
      <c r="E38" s="4"/>
      <c r="F38" s="4"/>
      <c r="G38" s="7"/>
      <c r="H38" s="96" t="s">
        <v>32</v>
      </c>
      <c r="I38" s="96"/>
      <c r="J38" s="96"/>
      <c r="K38" s="96"/>
      <c r="L38" s="96"/>
      <c r="O38"/>
      <c r="Q38"/>
    </row>
    <row r="39" spans="2:17" s="5" customFormat="1" ht="16.5" customHeight="1" x14ac:dyDescent="0.35">
      <c r="B39" s="4"/>
      <c r="C39" s="4"/>
      <c r="H39" s="10">
        <f>+SUM(H13:H37)</f>
        <v>765</v>
      </c>
      <c r="I39" s="10">
        <f>+SUM(I13:I37)</f>
        <v>120</v>
      </c>
      <c r="J39" s="11">
        <f>IFERROR(I39/H39,0)</f>
        <v>0.15686274509803921</v>
      </c>
      <c r="K39" s="10">
        <f>+SUM(K13:K37)</f>
        <v>176</v>
      </c>
      <c r="L39" s="11">
        <f>IFERROR(K39/H39,0)</f>
        <v>0.23006535947712417</v>
      </c>
      <c r="O39"/>
      <c r="Q39"/>
    </row>
    <row r="40" spans="2:17" s="5" customFormat="1" ht="20.25" customHeight="1" x14ac:dyDescent="0.35">
      <c r="B40" s="4"/>
      <c r="C40" s="4"/>
      <c r="I40" s="17"/>
      <c r="J40" s="18"/>
      <c r="K40" s="19"/>
      <c r="L40" s="18"/>
      <c r="O40"/>
      <c r="Q40"/>
    </row>
    <row r="41" spans="2:17" s="5" customFormat="1" ht="26.4" customHeight="1" x14ac:dyDescent="0.35">
      <c r="B41" s="102" t="s">
        <v>33</v>
      </c>
      <c r="C41" s="103"/>
      <c r="D41" s="106" t="s">
        <v>107</v>
      </c>
      <c r="E41" s="107"/>
      <c r="F41" s="107"/>
      <c r="G41" s="107"/>
      <c r="H41" s="107"/>
      <c r="I41" s="107"/>
      <c r="J41" s="107"/>
      <c r="K41" s="107"/>
      <c r="L41" s="108"/>
      <c r="O41"/>
      <c r="Q41"/>
    </row>
    <row r="42" spans="2:17" s="5" customFormat="1" ht="26.4" customHeight="1" x14ac:dyDescent="0.35">
      <c r="B42" s="104"/>
      <c r="C42" s="105"/>
      <c r="D42" s="106" t="s">
        <v>114</v>
      </c>
      <c r="E42" s="107"/>
      <c r="F42" s="107"/>
      <c r="G42" s="107"/>
      <c r="H42" s="107"/>
      <c r="I42" s="107"/>
      <c r="J42" s="107"/>
      <c r="K42" s="107"/>
      <c r="L42" s="108"/>
      <c r="O42"/>
      <c r="Q42"/>
    </row>
    <row r="43" spans="2:17" x14ac:dyDescent="0.35">
      <c r="B43" s="101" t="s">
        <v>35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</row>
    <row r="44" spans="2:17" ht="15" customHeight="1" x14ac:dyDescent="0.35"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</row>
    <row r="45" spans="2:17" x14ac:dyDescent="0.35">
      <c r="B45" s="12" t="s">
        <v>36</v>
      </c>
      <c r="C45" s="13"/>
      <c r="D45" s="13"/>
      <c r="E45" s="13"/>
      <c r="F45" s="13"/>
      <c r="G45" s="13"/>
      <c r="H45" s="13"/>
      <c r="I45" s="13"/>
      <c r="J45" s="13"/>
      <c r="K45" s="13"/>
      <c r="L45" s="14"/>
    </row>
    <row r="46" spans="2:17" ht="20.149999999999999" customHeight="1" x14ac:dyDescent="0.45">
      <c r="B46" s="15" t="s">
        <v>37</v>
      </c>
      <c r="C46" s="16"/>
      <c r="D46" s="98" t="s">
        <v>34</v>
      </c>
      <c r="E46" s="98"/>
      <c r="F46" s="98"/>
      <c r="G46" s="98"/>
      <c r="H46" s="98"/>
      <c r="I46" s="98"/>
      <c r="J46" s="98"/>
      <c r="K46" s="98"/>
      <c r="L46" s="98"/>
    </row>
    <row r="47" spans="2:17" ht="20.149999999999999" customHeight="1" x14ac:dyDescent="0.45">
      <c r="B47" s="15" t="s">
        <v>38</v>
      </c>
      <c r="C47" s="16"/>
      <c r="D47" s="98"/>
      <c r="E47" s="98"/>
      <c r="F47" s="98"/>
      <c r="G47" s="98"/>
      <c r="H47" s="98"/>
      <c r="I47" s="98"/>
      <c r="J47" s="98"/>
      <c r="K47" s="98"/>
      <c r="L47" s="98"/>
    </row>
    <row r="48" spans="2:17" x14ac:dyDescent="0.35">
      <c r="B48" s="97" t="s">
        <v>35</v>
      </c>
      <c r="C48" s="97"/>
      <c r="D48" s="97"/>
      <c r="E48" s="97"/>
      <c r="F48" s="97"/>
      <c r="G48" s="97"/>
      <c r="H48" s="97"/>
      <c r="I48" s="97"/>
      <c r="J48" s="97"/>
      <c r="K48" s="97"/>
      <c r="L48" s="97"/>
    </row>
    <row r="49" spans="2:12" x14ac:dyDescent="0.35"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</row>
    <row r="50" spans="2:12" ht="19.5" customHeight="1" x14ac:dyDescent="0.35">
      <c r="B50" s="12" t="s">
        <v>39</v>
      </c>
      <c r="C50" s="13"/>
      <c r="D50" s="13"/>
      <c r="E50" s="13"/>
      <c r="F50" s="13"/>
      <c r="G50" s="13"/>
      <c r="H50" s="13"/>
      <c r="I50" s="13"/>
      <c r="J50" s="13"/>
      <c r="K50" s="13"/>
      <c r="L50" s="14"/>
    </row>
    <row r="51" spans="2:12" ht="23.9" customHeight="1" x14ac:dyDescent="0.45">
      <c r="B51" s="15" t="s">
        <v>37</v>
      </c>
      <c r="C51" s="16"/>
      <c r="D51" s="98" t="s">
        <v>34</v>
      </c>
      <c r="E51" s="98"/>
      <c r="F51" s="98"/>
      <c r="G51" s="98"/>
      <c r="H51" s="98"/>
      <c r="I51" s="98"/>
      <c r="J51" s="98"/>
      <c r="K51" s="98"/>
      <c r="L51" s="98"/>
    </row>
    <row r="52" spans="2:12" ht="24.5" x14ac:dyDescent="0.45">
      <c r="B52" s="15" t="s">
        <v>38</v>
      </c>
      <c r="C52" s="16"/>
      <c r="D52" s="98"/>
      <c r="E52" s="98"/>
      <c r="F52" s="98"/>
      <c r="G52" s="98"/>
      <c r="H52" s="98"/>
      <c r="I52" s="98"/>
      <c r="J52" s="98"/>
      <c r="K52" s="98"/>
      <c r="L52" s="98"/>
    </row>
    <row r="55" spans="2:12" x14ac:dyDescent="0.35">
      <c r="B55" s="99"/>
      <c r="C55" s="99"/>
      <c r="D55" s="99"/>
      <c r="E55" s="69"/>
      <c r="I55" s="99"/>
      <c r="J55" s="99"/>
      <c r="K55" s="99"/>
    </row>
    <row r="56" spans="2:12" ht="18" customHeight="1" x14ac:dyDescent="0.35">
      <c r="B56" s="4" t="s">
        <v>40</v>
      </c>
      <c r="C56" s="100"/>
      <c r="D56" s="100"/>
      <c r="E56" s="68"/>
      <c r="I56" s="109" t="s">
        <v>84</v>
      </c>
      <c r="J56" s="109"/>
      <c r="K56" s="109"/>
    </row>
    <row r="83" spans="1:18" s="1" customFormat="1" hidden="1" x14ac:dyDescent="0.35">
      <c r="A83" t="s">
        <v>0</v>
      </c>
      <c r="M83" s="2"/>
      <c r="N83" s="2"/>
      <c r="O83"/>
      <c r="P83" s="2"/>
      <c r="Q83"/>
      <c r="R83" s="2"/>
    </row>
    <row r="84" spans="1:18" s="1" customFormat="1" hidden="1" x14ac:dyDescent="0.35">
      <c r="A84" t="s">
        <v>2</v>
      </c>
      <c r="M84" s="2"/>
      <c r="N84" s="2"/>
      <c r="O84"/>
      <c r="P84" s="2"/>
      <c r="Q84"/>
      <c r="R84" s="2"/>
    </row>
    <row r="85" spans="1:18" s="1" customFormat="1" hidden="1" x14ac:dyDescent="0.35">
      <c r="A85" t="s">
        <v>6</v>
      </c>
      <c r="M85" s="2"/>
      <c r="N85" s="2"/>
      <c r="O85"/>
      <c r="P85" s="2"/>
      <c r="Q85"/>
      <c r="R85" s="2"/>
    </row>
    <row r="86" spans="1:18" s="1" customFormat="1" hidden="1" x14ac:dyDescent="0.35">
      <c r="A86" t="s">
        <v>8</v>
      </c>
      <c r="M86" s="2"/>
      <c r="N86" s="2"/>
      <c r="O86"/>
      <c r="P86" s="2"/>
      <c r="Q86"/>
      <c r="R86" s="2"/>
    </row>
    <row r="87" spans="1:18" s="1" customFormat="1" hidden="1" x14ac:dyDescent="0.35">
      <c r="A87" t="s">
        <v>9</v>
      </c>
      <c r="M87" s="2"/>
      <c r="N87" s="2"/>
      <c r="O87"/>
      <c r="P87" s="2"/>
      <c r="Q87"/>
      <c r="R87" s="2"/>
    </row>
    <row r="88" spans="1:18" s="1" customFormat="1" hidden="1" x14ac:dyDescent="0.35">
      <c r="A88" t="s">
        <v>10</v>
      </c>
      <c r="B88" s="2"/>
      <c r="M88" s="2"/>
      <c r="N88" s="2"/>
      <c r="O88"/>
      <c r="P88" s="2"/>
      <c r="Q88"/>
      <c r="R88" s="2"/>
    </row>
    <row r="89" spans="1:18" s="1" customFormat="1" hidden="1" x14ac:dyDescent="0.35">
      <c r="A89" t="s">
        <v>11</v>
      </c>
      <c r="B89" s="2"/>
      <c r="M89" s="2"/>
      <c r="N89" s="2"/>
      <c r="O89"/>
      <c r="P89" s="2"/>
      <c r="Q89"/>
      <c r="R89" s="2"/>
    </row>
    <row r="90" spans="1:18" s="1" customFormat="1" hidden="1" x14ac:dyDescent="0.35">
      <c r="A90" t="s">
        <v>13</v>
      </c>
      <c r="B90" s="2"/>
      <c r="M90" s="2"/>
      <c r="N90" s="2"/>
      <c r="O90"/>
      <c r="P90" s="2"/>
      <c r="Q90"/>
      <c r="R90" s="2"/>
    </row>
    <row r="91" spans="1:18" s="1" customFormat="1" hidden="1" x14ac:dyDescent="0.35">
      <c r="A91" t="s">
        <v>14</v>
      </c>
      <c r="B91" s="5"/>
      <c r="M91" s="2"/>
      <c r="N91" s="2"/>
      <c r="O91"/>
      <c r="P91" s="2"/>
      <c r="Q91"/>
      <c r="R91" s="2"/>
    </row>
    <row r="92" spans="1:18" s="1" customFormat="1" hidden="1" x14ac:dyDescent="0.35">
      <c r="A92" t="s">
        <v>16</v>
      </c>
      <c r="B92" s="2"/>
      <c r="M92" s="2"/>
      <c r="N92" s="2"/>
      <c r="O92"/>
      <c r="P92" s="2"/>
      <c r="Q92"/>
      <c r="R92" s="2"/>
    </row>
    <row r="93" spans="1:18" s="1" customFormat="1" hidden="1" x14ac:dyDescent="0.35">
      <c r="A93" t="s">
        <v>17</v>
      </c>
      <c r="B93" s="5"/>
      <c r="M93" s="2"/>
      <c r="N93" s="2"/>
      <c r="O93"/>
      <c r="P93" s="2"/>
      <c r="Q93"/>
      <c r="R93" s="2"/>
    </row>
    <row r="94" spans="1:18" s="1" customFormat="1" hidden="1" x14ac:dyDescent="0.35">
      <c r="A94" t="s">
        <v>21</v>
      </c>
      <c r="B94" s="5"/>
      <c r="M94" s="2"/>
      <c r="N94" s="2"/>
      <c r="O94"/>
      <c r="P94" s="2"/>
      <c r="Q94"/>
      <c r="R94" s="2"/>
    </row>
    <row r="95" spans="1:18" s="1" customFormat="1" hidden="1" x14ac:dyDescent="0.35">
      <c r="A95" t="s">
        <v>30</v>
      </c>
      <c r="B95" s="5"/>
      <c r="M95" s="2"/>
      <c r="N95" s="2"/>
      <c r="O95"/>
      <c r="P95" s="2"/>
      <c r="Q95"/>
      <c r="R95" s="2"/>
    </row>
    <row r="96" spans="1:18" x14ac:dyDescent="0.35">
      <c r="B96" s="5"/>
    </row>
    <row r="97" spans="2:2" x14ac:dyDescent="0.35">
      <c r="B97" s="5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</sheetData>
  <sheetProtection formatCells="0" formatColumns="0" formatRows="0" insertColumns="0" insertRows="0" insertHyperlinks="0" deleteColumns="0" deleteRows="0" sort="0" autoFilter="0" pivotTables="0"/>
  <mergeCells count="25">
    <mergeCell ref="B2:L2"/>
    <mergeCell ref="B3:D3"/>
    <mergeCell ref="F3:I3"/>
    <mergeCell ref="J3:L3"/>
    <mergeCell ref="B5:C5"/>
    <mergeCell ref="B7:C7"/>
    <mergeCell ref="B9:C9"/>
    <mergeCell ref="B11:H11"/>
    <mergeCell ref="I11:J11"/>
    <mergeCell ref="K11:L11"/>
    <mergeCell ref="E13:E22"/>
    <mergeCell ref="E23:E31"/>
    <mergeCell ref="C56:D56"/>
    <mergeCell ref="I56:K56"/>
    <mergeCell ref="E32:E36"/>
    <mergeCell ref="H38:L38"/>
    <mergeCell ref="B41:C42"/>
    <mergeCell ref="D41:L41"/>
    <mergeCell ref="D42:L42"/>
    <mergeCell ref="B43:L44"/>
    <mergeCell ref="D46:L47"/>
    <mergeCell ref="B48:L49"/>
    <mergeCell ref="D51:L52"/>
    <mergeCell ref="B55:D55"/>
    <mergeCell ref="I55:K55"/>
  </mergeCells>
  <conditionalFormatting sqref="K39">
    <cfRule type="cellIs" dxfId="2" priority="6" operator="greaterThan">
      <formula>350</formula>
    </cfRule>
  </conditionalFormatting>
  <conditionalFormatting sqref="L18:L22">
    <cfRule type="cellIs" dxfId="1" priority="3" operator="greaterThan">
      <formula>1</formula>
    </cfRule>
  </conditionalFormatting>
  <conditionalFormatting sqref="L27:L36">
    <cfRule type="cellIs" dxfId="0" priority="2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I22:I36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I13:I21 I37 H13:H37">
      <formula1>0</formula1>
      <formula2>366</formula2>
    </dataValidation>
    <dataValidation type="list" allowBlank="1" showInputMessage="1" showErrorMessage="1" sqref="F7:H8 D8">
      <formula1>#REF!</formula1>
    </dataValidation>
    <dataValidation type="list" allowBlank="1" showInputMessage="1" showErrorMessage="1" sqref="D7">
      <formula1>$A$84:$A$95</formula1>
    </dataValidation>
  </dataValidations>
  <hyperlinks>
    <hyperlink ref="G37" r:id="rId1"/>
  </hyperlinks>
  <pageMargins left="0.7" right="0.7" top="0.75" bottom="0.75" header="0.3" footer="0.3"/>
  <pageSetup scale="1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ENERO</vt:lpstr>
      <vt:lpstr>FEBRERO</vt:lpstr>
      <vt:lpstr>ENERO!Área_de_impresión</vt:lpstr>
      <vt:lpstr>FEBRERO!Área_de_impresión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Jose Mateo Lopez Cifuentes</cp:lastModifiedBy>
  <dcterms:created xsi:type="dcterms:W3CDTF">2024-01-10T22:00:55Z</dcterms:created>
  <dcterms:modified xsi:type="dcterms:W3CDTF">2026-03-06T20:03:14Z</dcterms:modified>
</cp:coreProperties>
</file>