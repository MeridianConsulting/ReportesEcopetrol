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R:\40_GES_PROY\48_PROYECTOS\ECOPETROL 3037132\2_EJECUCION\9_ODS\2026\20_90658180\1_Entregables\1_Febrero\"/>
    </mc:Choice>
  </mc:AlternateContent>
  <xr:revisionPtr revIDLastSave="0" documentId="8_{B305F3AD-F63F-4920-946C-4DAC8E5069DB}" xr6:coauthVersionLast="47" xr6:coauthVersionMax="47" xr10:uidLastSave="{00000000-0000-0000-0000-000000000000}"/>
  <bookViews>
    <workbookView xWindow="-108" yWindow="-108" windowWidth="23256" windowHeight="12456" xr2:uid="{00000000-000D-0000-FFFF-FFFF00000000}"/>
  </bookViews>
  <sheets>
    <sheet name="FEBRERO" sheetId="16" r:id="rId1"/>
  </sheets>
  <definedNames>
    <definedName name="_xlnm.Print_Area" localSheetId="0">FEBRERO!$A$1:$M$42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4" i="16" l="1"/>
  <c r="K24" i="16"/>
  <c r="I24" i="16"/>
  <c r="H24" i="16"/>
  <c r="J13" i="16" l="1"/>
  <c r="J14" i="16"/>
  <c r="J15" i="16"/>
  <c r="K22" i="16" l="1"/>
  <c r="L22" i="16" s="1"/>
  <c r="J22" i="16"/>
  <c r="K21" i="16"/>
  <c r="L21" i="16" s="1"/>
  <c r="J21" i="16"/>
  <c r="K20" i="16"/>
  <c r="L20" i="16" s="1"/>
  <c r="J20" i="16"/>
  <c r="J24" i="16" l="1"/>
  <c r="K17" i="16" l="1"/>
  <c r="K16" i="16"/>
  <c r="K15" i="16"/>
  <c r="K14" i="16"/>
  <c r="K13" i="16"/>
  <c r="J16" i="16" l="1"/>
  <c r="J17" i="16"/>
  <c r="K19" i="16" l="1"/>
  <c r="J19" i="16"/>
  <c r="K18" i="16"/>
  <c r="J18" i="16"/>
  <c r="L19" i="16" l="1"/>
  <c r="L18" i="16"/>
  <c r="L17" i="16"/>
  <c r="L16" i="16"/>
  <c r="L15" i="16"/>
  <c r="L14" i="16"/>
  <c r="L13"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K12" authorId="0" shapeId="0" xr:uid="{00000000-0006-0000-0000-000001000000}">
      <text>
        <r>
          <rPr>
            <sz val="9"/>
            <color indexed="81"/>
            <rFont val="Tahoma"/>
            <family val="2"/>
          </rPr>
          <t>Días acumulados del último reporte + Días del mes a reportar.</t>
        </r>
      </text>
    </comment>
    <comment ref="B41" authorId="0" shapeId="0" xr:uid="{00000000-0006-0000-0000-000002000000}">
      <text>
        <r>
          <rPr>
            <sz val="9"/>
            <color indexed="81"/>
            <rFont val="Tahoma"/>
            <family val="2"/>
          </rPr>
          <t>Firma de quién revisa</t>
        </r>
      </text>
    </comment>
    <comment ref="C42" authorId="0" shapeId="0" xr:uid="{00000000-0006-0000-0000-000003000000}">
      <text>
        <r>
          <rPr>
            <sz val="9"/>
            <color rgb="FF000000"/>
            <rFont val="Tahoma"/>
            <family val="2"/>
          </rPr>
          <t>Nombre completo de quién revisa</t>
        </r>
      </text>
    </comment>
    <comment ref="I42" authorId="0" shapeId="0" xr:uid="{00000000-0006-0000-0000-000004000000}">
      <text>
        <r>
          <rPr>
            <sz val="9"/>
            <color indexed="81"/>
            <rFont val="Tahoma"/>
            <family val="2"/>
          </rPr>
          <t>Nombre completo del interventor</t>
        </r>
      </text>
    </comment>
  </commentList>
</comments>
</file>

<file path=xl/sharedStrings.xml><?xml version="1.0" encoding="utf-8"?>
<sst xmlns="http://schemas.openxmlformats.org/spreadsheetml/2006/main" count="104" uniqueCount="73">
  <si>
    <t>MES</t>
  </si>
  <si>
    <t>REPORTE DE AVANCE</t>
  </si>
  <si>
    <t>ENERO</t>
  </si>
  <si>
    <t>Fecha: 29/06/2022</t>
  </si>
  <si>
    <t>Version: 01</t>
  </si>
  <si>
    <t>GP-F-23</t>
  </si>
  <si>
    <t>FEBRERO</t>
  </si>
  <si>
    <t>Código Orden de servicio</t>
  </si>
  <si>
    <t>MARZO</t>
  </si>
  <si>
    <t>ABRIL</t>
  </si>
  <si>
    <t>MAYO</t>
  </si>
  <si>
    <t>JUNIO</t>
  </si>
  <si>
    <t>Mes a reportar</t>
  </si>
  <si>
    <t>JULIO</t>
  </si>
  <si>
    <t>AGOSTO</t>
  </si>
  <si>
    <t>Fecha reporte</t>
  </si>
  <si>
    <t>SEPTIEMBRE</t>
  </si>
  <si>
    <t>OCTUBRE</t>
  </si>
  <si>
    <t>Clasificación del servicio</t>
  </si>
  <si>
    <t>Reporte mes por servicio</t>
  </si>
  <si>
    <t>Reporte acumulado por servicio</t>
  </si>
  <si>
    <t>NOVIEMBRE</t>
  </si>
  <si>
    <t>Ítem general</t>
  </si>
  <si>
    <t>ítem actividad</t>
  </si>
  <si>
    <t>Descripción de la actividad</t>
  </si>
  <si>
    <t>Soporte</t>
  </si>
  <si>
    <t>Medio de entrega</t>
  </si>
  <si>
    <t>Días</t>
  </si>
  <si>
    <t>% avance</t>
  </si>
  <si>
    <t xml:space="preserve">Días </t>
  </si>
  <si>
    <t>DICIEMBRE</t>
  </si>
  <si>
    <t>Digital</t>
  </si>
  <si>
    <t>TOTAL ACUMULADO</t>
  </si>
  <si>
    <t>Observaciones:</t>
  </si>
  <si>
    <t>Describa en este espacio su observación</t>
  </si>
  <si>
    <r>
      <t>¿Se presentó algún aspecto o situación que afecte la ejecución y calidad de los entregables? (</t>
    </r>
    <r>
      <rPr>
        <b/>
        <i/>
        <sz val="9"/>
        <color theme="1"/>
        <rFont val="Verdana"/>
        <family val="2"/>
      </rPr>
      <t>Marque con una X</t>
    </r>
    <r>
      <rPr>
        <b/>
        <sz val="9"/>
        <color theme="1"/>
        <rFont val="Verdana"/>
        <family val="2"/>
      </rPr>
      <t>)</t>
    </r>
  </si>
  <si>
    <t>PROFESIONAL</t>
  </si>
  <si>
    <t>SI</t>
  </si>
  <si>
    <t>NO</t>
  </si>
  <si>
    <t>INTERVENTOR O LIDER</t>
  </si>
  <si>
    <t>Revisa:</t>
  </si>
  <si>
    <t>Días contratados Acta de Inicio</t>
  </si>
  <si>
    <t>Profesional a cargo</t>
  </si>
  <si>
    <t>Realice el plan de desarrollo de campo y los pronósticos: realizando todos los pronósticos de escenarios de simulación para llevar a cabo la planificación del desarrollo de campo, esto incluye investigar y realizar análisis de sensibilidad  e incertidumbre de los principales parámetros coincidentes de la historia y las incógnitas y su efecto en el pronóstico. La predicción se basaría en el plan de desarrollo de campo, las ubicaciones de perforación de relleno, el análisis de patrones, la optimización  de la inyección de agua, la tasa de inyección óptima y el proceso de recuperación terciaria (química y térmica). Realizar evaluaciones económicas y evaluaciones de cada proceso y presentar la mejor solución óptima.</t>
  </si>
  <si>
    <t>Generar Modelo analítico del yacimiento integrando la información disponible en un software específico.</t>
  </si>
  <si>
    <t>Generar base de datos de producción (OFM o la que se requiera)</t>
  </si>
  <si>
    <t>3.3+</t>
  </si>
  <si>
    <t>3.6</t>
  </si>
  <si>
    <t>3.13</t>
  </si>
  <si>
    <t>Jean Pablo Cedeño</t>
  </si>
  <si>
    <t>Modelo Dinámico -Perfiles de Producción -Informe.</t>
  </si>
  <si>
    <t>Modelo Analítico - Perfiles de Producción - Informe del modelo</t>
  </si>
  <si>
    <t>Base de Datos</t>
  </si>
  <si>
    <t>Generar bases de datos de Eventos de pozos</t>
  </si>
  <si>
    <t>Generación de oportunidades de intervención a Pozos</t>
  </si>
  <si>
    <t>Estimar restricciones de Presión y tasas para la generación de perfiles de producción</t>
  </si>
  <si>
    <t>Generar modelo de Pozos</t>
  </si>
  <si>
    <t>5.1</t>
  </si>
  <si>
    <t>5.2</t>
  </si>
  <si>
    <t>5.3</t>
  </si>
  <si>
    <t>5.4</t>
  </si>
  <si>
    <t>Base de Datos - Informe de la Evaluación</t>
  </si>
  <si>
    <t>Yuber Rodriguez</t>
  </si>
  <si>
    <t>3.7</t>
  </si>
  <si>
    <t>Inventario y acceso a raw data de puntos de presión (Pre-Test) tomados con probadores de formación (RDT (Halliburton), MDT (Schlumberger), MFT (Weatherford), etc.). La raw data debe contener por profundidad probada: valores de presión, temperatura, caudales inducidos (cc/seg) y volúmenes asociados de cámara pre-test (cc).</t>
  </si>
  <si>
    <t>Analizar data histórica de producción, productividad y daño por pozo</t>
  </si>
  <si>
    <t>Generar perfiles de Producción por pozos para pozos existente en escenarios Bajo, Medio y Alto</t>
  </si>
  <si>
    <t>Kelly Diez</t>
  </si>
  <si>
    <t>Base de datos</t>
  </si>
  <si>
    <t xml:space="preserve">3.3 3.6 3.13 Senior (JC):
</t>
  </si>
  <si>
    <t>5.1 5.2 5.3 5.4 Junior(YR)</t>
  </si>
  <si>
    <t>Heliodoro Cañarete Mejia</t>
  </si>
  <si>
    <r>
      <rPr>
        <b/>
        <sz val="9"/>
        <color theme="1"/>
        <rFont val="Verdana"/>
        <family val="2"/>
      </rPr>
      <t>3.7 3.17 3.18 Junior (KD)</t>
    </r>
    <r>
      <rPr>
        <sz val="9"/>
        <color theme="1"/>
        <rFont val="Verdana"/>
        <family val="2"/>
      </rPr>
      <t xml:space="preserve">
Solicitudes de acceso a Software, bases de datos e informes para tener acceso a información de yacimientos y producción del campo Lisama. Participó en sesiones de familiarización con el campo Lisama y apoyó la construcción de perfiles de producción de pozos de la campaña WO Lisama 2025-2026.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</si>
</sst>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sz val="11"/>
      <color theme="1"/>
      <name val="Calibri"/>
      <family val="2"/>
      <scheme val="minor"/>
    </font>
    <font>
      <sz val="9"/>
      <color theme="1"/>
      <name val="Verdana"/>
      <family val="2"/>
    </font>
    <font>
      <sz val="9"/>
      <color theme="1"/>
      <name val="Calibri"/>
      <family val="2"/>
      <scheme val="minor"/>
    </font>
    <font>
      <b/>
      <sz val="9"/>
      <color theme="1"/>
      <name val="Verdana"/>
      <family val="2"/>
    </font>
    <font>
      <b/>
      <i/>
      <sz val="9"/>
      <color theme="1"/>
      <name val="Verdana"/>
      <family val="2"/>
    </font>
    <font>
      <sz val="20"/>
      <color theme="1"/>
      <name val="Verdana"/>
      <family val="2"/>
    </font>
    <font>
      <sz val="9"/>
      <color theme="0" tint="-0.499984740745262"/>
      <name val="Verdana"/>
      <family val="2"/>
    </font>
    <font>
      <sz val="9"/>
      <color indexed="81"/>
      <name val="Tahoma"/>
      <family val="2"/>
    </font>
    <font>
      <sz val="9"/>
      <color rgb="FF000000"/>
      <name val="Tahoma"/>
      <family val="2"/>
    </font>
    <font>
      <sz val="9"/>
      <color rgb="FF000000"/>
      <name val="Verdana"/>
      <family val="2"/>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0" tint="-0.14999847407452621"/>
        <bgColor indexed="64"/>
      </patternFill>
    </fill>
  </fills>
  <borders count="2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hair">
        <color indexed="64"/>
      </top>
      <bottom style="thin">
        <color indexed="64"/>
      </bottom>
      <diagonal/>
    </border>
    <border>
      <left style="thin">
        <color indexed="64"/>
      </left>
      <right style="hair">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diagonal/>
    </border>
  </borders>
  <cellStyleXfs count="2">
    <xf numFmtId="0" fontId="0" fillId="0" borderId="0"/>
    <xf numFmtId="9" fontId="1" fillId="0" borderId="0" applyFont="0" applyFill="0" applyBorder="0" applyAlignment="0" applyProtection="0"/>
  </cellStyleXfs>
  <cellXfs count="93">
    <xf numFmtId="0" fontId="0" fillId="0" borderId="0" xfId="0"/>
    <xf numFmtId="0" fontId="2" fillId="0" borderId="0" xfId="0" applyFont="1"/>
    <xf numFmtId="0" fontId="3" fillId="0" borderId="0" xfId="0" applyFont="1"/>
    <xf numFmtId="0" fontId="2" fillId="0" borderId="5" xfId="0" applyFont="1" applyBorder="1"/>
    <xf numFmtId="0" fontId="2" fillId="0" borderId="0" xfId="0" applyFont="1" applyAlignment="1">
      <alignment vertical="center"/>
    </xf>
    <xf numFmtId="0" fontId="3" fillId="0" borderId="0" xfId="0" applyFont="1" applyAlignment="1">
      <alignment vertical="center"/>
    </xf>
    <xf numFmtId="49" fontId="4" fillId="2" borderId="7" xfId="0" applyNumberFormat="1" applyFont="1" applyFill="1" applyBorder="1" applyAlignment="1">
      <alignment horizontal="center" vertical="center"/>
    </xf>
    <xf numFmtId="0" fontId="2" fillId="0" borderId="0" xfId="0" applyFont="1" applyAlignment="1">
      <alignment horizontal="center" vertical="center" wrapText="1"/>
    </xf>
    <xf numFmtId="14" fontId="4" fillId="2" borderId="7" xfId="0" applyNumberFormat="1" applyFont="1" applyFill="1" applyBorder="1" applyAlignment="1">
      <alignment horizontal="center" vertical="center"/>
    </xf>
    <xf numFmtId="0" fontId="0" fillId="0" borderId="0" xfId="0" applyAlignment="1">
      <alignment vertical="center"/>
    </xf>
    <xf numFmtId="0" fontId="4" fillId="0" borderId="7" xfId="0" applyFont="1" applyBorder="1" applyAlignment="1">
      <alignment horizontal="center" vertical="center"/>
    </xf>
    <xf numFmtId="164" fontId="4" fillId="0" borderId="7" xfId="1" applyNumberFormat="1" applyFont="1" applyBorder="1" applyAlignment="1" applyProtection="1">
      <alignment horizontal="center" vertical="center"/>
    </xf>
    <xf numFmtId="0" fontId="4" fillId="4" borderId="1" xfId="0" applyFont="1" applyFill="1" applyBorder="1" applyAlignment="1">
      <alignment vertical="center"/>
    </xf>
    <xf numFmtId="0" fontId="4" fillId="4" borderId="0" xfId="0" applyFont="1" applyFill="1" applyAlignment="1">
      <alignment vertical="center"/>
    </xf>
    <xf numFmtId="0" fontId="4" fillId="4" borderId="3" xfId="0" applyFont="1" applyFill="1" applyBorder="1" applyAlignment="1">
      <alignment vertical="center"/>
    </xf>
    <xf numFmtId="0" fontId="2" fillId="0" borderId="7" xfId="0" applyFont="1" applyBorder="1" applyAlignment="1">
      <alignment horizontal="center" vertical="center"/>
    </xf>
    <xf numFmtId="0" fontId="6" fillId="0" borderId="7" xfId="0" applyFont="1" applyBorder="1" applyAlignment="1">
      <alignment horizontal="center"/>
    </xf>
    <xf numFmtId="0" fontId="4" fillId="0" borderId="0" xfId="0" applyFont="1" applyAlignment="1">
      <alignment horizontal="center" vertical="center"/>
    </xf>
    <xf numFmtId="164" fontId="4" fillId="0" borderId="0" xfId="1" applyNumberFormat="1" applyFont="1" applyBorder="1" applyAlignment="1" applyProtection="1">
      <alignment horizontal="center" vertical="center"/>
    </xf>
    <xf numFmtId="1" fontId="4" fillId="0" borderId="0" xfId="0" applyNumberFormat="1" applyFont="1" applyAlignment="1">
      <alignment horizontal="center" vertical="center"/>
    </xf>
    <xf numFmtId="0" fontId="2" fillId="0" borderId="4" xfId="0" applyFont="1" applyBorder="1"/>
    <xf numFmtId="0" fontId="2" fillId="0" borderId="6" xfId="0" applyFont="1" applyBorder="1"/>
    <xf numFmtId="0" fontId="2" fillId="0" borderId="8" xfId="0" applyFont="1" applyBorder="1" applyAlignment="1">
      <alignment vertical="center"/>
    </xf>
    <xf numFmtId="0" fontId="2" fillId="0" borderId="9" xfId="0" applyFont="1" applyBorder="1" applyAlignment="1">
      <alignment vertical="center"/>
    </xf>
    <xf numFmtId="49" fontId="4" fillId="0" borderId="0" xfId="0" applyNumberFormat="1" applyFont="1" applyAlignment="1">
      <alignment horizontal="center" vertical="center"/>
    </xf>
    <xf numFmtId="0" fontId="2" fillId="0" borderId="9" xfId="0" applyFont="1" applyBorder="1" applyAlignment="1">
      <alignment horizontal="center" vertical="center" wrapText="1"/>
    </xf>
    <xf numFmtId="14" fontId="4" fillId="0" borderId="0" xfId="0" applyNumberFormat="1" applyFont="1" applyAlignment="1">
      <alignment horizontal="center" vertical="center"/>
    </xf>
    <xf numFmtId="0" fontId="2" fillId="0" borderId="9" xfId="0" applyFont="1" applyBorder="1"/>
    <xf numFmtId="0" fontId="2" fillId="0" borderId="8" xfId="0" applyFont="1" applyBorder="1"/>
    <xf numFmtId="0" fontId="2" fillId="2" borderId="7" xfId="0" applyFont="1" applyFill="1" applyBorder="1" applyAlignment="1">
      <alignment horizontal="center" vertical="center" wrapText="1"/>
    </xf>
    <xf numFmtId="0" fontId="2" fillId="0" borderId="18" xfId="0" applyFont="1" applyBorder="1" applyAlignment="1">
      <alignment horizontal="center" vertical="center"/>
    </xf>
    <xf numFmtId="0" fontId="2" fillId="0" borderId="16" xfId="0" applyFont="1" applyBorder="1" applyAlignment="1">
      <alignment horizontal="center" vertical="center"/>
    </xf>
    <xf numFmtId="0" fontId="2" fillId="0" borderId="14" xfId="0" applyFont="1" applyBorder="1" applyAlignment="1">
      <alignment horizontal="center" vertical="center"/>
    </xf>
    <xf numFmtId="0" fontId="2" fillId="0" borderId="17" xfId="0" applyFont="1" applyBorder="1" applyAlignment="1">
      <alignment horizontal="center" vertical="center"/>
    </xf>
    <xf numFmtId="0" fontId="2" fillId="0" borderId="15" xfId="0" applyFont="1" applyBorder="1" applyAlignment="1">
      <alignment horizontal="center" vertical="center"/>
    </xf>
    <xf numFmtId="0" fontId="2" fillId="0" borderId="19" xfId="0" applyFont="1" applyBorder="1" applyAlignment="1">
      <alignment horizontal="center" vertical="center"/>
    </xf>
    <xf numFmtId="0" fontId="2" fillId="0" borderId="19" xfId="0" applyFont="1" applyBorder="1" applyAlignment="1">
      <alignment vertical="center"/>
    </xf>
    <xf numFmtId="0" fontId="2" fillId="0" borderId="16" xfId="0" applyFont="1" applyBorder="1" applyAlignment="1">
      <alignment vertical="center"/>
    </xf>
    <xf numFmtId="9" fontId="2" fillId="0" borderId="16" xfId="1" applyFont="1" applyBorder="1" applyAlignment="1">
      <alignment horizontal="center" vertical="center"/>
    </xf>
    <xf numFmtId="0" fontId="2" fillId="0" borderId="18" xfId="0" applyFont="1" applyBorder="1" applyAlignment="1">
      <alignment vertical="center"/>
    </xf>
    <xf numFmtId="9" fontId="2" fillId="0" borderId="18" xfId="1" applyFont="1" applyBorder="1" applyAlignment="1">
      <alignment horizontal="center" vertical="center"/>
    </xf>
    <xf numFmtId="1" fontId="2" fillId="0" borderId="17" xfId="0" applyNumberFormat="1" applyFont="1" applyBorder="1" applyAlignment="1">
      <alignment horizontal="center" vertical="center" wrapText="1"/>
    </xf>
    <xf numFmtId="9" fontId="2" fillId="0" borderId="19" xfId="1" applyFont="1" applyBorder="1" applyAlignment="1" applyProtection="1">
      <alignment horizontal="center" vertical="center" wrapText="1"/>
    </xf>
    <xf numFmtId="9" fontId="2" fillId="0" borderId="17" xfId="1" applyFont="1" applyBorder="1" applyAlignment="1" applyProtection="1">
      <alignment horizontal="center" vertical="center" wrapText="1"/>
    </xf>
    <xf numFmtId="1" fontId="2" fillId="0" borderId="19" xfId="0" applyNumberFormat="1" applyFont="1" applyBorder="1" applyAlignment="1">
      <alignment horizontal="center" vertical="center" wrapText="1"/>
    </xf>
    <xf numFmtId="0" fontId="4" fillId="2" borderId="7" xfId="0" applyFont="1" applyFill="1" applyBorder="1" applyAlignment="1" applyProtection="1">
      <alignment horizontal="center" vertical="center"/>
      <protection locked="0"/>
    </xf>
    <xf numFmtId="0" fontId="4" fillId="0" borderId="2"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4" fillId="2" borderId="1" xfId="0" applyFont="1" applyFill="1" applyBorder="1" applyAlignment="1">
      <alignment horizontal="left" vertical="top" wrapText="1"/>
    </xf>
    <xf numFmtId="0" fontId="4" fillId="2" borderId="2" xfId="0" applyFont="1" applyFill="1" applyBorder="1" applyAlignment="1">
      <alignment horizontal="left" vertical="top" wrapText="1"/>
    </xf>
    <xf numFmtId="0" fontId="4" fillId="2" borderId="3" xfId="0" applyFont="1" applyFill="1" applyBorder="1" applyAlignment="1">
      <alignment horizontal="left" vertical="top" wrapText="1"/>
    </xf>
    <xf numFmtId="0" fontId="2" fillId="0" borderId="17" xfId="0" applyFont="1" applyBorder="1" applyAlignment="1">
      <alignment vertical="center"/>
    </xf>
    <xf numFmtId="9" fontId="2" fillId="0" borderId="17" xfId="1" applyFont="1" applyBorder="1" applyAlignment="1">
      <alignment horizontal="center" vertical="center"/>
    </xf>
    <xf numFmtId="0" fontId="2" fillId="3" borderId="13" xfId="0" applyFont="1" applyFill="1" applyBorder="1" applyAlignment="1" applyProtection="1">
      <alignment horizontal="center" vertical="center" wrapText="1"/>
      <protection locked="0"/>
    </xf>
    <xf numFmtId="0" fontId="2" fillId="3" borderId="22" xfId="0" applyFont="1" applyFill="1" applyBorder="1" applyAlignment="1" applyProtection="1">
      <alignment horizontal="center" vertical="center" wrapText="1"/>
      <protection locked="0"/>
    </xf>
    <xf numFmtId="0" fontId="2" fillId="3" borderId="17" xfId="0" applyFont="1" applyFill="1" applyBorder="1" applyAlignment="1" applyProtection="1">
      <alignment horizontal="center" vertical="center" wrapText="1"/>
      <protection locked="0"/>
    </xf>
    <xf numFmtId="0" fontId="2" fillId="3" borderId="16" xfId="0" applyFont="1" applyFill="1" applyBorder="1" applyAlignment="1" applyProtection="1">
      <alignment horizontal="center" vertical="center" wrapText="1"/>
      <protection locked="0"/>
    </xf>
    <xf numFmtId="0" fontId="2" fillId="0" borderId="18" xfId="0" applyFont="1" applyBorder="1" applyAlignment="1" applyProtection="1">
      <alignment horizontal="center" vertical="center"/>
      <protection locked="0"/>
    </xf>
    <xf numFmtId="0" fontId="2" fillId="3" borderId="19" xfId="0" applyFont="1" applyFill="1" applyBorder="1" applyAlignment="1" applyProtection="1">
      <alignment horizontal="center" vertical="center" wrapText="1"/>
      <protection locked="0"/>
    </xf>
    <xf numFmtId="0" fontId="2" fillId="0" borderId="16" xfId="0" applyFont="1" applyBorder="1" applyAlignment="1" applyProtection="1">
      <alignment horizontal="center" vertical="center"/>
      <protection locked="0"/>
    </xf>
    <xf numFmtId="0" fontId="2" fillId="0" borderId="19" xfId="0" applyFont="1" applyBorder="1" applyAlignment="1" applyProtection="1">
      <alignment horizontal="center" vertical="center"/>
      <protection locked="0"/>
    </xf>
    <xf numFmtId="0" fontId="2" fillId="0" borderId="17" xfId="0" applyFont="1" applyBorder="1" applyAlignment="1" applyProtection="1">
      <alignment horizontal="center" vertical="center"/>
      <protection locked="0"/>
    </xf>
    <xf numFmtId="0" fontId="4" fillId="2" borderId="7" xfId="0" applyFont="1" applyFill="1" applyBorder="1" applyAlignment="1">
      <alignment horizontal="center" vertical="center"/>
    </xf>
    <xf numFmtId="0" fontId="4" fillId="0" borderId="7" xfId="0" applyFont="1" applyBorder="1" applyAlignment="1">
      <alignment horizontal="center" vertical="center" wrapText="1"/>
    </xf>
    <xf numFmtId="0" fontId="7" fillId="0" borderId="7" xfId="0" applyFont="1" applyBorder="1" applyAlignment="1">
      <alignment horizontal="left" vertical="top" wrapText="1"/>
    </xf>
    <xf numFmtId="0" fontId="2" fillId="0" borderId="11" xfId="0" applyFont="1" applyBorder="1" applyAlignment="1">
      <alignment horizontal="center"/>
    </xf>
    <xf numFmtId="0" fontId="2" fillId="0" borderId="5" xfId="0" applyFont="1" applyBorder="1" applyAlignment="1">
      <alignment horizontal="center" vertical="center"/>
    </xf>
    <xf numFmtId="0" fontId="4" fillId="3" borderId="7" xfId="0" applyFont="1" applyFill="1" applyBorder="1" applyAlignment="1">
      <alignment horizontal="center" vertical="center" wrapText="1"/>
    </xf>
    <xf numFmtId="0" fontId="2" fillId="2" borderId="4" xfId="0" applyFont="1" applyFill="1" applyBorder="1" applyAlignment="1" applyProtection="1">
      <alignment horizontal="center" vertical="center"/>
      <protection locked="0"/>
    </xf>
    <xf numFmtId="0" fontId="2" fillId="2" borderId="6" xfId="0" applyFont="1" applyFill="1" applyBorder="1" applyAlignment="1" applyProtection="1">
      <alignment horizontal="center" vertical="center"/>
      <protection locked="0"/>
    </xf>
    <xf numFmtId="0" fontId="2" fillId="2" borderId="9" xfId="0" applyFont="1" applyFill="1" applyBorder="1" applyAlignment="1" applyProtection="1">
      <alignment horizontal="center" vertical="center"/>
      <protection locked="0"/>
    </xf>
    <xf numFmtId="0" fontId="2" fillId="2" borderId="8" xfId="0" applyFont="1" applyFill="1" applyBorder="1" applyAlignment="1" applyProtection="1">
      <alignment horizontal="center" vertical="center"/>
      <protection locked="0"/>
    </xf>
    <xf numFmtId="0" fontId="2" fillId="2" borderId="10" xfId="0" applyFont="1" applyFill="1" applyBorder="1" applyAlignment="1" applyProtection="1">
      <alignment horizontal="center" vertical="center"/>
      <protection locked="0"/>
    </xf>
    <xf numFmtId="0" fontId="2" fillId="2" borderId="12" xfId="0" applyFont="1" applyFill="1" applyBorder="1" applyAlignment="1" applyProtection="1">
      <alignment horizontal="center" vertical="center"/>
      <protection locked="0"/>
    </xf>
    <xf numFmtId="0" fontId="4" fillId="2" borderId="1" xfId="0" applyFont="1" applyFill="1" applyBorder="1" applyAlignment="1">
      <alignment horizontal="left" vertical="top" wrapText="1"/>
    </xf>
    <xf numFmtId="0" fontId="4" fillId="2" borderId="2" xfId="0" applyFont="1" applyFill="1" applyBorder="1" applyAlignment="1">
      <alignment horizontal="left" vertical="top" wrapText="1"/>
    </xf>
    <xf numFmtId="0" fontId="4" fillId="2" borderId="3"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0" borderId="0" xfId="0" applyFont="1" applyAlignment="1" applyProtection="1">
      <alignment horizontal="center" vertical="center"/>
      <protection locked="0"/>
    </xf>
    <xf numFmtId="0" fontId="2" fillId="2" borderId="7" xfId="0" applyFont="1" applyFill="1" applyBorder="1" applyAlignment="1">
      <alignment horizontal="center" vertical="center" wrapText="1"/>
    </xf>
    <xf numFmtId="0" fontId="4" fillId="0" borderId="13" xfId="0" applyFont="1"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2" fillId="2" borderId="7" xfId="0" applyFont="1" applyFill="1" applyBorder="1" applyAlignment="1">
      <alignment horizontal="center" vertical="center"/>
    </xf>
    <xf numFmtId="0" fontId="2" fillId="0" borderId="13" xfId="0" applyFont="1" applyBorder="1" applyAlignment="1">
      <alignment horizontal="center" vertical="center" wrapText="1"/>
    </xf>
    <xf numFmtId="0" fontId="2" fillId="0" borderId="20" xfId="0" applyFont="1" applyBorder="1" applyAlignment="1">
      <alignment horizontal="center" vertical="center" wrapText="1"/>
    </xf>
    <xf numFmtId="0" fontId="2" fillId="0" borderId="21" xfId="0" applyFont="1" applyBorder="1" applyAlignment="1">
      <alignment horizontal="center" vertical="center" wrapText="1"/>
    </xf>
    <xf numFmtId="0" fontId="10" fillId="0" borderId="16" xfId="0" applyFont="1" applyBorder="1" applyAlignment="1" applyProtection="1">
      <alignment vertical="center"/>
      <protection locked="0"/>
    </xf>
    <xf numFmtId="0" fontId="10" fillId="0" borderId="17" xfId="0" applyFont="1" applyBorder="1" applyAlignment="1" applyProtection="1">
      <alignment vertical="center"/>
      <protection locked="0"/>
    </xf>
    <xf numFmtId="0" fontId="10" fillId="0" borderId="16" xfId="0" applyFont="1" applyBorder="1" applyAlignment="1">
      <alignment vertical="center"/>
    </xf>
    <xf numFmtId="0" fontId="10" fillId="0" borderId="17" xfId="0" applyFont="1" applyBorder="1" applyAlignment="1">
      <alignment vertical="center"/>
    </xf>
  </cellXfs>
  <cellStyles count="2">
    <cellStyle name="Normal" xfId="0" builtinId="0"/>
    <cellStyle name="Porcentaje" xfId="1" builtinId="5"/>
  </cellStyles>
  <dxfs count="4">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59531</xdr:colOff>
      <xdr:row>1</xdr:row>
      <xdr:rowOff>11907</xdr:rowOff>
    </xdr:from>
    <xdr:to>
      <xdr:col>3</xdr:col>
      <xdr:colOff>878680</xdr:colOff>
      <xdr:row>2</xdr:row>
      <xdr:rowOff>8854</xdr:rowOff>
    </xdr:to>
    <xdr:pic>
      <xdr:nvPicPr>
        <xdr:cNvPr id="2" name="Picture 17" descr="logo_meridian">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4806" y="202407"/>
          <a:ext cx="1924049" cy="6255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59531</xdr:colOff>
      <xdr:row>1</xdr:row>
      <xdr:rowOff>11907</xdr:rowOff>
    </xdr:from>
    <xdr:to>
      <xdr:col>3</xdr:col>
      <xdr:colOff>878680</xdr:colOff>
      <xdr:row>2</xdr:row>
      <xdr:rowOff>8854</xdr:rowOff>
    </xdr:to>
    <xdr:pic>
      <xdr:nvPicPr>
        <xdr:cNvPr id="3" name="Picture 17" descr="logo_meridian">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4806" y="202407"/>
          <a:ext cx="1924049" cy="6255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6"/>
  <sheetViews>
    <sheetView showGridLines="0" tabSelected="1" view="pageBreakPreview" zoomScale="80" zoomScaleNormal="80" zoomScaleSheetLayoutView="80" workbookViewId="0">
      <selection activeCell="B2" sqref="B2:L2"/>
    </sheetView>
  </sheetViews>
  <sheetFormatPr baseColWidth="10" defaultColWidth="8.6640625" defaultRowHeight="14.4" x14ac:dyDescent="0.3"/>
  <cols>
    <col min="1" max="1" width="3.33203125" style="2" customWidth="1"/>
    <col min="2" max="2" width="9.33203125" style="1" customWidth="1"/>
    <col min="3" max="3" width="7.33203125" style="1" customWidth="1"/>
    <col min="4" max="4" width="43.109375" style="1" customWidth="1"/>
    <col min="5" max="5" width="16.109375" style="1" customWidth="1"/>
    <col min="6" max="6" width="14.109375" style="1" bestFit="1" customWidth="1"/>
    <col min="7" max="7" width="13.44140625" style="1" customWidth="1"/>
    <col min="8" max="8" width="13.6640625" style="1" customWidth="1"/>
    <col min="9" max="9" width="13.44140625" style="1" customWidth="1"/>
    <col min="10" max="10" width="10.44140625" style="1" customWidth="1"/>
    <col min="11" max="11" width="12.44140625" style="1" customWidth="1"/>
    <col min="12" max="12" width="12.33203125" style="1" customWidth="1"/>
    <col min="13" max="13" width="3.33203125" style="2" customWidth="1"/>
    <col min="14" max="14" width="16.44140625" style="2" customWidth="1"/>
    <col min="16" max="16" width="16.44140625" style="2" customWidth="1"/>
    <col min="17" max="17" width="0" hidden="1" customWidth="1"/>
    <col min="18" max="18" width="16.44140625" style="2" customWidth="1"/>
    <col min="19" max="16384" width="8.6640625" style="2"/>
  </cols>
  <sheetData>
    <row r="1" spans="2:17" ht="18" customHeight="1" x14ac:dyDescent="0.3">
      <c r="Q1" t="s">
        <v>0</v>
      </c>
    </row>
    <row r="2" spans="2:17" ht="49.5" customHeight="1" x14ac:dyDescent="0.3">
      <c r="B2" s="81" t="s">
        <v>1</v>
      </c>
      <c r="C2" s="81"/>
      <c r="D2" s="81"/>
      <c r="E2" s="81"/>
      <c r="F2" s="81"/>
      <c r="G2" s="81"/>
      <c r="H2" s="81"/>
      <c r="I2" s="81"/>
      <c r="J2" s="81"/>
      <c r="K2" s="81"/>
      <c r="L2" s="81"/>
      <c r="Q2" t="s">
        <v>2</v>
      </c>
    </row>
    <row r="3" spans="2:17" ht="18.75" customHeight="1" x14ac:dyDescent="0.3">
      <c r="B3" s="82" t="s">
        <v>3</v>
      </c>
      <c r="C3" s="83"/>
      <c r="D3" s="83"/>
      <c r="E3" s="46"/>
      <c r="F3" s="83" t="s">
        <v>4</v>
      </c>
      <c r="G3" s="83"/>
      <c r="H3" s="83"/>
      <c r="I3" s="83"/>
      <c r="J3" s="83" t="s">
        <v>5</v>
      </c>
      <c r="K3" s="83"/>
      <c r="L3" s="84"/>
    </row>
    <row r="4" spans="2:17" x14ac:dyDescent="0.3">
      <c r="B4" s="20"/>
      <c r="C4" s="3"/>
      <c r="L4" s="21"/>
      <c r="Q4" t="s">
        <v>6</v>
      </c>
    </row>
    <row r="5" spans="2:17" s="5" customFormat="1" ht="27.6" customHeight="1" x14ac:dyDescent="0.3">
      <c r="B5" s="80" t="s">
        <v>7</v>
      </c>
      <c r="C5" s="80"/>
      <c r="D5" s="45">
        <v>90658180</v>
      </c>
      <c r="E5"/>
      <c r="F5" s="17"/>
      <c r="G5" s="17"/>
      <c r="H5" s="17"/>
      <c r="I5" s="4"/>
      <c r="J5" s="4"/>
      <c r="K5" s="4"/>
      <c r="L5" s="22"/>
      <c r="O5"/>
      <c r="Q5" t="s">
        <v>8</v>
      </c>
    </row>
    <row r="6" spans="2:17" s="5" customFormat="1" x14ac:dyDescent="0.3">
      <c r="B6" s="23"/>
      <c r="C6" s="4"/>
      <c r="D6" s="4"/>
      <c r="E6"/>
      <c r="F6" s="4"/>
      <c r="G6" s="4"/>
      <c r="H6" s="4"/>
      <c r="I6" s="4"/>
      <c r="J6" s="4"/>
      <c r="K6" s="4"/>
      <c r="L6" s="22"/>
      <c r="O6"/>
      <c r="Q6" t="s">
        <v>11</v>
      </c>
    </row>
    <row r="7" spans="2:17" s="5" customFormat="1" x14ac:dyDescent="0.3">
      <c r="B7" s="80" t="s">
        <v>12</v>
      </c>
      <c r="C7" s="80"/>
      <c r="D7" s="6" t="s">
        <v>6</v>
      </c>
      <c r="E7"/>
      <c r="F7" s="24"/>
      <c r="G7" s="24"/>
      <c r="H7" s="24"/>
      <c r="I7" s="4"/>
      <c r="J7" s="4"/>
      <c r="K7" s="4"/>
      <c r="L7" s="22"/>
      <c r="O7"/>
      <c r="Q7" t="s">
        <v>13</v>
      </c>
    </row>
    <row r="8" spans="2:17" s="5" customFormat="1" x14ac:dyDescent="0.3">
      <c r="B8" s="25"/>
      <c r="C8" s="7"/>
      <c r="D8" s="24"/>
      <c r="E8"/>
      <c r="F8" s="24"/>
      <c r="G8" s="24"/>
      <c r="H8" s="24"/>
      <c r="I8" s="4"/>
      <c r="J8" s="4"/>
      <c r="K8" s="4"/>
      <c r="L8" s="22"/>
      <c r="O8"/>
      <c r="Q8" t="s">
        <v>14</v>
      </c>
    </row>
    <row r="9" spans="2:17" s="5" customFormat="1" x14ac:dyDescent="0.3">
      <c r="B9" s="80" t="s">
        <v>15</v>
      </c>
      <c r="C9" s="80"/>
      <c r="D9" s="8">
        <v>46081</v>
      </c>
      <c r="E9"/>
      <c r="F9" s="26"/>
      <c r="G9" s="26"/>
      <c r="H9" s="26"/>
      <c r="I9" s="4"/>
      <c r="J9" s="4"/>
      <c r="K9" s="4"/>
      <c r="L9" s="22"/>
      <c r="O9"/>
      <c r="Q9" t="s">
        <v>16</v>
      </c>
    </row>
    <row r="10" spans="2:17" x14ac:dyDescent="0.3">
      <c r="B10" s="27"/>
      <c r="L10" s="28"/>
      <c r="Q10" t="s">
        <v>17</v>
      </c>
    </row>
    <row r="11" spans="2:17" ht="26.85" customHeight="1" x14ac:dyDescent="0.3">
      <c r="B11" s="85" t="s">
        <v>18</v>
      </c>
      <c r="C11" s="85"/>
      <c r="D11" s="85"/>
      <c r="E11" s="85"/>
      <c r="F11" s="85"/>
      <c r="G11" s="85"/>
      <c r="H11" s="85"/>
      <c r="I11" s="80" t="s">
        <v>19</v>
      </c>
      <c r="J11" s="80"/>
      <c r="K11" s="80" t="s">
        <v>20</v>
      </c>
      <c r="L11" s="80"/>
      <c r="Q11" t="s">
        <v>21</v>
      </c>
    </row>
    <row r="12" spans="2:17" ht="57.6" customHeight="1" x14ac:dyDescent="0.3">
      <c r="B12" s="29" t="s">
        <v>22</v>
      </c>
      <c r="C12" s="29" t="s">
        <v>23</v>
      </c>
      <c r="D12" s="29" t="s">
        <v>24</v>
      </c>
      <c r="E12" s="29" t="s">
        <v>42</v>
      </c>
      <c r="F12" s="29" t="s">
        <v>25</v>
      </c>
      <c r="G12" s="29" t="s">
        <v>26</v>
      </c>
      <c r="H12" s="29" t="s">
        <v>41</v>
      </c>
      <c r="I12" s="29" t="s">
        <v>27</v>
      </c>
      <c r="J12" s="29" t="s">
        <v>28</v>
      </c>
      <c r="K12" s="29" t="s">
        <v>29</v>
      </c>
      <c r="L12" s="29" t="s">
        <v>28</v>
      </c>
      <c r="Q12" t="s">
        <v>30</v>
      </c>
    </row>
    <row r="13" spans="2:17" ht="14.4" customHeight="1" x14ac:dyDescent="0.3">
      <c r="B13" s="30">
        <v>3</v>
      </c>
      <c r="C13" s="30" t="s">
        <v>46</v>
      </c>
      <c r="D13" s="39" t="s">
        <v>43</v>
      </c>
      <c r="E13" s="86" t="s">
        <v>49</v>
      </c>
      <c r="F13" s="39" t="s">
        <v>50</v>
      </c>
      <c r="G13" s="30" t="s">
        <v>31</v>
      </c>
      <c r="H13" s="30">
        <v>30</v>
      </c>
      <c r="I13" s="30">
        <v>14</v>
      </c>
      <c r="J13" s="40">
        <f t="shared" ref="J13:J17" si="0">IFERROR(I13/H13,0)</f>
        <v>0.46666666666666667</v>
      </c>
      <c r="K13" s="30">
        <f t="shared" ref="K13:K19" si="1">I13</f>
        <v>14</v>
      </c>
      <c r="L13" s="40">
        <f t="shared" ref="L13:L17" si="2">IFERROR(K13/H13,0)</f>
        <v>0.46666666666666667</v>
      </c>
    </row>
    <row r="14" spans="2:17" x14ac:dyDescent="0.3">
      <c r="B14" s="31">
        <v>3</v>
      </c>
      <c r="C14" s="31" t="s">
        <v>47</v>
      </c>
      <c r="D14" s="37" t="s">
        <v>44</v>
      </c>
      <c r="E14" s="87"/>
      <c r="F14" s="37" t="s">
        <v>51</v>
      </c>
      <c r="G14" s="31" t="s">
        <v>31</v>
      </c>
      <c r="H14" s="31">
        <v>30</v>
      </c>
      <c r="I14" s="31">
        <v>6</v>
      </c>
      <c r="J14" s="38">
        <f t="shared" si="0"/>
        <v>0.2</v>
      </c>
      <c r="K14" s="31">
        <f t="shared" si="1"/>
        <v>6</v>
      </c>
      <c r="L14" s="38">
        <f t="shared" si="2"/>
        <v>0.2</v>
      </c>
    </row>
    <row r="15" spans="2:17" x14ac:dyDescent="0.3">
      <c r="B15" s="33">
        <v>3</v>
      </c>
      <c r="C15" s="33" t="s">
        <v>48</v>
      </c>
      <c r="D15" s="52" t="s">
        <v>45</v>
      </c>
      <c r="E15" s="88"/>
      <c r="F15" s="52" t="s">
        <v>52</v>
      </c>
      <c r="G15" s="33" t="s">
        <v>31</v>
      </c>
      <c r="H15" s="33">
        <v>30</v>
      </c>
      <c r="I15" s="33">
        <v>6</v>
      </c>
      <c r="J15" s="53">
        <f t="shared" si="0"/>
        <v>0.2</v>
      </c>
      <c r="K15" s="33">
        <f t="shared" si="1"/>
        <v>6</v>
      </c>
      <c r="L15" s="53">
        <f t="shared" si="2"/>
        <v>0.2</v>
      </c>
    </row>
    <row r="16" spans="2:17" x14ac:dyDescent="0.3">
      <c r="B16" s="30">
        <v>5</v>
      </c>
      <c r="C16" s="30" t="s">
        <v>57</v>
      </c>
      <c r="D16" s="39" t="s">
        <v>53</v>
      </c>
      <c r="E16" s="86" t="s">
        <v>62</v>
      </c>
      <c r="F16" s="89" t="s">
        <v>52</v>
      </c>
      <c r="G16" s="58" t="s">
        <v>31</v>
      </c>
      <c r="H16" s="54">
        <v>22</v>
      </c>
      <c r="I16" s="54">
        <v>6</v>
      </c>
      <c r="J16" s="40">
        <f t="shared" si="0"/>
        <v>0.27272727272727271</v>
      </c>
      <c r="K16" s="30">
        <f t="shared" si="1"/>
        <v>6</v>
      </c>
      <c r="L16" s="40">
        <f t="shared" si="2"/>
        <v>0.27272727272727271</v>
      </c>
    </row>
    <row r="17" spans="2:17" s="5" customFormat="1" x14ac:dyDescent="0.3">
      <c r="B17" s="31">
        <v>5</v>
      </c>
      <c r="C17" s="35" t="s">
        <v>58</v>
      </c>
      <c r="D17" s="36" t="s">
        <v>54</v>
      </c>
      <c r="E17" s="87"/>
      <c r="F17" s="89" t="s">
        <v>61</v>
      </c>
      <c r="G17" s="60" t="s">
        <v>31</v>
      </c>
      <c r="H17" s="55">
        <v>22</v>
      </c>
      <c r="I17" s="57">
        <v>6</v>
      </c>
      <c r="J17" s="38">
        <f t="shared" si="0"/>
        <v>0.27272727272727271</v>
      </c>
      <c r="K17" s="31">
        <f t="shared" si="1"/>
        <v>6</v>
      </c>
      <c r="L17" s="38">
        <f t="shared" si="2"/>
        <v>0.27272727272727271</v>
      </c>
      <c r="O17" s="9"/>
      <c r="Q17" s="9"/>
    </row>
    <row r="18" spans="2:17" x14ac:dyDescent="0.3">
      <c r="B18" s="34">
        <v>5</v>
      </c>
      <c r="C18" s="31" t="s">
        <v>59</v>
      </c>
      <c r="D18" s="37" t="s">
        <v>55</v>
      </c>
      <c r="E18" s="87"/>
      <c r="F18" s="89" t="s">
        <v>61</v>
      </c>
      <c r="G18" s="61" t="s">
        <v>31</v>
      </c>
      <c r="H18" s="57">
        <v>23</v>
      </c>
      <c r="I18" s="59">
        <v>7</v>
      </c>
      <c r="J18" s="42">
        <f t="shared" ref="J18:J19" si="3">IFERROR(I18/H18,0)</f>
        <v>0.30434782608695654</v>
      </c>
      <c r="K18" s="44">
        <f t="shared" si="1"/>
        <v>7</v>
      </c>
      <c r="L18" s="42">
        <f>IFERROR(K18/H18,0)</f>
        <v>0.30434782608695654</v>
      </c>
    </row>
    <row r="19" spans="2:17" x14ac:dyDescent="0.3">
      <c r="B19" s="32">
        <v>5</v>
      </c>
      <c r="C19" s="33" t="s">
        <v>60</v>
      </c>
      <c r="D19" s="52" t="s">
        <v>56</v>
      </c>
      <c r="E19" s="88"/>
      <c r="F19" s="90" t="s">
        <v>61</v>
      </c>
      <c r="G19" s="62" t="s">
        <v>31</v>
      </c>
      <c r="H19" s="56">
        <v>23</v>
      </c>
      <c r="I19" s="56">
        <v>7</v>
      </c>
      <c r="J19" s="43">
        <f t="shared" si="3"/>
        <v>0.30434782608695654</v>
      </c>
      <c r="K19" s="41">
        <f t="shared" si="1"/>
        <v>7</v>
      </c>
      <c r="L19" s="43">
        <f>IFERROR(K19/H19,0)</f>
        <v>0.30434782608695654</v>
      </c>
    </row>
    <row r="20" spans="2:17" x14ac:dyDescent="0.3">
      <c r="B20" s="31">
        <v>2</v>
      </c>
      <c r="C20" s="35" t="s">
        <v>63</v>
      </c>
      <c r="D20" s="36" t="s">
        <v>64</v>
      </c>
      <c r="E20" s="86" t="s">
        <v>67</v>
      </c>
      <c r="F20" s="91" t="s">
        <v>68</v>
      </c>
      <c r="G20" s="58" t="s">
        <v>31</v>
      </c>
      <c r="H20" s="54">
        <v>30</v>
      </c>
      <c r="I20" s="54">
        <v>8</v>
      </c>
      <c r="J20" s="38">
        <f t="shared" ref="J20:J21" si="4">IFERROR(I20/H20,0)</f>
        <v>0.26666666666666666</v>
      </c>
      <c r="K20" s="31">
        <f t="shared" ref="K20:K21" si="5">I20</f>
        <v>8</v>
      </c>
      <c r="L20" s="38">
        <f>IFERROR(K20/H20,0)</f>
        <v>0.26666666666666666</v>
      </c>
    </row>
    <row r="21" spans="2:17" x14ac:dyDescent="0.3">
      <c r="B21" s="34">
        <v>2</v>
      </c>
      <c r="C21" s="31">
        <v>3.17</v>
      </c>
      <c r="D21" s="37" t="s">
        <v>65</v>
      </c>
      <c r="E21" s="87"/>
      <c r="F21" s="91" t="s">
        <v>61</v>
      </c>
      <c r="G21" s="60" t="s">
        <v>31</v>
      </c>
      <c r="H21" s="55">
        <v>30</v>
      </c>
      <c r="I21" s="57">
        <v>9</v>
      </c>
      <c r="J21" s="42">
        <f t="shared" si="4"/>
        <v>0.3</v>
      </c>
      <c r="K21" s="44">
        <f t="shared" si="5"/>
        <v>9</v>
      </c>
      <c r="L21" s="42">
        <f t="shared" ref="L21:L22" si="6">IFERROR(K21/H21,0)</f>
        <v>0.3</v>
      </c>
    </row>
    <row r="22" spans="2:17" x14ac:dyDescent="0.3">
      <c r="B22" s="32">
        <v>2</v>
      </c>
      <c r="C22" s="33">
        <v>3.18</v>
      </c>
      <c r="D22" s="52" t="s">
        <v>66</v>
      </c>
      <c r="E22" s="88"/>
      <c r="F22" s="92" t="s">
        <v>61</v>
      </c>
      <c r="G22" s="62" t="s">
        <v>31</v>
      </c>
      <c r="H22" s="56">
        <v>30</v>
      </c>
      <c r="I22" s="56">
        <v>9</v>
      </c>
      <c r="J22" s="43">
        <f t="shared" ref="J22" si="7">IFERROR(I22/H22,0)</f>
        <v>0.3</v>
      </c>
      <c r="K22" s="41">
        <f t="shared" ref="K22" si="8">I22</f>
        <v>9</v>
      </c>
      <c r="L22" s="43">
        <f t="shared" si="6"/>
        <v>0.3</v>
      </c>
    </row>
    <row r="23" spans="2:17" s="5" customFormat="1" ht="23.25" customHeight="1" x14ac:dyDescent="0.3">
      <c r="B23" s="4"/>
      <c r="C23" s="4"/>
      <c r="D23" s="4"/>
      <c r="E23" s="4"/>
      <c r="F23" s="4"/>
      <c r="G23" s="7"/>
      <c r="H23" s="63" t="s">
        <v>32</v>
      </c>
      <c r="I23" s="63"/>
      <c r="J23" s="63"/>
      <c r="K23" s="63"/>
      <c r="L23" s="63"/>
      <c r="O23"/>
      <c r="Q23"/>
    </row>
    <row r="24" spans="2:17" s="5" customFormat="1" ht="16.5" customHeight="1" x14ac:dyDescent="0.3">
      <c r="B24" s="4"/>
      <c r="C24" s="4"/>
      <c r="H24" s="10">
        <f>+SUM(H13:H22)</f>
        <v>270</v>
      </c>
      <c r="I24" s="10">
        <f>+SUM(I13:I22)</f>
        <v>78</v>
      </c>
      <c r="J24" s="11">
        <f>IFERROR(I24/H24,0)</f>
        <v>0.28888888888888886</v>
      </c>
      <c r="K24" s="10">
        <f>+SUM(K13:K22)</f>
        <v>78</v>
      </c>
      <c r="L24" s="11">
        <f>IFERROR(K24/H24,0)</f>
        <v>0.28888888888888886</v>
      </c>
      <c r="O24"/>
      <c r="Q24"/>
    </row>
    <row r="25" spans="2:17" s="5" customFormat="1" ht="20.25" customHeight="1" x14ac:dyDescent="0.3">
      <c r="B25" s="4"/>
      <c r="C25" s="4"/>
      <c r="I25" s="17"/>
      <c r="J25" s="18"/>
      <c r="K25" s="19"/>
      <c r="L25" s="18"/>
      <c r="O25"/>
      <c r="Q25"/>
    </row>
    <row r="26" spans="2:17" s="5" customFormat="1" ht="16.2" customHeight="1" x14ac:dyDescent="0.3">
      <c r="B26" s="69" t="s">
        <v>33</v>
      </c>
      <c r="C26" s="70"/>
      <c r="D26" s="75" t="s">
        <v>69</v>
      </c>
      <c r="E26" s="76"/>
      <c r="F26" s="76"/>
      <c r="G26" s="76"/>
      <c r="H26" s="76"/>
      <c r="I26" s="76"/>
      <c r="J26" s="76"/>
      <c r="K26" s="76"/>
      <c r="L26" s="77"/>
      <c r="O26"/>
      <c r="Q26"/>
    </row>
    <row r="27" spans="2:17" s="5" customFormat="1" ht="15.6" customHeight="1" x14ac:dyDescent="0.3">
      <c r="B27" s="71"/>
      <c r="C27" s="72"/>
      <c r="D27" s="49" t="s">
        <v>70</v>
      </c>
      <c r="E27" s="50"/>
      <c r="F27" s="50"/>
      <c r="G27" s="50"/>
      <c r="H27" s="50"/>
      <c r="I27" s="50"/>
      <c r="J27" s="50"/>
      <c r="K27" s="50"/>
      <c r="L27" s="51"/>
      <c r="O27"/>
      <c r="Q27"/>
    </row>
    <row r="28" spans="2:17" s="5" customFormat="1" ht="40.5" customHeight="1" x14ac:dyDescent="0.3">
      <c r="B28" s="73"/>
      <c r="C28" s="74"/>
      <c r="D28" s="78" t="s">
        <v>72</v>
      </c>
      <c r="E28" s="76"/>
      <c r="F28" s="76"/>
      <c r="G28" s="76"/>
      <c r="H28" s="76"/>
      <c r="I28" s="76"/>
      <c r="J28" s="76"/>
      <c r="K28" s="76"/>
      <c r="L28" s="77"/>
      <c r="O28"/>
      <c r="Q28"/>
    </row>
    <row r="29" spans="2:17" x14ac:dyDescent="0.3">
      <c r="B29" s="68" t="s">
        <v>35</v>
      </c>
      <c r="C29" s="68"/>
      <c r="D29" s="68"/>
      <c r="E29" s="68"/>
      <c r="F29" s="68"/>
      <c r="G29" s="68"/>
      <c r="H29" s="68"/>
      <c r="I29" s="68"/>
      <c r="J29" s="68"/>
      <c r="K29" s="68"/>
      <c r="L29" s="68"/>
    </row>
    <row r="30" spans="2:17" ht="15" customHeight="1" x14ac:dyDescent="0.3">
      <c r="B30" s="68"/>
      <c r="C30" s="68"/>
      <c r="D30" s="68"/>
      <c r="E30" s="68"/>
      <c r="F30" s="68"/>
      <c r="G30" s="68"/>
      <c r="H30" s="68"/>
      <c r="I30" s="68"/>
      <c r="J30" s="68"/>
      <c r="K30" s="68"/>
      <c r="L30" s="68"/>
    </row>
    <row r="31" spans="2:17" x14ac:dyDescent="0.3">
      <c r="B31" s="12" t="s">
        <v>36</v>
      </c>
      <c r="C31" s="13"/>
      <c r="D31" s="13"/>
      <c r="E31" s="13"/>
      <c r="F31" s="13"/>
      <c r="G31" s="13"/>
      <c r="H31" s="13"/>
      <c r="I31" s="13"/>
      <c r="J31" s="13"/>
      <c r="K31" s="13"/>
      <c r="L31" s="14"/>
    </row>
    <row r="32" spans="2:17" ht="20.100000000000001" customHeight="1" x14ac:dyDescent="0.4">
      <c r="B32" s="15" t="s">
        <v>37</v>
      </c>
      <c r="C32" s="16"/>
      <c r="D32" s="65" t="s">
        <v>34</v>
      </c>
      <c r="E32" s="65"/>
      <c r="F32" s="65"/>
      <c r="G32" s="65"/>
      <c r="H32" s="65"/>
      <c r="I32" s="65"/>
      <c r="J32" s="65"/>
      <c r="K32" s="65"/>
      <c r="L32" s="65"/>
    </row>
    <row r="33" spans="2:12" ht="20.100000000000001" customHeight="1" x14ac:dyDescent="0.4">
      <c r="B33" s="15" t="s">
        <v>38</v>
      </c>
      <c r="C33" s="16"/>
      <c r="D33" s="65"/>
      <c r="E33" s="65"/>
      <c r="F33" s="65"/>
      <c r="G33" s="65"/>
      <c r="H33" s="65"/>
      <c r="I33" s="65"/>
      <c r="J33" s="65"/>
      <c r="K33" s="65"/>
      <c r="L33" s="65"/>
    </row>
    <row r="34" spans="2:12" x14ac:dyDescent="0.3">
      <c r="B34" s="64" t="s">
        <v>35</v>
      </c>
      <c r="C34" s="64"/>
      <c r="D34" s="64"/>
      <c r="E34" s="64"/>
      <c r="F34" s="64"/>
      <c r="G34" s="64"/>
      <c r="H34" s="64"/>
      <c r="I34" s="64"/>
      <c r="J34" s="64"/>
      <c r="K34" s="64"/>
      <c r="L34" s="64"/>
    </row>
    <row r="35" spans="2:12" x14ac:dyDescent="0.3">
      <c r="B35" s="64"/>
      <c r="C35" s="64"/>
      <c r="D35" s="64"/>
      <c r="E35" s="64"/>
      <c r="F35" s="64"/>
      <c r="G35" s="64"/>
      <c r="H35" s="64"/>
      <c r="I35" s="64"/>
      <c r="J35" s="64"/>
      <c r="K35" s="64"/>
      <c r="L35" s="64"/>
    </row>
    <row r="36" spans="2:12" ht="19.5" customHeight="1" x14ac:dyDescent="0.3">
      <c r="B36" s="12" t="s">
        <v>39</v>
      </c>
      <c r="C36" s="13"/>
      <c r="D36" s="13"/>
      <c r="E36" s="13"/>
      <c r="F36" s="13"/>
      <c r="G36" s="13"/>
      <c r="H36" s="13"/>
      <c r="I36" s="13"/>
      <c r="J36" s="13"/>
      <c r="K36" s="13"/>
      <c r="L36" s="14"/>
    </row>
    <row r="37" spans="2:12" ht="23.85" customHeight="1" x14ac:dyDescent="0.4">
      <c r="B37" s="15" t="s">
        <v>37</v>
      </c>
      <c r="C37" s="16"/>
      <c r="D37" s="65" t="s">
        <v>34</v>
      </c>
      <c r="E37" s="65"/>
      <c r="F37" s="65"/>
      <c r="G37" s="65"/>
      <c r="H37" s="65"/>
      <c r="I37" s="65"/>
      <c r="J37" s="65"/>
      <c r="K37" s="65"/>
      <c r="L37" s="65"/>
    </row>
    <row r="38" spans="2:12" ht="24.6" x14ac:dyDescent="0.4">
      <c r="B38" s="15" t="s">
        <v>38</v>
      </c>
      <c r="C38" s="16"/>
      <c r="D38" s="65"/>
      <c r="E38" s="65"/>
      <c r="F38" s="65"/>
      <c r="G38" s="65"/>
      <c r="H38" s="65"/>
      <c r="I38" s="65"/>
      <c r="J38" s="65"/>
      <c r="K38" s="65"/>
      <c r="L38" s="65"/>
    </row>
    <row r="41" spans="2:12" x14ac:dyDescent="0.3">
      <c r="B41" s="66"/>
      <c r="C41" s="66"/>
      <c r="D41" s="66"/>
      <c r="E41" s="48"/>
      <c r="I41" s="66"/>
      <c r="J41" s="66"/>
      <c r="K41" s="66"/>
    </row>
    <row r="42" spans="2:12" ht="18" customHeight="1" x14ac:dyDescent="0.3">
      <c r="B42" s="4" t="s">
        <v>40</v>
      </c>
      <c r="C42" s="67"/>
      <c r="D42" s="67"/>
      <c r="E42" s="47"/>
      <c r="I42" s="79" t="s">
        <v>71</v>
      </c>
      <c r="J42" s="79"/>
      <c r="K42" s="79"/>
    </row>
    <row r="69" spans="1:18" s="1" customFormat="1" hidden="1" x14ac:dyDescent="0.3">
      <c r="A69" t="s">
        <v>0</v>
      </c>
      <c r="M69" s="2"/>
      <c r="N69" s="2"/>
      <c r="O69"/>
      <c r="P69" s="2"/>
      <c r="Q69"/>
      <c r="R69" s="2"/>
    </row>
    <row r="70" spans="1:18" s="1" customFormat="1" hidden="1" x14ac:dyDescent="0.3">
      <c r="A70" t="s">
        <v>2</v>
      </c>
      <c r="M70" s="2"/>
      <c r="N70" s="2"/>
      <c r="O70"/>
      <c r="P70" s="2"/>
      <c r="Q70"/>
      <c r="R70" s="2"/>
    </row>
    <row r="71" spans="1:18" s="1" customFormat="1" hidden="1" x14ac:dyDescent="0.3">
      <c r="A71" t="s">
        <v>6</v>
      </c>
      <c r="M71" s="2"/>
      <c r="N71" s="2"/>
      <c r="O71"/>
      <c r="P71" s="2"/>
      <c r="Q71"/>
      <c r="R71" s="2"/>
    </row>
    <row r="72" spans="1:18" s="1" customFormat="1" hidden="1" x14ac:dyDescent="0.3">
      <c r="A72" t="s">
        <v>8</v>
      </c>
      <c r="M72" s="2"/>
      <c r="N72" s="2"/>
      <c r="O72"/>
      <c r="P72" s="2"/>
      <c r="Q72"/>
      <c r="R72" s="2"/>
    </row>
    <row r="73" spans="1:18" s="1" customFormat="1" hidden="1" x14ac:dyDescent="0.3">
      <c r="A73" t="s">
        <v>9</v>
      </c>
      <c r="M73" s="2"/>
      <c r="N73" s="2"/>
      <c r="O73"/>
      <c r="P73" s="2"/>
      <c r="Q73"/>
      <c r="R73" s="2"/>
    </row>
    <row r="74" spans="1:18" s="1" customFormat="1" hidden="1" x14ac:dyDescent="0.3">
      <c r="A74" t="s">
        <v>10</v>
      </c>
      <c r="B74" s="2"/>
      <c r="M74" s="2"/>
      <c r="N74" s="2"/>
      <c r="O74"/>
      <c r="P74" s="2"/>
      <c r="Q74"/>
      <c r="R74" s="2"/>
    </row>
    <row r="75" spans="1:18" s="1" customFormat="1" hidden="1" x14ac:dyDescent="0.3">
      <c r="A75" t="s">
        <v>11</v>
      </c>
      <c r="B75" s="2"/>
      <c r="M75" s="2"/>
      <c r="N75" s="2"/>
      <c r="O75"/>
      <c r="P75" s="2"/>
      <c r="Q75"/>
      <c r="R75" s="2"/>
    </row>
    <row r="76" spans="1:18" s="1" customFormat="1" hidden="1" x14ac:dyDescent="0.3">
      <c r="A76" t="s">
        <v>13</v>
      </c>
      <c r="B76" s="2"/>
      <c r="M76" s="2"/>
      <c r="N76" s="2"/>
      <c r="O76"/>
      <c r="P76" s="2"/>
      <c r="Q76"/>
      <c r="R76" s="2"/>
    </row>
    <row r="77" spans="1:18" s="1" customFormat="1" hidden="1" x14ac:dyDescent="0.3">
      <c r="A77" t="s">
        <v>14</v>
      </c>
      <c r="B77" s="5"/>
      <c r="M77" s="2"/>
      <c r="N77" s="2"/>
      <c r="O77"/>
      <c r="P77" s="2"/>
      <c r="Q77"/>
      <c r="R77" s="2"/>
    </row>
    <row r="78" spans="1:18" s="1" customFormat="1" hidden="1" x14ac:dyDescent="0.3">
      <c r="A78" t="s">
        <v>16</v>
      </c>
      <c r="B78" s="2"/>
      <c r="M78" s="2"/>
      <c r="N78" s="2"/>
      <c r="O78"/>
      <c r="P78" s="2"/>
      <c r="Q78"/>
      <c r="R78" s="2"/>
    </row>
    <row r="79" spans="1:18" s="1" customFormat="1" hidden="1" x14ac:dyDescent="0.3">
      <c r="A79" t="s">
        <v>17</v>
      </c>
      <c r="B79" s="5"/>
      <c r="M79" s="2"/>
      <c r="N79" s="2"/>
      <c r="O79"/>
      <c r="P79" s="2"/>
      <c r="Q79"/>
      <c r="R79" s="2"/>
    </row>
    <row r="80" spans="1:18" s="1" customFormat="1" hidden="1" x14ac:dyDescent="0.3">
      <c r="A80" t="s">
        <v>21</v>
      </c>
      <c r="B80" s="5"/>
      <c r="M80" s="2"/>
      <c r="N80" s="2"/>
      <c r="O80"/>
      <c r="P80" s="2"/>
      <c r="Q80"/>
      <c r="R80" s="2"/>
    </row>
    <row r="81" spans="1:18" s="1" customFormat="1" hidden="1" x14ac:dyDescent="0.3">
      <c r="A81" t="s">
        <v>30</v>
      </c>
      <c r="B81" s="5"/>
      <c r="M81" s="2"/>
      <c r="N81" s="2"/>
      <c r="O81"/>
      <c r="P81" s="2"/>
      <c r="Q81"/>
      <c r="R81" s="2"/>
    </row>
    <row r="82" spans="1:18" x14ac:dyDescent="0.3">
      <c r="B82" s="5"/>
    </row>
    <row r="83" spans="1:18" x14ac:dyDescent="0.3">
      <c r="B83" s="5"/>
    </row>
    <row r="84" spans="1:18" x14ac:dyDescent="0.3">
      <c r="B84" s="2"/>
    </row>
    <row r="85" spans="1:18" x14ac:dyDescent="0.3">
      <c r="B85" s="2"/>
    </row>
    <row r="86" spans="1:18" x14ac:dyDescent="0.3">
      <c r="B86" s="2"/>
    </row>
  </sheetData>
  <sheetProtection formatCells="0" formatColumns="0" formatRows="0" insertColumns="0" insertRows="0" insertHyperlinks="0" deleteColumns="0" deleteRows="0" sort="0" autoFilter="0" pivotTables="0"/>
  <mergeCells count="25">
    <mergeCell ref="E13:E15"/>
    <mergeCell ref="E16:E19"/>
    <mergeCell ref="E20:E22"/>
    <mergeCell ref="I11:J11"/>
    <mergeCell ref="K11:L11"/>
    <mergeCell ref="B2:L2"/>
    <mergeCell ref="B3:D3"/>
    <mergeCell ref="F3:I3"/>
    <mergeCell ref="J3:L3"/>
    <mergeCell ref="B5:C5"/>
    <mergeCell ref="B7:C7"/>
    <mergeCell ref="B9:C9"/>
    <mergeCell ref="B11:H11"/>
    <mergeCell ref="C42:D42"/>
    <mergeCell ref="B29:L30"/>
    <mergeCell ref="D32:L33"/>
    <mergeCell ref="B26:C28"/>
    <mergeCell ref="D26:L26"/>
    <mergeCell ref="D28:L28"/>
    <mergeCell ref="I42:K42"/>
    <mergeCell ref="H23:L23"/>
    <mergeCell ref="B34:L35"/>
    <mergeCell ref="D37:L38"/>
    <mergeCell ref="B41:D41"/>
    <mergeCell ref="I41:K41"/>
  </mergeCells>
  <conditionalFormatting sqref="K24">
    <cfRule type="cellIs" dxfId="3" priority="28" operator="greaterThan">
      <formula>350</formula>
    </cfRule>
  </conditionalFormatting>
  <conditionalFormatting sqref="L18:L19">
    <cfRule type="cellIs" dxfId="2" priority="3" operator="greaterThan">
      <formula>1</formula>
    </cfRule>
  </conditionalFormatting>
  <conditionalFormatting sqref="L21:L22">
    <cfRule type="cellIs" dxfId="0" priority="1" operator="greaterThan">
      <formula>1</formula>
    </cfRule>
  </conditionalFormatting>
  <dataValidations count="4">
    <dataValidation type="list" allowBlank="1" showInputMessage="1" showErrorMessage="1" sqref="D7" xr:uid="{00000000-0002-0000-0000-000000000000}">
      <formula1>$A$70:$A$81</formula1>
    </dataValidation>
    <dataValidation type="list" allowBlank="1" showInputMessage="1" showErrorMessage="1" sqref="F7:H8 D8" xr:uid="{00000000-0002-0000-0000-000001000000}">
      <formula1>#REF!</formula1>
    </dataValidation>
    <dataValidation type="whole" allowBlank="1" showInputMessage="1" showErrorMessage="1" errorTitle="¡Error!" error="Introduzca un número válido." promptTitle="¡Atención!" prompt="Introduzca un número entre 0 y 366" sqref="I13:I19 H13:H22" xr:uid="{00000000-0002-0000-0000-000002000000}">
      <formula1>0</formula1>
      <formula2>366</formula2>
    </dataValidation>
    <dataValidation type="whole" allowBlank="1" showInputMessage="1" showErrorMessage="1" errorTitle="¡Error!" error="Introduzca un número válido." promptTitle="¡Atención!" prompt="Introduzca un número entre 0 y 30" sqref="I20:I22" xr:uid="{00000000-0002-0000-0000-000003000000}">
      <formula1>0</formula1>
      <formula2>30</formula2>
    </dataValidation>
  </dataValidations>
  <pageMargins left="0.7" right="0.7" top="0.75" bottom="0.75" header="0.3" footer="0.3"/>
  <pageSetup scale="10"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FEBRERO</vt:lpstr>
      <vt:lpstr>FEBRERO!Área_de_impresión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Meridian 0873</dc:creator>
  <cp:lastModifiedBy>Petroservicios Ocho</cp:lastModifiedBy>
  <dcterms:created xsi:type="dcterms:W3CDTF">2024-01-10T22:00:55Z</dcterms:created>
  <dcterms:modified xsi:type="dcterms:W3CDTF">2026-03-05T14:44:31Z</dcterms:modified>
</cp:coreProperties>
</file>