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40_GES_PROY\48_PROYECTOS\ECOPETROL 3037132\2_EJECUCION\9_ODS\2026\17_90632454\1_Entregables\2_Febrero\"/>
    </mc:Choice>
  </mc:AlternateContent>
  <xr:revisionPtr revIDLastSave="0" documentId="14_{BFBEC172-4349-4BD7-B7FE-9C51BD4F5A02}" xr6:coauthVersionLast="47" xr6:coauthVersionMax="47" xr10:uidLastSave="{00000000-0000-0000-0000-000000000000}"/>
  <bookViews>
    <workbookView xWindow="-108" yWindow="-108" windowWidth="23256" windowHeight="12456" activeTab="1" xr2:uid="{00000000-000D-0000-FFFF-FFFF00000000}"/>
  </bookViews>
  <sheets>
    <sheet name="ENERO" sheetId="24" r:id="rId1"/>
    <sheet name="FEBRERO" sheetId="25" r:id="rId2"/>
  </sheets>
  <definedNames>
    <definedName name="_xlnm.Print_Area" localSheetId="0">ENERO!$A$1:$L$32</definedName>
    <definedName name="_xlnm.Print_Area" localSheetId="1">FEBRERO!$A$1:$L$32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5" l="1"/>
  <c r="K16" i="25"/>
  <c r="J16" i="25"/>
  <c r="H16" i="25"/>
  <c r="G16" i="25"/>
  <c r="G15" i="25" l="1"/>
  <c r="I14" i="25"/>
  <c r="I13" i="25"/>
  <c r="H16" i="24" l="1"/>
  <c r="G16" i="24"/>
  <c r="G15" i="24"/>
  <c r="J14" i="24"/>
  <c r="I14" i="24"/>
  <c r="J13" i="24"/>
  <c r="I13" i="24"/>
  <c r="I16" i="24" l="1"/>
  <c r="K13" i="24"/>
  <c r="J13" i="25"/>
  <c r="K13" i="25" s="1"/>
  <c r="K14" i="24"/>
  <c r="J14" i="25"/>
  <c r="J16" i="24"/>
  <c r="K16" i="24" s="1"/>
  <c r="K14"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J12" authorId="0" shapeId="0" xr:uid="{00000000-0006-0000-0000-000001000000}">
      <text>
        <r>
          <rPr>
            <sz val="9"/>
            <color indexed="81"/>
            <rFont val="Tahoma"/>
            <family val="2"/>
          </rPr>
          <t>Días acumulados del último reporte + Días del mes a reportar.</t>
        </r>
      </text>
    </comment>
    <comment ref="B31" authorId="0" shapeId="0" xr:uid="{00000000-0006-0000-0000-000002000000}">
      <text>
        <r>
          <rPr>
            <sz val="9"/>
            <color indexed="81"/>
            <rFont val="Tahoma"/>
            <family val="2"/>
          </rPr>
          <t>Firma de quién revisa</t>
        </r>
      </text>
    </comment>
    <comment ref="G31" authorId="0" shapeId="0" xr:uid="{00000000-0006-0000-0000-000003000000}">
      <text>
        <r>
          <rPr>
            <sz val="9"/>
            <color indexed="81"/>
            <rFont val="Tahoma"/>
            <family val="2"/>
          </rPr>
          <t>Firma del interventor</t>
        </r>
      </text>
    </comment>
    <comment ref="C32" authorId="0" shapeId="0" xr:uid="{00000000-0006-0000-0000-000004000000}">
      <text>
        <r>
          <rPr>
            <sz val="9"/>
            <color rgb="FF000000"/>
            <rFont val="Tahoma"/>
            <family val="2"/>
          </rPr>
          <t>Nombre completo de quién revisa</t>
        </r>
      </text>
    </comment>
    <comment ref="H32" authorId="0" shapeId="0" xr:uid="{00000000-0006-0000-0000-000005000000}">
      <text>
        <r>
          <rPr>
            <sz val="9"/>
            <color indexed="81"/>
            <rFont val="Tahoma"/>
            <family val="2"/>
          </rPr>
          <t>Nombre completo del interventor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J12" authorId="0" shapeId="0" xr:uid="{00000000-0006-0000-0100-000001000000}">
      <text>
        <r>
          <rPr>
            <sz val="9"/>
            <color indexed="81"/>
            <rFont val="Tahoma"/>
            <family val="2"/>
          </rPr>
          <t>Días acumulados del último reporte + Días del mes a reportar.</t>
        </r>
      </text>
    </comment>
    <comment ref="B31" authorId="0" shapeId="0" xr:uid="{00000000-0006-0000-0100-000002000000}">
      <text>
        <r>
          <rPr>
            <sz val="9"/>
            <color indexed="81"/>
            <rFont val="Tahoma"/>
            <family val="2"/>
          </rPr>
          <t>Firma de quién revisa</t>
        </r>
      </text>
    </comment>
    <comment ref="G31" authorId="0" shapeId="0" xr:uid="{00000000-0006-0000-0100-000003000000}">
      <text>
        <r>
          <rPr>
            <sz val="9"/>
            <color indexed="81"/>
            <rFont val="Tahoma"/>
            <family val="2"/>
          </rPr>
          <t>Firma del interventor</t>
        </r>
      </text>
    </comment>
    <comment ref="C32" authorId="0" shapeId="0" xr:uid="{00000000-0006-0000-0100-000004000000}">
      <text>
        <r>
          <rPr>
            <sz val="9"/>
            <color rgb="FF000000"/>
            <rFont val="Tahoma"/>
            <family val="2"/>
          </rPr>
          <t>Nombre completo de quién revisa</t>
        </r>
      </text>
    </comment>
    <comment ref="H32" authorId="0" shapeId="0" xr:uid="{00000000-0006-0000-0100-000005000000}">
      <text>
        <r>
          <rPr>
            <sz val="9"/>
            <color indexed="81"/>
            <rFont val="Tahoma"/>
            <family val="2"/>
          </rPr>
          <t>Nombre completo del interventor</t>
        </r>
      </text>
    </comment>
  </commentList>
</comments>
</file>

<file path=xl/sharedStrings.xml><?xml version="1.0" encoding="utf-8"?>
<sst xmlns="http://schemas.openxmlformats.org/spreadsheetml/2006/main" count="138" uniqueCount="56">
  <si>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</si>
  <si>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</si>
  <si>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</si>
  <si>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</si>
  <si>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</si>
  <si>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</si>
  <si>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</si>
  <si>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</si>
  <si>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</si>
  <si>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</si>
  <si>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</si>
  <si>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</si>
  <si>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</si>
  <si>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</si>
  <si>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</si>
  <si>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</si>
  <si>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</si>
  <si>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</si>
  <si>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</si>
  <si>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</si>
  <si>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</si>
  <si>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</si>
  <si>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</si>
  <si>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</si>
  <si>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</si>
  <si>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</si>
  <si>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</si>
  <si>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 contratados</t>
  </si>
  <si>
    <t>Días</t>
  </si>
  <si>
    <t>% avance</t>
  </si>
  <si>
    <t xml:space="preserve">Días </t>
  </si>
  <si>
    <t>DICIEMBRE</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</si>
  <si>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</si>
  <si>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</si>
  <si>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</si>
  <si>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</si>
  <si>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</si>
  <si>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</si>
  <si>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</si>
  <si>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</si>
  <si>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</si>
  <si>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Interventor:</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</si>
  <si>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t>
  </si>
  <si>
    <t>Generar Modelo analítico del yacimiento integrando la información disponible en un software específico</t>
  </si>
  <si>
    <t>CARGUE EN GEOX, carpeta oficial  ECP, correo corporativo ECP.</t>
  </si>
  <si>
    <t>3.3</t>
  </si>
  <si>
    <t>Revisión costos CAPEX de auditoría para reservas de Sirius</t>
  </si>
  <si>
    <t>3.6</t>
  </si>
  <si>
    <t>Revisión costos OPEX de auditoría para reservas de Sirius</t>
  </si>
  <si>
    <t>Carpeta oficial  ECP, correo corporativo ECP.</t>
  </si>
  <si>
    <r>
      <rPr>
        <b/>
        <sz val="9"/>
        <color theme="1"/>
        <rFont val="Verdana"/>
        <family val="2"/>
      </rPr>
      <t>3.3 3.6 Senior (MM):</t>
    </r>
    <r>
      <rPr>
        <sz val="9"/>
        <color theme="1"/>
        <rFont val="Verdana"/>
        <family val="2"/>
      </rPr>
      <t xml:space="preserve">
* 	Revisión costos CAPEX de auditoría para reservas de Sirius.
* Revisión costos OPEX de auditoría para reservas de Sirius.</t>
    </r>
  </si>
  <si>
    <t>Claudia Patricia Argüello Borray</t>
  </si>
  <si>
    <r>
      <rPr>
        <b/>
        <sz val="9"/>
        <color theme="1"/>
        <rFont val="Verdana"/>
        <family val="2"/>
      </rPr>
      <t>3.3 3.6 Senior (MM):</t>
    </r>
    <r>
      <rPr>
        <sz val="9"/>
        <color theme="1"/>
        <rFont val="Verdana"/>
        <family val="2"/>
      </rPr>
      <t xml:space="preserve">
* Realización de los modelos GeoX de los casos de Sirius 2026 con sus respectivos archivos comparativos. Realización del modelo de GeoX de la sensibilidad para mercado interno de Sandía 2026 con su respectivo archivo comparativo.
* Cálculos, diligenciamiento y entrega de los formatos de recursos contingentes de Sirius, Gorgon, Glaucus y Kronos. Realización de las dispositivas para la reunión de caso de negociación y Cx de Sirius. Realización de las progresiones de Sirius 2026.</t>
    </r>
  </si>
  <si>
    <t xml:space="preserve">	Pedro Alejandro Galindo Amaya</t>
  </si>
  <si>
    <t>Realización de los modelos GeoX de los casos de Sirius 2026 con sus respectivos archivos comparativos. Realización del modelo de GeoX de la sensibilidad para mercado interno de Sandía 2026 con su respectivo archivo comparativo.</t>
  </si>
  <si>
    <t>Cálculos, diligenciamiento y entrega de los formatos de recursos contingentes de Sirius, Gorgon, Glaucus y Kronos. Realización de las dispositivas para la reunión de caso de negociación y Cx de Sirius. Realización de las progresiones de Sirius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</si>
</sst>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4">
    <xf numFmtId="0" fontId="0" fillId="0" borderId="0" xfId="0"/>
    <xf numFmtId="1" fontId="2" fillId="0" borderId="16" xfId="0" applyNumberFormat="1" applyFont="1" applyBorder="1" applyAlignment="1">
      <alignment horizontal="center" vertical="center" wrapText="1"/>
    </xf>
    <xf numFmtId="0" fontId="2" fillId="0" borderId="0" xfId="0" applyFont="1"/>
    <xf numFmtId="0" fontId="3" fillId="0" borderId="0" xfId="0" applyFont="1"/>
    <xf numFmtId="0" fontId="2" fillId="0" borderId="5" xfId="0" applyFont="1" applyBorder="1"/>
    <xf numFmtId="0" fontId="2" fillId="0" borderId="6" xfId="0" applyFont="1" applyBorder="1"/>
    <xf numFmtId="0" fontId="2" fillId="0" borderId="7" xfId="0" applyFont="1" applyBorder="1"/>
    <xf numFmtId="0" fontId="4" fillId="0" borderId="0" xfId="0" applyFont="1" applyAlignment="1">
      <alignment horizontal="center" vertical="center"/>
    </xf>
    <xf numFmtId="0" fontId="2" fillId="0" borderId="0" xfId="0" applyFont="1" applyAlignment="1">
      <alignment vertical="center"/>
    </xf>
    <xf numFmtId="0" fontId="2" fillId="0" borderId="9" xfId="0" applyFont="1" applyBorder="1" applyAlignment="1">
      <alignment vertical="center"/>
    </xf>
    <xf numFmtId="0" fontId="3" fillId="0" borderId="0" xfId="0" applyFont="1" applyAlignment="1">
      <alignment vertical="center"/>
    </xf>
    <xf numFmtId="0" fontId="2" fillId="0" borderId="10" xfId="0" applyFont="1" applyBorder="1" applyAlignment="1">
      <alignment vertical="center"/>
    </xf>
    <xf numFmtId="49" fontId="4" fillId="2" borderId="8" xfId="0" applyNumberFormat="1" applyFont="1" applyFill="1" applyBorder="1" applyAlignment="1">
      <alignment horizontal="center" vertical="center"/>
    </xf>
    <xf numFmtId="49" fontId="4" fillId="0" borderId="0" xfId="0" applyNumberFormat="1" applyFont="1" applyAlignment="1">
      <alignment horizontal="center"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14" fontId="4" fillId="2" borderId="8" xfId="0" applyNumberFormat="1" applyFont="1" applyFill="1" applyBorder="1" applyAlignment="1">
      <alignment horizontal="center" vertical="center"/>
    </xf>
    <xf numFmtId="14" fontId="4" fillId="0" borderId="0" xfId="0" applyNumberFormat="1" applyFont="1" applyAlignment="1">
      <alignment horizontal="center" vertical="center"/>
    </xf>
    <xf numFmtId="0" fontId="2" fillId="0" borderId="11" xfId="0" applyFont="1" applyBorder="1"/>
    <xf numFmtId="0" fontId="2" fillId="0" borderId="12" xfId="0" applyFont="1" applyBorder="1"/>
    <xf numFmtId="0" fontId="2" fillId="0" borderId="13" xfId="0" applyFont="1" applyBorder="1"/>
    <xf numFmtId="0" fontId="2" fillId="0" borderId="1" xfId="0" applyFont="1" applyBorder="1" applyAlignment="1">
      <alignment vertical="center" wrapText="1"/>
    </xf>
    <xf numFmtId="9" fontId="2" fillId="0" borderId="1" xfId="1" applyFont="1" applyBorder="1" applyAlignment="1" applyProtection="1">
      <alignment horizontal="center" vertical="center" wrapText="1"/>
    </xf>
    <xf numFmtId="1" fontId="2" fillId="0" borderId="14" xfId="0" applyNumberFormat="1" applyFont="1" applyBorder="1" applyAlignment="1">
      <alignment horizontal="center" vertical="center" wrapText="1"/>
    </xf>
    <xf numFmtId="0" fontId="2" fillId="0" borderId="16" xfId="0" applyFont="1" applyBorder="1" applyAlignment="1">
      <alignment vertical="center" wrapText="1"/>
    </xf>
    <xf numFmtId="0" fontId="2" fillId="0" borderId="16" xfId="0" applyFont="1" applyBorder="1" applyAlignment="1">
      <alignment horizontal="center" vertical="center" wrapText="1"/>
    </xf>
    <xf numFmtId="9" fontId="2" fillId="0" borderId="16" xfId="1" applyFont="1" applyBorder="1" applyAlignment="1" applyProtection="1">
      <alignment horizontal="center" vertical="center" wrapText="1"/>
    </xf>
    <xf numFmtId="0" fontId="4" fillId="0" borderId="8" xfId="0" applyFont="1" applyBorder="1" applyAlignment="1">
      <alignment horizontal="center" vertical="center"/>
    </xf>
    <xf numFmtId="164" fontId="4" fillId="0" borderId="8" xfId="1" applyNumberFormat="1" applyFont="1" applyBorder="1" applyAlignment="1" applyProtection="1">
      <alignment horizontal="center" vertical="center"/>
    </xf>
    <xf numFmtId="1" fontId="4" fillId="0" borderId="8" xfId="0" applyNumberFormat="1" applyFont="1" applyBorder="1" applyAlignment="1">
      <alignment horizontal="center" vertical="center"/>
    </xf>
    <xf numFmtId="0" fontId="4" fillId="4" borderId="2" xfId="0" applyFont="1" applyFill="1" applyBorder="1" applyAlignment="1">
      <alignment vertical="center"/>
    </xf>
    <xf numFmtId="0" fontId="4" fillId="4" borderId="0" xfId="0" applyFont="1" applyFill="1" applyAlignment="1">
      <alignment vertical="center"/>
    </xf>
    <xf numFmtId="0" fontId="4" fillId="4" borderId="4" xfId="0" applyFont="1" applyFill="1" applyBorder="1" applyAlignment="1">
      <alignment vertical="center"/>
    </xf>
    <xf numFmtId="0" fontId="2" fillId="0" borderId="8" xfId="0" applyFont="1" applyBorder="1" applyAlignment="1">
      <alignment horizontal="center" vertical="center"/>
    </xf>
    <xf numFmtId="0" fontId="6" fillId="0" borderId="8" xfId="0" applyFont="1" applyBorder="1" applyAlignment="1">
      <alignment horizontal="center"/>
    </xf>
    <xf numFmtId="0" fontId="2" fillId="0" borderId="1" xfId="0" applyFont="1" applyBorder="1" applyAlignment="1">
      <alignment horizontal="center" vertical="center" wrapText="1"/>
    </xf>
    <xf numFmtId="0" fontId="3" fillId="0" borderId="12" xfId="0" applyFont="1" applyBorder="1"/>
    <xf numFmtId="0" fontId="2" fillId="3" borderId="1" xfId="0" applyFont="1" applyFill="1" applyBorder="1" applyAlignment="1" applyProtection="1">
      <alignment horizontal="center" vertical="center" wrapText="1"/>
      <protection locked="0"/>
    </xf>
    <xf numFmtId="0" fontId="2" fillId="3" borderId="16" xfId="0" applyFont="1" applyFill="1" applyBorder="1" applyAlignment="1" applyProtection="1">
      <alignment horizontal="center" vertical="center" wrapText="1"/>
      <protection locked="0"/>
    </xf>
    <xf numFmtId="0" fontId="2" fillId="2" borderId="8" xfId="0" applyFont="1" applyFill="1" applyBorder="1" applyAlignment="1">
      <alignment horizontal="center" vertical="center" wrapText="1"/>
    </xf>
    <xf numFmtId="0" fontId="4" fillId="2" borderId="8" xfId="0" applyFont="1" applyFill="1" applyBorder="1" applyAlignment="1" applyProtection="1">
      <alignment horizontal="center" vertical="center"/>
      <protection locked="0"/>
    </xf>
    <xf numFmtId="1" fontId="2" fillId="0" borderId="8" xfId="0" applyNumberFormat="1" applyFont="1" applyBorder="1" applyAlignment="1">
      <alignment horizontal="center" vertical="center" wrapText="1"/>
    </xf>
    <xf numFmtId="0" fontId="2" fillId="0" borderId="14" xfId="0" applyFont="1" applyBorder="1" applyAlignment="1">
      <alignment horizontal="left" vertical="center"/>
    </xf>
    <xf numFmtId="0" fontId="2" fillId="0" borderId="16" xfId="0" applyFont="1" applyBorder="1" applyAlignment="1">
      <alignment horizontal="left" vertical="center"/>
    </xf>
    <xf numFmtId="0" fontId="2" fillId="2" borderId="8"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2" borderId="8" xfId="0" applyFont="1" applyFill="1" applyBorder="1" applyAlignment="1">
      <alignment horizontal="center" vertical="center"/>
    </xf>
    <xf numFmtId="0" fontId="4" fillId="2" borderId="17" xfId="0" applyFont="1" applyFill="1" applyBorder="1" applyAlignment="1">
      <alignment horizontal="center" vertical="center"/>
    </xf>
    <xf numFmtId="0" fontId="2" fillId="0" borderId="12" xfId="0" applyFont="1" applyBorder="1" applyAlignment="1">
      <alignment horizontal="center"/>
    </xf>
    <xf numFmtId="0" fontId="2" fillId="0" borderId="6" xfId="0" applyFont="1" applyBorder="1" applyAlignment="1">
      <alignment horizontal="center" vertical="center"/>
    </xf>
    <xf numFmtId="0" fontId="2" fillId="0" borderId="0" xfId="0" applyFont="1" applyAlignment="1">
      <alignment horizontal="center" vertical="center"/>
    </xf>
    <xf numFmtId="0" fontId="2" fillId="2" borderId="8" xfId="0" applyFont="1" applyFill="1" applyBorder="1" applyAlignment="1" applyProtection="1">
      <alignment horizontal="left" vertical="top" wrapText="1"/>
      <protection locked="0"/>
    </xf>
    <xf numFmtId="0" fontId="2" fillId="2" borderId="8" xfId="0" applyFont="1" applyFill="1" applyBorder="1" applyAlignment="1" applyProtection="1">
      <alignment horizontal="left" vertical="top"/>
      <protection locked="0"/>
    </xf>
    <xf numFmtId="0" fontId="4" fillId="3" borderId="5"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3" borderId="7" xfId="0" applyFont="1" applyFill="1" applyBorder="1" applyAlignment="1">
      <alignment horizontal="center" vertical="top" wrapText="1"/>
    </xf>
    <xf numFmtId="0" fontId="4" fillId="3" borderId="11" xfId="0" applyFont="1" applyFill="1" applyBorder="1" applyAlignment="1">
      <alignment horizontal="center" vertical="top" wrapText="1"/>
    </xf>
    <xf numFmtId="0" fontId="4" fillId="3" borderId="12" xfId="0" applyFont="1" applyFill="1" applyBorder="1" applyAlignment="1">
      <alignment horizontal="center" vertical="top" wrapText="1"/>
    </xf>
    <xf numFmtId="0" fontId="4" fillId="3" borderId="13" xfId="0" applyFont="1" applyFill="1" applyBorder="1" applyAlignment="1">
      <alignment horizontal="center" vertical="top" wrapText="1"/>
    </xf>
    <xf numFmtId="0" fontId="7" fillId="0" borderId="8" xfId="0" applyFont="1" applyBorder="1" applyAlignment="1">
      <alignment horizontal="left" vertical="top" wrapText="1"/>
    </xf>
    <xf numFmtId="0" fontId="4" fillId="0" borderId="8" xfId="0" applyFont="1" applyBorder="1" applyAlignment="1">
      <alignment horizontal="center" vertical="center" wrapText="1"/>
    </xf>
    <xf numFmtId="0" fontId="2" fillId="0" borderId="14" xfId="0" applyFont="1" applyBorder="1" applyAlignment="1">
      <alignment vertical="center"/>
    </xf>
    <xf numFmtId="0" fontId="10" fillId="0" borderId="15" xfId="0" applyFont="1" applyBorder="1" applyAlignment="1" applyProtection="1">
      <alignment vertical="center"/>
      <protection locked="0"/>
    </xf>
    <xf numFmtId="0" fontId="2" fillId="0" borderId="14" xfId="0" applyFont="1" applyBorder="1" applyAlignment="1" applyProtection="1">
      <alignment vertical="center"/>
      <protection locked="0"/>
    </xf>
    <xf numFmtId="0" fontId="2" fillId="0" borderId="16" xfId="0" applyFont="1" applyBorder="1" applyAlignment="1">
      <alignment vertical="center"/>
    </xf>
    <xf numFmtId="0" fontId="10" fillId="0" borderId="16" xfId="0" applyFont="1" applyBorder="1" applyAlignment="1" applyProtection="1">
      <alignment vertical="center"/>
      <protection locked="0"/>
    </xf>
    <xf numFmtId="0" fontId="2" fillId="0" borderId="16" xfId="0" applyFont="1" applyBorder="1" applyAlignment="1" applyProtection="1">
      <alignment vertical="center"/>
      <protection locked="0"/>
    </xf>
    <xf numFmtId="0" fontId="10" fillId="0" borderId="15"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10" fillId="0" borderId="16" xfId="0" applyFont="1" applyBorder="1" applyAlignment="1" applyProtection="1">
      <alignment horizontal="left" vertical="center"/>
      <protection locked="0"/>
    </xf>
    <xf numFmtId="0" fontId="2" fillId="0" borderId="16" xfId="0" applyFont="1" applyBorder="1" applyAlignment="1" applyProtection="1">
      <alignment horizontal="left" vertical="center"/>
      <protection locked="0"/>
    </xf>
  </cellXfs>
  <cellStyles count="2">
    <cellStyle name="Normal" xfId="0" builtinId="0"/>
    <cellStyle name="Porcentaje" xfId="1" builtinId="5"/>
  </cellStyles>
  <dxfs count="4">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243839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6"/>
  <sheetViews>
    <sheetView showGridLines="0" view="pageBreakPreview" zoomScaleNormal="100" zoomScaleSheetLayoutView="100" workbookViewId="0">
      <selection activeCell="F14" sqref="F14"/>
    </sheetView>
  </sheetViews>
  <sheetFormatPr baseColWidth="10" defaultColWidth="8.6640625" defaultRowHeight="14.4" x14ac:dyDescent="0.3"/>
  <cols>
    <col min="1" max="1" width="4.44140625" style="3" customWidth="1"/>
    <col min="2" max="2" width="15.6640625" style="2" customWidth="1"/>
    <col min="3" max="3" width="8.5546875" style="2" bestFit="1" customWidth="1"/>
    <col min="4" max="4" width="43.33203125" style="2" customWidth="1"/>
    <col min="5" max="5" width="14.109375" style="2" bestFit="1" customWidth="1"/>
    <col min="6" max="6" width="13.44140625" style="2" customWidth="1"/>
    <col min="7" max="7" width="13.6640625" style="2" customWidth="1"/>
    <col min="8" max="8" width="13.44140625" style="2" customWidth="1"/>
    <col min="9" max="9" width="10.44140625" style="2" customWidth="1"/>
    <col min="10" max="10" width="12.44140625" style="2" customWidth="1"/>
    <col min="11" max="11" width="12.33203125" style="2" customWidth="1"/>
    <col min="12" max="12" width="6.6640625" style="3" customWidth="1"/>
    <col min="13" max="13" width="16.44140625" style="3" customWidth="1"/>
    <col min="15" max="15" width="16.44140625" style="3" customWidth="1"/>
    <col min="16" max="16" width="0" hidden="1" customWidth="1"/>
    <col min="17" max="17" width="16.44140625" style="3" customWidth="1"/>
    <col min="18" max="16384" width="8.6640625" style="3"/>
  </cols>
  <sheetData>
    <row r="1" spans="2:16" x14ac:dyDescent="0.3">
      <c r="P1" t="s">
        <v>0</v>
      </c>
    </row>
    <row r="2" spans="2:16" ht="49.5" customHeight="1" x14ac:dyDescent="0.3">
      <c r="B2" s="45" t="s">
        <v>1</v>
      </c>
      <c r="C2" s="45"/>
      <c r="D2" s="45"/>
      <c r="E2" s="45"/>
      <c r="F2" s="45"/>
      <c r="G2" s="45"/>
      <c r="H2" s="45"/>
      <c r="I2" s="45"/>
      <c r="J2" s="45"/>
      <c r="K2" s="45"/>
      <c r="P2" t="s">
        <v>2</v>
      </c>
    </row>
    <row r="3" spans="2:16" ht="18.75" customHeight="1" x14ac:dyDescent="0.3">
      <c r="B3" s="46" t="s">
        <v>3</v>
      </c>
      <c r="C3" s="47"/>
      <c r="D3" s="47"/>
      <c r="E3" s="47" t="s">
        <v>4</v>
      </c>
      <c r="F3" s="47"/>
      <c r="G3" s="47"/>
      <c r="H3" s="47"/>
      <c r="I3" s="47" t="s">
        <v>5</v>
      </c>
      <c r="J3" s="47"/>
      <c r="K3" s="48"/>
    </row>
    <row r="4" spans="2:16" x14ac:dyDescent="0.3">
      <c r="B4" s="4"/>
      <c r="C4" s="5"/>
      <c r="K4" s="6"/>
      <c r="P4" t="s">
        <v>6</v>
      </c>
    </row>
    <row r="5" spans="2:16" s="10" customFormat="1" ht="27.6" customHeight="1" x14ac:dyDescent="0.3">
      <c r="B5" s="44" t="s">
        <v>7</v>
      </c>
      <c r="C5" s="44"/>
      <c r="D5" s="40">
        <v>90632454</v>
      </c>
      <c r="E5" s="7"/>
      <c r="F5" s="7"/>
      <c r="G5" s="8"/>
      <c r="H5" s="8"/>
      <c r="I5" s="8"/>
      <c r="J5" s="8"/>
      <c r="K5" s="9"/>
      <c r="N5"/>
      <c r="P5" t="s">
        <v>8</v>
      </c>
    </row>
    <row r="6" spans="2:16" s="10" customFormat="1" x14ac:dyDescent="0.3">
      <c r="B6" s="11"/>
      <c r="C6" s="8"/>
      <c r="D6" s="8"/>
      <c r="E6" s="8"/>
      <c r="F6" s="8"/>
      <c r="G6" s="8"/>
      <c r="H6" s="8"/>
      <c r="I6" s="8"/>
      <c r="J6" s="8"/>
      <c r="K6" s="9"/>
      <c r="N6"/>
      <c r="P6" t="s">
        <v>11</v>
      </c>
    </row>
    <row r="7" spans="2:16" s="10" customFormat="1" x14ac:dyDescent="0.3">
      <c r="B7" s="44" t="s">
        <v>12</v>
      </c>
      <c r="C7" s="44"/>
      <c r="D7" s="12" t="s">
        <v>2</v>
      </c>
      <c r="E7" s="13"/>
      <c r="F7" s="13"/>
      <c r="G7" s="8"/>
      <c r="H7" s="8"/>
      <c r="I7" s="8"/>
      <c r="J7" s="8"/>
      <c r="K7" s="9"/>
      <c r="N7"/>
      <c r="P7" t="s">
        <v>13</v>
      </c>
    </row>
    <row r="8" spans="2:16" s="10" customFormat="1" x14ac:dyDescent="0.3">
      <c r="B8" s="14"/>
      <c r="C8" s="15"/>
      <c r="D8" s="13"/>
      <c r="E8" s="13"/>
      <c r="F8" s="13"/>
      <c r="G8" s="8"/>
      <c r="H8" s="8"/>
      <c r="I8" s="8"/>
      <c r="J8" s="8"/>
      <c r="K8" s="9"/>
      <c r="N8"/>
      <c r="P8" t="s">
        <v>14</v>
      </c>
    </row>
    <row r="9" spans="2:16" s="10" customFormat="1" x14ac:dyDescent="0.3">
      <c r="B9" s="44" t="s">
        <v>15</v>
      </c>
      <c r="C9" s="44"/>
      <c r="D9" s="16">
        <v>46053</v>
      </c>
      <c r="E9" s="17"/>
      <c r="F9" s="17"/>
      <c r="G9" s="8"/>
      <c r="H9" s="8"/>
      <c r="I9" s="8"/>
      <c r="J9" s="8"/>
      <c r="K9" s="9"/>
      <c r="N9"/>
      <c r="P9" t="s">
        <v>16</v>
      </c>
    </row>
    <row r="10" spans="2:16" x14ac:dyDescent="0.3">
      <c r="B10" s="18"/>
      <c r="C10" s="19"/>
      <c r="K10" s="20"/>
      <c r="P10" t="s">
        <v>17</v>
      </c>
    </row>
    <row r="11" spans="2:16" ht="26.85" customHeight="1" x14ac:dyDescent="0.3">
      <c r="B11" s="49" t="s">
        <v>18</v>
      </c>
      <c r="C11" s="49"/>
      <c r="D11" s="49"/>
      <c r="E11" s="49"/>
      <c r="F11" s="49"/>
      <c r="G11" s="49"/>
      <c r="H11" s="44" t="s">
        <v>19</v>
      </c>
      <c r="I11" s="44"/>
      <c r="J11" s="44" t="s">
        <v>20</v>
      </c>
      <c r="K11" s="44"/>
      <c r="P11" t="s">
        <v>21</v>
      </c>
    </row>
    <row r="12" spans="2:16" ht="57.6" customHeight="1" x14ac:dyDescent="0.3">
      <c r="B12" s="39" t="s">
        <v>22</v>
      </c>
      <c r="C12" s="39" t="s">
        <v>23</v>
      </c>
      <c r="D12" s="39" t="s">
        <v>24</v>
      </c>
      <c r="E12" s="39" t="s">
        <v>25</v>
      </c>
      <c r="F12" s="39" t="s">
        <v>26</v>
      </c>
      <c r="G12" s="39" t="s">
        <v>27</v>
      </c>
      <c r="H12" s="39" t="s">
        <v>28</v>
      </c>
      <c r="I12" s="39" t="s">
        <v>29</v>
      </c>
      <c r="J12" s="39" t="s">
        <v>30</v>
      </c>
      <c r="K12" s="39" t="s">
        <v>29</v>
      </c>
      <c r="P12" t="s">
        <v>31</v>
      </c>
    </row>
    <row r="13" spans="2:16" x14ac:dyDescent="0.3">
      <c r="B13" s="21">
        <v>3</v>
      </c>
      <c r="C13" s="35" t="s">
        <v>45</v>
      </c>
      <c r="D13" s="42" t="s">
        <v>42</v>
      </c>
      <c r="E13" s="70" t="s">
        <v>46</v>
      </c>
      <c r="F13" s="71" t="s">
        <v>44</v>
      </c>
      <c r="G13" s="37">
        <v>107</v>
      </c>
      <c r="H13" s="37">
        <v>2</v>
      </c>
      <c r="I13" s="22">
        <f>IFERROR(H13/G13,0)</f>
        <v>1.8691588785046728E-2</v>
      </c>
      <c r="J13" s="23">
        <f>+H13</f>
        <v>2</v>
      </c>
      <c r="K13" s="22">
        <f>IFERROR(J13/G13,0)</f>
        <v>1.8691588785046728E-2</v>
      </c>
    </row>
    <row r="14" spans="2:16" x14ac:dyDescent="0.3">
      <c r="B14" s="24">
        <v>3</v>
      </c>
      <c r="C14" s="25" t="s">
        <v>47</v>
      </c>
      <c r="D14" s="43" t="s">
        <v>43</v>
      </c>
      <c r="E14" s="72" t="s">
        <v>48</v>
      </c>
      <c r="F14" s="73" t="s">
        <v>49</v>
      </c>
      <c r="G14" s="38">
        <v>107</v>
      </c>
      <c r="H14" s="38">
        <v>2</v>
      </c>
      <c r="I14" s="26">
        <f>IFERROR(H14/G14,0)</f>
        <v>1.8691588785046728E-2</v>
      </c>
      <c r="J14" s="1">
        <f>+H14</f>
        <v>2</v>
      </c>
      <c r="K14" s="26">
        <f>IFERROR(J14/G14,0)</f>
        <v>1.8691588785046728E-2</v>
      </c>
    </row>
    <row r="15" spans="2:16" x14ac:dyDescent="0.3">
      <c r="B15" s="8"/>
      <c r="C15" s="8"/>
      <c r="D15" s="8"/>
      <c r="E15" s="8"/>
      <c r="F15" s="15"/>
      <c r="G15" s="50" t="str">
        <f>+CONCATENATE("TOTAL A ",D7)</f>
        <v>TOTAL A ENERO</v>
      </c>
      <c r="H15" s="50"/>
      <c r="I15" s="50"/>
      <c r="J15" s="50" t="s">
        <v>32</v>
      </c>
      <c r="K15" s="50"/>
    </row>
    <row r="16" spans="2:16" s="10" customFormat="1" ht="16.5" customHeight="1" x14ac:dyDescent="0.3">
      <c r="B16" s="8"/>
      <c r="C16" s="8"/>
      <c r="G16" s="27">
        <f>+SUM(G13:G14)</f>
        <v>214</v>
      </c>
      <c r="H16" s="27">
        <f>+SUM(H13:H14)</f>
        <v>4</v>
      </c>
      <c r="I16" s="28">
        <f>IFERROR(H16/G16,0)</f>
        <v>1.8691588785046728E-2</v>
      </c>
      <c r="J16" s="29">
        <f>+SUM(J13:J14)</f>
        <v>4</v>
      </c>
      <c r="K16" s="28">
        <f>IFERROR(J16/G16,0)</f>
        <v>1.8691588785046728E-2</v>
      </c>
      <c r="N16"/>
      <c r="P16"/>
    </row>
    <row r="18" spans="1:11" ht="41.4" customHeight="1" x14ac:dyDescent="0.3">
      <c r="B18" s="49" t="s">
        <v>33</v>
      </c>
      <c r="C18" s="49"/>
      <c r="D18" s="54" t="s">
        <v>50</v>
      </c>
      <c r="E18" s="55"/>
      <c r="F18" s="55"/>
      <c r="G18" s="55"/>
      <c r="H18" s="55"/>
      <c r="I18" s="55"/>
      <c r="J18" s="55"/>
      <c r="K18" s="55"/>
    </row>
    <row r="19" spans="1:11" customFormat="1" ht="14.4" customHeight="1" x14ac:dyDescent="0.3">
      <c r="A19" s="36"/>
      <c r="B19" s="56" t="s">
        <v>35</v>
      </c>
      <c r="C19" s="57"/>
      <c r="D19" s="57"/>
      <c r="E19" s="57"/>
      <c r="F19" s="57"/>
      <c r="G19" s="57"/>
      <c r="H19" s="57"/>
      <c r="I19" s="57"/>
      <c r="J19" s="57"/>
      <c r="K19" s="58"/>
    </row>
    <row r="20" spans="1:11" customFormat="1" ht="19.95" customHeight="1" x14ac:dyDescent="0.3">
      <c r="A20" s="3"/>
      <c r="B20" s="59"/>
      <c r="C20" s="60"/>
      <c r="D20" s="60"/>
      <c r="E20" s="60"/>
      <c r="F20" s="60"/>
      <c r="G20" s="60"/>
      <c r="H20" s="60"/>
      <c r="I20" s="60"/>
      <c r="J20" s="60"/>
      <c r="K20" s="61"/>
    </row>
    <row r="21" spans="1:11" ht="19.350000000000001" customHeight="1" x14ac:dyDescent="0.3">
      <c r="B21" s="30" t="s">
        <v>36</v>
      </c>
      <c r="C21" s="31"/>
      <c r="D21" s="31"/>
      <c r="E21" s="31"/>
      <c r="F21" s="31"/>
      <c r="G21" s="31"/>
      <c r="H21" s="31"/>
      <c r="I21" s="31"/>
      <c r="J21" s="31"/>
      <c r="K21" s="32"/>
    </row>
    <row r="22" spans="1:11" ht="20.100000000000001" customHeight="1" x14ac:dyDescent="0.4">
      <c r="B22" s="33" t="s">
        <v>37</v>
      </c>
      <c r="C22" s="34"/>
      <c r="D22" s="62" t="s">
        <v>34</v>
      </c>
      <c r="E22" s="62"/>
      <c r="F22" s="62"/>
      <c r="G22" s="62"/>
      <c r="H22" s="62"/>
      <c r="I22" s="62"/>
      <c r="J22" s="62"/>
      <c r="K22" s="62"/>
    </row>
    <row r="23" spans="1:11" ht="20.100000000000001" customHeight="1" x14ac:dyDescent="0.4">
      <c r="B23" s="33" t="s">
        <v>38</v>
      </c>
      <c r="C23" s="34"/>
      <c r="D23" s="62"/>
      <c r="E23" s="62"/>
      <c r="F23" s="62"/>
      <c r="G23" s="62"/>
      <c r="H23" s="62"/>
      <c r="I23" s="62"/>
      <c r="J23" s="62"/>
      <c r="K23" s="62"/>
    </row>
    <row r="24" spans="1:11" x14ac:dyDescent="0.3">
      <c r="B24" s="63" t="s">
        <v>35</v>
      </c>
      <c r="C24" s="63"/>
      <c r="D24" s="63"/>
      <c r="E24" s="63"/>
      <c r="F24" s="63"/>
      <c r="G24" s="63"/>
      <c r="H24" s="63"/>
      <c r="I24" s="63"/>
      <c r="J24" s="63"/>
      <c r="K24" s="63"/>
    </row>
    <row r="25" spans="1:11" ht="15" customHeight="1" x14ac:dyDescent="0.3">
      <c r="B25" s="63"/>
      <c r="C25" s="63"/>
      <c r="D25" s="63"/>
      <c r="E25" s="63"/>
      <c r="F25" s="63"/>
      <c r="G25" s="63"/>
      <c r="H25" s="63"/>
      <c r="I25" s="63"/>
      <c r="J25" s="63"/>
      <c r="K25" s="63"/>
    </row>
    <row r="26" spans="1:11" x14ac:dyDescent="0.3">
      <c r="B26" s="30" t="s">
        <v>39</v>
      </c>
      <c r="C26" s="31"/>
      <c r="D26" s="31"/>
      <c r="E26" s="31"/>
      <c r="F26" s="31"/>
      <c r="G26" s="31"/>
      <c r="H26" s="31"/>
      <c r="I26" s="31"/>
      <c r="J26" s="31"/>
      <c r="K26" s="32"/>
    </row>
    <row r="27" spans="1:11" ht="20.100000000000001" customHeight="1" x14ac:dyDescent="0.4">
      <c r="B27" s="33" t="s">
        <v>37</v>
      </c>
      <c r="C27" s="34"/>
      <c r="D27" s="62" t="s">
        <v>34</v>
      </c>
      <c r="E27" s="62"/>
      <c r="F27" s="62"/>
      <c r="G27" s="62"/>
      <c r="H27" s="62"/>
      <c r="I27" s="62"/>
      <c r="J27" s="62"/>
      <c r="K27" s="62"/>
    </row>
    <row r="28" spans="1:11" ht="20.100000000000001" customHeight="1" x14ac:dyDescent="0.4">
      <c r="B28" s="33" t="s">
        <v>38</v>
      </c>
      <c r="C28" s="34"/>
      <c r="D28" s="62"/>
      <c r="E28" s="62"/>
      <c r="F28" s="62"/>
      <c r="G28" s="62"/>
      <c r="H28" s="62"/>
      <c r="I28" s="62"/>
      <c r="J28" s="62"/>
      <c r="K28" s="62"/>
    </row>
    <row r="31" spans="1:11" ht="19.5" customHeight="1" x14ac:dyDescent="0.3">
      <c r="B31" s="51"/>
      <c r="C31" s="51"/>
      <c r="D31" s="51"/>
      <c r="G31" s="51"/>
      <c r="H31" s="51"/>
      <c r="I31" s="51"/>
      <c r="J31" s="51"/>
    </row>
    <row r="32" spans="1:11" ht="23.85" customHeight="1" x14ac:dyDescent="0.3">
      <c r="B32" s="8" t="s">
        <v>40</v>
      </c>
      <c r="C32" s="52"/>
      <c r="D32" s="52"/>
      <c r="G32" s="8" t="s">
        <v>41</v>
      </c>
      <c r="H32" s="53" t="s">
        <v>51</v>
      </c>
      <c r="I32" s="53"/>
      <c r="J32" s="53"/>
    </row>
    <row r="64" spans="1:17" s="2" customFormat="1" hidden="1" x14ac:dyDescent="0.3">
      <c r="A64" t="s">
        <v>0</v>
      </c>
      <c r="B64" s="3"/>
      <c r="L64" s="3"/>
      <c r="M64" s="3"/>
      <c r="N64"/>
      <c r="O64" s="3"/>
      <c r="P64"/>
      <c r="Q64" s="3"/>
    </row>
    <row r="65" spans="1:17" s="2" customFormat="1" hidden="1" x14ac:dyDescent="0.3">
      <c r="A65" t="s">
        <v>2</v>
      </c>
      <c r="B65" s="3"/>
      <c r="L65" s="3"/>
      <c r="M65" s="3"/>
      <c r="N65"/>
      <c r="O65" s="3"/>
      <c r="P65"/>
      <c r="Q65" s="3"/>
    </row>
    <row r="66" spans="1:17" s="2" customFormat="1" hidden="1" x14ac:dyDescent="0.3">
      <c r="A66" t="s">
        <v>6</v>
      </c>
      <c r="B66" s="3"/>
      <c r="L66" s="3"/>
      <c r="M66" s="3"/>
      <c r="N66"/>
      <c r="O66" s="3"/>
      <c r="P66"/>
      <c r="Q66" s="3"/>
    </row>
    <row r="67" spans="1:17" s="2" customFormat="1" hidden="1" x14ac:dyDescent="0.3">
      <c r="A67" t="s">
        <v>8</v>
      </c>
      <c r="B67" s="10"/>
      <c r="L67" s="3"/>
      <c r="M67" s="3"/>
      <c r="N67"/>
      <c r="O67" s="3"/>
      <c r="P67"/>
      <c r="Q67" s="3"/>
    </row>
    <row r="68" spans="1:17" s="2" customFormat="1" hidden="1" x14ac:dyDescent="0.3">
      <c r="A68" t="s">
        <v>9</v>
      </c>
      <c r="B68" s="3"/>
      <c r="L68" s="3"/>
      <c r="M68" s="3"/>
      <c r="N68"/>
      <c r="O68" s="3"/>
      <c r="P68"/>
      <c r="Q68" s="3"/>
    </row>
    <row r="69" spans="1:17" s="2" customFormat="1" hidden="1" x14ac:dyDescent="0.3">
      <c r="A69" t="s">
        <v>10</v>
      </c>
      <c r="B69" s="10"/>
      <c r="L69" s="3"/>
      <c r="M69" s="3"/>
      <c r="N69"/>
      <c r="O69" s="3"/>
      <c r="P69"/>
      <c r="Q69" s="3"/>
    </row>
    <row r="70" spans="1:17" s="2" customFormat="1" hidden="1" x14ac:dyDescent="0.3">
      <c r="A70" t="s">
        <v>11</v>
      </c>
      <c r="B70" s="10"/>
      <c r="L70" s="3"/>
      <c r="M70" s="3"/>
      <c r="N70"/>
      <c r="O70" s="3"/>
      <c r="P70"/>
      <c r="Q70" s="3"/>
    </row>
    <row r="71" spans="1:17" s="2" customFormat="1" hidden="1" x14ac:dyDescent="0.3">
      <c r="A71" t="s">
        <v>13</v>
      </c>
      <c r="B71" s="10"/>
      <c r="L71" s="3"/>
      <c r="M71" s="3"/>
      <c r="N71"/>
      <c r="O71" s="3"/>
      <c r="P71"/>
      <c r="Q71" s="3"/>
    </row>
    <row r="72" spans="1:17" s="2" customFormat="1" hidden="1" x14ac:dyDescent="0.3">
      <c r="A72" t="s">
        <v>14</v>
      </c>
      <c r="B72" s="10"/>
      <c r="L72" s="3"/>
      <c r="M72" s="3"/>
      <c r="N72"/>
      <c r="O72" s="3"/>
      <c r="P72"/>
      <c r="Q72" s="3"/>
    </row>
    <row r="73" spans="1:17" s="2" customFormat="1" hidden="1" x14ac:dyDescent="0.3">
      <c r="A73" t="s">
        <v>16</v>
      </c>
      <c r="B73" s="10"/>
      <c r="L73" s="3"/>
      <c r="M73" s="3"/>
      <c r="N73"/>
      <c r="O73" s="3"/>
      <c r="P73"/>
      <c r="Q73" s="3"/>
    </row>
    <row r="74" spans="1:17" s="2" customFormat="1" hidden="1" x14ac:dyDescent="0.3">
      <c r="A74" t="s">
        <v>17</v>
      </c>
      <c r="B74" s="3"/>
      <c r="L74" s="3"/>
      <c r="M74" s="3"/>
      <c r="N74"/>
      <c r="O74" s="3"/>
      <c r="P74"/>
      <c r="Q74" s="3"/>
    </row>
    <row r="75" spans="1:17" s="2" customFormat="1" hidden="1" x14ac:dyDescent="0.3">
      <c r="A75" t="s">
        <v>21</v>
      </c>
      <c r="B75" s="3"/>
      <c r="L75" s="3"/>
      <c r="M75" s="3"/>
      <c r="N75"/>
      <c r="O75" s="3"/>
      <c r="P75"/>
      <c r="Q75" s="3"/>
    </row>
    <row r="76" spans="1:17" s="2" customFormat="1" hidden="1" x14ac:dyDescent="0.3">
      <c r="A76" t="s">
        <v>31</v>
      </c>
      <c r="B76" s="3"/>
      <c r="L76" s="3"/>
      <c r="M76" s="3"/>
      <c r="N76"/>
      <c r="O76" s="3"/>
      <c r="P76"/>
      <c r="Q76" s="3"/>
    </row>
  </sheetData>
  <sheetProtection formatCells="0" formatColumns="0" formatRows="0" insertColumns="0" insertRows="0" insertHyperlinks="0" deleteColumns="0" deleteRows="0" sort="0" autoFilter="0" pivotTables="0"/>
  <mergeCells count="22">
    <mergeCell ref="B31:D31"/>
    <mergeCell ref="G31:J31"/>
    <mergeCell ref="C32:D32"/>
    <mergeCell ref="H32:J32"/>
    <mergeCell ref="B18:C18"/>
    <mergeCell ref="D18:K18"/>
    <mergeCell ref="B19:K20"/>
    <mergeCell ref="D22:K23"/>
    <mergeCell ref="B24:K25"/>
    <mergeCell ref="D27:K28"/>
    <mergeCell ref="B9:C9"/>
    <mergeCell ref="B11:G11"/>
    <mergeCell ref="H11:I11"/>
    <mergeCell ref="J11:K11"/>
    <mergeCell ref="G15:I15"/>
    <mergeCell ref="J15:K15"/>
    <mergeCell ref="B7:C7"/>
    <mergeCell ref="B2:K2"/>
    <mergeCell ref="B3:D3"/>
    <mergeCell ref="E3:H3"/>
    <mergeCell ref="I3:K3"/>
    <mergeCell ref="B5:C5"/>
  </mergeCells>
  <conditionalFormatting sqref="G16">
    <cfRule type="cellIs" dxfId="3" priority="2" operator="greaterThan">
      <formula>350</formula>
    </cfRule>
  </conditionalFormatting>
  <conditionalFormatting sqref="K13:K14">
    <cfRule type="cellIs" dxfId="2" priority="1" operator="greaterThan">
      <formula>1</formula>
    </cfRule>
  </conditionalFormatting>
  <dataValidations count="4">
    <dataValidation type="whole" allowBlank="1" showInputMessage="1" showErrorMessage="1" errorTitle="¡Error!" error="Introduzca un número válido." promptTitle="¡Atención!" prompt="Introduzca un número entre 0 y 30" sqref="H13:H14" xr:uid="{00000000-0002-0000-0000-000000000000}">
      <formula1>0</formula1>
      <formula2>30</formula2>
    </dataValidation>
    <dataValidation type="whole" allowBlank="1" showInputMessage="1" showErrorMessage="1" errorTitle="¡Error!" error="Introduzca un número válido." promptTitle="¡Atención!" prompt="Introduzca un número entre 0 y 366" sqref="G16 G13:G14" xr:uid="{00000000-0002-0000-0000-000001000000}">
      <formula1>0</formula1>
      <formula2>366</formula2>
    </dataValidation>
    <dataValidation type="list" allowBlank="1" showInputMessage="1" showErrorMessage="1" sqref="E7:F8 D8" xr:uid="{00000000-0002-0000-0000-000002000000}">
      <formula1>#REF!</formula1>
    </dataValidation>
    <dataValidation type="list" allowBlank="1" showInputMessage="1" showErrorMessage="1" sqref="D7" xr:uid="{00000000-0002-0000-0000-000003000000}">
      <formula1>$A$65:$A$76</formula1>
    </dataValidation>
  </dataValidations>
  <pageMargins left="0.7" right="0.7" top="0.75" bottom="0.75" header="0.3" footer="0.3"/>
  <pageSetup scale="3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6"/>
  <sheetViews>
    <sheetView showGridLines="0" tabSelected="1" view="pageBreakPreview" zoomScaleNormal="100" zoomScaleSheetLayoutView="100" workbookViewId="0">
      <selection activeCell="B2" sqref="B2:K2"/>
    </sheetView>
  </sheetViews>
  <sheetFormatPr baseColWidth="10" defaultColWidth="8.6640625" defaultRowHeight="14.4" x14ac:dyDescent="0.3"/>
  <cols>
    <col min="1" max="1" width="4.44140625" style="3" customWidth="1"/>
    <col min="2" max="2" width="15.6640625" style="2" customWidth="1"/>
    <col min="3" max="3" width="8.5546875" style="2" bestFit="1" customWidth="1"/>
    <col min="4" max="4" width="43.33203125" style="2" customWidth="1"/>
    <col min="5" max="5" width="14.109375" style="2" bestFit="1" customWidth="1"/>
    <col min="6" max="6" width="13.44140625" style="2" customWidth="1"/>
    <col min="7" max="7" width="13.6640625" style="2" customWidth="1"/>
    <col min="8" max="8" width="13.44140625" style="2" customWidth="1"/>
    <col min="9" max="9" width="10.44140625" style="2" customWidth="1"/>
    <col min="10" max="10" width="12.44140625" style="2" customWidth="1"/>
    <col min="11" max="11" width="12.33203125" style="2" customWidth="1"/>
    <col min="12" max="12" width="6.6640625" style="3" customWidth="1"/>
    <col min="13" max="13" width="16.44140625" style="3" customWidth="1"/>
    <col min="15" max="15" width="16.44140625" style="3" customWidth="1"/>
    <col min="16" max="16" width="0" hidden="1" customWidth="1"/>
    <col min="17" max="17" width="16.44140625" style="3" customWidth="1"/>
    <col min="18" max="16384" width="8.6640625" style="3"/>
  </cols>
  <sheetData>
    <row r="1" spans="2:16" x14ac:dyDescent="0.3">
      <c r="P1" t="s">
        <v>0</v>
      </c>
    </row>
    <row r="2" spans="2:16" ht="49.5" customHeight="1" x14ac:dyDescent="0.3">
      <c r="B2" s="45" t="s">
        <v>1</v>
      </c>
      <c r="C2" s="45"/>
      <c r="D2" s="45"/>
      <c r="E2" s="45"/>
      <c r="F2" s="45"/>
      <c r="G2" s="45"/>
      <c r="H2" s="45"/>
      <c r="I2" s="45"/>
      <c r="J2" s="45"/>
      <c r="K2" s="45"/>
      <c r="P2" t="s">
        <v>2</v>
      </c>
    </row>
    <row r="3" spans="2:16" ht="18.75" customHeight="1" x14ac:dyDescent="0.3">
      <c r="B3" s="46" t="s">
        <v>3</v>
      </c>
      <c r="C3" s="47"/>
      <c r="D3" s="47"/>
      <c r="E3" s="47" t="s">
        <v>4</v>
      </c>
      <c r="F3" s="47"/>
      <c r="G3" s="47"/>
      <c r="H3" s="47"/>
      <c r="I3" s="47" t="s">
        <v>5</v>
      </c>
      <c r="J3" s="47"/>
      <c r="K3" s="48"/>
    </row>
    <row r="4" spans="2:16" x14ac:dyDescent="0.3">
      <c r="B4" s="4"/>
      <c r="C4" s="5"/>
      <c r="K4" s="6"/>
      <c r="P4" t="s">
        <v>6</v>
      </c>
    </row>
    <row r="5" spans="2:16" s="10" customFormat="1" ht="27.6" customHeight="1" x14ac:dyDescent="0.3">
      <c r="B5" s="44" t="s">
        <v>7</v>
      </c>
      <c r="C5" s="44"/>
      <c r="D5" s="40">
        <v>90632454</v>
      </c>
      <c r="E5" s="7"/>
      <c r="F5" s="7"/>
      <c r="G5" s="8"/>
      <c r="H5" s="8"/>
      <c r="I5" s="8"/>
      <c r="J5" s="8"/>
      <c r="K5" s="9"/>
      <c r="N5"/>
      <c r="P5" t="s">
        <v>8</v>
      </c>
    </row>
    <row r="6" spans="2:16" s="10" customFormat="1" x14ac:dyDescent="0.3">
      <c r="B6" s="11"/>
      <c r="C6" s="8"/>
      <c r="D6" s="8"/>
      <c r="E6" s="8"/>
      <c r="F6" s="8"/>
      <c r="G6" s="8"/>
      <c r="H6" s="8"/>
      <c r="I6" s="8"/>
      <c r="J6" s="8"/>
      <c r="K6" s="9"/>
      <c r="N6"/>
      <c r="P6" t="s">
        <v>11</v>
      </c>
    </row>
    <row r="7" spans="2:16" s="10" customFormat="1" x14ac:dyDescent="0.3">
      <c r="B7" s="44" t="s">
        <v>12</v>
      </c>
      <c r="C7" s="44"/>
      <c r="D7" s="12" t="s">
        <v>6</v>
      </c>
      <c r="E7" s="13"/>
      <c r="F7" s="13"/>
      <c r="G7" s="8"/>
      <c r="H7" s="8"/>
      <c r="I7" s="8"/>
      <c r="J7" s="8"/>
      <c r="K7" s="9"/>
      <c r="N7"/>
      <c r="P7" t="s">
        <v>13</v>
      </c>
    </row>
    <row r="8" spans="2:16" s="10" customFormat="1" x14ac:dyDescent="0.3">
      <c r="B8" s="14"/>
      <c r="C8" s="15"/>
      <c r="D8" s="13"/>
      <c r="E8" s="13"/>
      <c r="F8" s="13"/>
      <c r="G8" s="8"/>
      <c r="H8" s="8"/>
      <c r="I8" s="8"/>
      <c r="J8" s="8"/>
      <c r="K8" s="9"/>
      <c r="N8"/>
      <c r="P8" t="s">
        <v>14</v>
      </c>
    </row>
    <row r="9" spans="2:16" s="10" customFormat="1" x14ac:dyDescent="0.3">
      <c r="B9" s="44" t="s">
        <v>15</v>
      </c>
      <c r="C9" s="44"/>
      <c r="D9" s="16">
        <v>46081</v>
      </c>
      <c r="E9" s="17"/>
      <c r="F9" s="17"/>
      <c r="G9" s="8"/>
      <c r="H9" s="8"/>
      <c r="I9" s="8"/>
      <c r="J9" s="8"/>
      <c r="K9" s="9"/>
      <c r="N9"/>
      <c r="P9" t="s">
        <v>16</v>
      </c>
    </row>
    <row r="10" spans="2:16" x14ac:dyDescent="0.3">
      <c r="B10" s="18"/>
      <c r="C10" s="19"/>
      <c r="K10" s="20"/>
      <c r="P10" t="s">
        <v>17</v>
      </c>
    </row>
    <row r="11" spans="2:16" ht="26.85" customHeight="1" x14ac:dyDescent="0.3">
      <c r="B11" s="49" t="s">
        <v>18</v>
      </c>
      <c r="C11" s="49"/>
      <c r="D11" s="49"/>
      <c r="E11" s="49"/>
      <c r="F11" s="49"/>
      <c r="G11" s="49"/>
      <c r="H11" s="44" t="s">
        <v>19</v>
      </c>
      <c r="I11" s="44"/>
      <c r="J11" s="44" t="s">
        <v>20</v>
      </c>
      <c r="K11" s="44"/>
      <c r="P11" t="s">
        <v>21</v>
      </c>
    </row>
    <row r="12" spans="2:16" ht="57.6" customHeight="1" x14ac:dyDescent="0.3">
      <c r="B12" s="39" t="s">
        <v>22</v>
      </c>
      <c r="C12" s="39" t="s">
        <v>23</v>
      </c>
      <c r="D12" s="39" t="s">
        <v>24</v>
      </c>
      <c r="E12" s="39" t="s">
        <v>25</v>
      </c>
      <c r="F12" s="39" t="s">
        <v>26</v>
      </c>
      <c r="G12" s="39" t="s">
        <v>27</v>
      </c>
      <c r="H12" s="39" t="s">
        <v>28</v>
      </c>
      <c r="I12" s="39" t="s">
        <v>29</v>
      </c>
      <c r="J12" s="39" t="s">
        <v>30</v>
      </c>
      <c r="K12" s="39" t="s">
        <v>29</v>
      </c>
      <c r="P12" t="s">
        <v>31</v>
      </c>
    </row>
    <row r="13" spans="2:16" x14ac:dyDescent="0.3">
      <c r="B13" s="21">
        <v>3</v>
      </c>
      <c r="C13" s="35" t="s">
        <v>45</v>
      </c>
      <c r="D13" s="64" t="s">
        <v>42</v>
      </c>
      <c r="E13" s="65" t="s">
        <v>54</v>
      </c>
      <c r="F13" s="66" t="s">
        <v>44</v>
      </c>
      <c r="G13" s="37">
        <v>107</v>
      </c>
      <c r="H13" s="37">
        <v>15</v>
      </c>
      <c r="I13" s="22">
        <f>IFERROR(H13/G13,0)</f>
        <v>0.14018691588785046</v>
      </c>
      <c r="J13" s="23">
        <f>+H13+ENERO!J13</f>
        <v>17</v>
      </c>
      <c r="K13" s="22">
        <f>IFERROR(J13/G13,0)</f>
        <v>0.15887850467289719</v>
      </c>
    </row>
    <row r="14" spans="2:16" x14ac:dyDescent="0.3">
      <c r="B14" s="24">
        <v>3</v>
      </c>
      <c r="C14" s="25" t="s">
        <v>47</v>
      </c>
      <c r="D14" s="67" t="s">
        <v>43</v>
      </c>
      <c r="E14" s="68" t="s">
        <v>55</v>
      </c>
      <c r="F14" s="69" t="s">
        <v>49</v>
      </c>
      <c r="G14" s="38">
        <v>107</v>
      </c>
      <c r="H14" s="38">
        <v>15</v>
      </c>
      <c r="I14" s="26">
        <f>IFERROR(H14/G14,0)</f>
        <v>0.14018691588785046</v>
      </c>
      <c r="J14" s="41">
        <f>+H14+ENERO!J14</f>
        <v>17</v>
      </c>
      <c r="K14" s="26">
        <f>IFERROR(J14/G14,0)</f>
        <v>0.15887850467289719</v>
      </c>
    </row>
    <row r="15" spans="2:16" x14ac:dyDescent="0.3">
      <c r="B15" s="8"/>
      <c r="C15" s="8"/>
      <c r="D15" s="8"/>
      <c r="E15" s="8"/>
      <c r="F15" s="15"/>
      <c r="G15" s="50" t="str">
        <f>+CONCATENATE("TOTAL A ",D7)</f>
        <v>TOTAL A FEBRERO</v>
      </c>
      <c r="H15" s="50"/>
      <c r="I15" s="50"/>
      <c r="J15" s="50" t="s">
        <v>32</v>
      </c>
      <c r="K15" s="50"/>
    </row>
    <row r="16" spans="2:16" s="10" customFormat="1" ht="16.5" customHeight="1" x14ac:dyDescent="0.3">
      <c r="B16" s="8"/>
      <c r="C16" s="8"/>
      <c r="G16" s="27">
        <f>+SUM(G13:G14)</f>
        <v>214</v>
      </c>
      <c r="H16" s="27">
        <f>+SUM(H13:H14)</f>
        <v>30</v>
      </c>
      <c r="I16" s="28">
        <f>IFERROR(H16/G16,0)</f>
        <v>0.14018691588785046</v>
      </c>
      <c r="J16" s="29">
        <f>+SUM(J13:J14)</f>
        <v>34</v>
      </c>
      <c r="K16" s="28">
        <f>IFERROR(J16/G16,0)</f>
        <v>0.15887850467289719</v>
      </c>
      <c r="N16"/>
      <c r="P16"/>
    </row>
    <row r="18" spans="1:11" ht="60.75" customHeight="1" x14ac:dyDescent="0.3">
      <c r="B18" s="49" t="s">
        <v>33</v>
      </c>
      <c r="C18" s="49"/>
      <c r="D18" s="54" t="s">
        <v>52</v>
      </c>
      <c r="E18" s="55"/>
      <c r="F18" s="55"/>
      <c r="G18" s="55"/>
      <c r="H18" s="55"/>
      <c r="I18" s="55"/>
      <c r="J18" s="55"/>
      <c r="K18" s="55"/>
    </row>
    <row r="19" spans="1:11" customFormat="1" ht="14.4" customHeight="1" x14ac:dyDescent="0.3">
      <c r="A19" s="36"/>
      <c r="B19" s="56" t="s">
        <v>35</v>
      </c>
      <c r="C19" s="57"/>
      <c r="D19" s="57"/>
      <c r="E19" s="57"/>
      <c r="F19" s="57"/>
      <c r="G19" s="57"/>
      <c r="H19" s="57"/>
      <c r="I19" s="57"/>
      <c r="J19" s="57"/>
      <c r="K19" s="58"/>
    </row>
    <row r="20" spans="1:11" customFormat="1" ht="19.95" customHeight="1" x14ac:dyDescent="0.3">
      <c r="A20" s="3"/>
      <c r="B20" s="59"/>
      <c r="C20" s="60"/>
      <c r="D20" s="60"/>
      <c r="E20" s="60"/>
      <c r="F20" s="60"/>
      <c r="G20" s="60"/>
      <c r="H20" s="60"/>
      <c r="I20" s="60"/>
      <c r="J20" s="60"/>
      <c r="K20" s="61"/>
    </row>
    <row r="21" spans="1:11" ht="19.350000000000001" customHeight="1" x14ac:dyDescent="0.3">
      <c r="B21" s="30" t="s">
        <v>36</v>
      </c>
      <c r="C21" s="31"/>
      <c r="D21" s="31"/>
      <c r="E21" s="31"/>
      <c r="F21" s="31"/>
      <c r="G21" s="31"/>
      <c r="H21" s="31"/>
      <c r="I21" s="31"/>
      <c r="J21" s="31"/>
      <c r="K21" s="32"/>
    </row>
    <row r="22" spans="1:11" ht="20.100000000000001" customHeight="1" x14ac:dyDescent="0.4">
      <c r="B22" s="33" t="s">
        <v>37</v>
      </c>
      <c r="C22" s="34"/>
      <c r="D22" s="62" t="s">
        <v>34</v>
      </c>
      <c r="E22" s="62"/>
      <c r="F22" s="62"/>
      <c r="G22" s="62"/>
      <c r="H22" s="62"/>
      <c r="I22" s="62"/>
      <c r="J22" s="62"/>
      <c r="K22" s="62"/>
    </row>
    <row r="23" spans="1:11" ht="20.100000000000001" customHeight="1" x14ac:dyDescent="0.4">
      <c r="B23" s="33" t="s">
        <v>38</v>
      </c>
      <c r="C23" s="34"/>
      <c r="D23" s="62"/>
      <c r="E23" s="62"/>
      <c r="F23" s="62"/>
      <c r="G23" s="62"/>
      <c r="H23" s="62"/>
      <c r="I23" s="62"/>
      <c r="J23" s="62"/>
      <c r="K23" s="62"/>
    </row>
    <row r="24" spans="1:11" x14ac:dyDescent="0.3">
      <c r="B24" s="63" t="s">
        <v>35</v>
      </c>
      <c r="C24" s="63"/>
      <c r="D24" s="63"/>
      <c r="E24" s="63"/>
      <c r="F24" s="63"/>
      <c r="G24" s="63"/>
      <c r="H24" s="63"/>
      <c r="I24" s="63"/>
      <c r="J24" s="63"/>
      <c r="K24" s="63"/>
    </row>
    <row r="25" spans="1:11" ht="15" customHeight="1" x14ac:dyDescent="0.3">
      <c r="B25" s="63"/>
      <c r="C25" s="63"/>
      <c r="D25" s="63"/>
      <c r="E25" s="63"/>
      <c r="F25" s="63"/>
      <c r="G25" s="63"/>
      <c r="H25" s="63"/>
      <c r="I25" s="63"/>
      <c r="J25" s="63"/>
      <c r="K25" s="63"/>
    </row>
    <row r="26" spans="1:11" x14ac:dyDescent="0.3">
      <c r="B26" s="30" t="s">
        <v>39</v>
      </c>
      <c r="C26" s="31"/>
      <c r="D26" s="31"/>
      <c r="E26" s="31"/>
      <c r="F26" s="31"/>
      <c r="G26" s="31"/>
      <c r="H26" s="31"/>
      <c r="I26" s="31"/>
      <c r="J26" s="31"/>
      <c r="K26" s="32"/>
    </row>
    <row r="27" spans="1:11" ht="20.100000000000001" customHeight="1" x14ac:dyDescent="0.4">
      <c r="B27" s="33" t="s">
        <v>37</v>
      </c>
      <c r="C27" s="34"/>
      <c r="D27" s="62" t="s">
        <v>34</v>
      </c>
      <c r="E27" s="62"/>
      <c r="F27" s="62"/>
      <c r="G27" s="62"/>
      <c r="H27" s="62"/>
      <c r="I27" s="62"/>
      <c r="J27" s="62"/>
      <c r="K27" s="62"/>
    </row>
    <row r="28" spans="1:11" ht="20.100000000000001" customHeight="1" x14ac:dyDescent="0.4">
      <c r="B28" s="33" t="s">
        <v>38</v>
      </c>
      <c r="C28" s="34"/>
      <c r="D28" s="62"/>
      <c r="E28" s="62"/>
      <c r="F28" s="62"/>
      <c r="G28" s="62"/>
      <c r="H28" s="62"/>
      <c r="I28" s="62"/>
      <c r="J28" s="62"/>
      <c r="K28" s="62"/>
    </row>
    <row r="31" spans="1:11" ht="19.5" customHeight="1" x14ac:dyDescent="0.3">
      <c r="B31" s="51"/>
      <c r="C31" s="51"/>
      <c r="D31" s="51"/>
      <c r="G31" s="51"/>
      <c r="H31" s="51"/>
      <c r="I31" s="51"/>
      <c r="J31" s="51"/>
    </row>
    <row r="32" spans="1:11" ht="23.85" customHeight="1" x14ac:dyDescent="0.3">
      <c r="B32" s="8" t="s">
        <v>40</v>
      </c>
      <c r="C32" s="52"/>
      <c r="D32" s="52"/>
      <c r="G32" s="8" t="s">
        <v>41</v>
      </c>
      <c r="H32" s="53" t="s">
        <v>53</v>
      </c>
      <c r="I32" s="53"/>
      <c r="J32" s="53"/>
    </row>
    <row r="64" spans="1:17" s="2" customFormat="1" hidden="1" x14ac:dyDescent="0.3">
      <c r="A64" t="s">
        <v>0</v>
      </c>
      <c r="B64" s="3"/>
      <c r="L64" s="3"/>
      <c r="M64" s="3"/>
      <c r="N64"/>
      <c r="O64" s="3"/>
      <c r="P64"/>
      <c r="Q64" s="3"/>
    </row>
    <row r="65" spans="1:17" s="2" customFormat="1" hidden="1" x14ac:dyDescent="0.3">
      <c r="A65" t="s">
        <v>2</v>
      </c>
      <c r="B65" s="3"/>
      <c r="L65" s="3"/>
      <c r="M65" s="3"/>
      <c r="N65"/>
      <c r="O65" s="3"/>
      <c r="P65"/>
      <c r="Q65" s="3"/>
    </row>
    <row r="66" spans="1:17" s="2" customFormat="1" hidden="1" x14ac:dyDescent="0.3">
      <c r="A66" t="s">
        <v>6</v>
      </c>
      <c r="B66" s="3"/>
      <c r="L66" s="3"/>
      <c r="M66" s="3"/>
      <c r="N66"/>
      <c r="O66" s="3"/>
      <c r="P66"/>
      <c r="Q66" s="3"/>
    </row>
    <row r="67" spans="1:17" s="2" customFormat="1" hidden="1" x14ac:dyDescent="0.3">
      <c r="A67" t="s">
        <v>8</v>
      </c>
      <c r="B67" s="10"/>
      <c r="L67" s="3"/>
      <c r="M67" s="3"/>
      <c r="N67"/>
      <c r="O67" s="3"/>
      <c r="P67"/>
      <c r="Q67" s="3"/>
    </row>
    <row r="68" spans="1:17" s="2" customFormat="1" hidden="1" x14ac:dyDescent="0.3">
      <c r="A68" t="s">
        <v>9</v>
      </c>
      <c r="B68" s="3"/>
      <c r="L68" s="3"/>
      <c r="M68" s="3"/>
      <c r="N68"/>
      <c r="O68" s="3"/>
      <c r="P68"/>
      <c r="Q68" s="3"/>
    </row>
    <row r="69" spans="1:17" s="2" customFormat="1" hidden="1" x14ac:dyDescent="0.3">
      <c r="A69" t="s">
        <v>10</v>
      </c>
      <c r="B69" s="10"/>
      <c r="L69" s="3"/>
      <c r="M69" s="3"/>
      <c r="N69"/>
      <c r="O69" s="3"/>
      <c r="P69"/>
      <c r="Q69" s="3"/>
    </row>
    <row r="70" spans="1:17" s="2" customFormat="1" hidden="1" x14ac:dyDescent="0.3">
      <c r="A70" t="s">
        <v>11</v>
      </c>
      <c r="B70" s="10"/>
      <c r="L70" s="3"/>
      <c r="M70" s="3"/>
      <c r="N70"/>
      <c r="O70" s="3"/>
      <c r="P70"/>
      <c r="Q70" s="3"/>
    </row>
    <row r="71" spans="1:17" s="2" customFormat="1" hidden="1" x14ac:dyDescent="0.3">
      <c r="A71" t="s">
        <v>13</v>
      </c>
      <c r="B71" s="10"/>
      <c r="L71" s="3"/>
      <c r="M71" s="3"/>
      <c r="N71"/>
      <c r="O71" s="3"/>
      <c r="P71"/>
      <c r="Q71" s="3"/>
    </row>
    <row r="72" spans="1:17" s="2" customFormat="1" hidden="1" x14ac:dyDescent="0.3">
      <c r="A72" t="s">
        <v>14</v>
      </c>
      <c r="B72" s="10"/>
      <c r="L72" s="3"/>
      <c r="M72" s="3"/>
      <c r="N72"/>
      <c r="O72" s="3"/>
      <c r="P72"/>
      <c r="Q72" s="3"/>
    </row>
    <row r="73" spans="1:17" s="2" customFormat="1" hidden="1" x14ac:dyDescent="0.3">
      <c r="A73" t="s">
        <v>16</v>
      </c>
      <c r="B73" s="10"/>
      <c r="L73" s="3"/>
      <c r="M73" s="3"/>
      <c r="N73"/>
      <c r="O73" s="3"/>
      <c r="P73"/>
      <c r="Q73" s="3"/>
    </row>
    <row r="74" spans="1:17" s="2" customFormat="1" hidden="1" x14ac:dyDescent="0.3">
      <c r="A74" t="s">
        <v>17</v>
      </c>
      <c r="B74" s="3"/>
      <c r="L74" s="3"/>
      <c r="M74" s="3"/>
      <c r="N74"/>
      <c r="O74" s="3"/>
      <c r="P74"/>
      <c r="Q74" s="3"/>
    </row>
    <row r="75" spans="1:17" s="2" customFormat="1" hidden="1" x14ac:dyDescent="0.3">
      <c r="A75" t="s">
        <v>21</v>
      </c>
      <c r="B75" s="3"/>
      <c r="L75" s="3"/>
      <c r="M75" s="3"/>
      <c r="N75"/>
      <c r="O75" s="3"/>
      <c r="P75"/>
      <c r="Q75" s="3"/>
    </row>
    <row r="76" spans="1:17" s="2" customFormat="1" hidden="1" x14ac:dyDescent="0.3">
      <c r="A76" t="s">
        <v>31</v>
      </c>
      <c r="B76" s="3"/>
      <c r="L76" s="3"/>
      <c r="M76" s="3"/>
      <c r="N76"/>
      <c r="O76" s="3"/>
      <c r="P76"/>
      <c r="Q76" s="3"/>
    </row>
  </sheetData>
  <sheetProtection formatCells="0" formatColumns="0" formatRows="0" insertColumns="0" insertRows="0" insertHyperlinks="0" deleteColumns="0" deleteRows="0" sort="0" autoFilter="0" pivotTables="0"/>
  <mergeCells count="22">
    <mergeCell ref="B31:D31"/>
    <mergeCell ref="G31:J31"/>
    <mergeCell ref="C32:D32"/>
    <mergeCell ref="H32:J32"/>
    <mergeCell ref="B18:C18"/>
    <mergeCell ref="D18:K18"/>
    <mergeCell ref="B19:K20"/>
    <mergeCell ref="D22:K23"/>
    <mergeCell ref="B24:K25"/>
    <mergeCell ref="D27:K28"/>
    <mergeCell ref="B9:C9"/>
    <mergeCell ref="B11:G11"/>
    <mergeCell ref="H11:I11"/>
    <mergeCell ref="J11:K11"/>
    <mergeCell ref="G15:I15"/>
    <mergeCell ref="J15:K15"/>
    <mergeCell ref="B7:C7"/>
    <mergeCell ref="B2:K2"/>
    <mergeCell ref="B3:D3"/>
    <mergeCell ref="E3:H3"/>
    <mergeCell ref="I3:K3"/>
    <mergeCell ref="B5:C5"/>
  </mergeCells>
  <conditionalFormatting sqref="G16">
    <cfRule type="cellIs" dxfId="1" priority="2" operator="greaterThan">
      <formula>350</formula>
    </cfRule>
  </conditionalFormatting>
  <conditionalFormatting sqref="K13:K14">
    <cfRule type="cellIs" dxfId="0" priority="1" operator="greaterThan">
      <formula>1</formula>
    </cfRule>
  </conditionalFormatting>
  <dataValidations count="4">
    <dataValidation type="list" allowBlank="1" showInputMessage="1" showErrorMessage="1" sqref="D7" xr:uid="{00000000-0002-0000-0100-000000000000}">
      <formula1>$A$65:$A$76</formula1>
    </dataValidation>
    <dataValidation type="list" allowBlank="1" showInputMessage="1" showErrorMessage="1" sqref="E7:F8 D8" xr:uid="{00000000-0002-0000-0100-000001000000}">
      <formula1>#REF!</formula1>
    </dataValidation>
    <dataValidation type="whole" allowBlank="1" showInputMessage="1" showErrorMessage="1" errorTitle="¡Error!" error="Introduzca un número válido." promptTitle="¡Atención!" prompt="Introduzca un número entre 0 y 366" sqref="G16 G13:G14" xr:uid="{00000000-0002-0000-0100-000002000000}">
      <formula1>0</formula1>
      <formula2>366</formula2>
    </dataValidation>
    <dataValidation type="whole" allowBlank="1" showInputMessage="1" showErrorMessage="1" errorTitle="¡Error!" error="Introduzca un número válido." promptTitle="¡Atención!" prompt="Introduzca un número entre 0 y 30" sqref="H13:H14" xr:uid="{00000000-0002-0000-0100-000003000000}">
      <formula1>0</formula1>
      <formula2>30</formula2>
    </dataValidation>
  </dataValidations>
  <pageMargins left="0.7" right="0.7" top="0.75" bottom="0.75" header="0.3" footer="0.3"/>
  <pageSetup scale="38"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ENERO</vt:lpstr>
      <vt:lpstr>FEBRERO</vt:lpstr>
      <vt:lpstr>ENERO!Área_de_impresión</vt:lpstr>
      <vt:lpstr>FEBRERO!Área_de_impresión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Petroservicios Ocho</cp:lastModifiedBy>
  <dcterms:created xsi:type="dcterms:W3CDTF">2024-01-10T22:00:55Z</dcterms:created>
  <dcterms:modified xsi:type="dcterms:W3CDTF">2026-03-03T23:39:33Z</dcterms:modified>
</cp:coreProperties>
</file>