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R:\40_GES_PROY\48_PROYECTOS\ECOPETROL 3037132\2_EJECUCION\9_ODS\2026\16_90612258\1_Entregables\2_Febrero\"/>
    </mc:Choice>
  </mc:AlternateContent>
  <xr:revisionPtr revIDLastSave="0" documentId="14_{5EB15B6B-EC2D-4FD2-9408-718E04B1638E}" xr6:coauthVersionLast="47" xr6:coauthVersionMax="47" xr10:uidLastSave="{00000000-0000-0000-0000-000000000000}"/>
  <bookViews>
    <workbookView xWindow="-108" yWindow="-108" windowWidth="23256" windowHeight="12456" activeTab="1" xr2:uid="{00000000-000D-0000-FFFF-FFFF00000000}"/>
  </bookViews>
  <sheets>
    <sheet name="ENERO" sheetId="16" r:id="rId1"/>
    <sheet name="FEBRERO" sheetId="17" r:id="rId2"/>
  </sheets>
  <definedNames>
    <definedName name="_xlnm.Print_Area" localSheetId="0">ENERO!$A$1:$M$66</definedName>
    <definedName name="_xlnm.Print_Area" localSheetId="1">FEBRERO!$A$1:$M$66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7" l="1"/>
  <c r="I48" i="17" l="1"/>
  <c r="H48" i="17"/>
  <c r="J46" i="17"/>
  <c r="J45" i="17"/>
  <c r="J44" i="17"/>
  <c r="J43" i="17"/>
  <c r="J42" i="17"/>
  <c r="J41" i="17"/>
  <c r="J40" i="17"/>
  <c r="J39" i="17"/>
  <c r="J38" i="17"/>
  <c r="J37" i="17"/>
  <c r="J36" i="17"/>
  <c r="J35" i="17"/>
  <c r="J34" i="17"/>
  <c r="J33" i="17"/>
  <c r="J32" i="17"/>
  <c r="J31" i="17"/>
  <c r="J30" i="17"/>
  <c r="J29" i="17"/>
  <c r="J28" i="17"/>
  <c r="J27" i="17"/>
  <c r="J26" i="17"/>
  <c r="J25" i="17"/>
  <c r="J24" i="17"/>
  <c r="J23" i="17"/>
  <c r="J22" i="17"/>
  <c r="J21" i="17"/>
  <c r="J20" i="17"/>
  <c r="J19" i="17"/>
  <c r="J18" i="17"/>
  <c r="J17" i="17"/>
  <c r="J16" i="17"/>
  <c r="J15" i="17"/>
  <c r="J14" i="17"/>
  <c r="J13" i="17"/>
  <c r="J48" i="17" l="1"/>
  <c r="K46" i="16"/>
  <c r="J46" i="16"/>
  <c r="K45" i="16"/>
  <c r="J45" i="16"/>
  <c r="K44" i="16"/>
  <c r="J44" i="16"/>
  <c r="K43" i="16"/>
  <c r="J43" i="16"/>
  <c r="K42" i="16"/>
  <c r="J42" i="16"/>
  <c r="K41" i="16"/>
  <c r="K41" i="17" s="1"/>
  <c r="L41" i="17" s="1"/>
  <c r="J41" i="16"/>
  <c r="K40" i="16"/>
  <c r="J40" i="16"/>
  <c r="K39" i="16"/>
  <c r="J39" i="16"/>
  <c r="K38" i="16"/>
  <c r="J38" i="16"/>
  <c r="K37" i="16"/>
  <c r="J37" i="16"/>
  <c r="K36" i="16"/>
  <c r="K36" i="17" s="1"/>
  <c r="L36" i="17" s="1"/>
  <c r="J36" i="16"/>
  <c r="K35" i="16"/>
  <c r="J35" i="16"/>
  <c r="K34" i="16"/>
  <c r="J34" i="16"/>
  <c r="J30" i="16"/>
  <c r="K30" i="16"/>
  <c r="K30" i="17" s="1"/>
  <c r="L30" i="17" s="1"/>
  <c r="J31" i="16"/>
  <c r="K31" i="16"/>
  <c r="J32" i="16"/>
  <c r="K32" i="16"/>
  <c r="J33" i="16"/>
  <c r="K33" i="16"/>
  <c r="K33" i="17" s="1"/>
  <c r="L33" i="17" s="1"/>
  <c r="H48" i="16"/>
  <c r="I48" i="16"/>
  <c r="L36" i="16" l="1"/>
  <c r="L41" i="16"/>
  <c r="L45" i="16"/>
  <c r="K45" i="17"/>
  <c r="L45" i="17" s="1"/>
  <c r="L37" i="16"/>
  <c r="K37" i="17"/>
  <c r="L37" i="17" s="1"/>
  <c r="L34" i="16"/>
  <c r="K34" i="17"/>
  <c r="L34" i="17" s="1"/>
  <c r="L38" i="16"/>
  <c r="K38" i="17"/>
  <c r="L38" i="17" s="1"/>
  <c r="L42" i="16"/>
  <c r="K42" i="17"/>
  <c r="L42" i="17" s="1"/>
  <c r="L46" i="16"/>
  <c r="K46" i="17"/>
  <c r="L46" i="17" s="1"/>
  <c r="L32" i="16"/>
  <c r="K32" i="17"/>
  <c r="L32" i="17" s="1"/>
  <c r="L35" i="16"/>
  <c r="K35" i="17"/>
  <c r="L35" i="17" s="1"/>
  <c r="L39" i="16"/>
  <c r="K39" i="17"/>
  <c r="L39" i="17" s="1"/>
  <c r="L43" i="16"/>
  <c r="K43" i="17"/>
  <c r="L43" i="17" s="1"/>
  <c r="L31" i="16"/>
  <c r="K31" i="17"/>
  <c r="L31" i="17" s="1"/>
  <c r="L40" i="16"/>
  <c r="K40" i="17"/>
  <c r="L40" i="17" s="1"/>
  <c r="L44" i="16"/>
  <c r="K44" i="17"/>
  <c r="L44" i="17" s="1"/>
  <c r="J48" i="16"/>
  <c r="L33" i="16"/>
  <c r="L30" i="16"/>
  <c r="J26" i="16" l="1"/>
  <c r="J25" i="16"/>
  <c r="J24" i="16"/>
  <c r="J23" i="16"/>
  <c r="J22" i="16"/>
  <c r="K17" i="16" l="1"/>
  <c r="K17" i="17" s="1"/>
  <c r="L17" i="17" s="1"/>
  <c r="K16" i="16"/>
  <c r="K16" i="17" s="1"/>
  <c r="L16" i="17" s="1"/>
  <c r="K15" i="16"/>
  <c r="K15" i="17" s="1"/>
  <c r="L15" i="17" s="1"/>
  <c r="K14" i="16"/>
  <c r="K14" i="17" s="1"/>
  <c r="L14" i="17" s="1"/>
  <c r="K13" i="16"/>
  <c r="K13" i="17" s="1"/>
  <c r="L13" i="17" l="1"/>
  <c r="J13" i="16"/>
  <c r="J14" i="16"/>
  <c r="J15" i="16"/>
  <c r="J16" i="16"/>
  <c r="J17" i="16"/>
  <c r="K29" i="16" l="1"/>
  <c r="K29" i="17" s="1"/>
  <c r="L29" i="17" s="1"/>
  <c r="J29" i="16"/>
  <c r="K28" i="16"/>
  <c r="K28" i="17" s="1"/>
  <c r="L28" i="17" s="1"/>
  <c r="J28" i="16"/>
  <c r="K27" i="16"/>
  <c r="K27" i="17" s="1"/>
  <c r="L27" i="17" s="1"/>
  <c r="J27" i="16"/>
  <c r="K26" i="16"/>
  <c r="K26" i="17" s="1"/>
  <c r="L26" i="17" s="1"/>
  <c r="K25" i="16"/>
  <c r="K25" i="17" s="1"/>
  <c r="L25" i="17" s="1"/>
  <c r="K24" i="16"/>
  <c r="K24" i="17" s="1"/>
  <c r="L24" i="17" s="1"/>
  <c r="K23" i="16"/>
  <c r="K23" i="17" s="1"/>
  <c r="L23" i="17" s="1"/>
  <c r="K22" i="16"/>
  <c r="K22" i="17" s="1"/>
  <c r="L22" i="17" s="1"/>
  <c r="K21" i="16"/>
  <c r="K21" i="17" s="1"/>
  <c r="L21" i="17" s="1"/>
  <c r="J21" i="16"/>
  <c r="K20" i="16"/>
  <c r="K20" i="17" s="1"/>
  <c r="L20" i="17" s="1"/>
  <c r="J20" i="16"/>
  <c r="K19" i="16"/>
  <c r="K19" i="17" s="1"/>
  <c r="L19" i="17" s="1"/>
  <c r="J19" i="16"/>
  <c r="K18" i="16"/>
  <c r="K18" i="17" s="1"/>
  <c r="J18" i="16"/>
  <c r="L18" i="17" l="1"/>
  <c r="L48" i="17"/>
  <c r="K48" i="16"/>
  <c r="L48" i="16" s="1"/>
  <c r="L25" i="16"/>
  <c r="L29" i="16"/>
  <c r="L21" i="16"/>
  <c r="L22" i="16"/>
  <c r="L26" i="16"/>
  <c r="L19" i="16"/>
  <c r="L23" i="16"/>
  <c r="L27" i="16"/>
  <c r="L20" i="16"/>
  <c r="L24" i="16"/>
  <c r="L28" i="16"/>
  <c r="L18" i="16"/>
  <c r="L17" i="16"/>
  <c r="L16" i="16"/>
  <c r="L15" i="16"/>
  <c r="L14" i="16"/>
  <c r="L13"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K12" authorId="0" shapeId="0" xr:uid="{00000000-0006-0000-0000-000001000000}">
      <text>
        <r>
          <rPr>
            <sz val="9"/>
            <color indexed="81"/>
            <rFont val="Tahoma"/>
            <family val="2"/>
          </rPr>
          <t>Días acumulados del último reporte + Días del mes a reportar.</t>
        </r>
      </text>
    </comment>
    <comment ref="B65" authorId="0" shapeId="0" xr:uid="{00000000-0006-0000-0000-000002000000}">
      <text>
        <r>
          <rPr>
            <sz val="9"/>
            <color indexed="81"/>
            <rFont val="Tahoma"/>
            <family val="2"/>
          </rPr>
          <t>Firma de quién revisa</t>
        </r>
      </text>
    </comment>
    <comment ref="C66" authorId="0" shapeId="0" xr:uid="{00000000-0006-0000-0000-000003000000}">
      <text>
        <r>
          <rPr>
            <sz val="9"/>
            <color rgb="FF000000"/>
            <rFont val="Tahoma"/>
            <family val="2"/>
          </rPr>
          <t>Nombre completo de quién revisa</t>
        </r>
      </text>
    </comment>
    <comment ref="I66" authorId="0" shapeId="0" xr:uid="{00000000-0006-0000-0000-000004000000}">
      <text>
        <r>
          <rPr>
            <sz val="9"/>
            <color indexed="81"/>
            <rFont val="Tahoma"/>
            <family val="2"/>
          </rPr>
          <t>Nombre completo del interventor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K12" authorId="0" shapeId="0" xr:uid="{00000000-0006-0000-0100-000001000000}">
      <text>
        <r>
          <rPr>
            <sz val="9"/>
            <color indexed="81"/>
            <rFont val="Tahoma"/>
            <family val="2"/>
          </rPr>
          <t>Días acumulados del último reporte + Días del mes a reportar.</t>
        </r>
      </text>
    </comment>
    <comment ref="B65" authorId="0" shapeId="0" xr:uid="{00000000-0006-0000-0100-000002000000}">
      <text>
        <r>
          <rPr>
            <sz val="9"/>
            <color indexed="81"/>
            <rFont val="Tahoma"/>
            <family val="2"/>
          </rPr>
          <t>Firma de quién revisa</t>
        </r>
      </text>
    </comment>
    <comment ref="C66" authorId="0" shapeId="0" xr:uid="{00000000-0006-0000-0100-000003000000}">
      <text>
        <r>
          <rPr>
            <sz val="9"/>
            <color rgb="FF000000"/>
            <rFont val="Tahoma"/>
            <family val="2"/>
          </rPr>
          <t>Nombre completo de quién revisa</t>
        </r>
      </text>
    </comment>
    <comment ref="I66" authorId="0" shapeId="0" xr:uid="{00000000-0006-0000-0100-000004000000}">
      <text>
        <r>
          <rPr>
            <sz val="9"/>
            <color indexed="81"/>
            <rFont val="Tahoma"/>
            <family val="2"/>
          </rPr>
          <t>Nombre completo del interventor</t>
        </r>
      </text>
    </comment>
  </commentList>
</comments>
</file>

<file path=xl/sharedStrings.xml><?xml version="1.0" encoding="utf-8"?>
<sst xmlns="http://schemas.openxmlformats.org/spreadsheetml/2006/main" count="400" uniqueCount="92">
  <si>
    <t>MES</t>
  </si>
  <si>
    <t>REPORTE DE AVANCE</t>
  </si>
  <si>
    <t>ENERO</t>
  </si>
  <si>
    <t>Fecha: 29/06/2022</t>
  </si>
  <si>
    <t>Version: 01</t>
  </si>
  <si>
    <t>GP-F-23</t>
  </si>
  <si>
    <t>FEBRERO</t>
  </si>
  <si>
    <t>Código Orden de servicio</t>
  </si>
  <si>
    <t>MARZO</t>
  </si>
  <si>
    <t>ABRIL</t>
  </si>
  <si>
    <t>MAYO</t>
  </si>
  <si>
    <t>JUNIO</t>
  </si>
  <si>
    <t>Mes a reportar</t>
  </si>
  <si>
    <t>JULIO</t>
  </si>
  <si>
    <t>AGOSTO</t>
  </si>
  <si>
    <t>Fecha reporte</t>
  </si>
  <si>
    <t>SEPTIEMBRE</t>
  </si>
  <si>
    <t>OCTUBRE</t>
  </si>
  <si>
    <t>Clasificación del servicio</t>
  </si>
  <si>
    <t>Reporte mes por servicio</t>
  </si>
  <si>
    <t>Reporte acumulado por servicio</t>
  </si>
  <si>
    <t>NOVIEMBRE</t>
  </si>
  <si>
    <t>Ítem general</t>
  </si>
  <si>
    <t>ítem actividad</t>
  </si>
  <si>
    <t>Descripción de la actividad</t>
  </si>
  <si>
    <t>Soporte</t>
  </si>
  <si>
    <t>Medio de entrega</t>
  </si>
  <si>
    <t>Días</t>
  </si>
  <si>
    <t>% avance</t>
  </si>
  <si>
    <t xml:space="preserve">Días </t>
  </si>
  <si>
    <t>DICIEMBRE</t>
  </si>
  <si>
    <t>Digital</t>
  </si>
  <si>
    <t>TOTAL ACUMULADO</t>
  </si>
  <si>
    <t>Observaciones:</t>
  </si>
  <si>
    <t>Describa en este espacio su observación</t>
  </si>
  <si>
    <r>
      <t>¿Se presentó algún aspecto o situación que afecte la ejecución y calidad de los entregables? (</t>
    </r>
    <r>
      <rPr>
        <b/>
        <i/>
        <sz val="9"/>
        <color theme="1"/>
        <rFont val="Verdana"/>
        <family val="2"/>
      </rPr>
      <t>Marque con una X</t>
    </r>
    <r>
      <rPr>
        <b/>
        <sz val="9"/>
        <color theme="1"/>
        <rFont val="Verdana"/>
        <family val="2"/>
      </rPr>
      <t>)</t>
    </r>
  </si>
  <si>
    <t>PROFESIONAL</t>
  </si>
  <si>
    <t>SI</t>
  </si>
  <si>
    <t>NO</t>
  </si>
  <si>
    <t>INTERVENTOR O LIDER</t>
  </si>
  <si>
    <t>Revisa:</t>
  </si>
  <si>
    <t>3.14</t>
  </si>
  <si>
    <t>Generar Distribución de Producción por sub- unidades (allocation)</t>
  </si>
  <si>
    <t>3.16</t>
  </si>
  <si>
    <t>Análisis de Declinaciones por pozo y/o subunidad</t>
  </si>
  <si>
    <t>3.17</t>
  </si>
  <si>
    <t>Analizar data histórica de producción, productividad y daño por pozo</t>
  </si>
  <si>
    <t>Base de Datos - Informe de la Evaluación</t>
  </si>
  <si>
    <t>3.18</t>
  </si>
  <si>
    <t>3.6</t>
  </si>
  <si>
    <t>Generar Modelo analítico del yacimiento integrando la información disponible en un software específico</t>
  </si>
  <si>
    <t>3.11</t>
  </si>
  <si>
    <t>Informe del análisis por pozo o prueba</t>
  </si>
  <si>
    <t>5.1</t>
  </si>
  <si>
    <t>5.2</t>
  </si>
  <si>
    <t>Generación de oportunidades de intervención a Pozos</t>
  </si>
  <si>
    <t>5.3</t>
  </si>
  <si>
    <t>Estimar restricciones de Presión y tasas para la generación de perfiles de producción</t>
  </si>
  <si>
    <t>5.4</t>
  </si>
  <si>
    <t>Generar modelo de Pozos</t>
  </si>
  <si>
    <t>5.5</t>
  </si>
  <si>
    <t>Adelantar la evaluación e interpretación de datos enfocada a candidatización de actividades de reacondicionamiento y optimización de productividad en los activos</t>
  </si>
  <si>
    <t>5.6</t>
  </si>
  <si>
    <t>Generar los análisis asociados a candidatización de pozos para optimización de la producción empleando simulación numérica (análisis nodal) de productividad de pozos</t>
  </si>
  <si>
    <t>5.9</t>
  </si>
  <si>
    <t>Adelantar en análisis y evaluación de datos enfocada a la ejecución de estudios de daño de formación</t>
  </si>
  <si>
    <t>3.12</t>
  </si>
  <si>
    <t>Generar Modelo de Presiones partiendo de las pruebas previamente validadas e interpretadas</t>
  </si>
  <si>
    <t>Profesional Acargo</t>
  </si>
  <si>
    <t>Días contratados Acta de Inicio</t>
  </si>
  <si>
    <t>Realice el plan de desarrollo de campo y los pronósticos: realizando todos los pronósticos de escenarios de simulación para llevar a cabo la planificación del desarrollo de campo, esto incluye investigar y realizar análisis de sensibilidad e incertidumbre de los principales parámetros coincidentes de la historia y las incógnitas y su efecto en el pronóstico.</t>
  </si>
  <si>
    <t>Modelo Dinámico
Perfiles de Producción
Informe</t>
  </si>
  <si>
    <t>Análisis de interpretación de datos de pruebas de presión - producción (DSTs, PBU, Pruebas Extendidas Producción, Gradientes Estáticos - Dinámicos PT, etc.) o de presión inyección (Inyectividad, SRT, FOT) aplicadas ya sea en tiempo real, memorizadas o con sarta temporal DST. Integración Probador Formación - registros Open Hole.</t>
  </si>
  <si>
    <t>Base de datos</t>
  </si>
  <si>
    <t>Generar Balance de Materia por campo y/o por subunidad y/o por compartimiento</t>
  </si>
  <si>
    <t>Generar Balance de Materia por campo y/o por subunidad y/o por 
compartimiento</t>
  </si>
  <si>
    <t>Generar perfiles de Producción por pozos para pozos existente en escenarios Bajo, Medio y Alto</t>
  </si>
  <si>
    <t xml:space="preserve">Generar bases de datos de Eventos de pozos </t>
  </si>
  <si>
    <t>Realizar el seguimiento de producción / inyección de pozos intervenidos con base en los comportamientos de producción previo y posterior a la intervención</t>
  </si>
  <si>
    <t>3.3</t>
  </si>
  <si>
    <t>3.15</t>
  </si>
  <si>
    <t>Cindy Natalia Isaza Toro</t>
  </si>
  <si>
    <t>Christian Camilo Rivera Sanchez</t>
  </si>
  <si>
    <t>5.10</t>
  </si>
  <si>
    <t>Dora Patricia Restrepo Restrepo</t>
  </si>
  <si>
    <t>-</t>
  </si>
  <si>
    <t>Modelo Analítico - Perfiles de Producción - Informe del modelo</t>
  </si>
  <si>
    <t>Modelo del sector</t>
  </si>
  <si>
    <r>
      <t>3.3 3.6 3.11 3.12 3.14 3.15 3.16 3.17 3.18 5.1 5.2 5.3 5.4 5.5 5.6 5.9 5.1 Senior (CR):</t>
    </r>
    <r>
      <rPr>
        <sz val="9"/>
        <color theme="1"/>
        <rFont val="Verdana"/>
        <family val="2"/>
      </rPr>
      <t xml:space="preserve">
Continua revisión de los perfiles de producción para el área de N-Oriente. Se construyen y entregan informes IRR, resumen ejecutivo, tabla ANH, tabla de gas, para la ANH vigencia 2025 (campos Orito, Mansoya, Yurilla, Quililí y Cedral). Se realiza informe PLEX y formulario Excel para la ANH (Orito y N-Oriente). Se analizan trabajos de WO y WS, analisis nodal O-56. Se realiza estimación de volúmenes en reservas para los pozos O-169, O-15 y O-108, teniendo en cuenta análisis técnico económico de ingeniería. Se analizaron estrategias de perforación y completamiento para nuevos pozos a desarrollar. Se inició la estructuración de una propuesta de EOR para la Formación Pepino. Se atendieron requerimientos regulatorios adicionales de la ANH (formas).          </t>
    </r>
  </si>
  <si>
    <r>
      <t xml:space="preserve">3.3 3.6 3.11 3.12 3.14 3.15 3.16 3.17 3.18 5.1 5.2 5.3 5.4 5.5 5.6 5.9 5.1 Senior (CI):
</t>
    </r>
    <r>
      <rPr>
        <sz val="9"/>
        <color theme="1"/>
        <rFont val="Verdana"/>
        <family val="2"/>
      </rPr>
      <t xml:space="preserve">Seguimiento a la producción de los pozos de las áreas Occidente y Sur. Seguimiento proyecto Marsella Ecopetrol-Parex. Revisión y análisis de pozos de las áreas Occidente y Sur con opciones de WO en la formación Villeta.  Revisión y análisis de pozos de Circular 1 con opciones de WO.  Análisis de gradientes del pozo Caribe 10ST. Justificaciones de Recursos Contingentes. Análisis de gradientes del pozo Quriyana 4. Revisión propuesta Caribe 10ST por parte del equipo Parex. Realización de informes IRR para los Campos Caribe, Acae-SM, Quriyana, Alqamari y Sucio. Realización de Informes PLEX – Occidente y Sur.  Realización de Informes ITA – Occidente y Sur.  Revisión del plan de acción del pozo Alqamari 2 – Cambio de sistema de levantamiento de FN a BES. Revisión de oportunidades de estimulaciones de los pozos a reactivar en área Sur: Acae 8A, Acae 12 y Loro 9D y Acae 6. </t>
    </r>
  </si>
  <si>
    <r>
      <t xml:space="preserve">3.3 3.6 3.11 3.12 3.14 3.15 3.16 3.17 3.18 5.1 5.2 5.3 5.4 5.5 5.6 5.9 5.1 Senior (CI):
* </t>
    </r>
    <r>
      <rPr>
        <sz val="9"/>
        <color theme="1"/>
        <rFont val="Verdana"/>
        <family val="2"/>
      </rPr>
      <t>Seguimiento a la producción de los pozos de las áreas Occidente y Sur.
* Revisión de los Flujos de Caja de los campos de las áreas Occidente y Sur.
* Revisión y análisis de pozos de las áreas Occidente y Sur con opciones de WO en la formación Villeta. 
* Justificación de reservas de los campos pertenecientes a las áreas Occidente y Sur.</t>
    </r>
  </si>
  <si>
    <r>
      <t>3.3 3.6 3.11 3.12 3.14 3.15 3.16 3.17 3.18 5.1 5.2 5.3 5.4 5.5 5.6 5.9 5.1 Senior (CR):</t>
    </r>
    <r>
      <rPr>
        <sz val="9"/>
        <color theme="1"/>
        <rFont val="Verdana"/>
        <family val="2"/>
      </rPr>
      <t xml:space="preserve">
* Se reciben versiones actualizadas de volúmenes FID, paras los campos Orito y Mansoya, las cuales son verificadas (balance, usos, conteo, volumenes).
* Se realiza validacion de Flujos de Caja (volumenes, usos, conteos, regalias, parametros del gas).
* Se realiza declaración de gas para el Campo Orito y posterior entrega a la ANH. Continua revisión de los perfiles de producción para el área de N-Oriente. 
* Se construye y entrega informe ITA-IES para la ANH vigencia 2025. 
* Se analizan trabajos de WO y WS a realizar, nuevo análisis nodal pozo O-169. 
* Se realiza trabajo de justificación de movimiento de reservas para los campos Orito y Mansoya, para posterior carga en EcoVol.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</si>
</sst>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sz val="11"/>
      <color theme="1"/>
      <name val="Calibri"/>
      <family val="2"/>
      <scheme val="minor"/>
    </font>
    <font>
      <sz val="9"/>
      <color theme="1"/>
      <name val="Verdana"/>
      <family val="2"/>
    </font>
    <font>
      <sz val="9"/>
      <color theme="1"/>
      <name val="Calibri"/>
      <family val="2"/>
      <scheme val="minor"/>
    </font>
    <font>
      <b/>
      <sz val="9"/>
      <color theme="1"/>
      <name val="Verdana"/>
      <family val="2"/>
    </font>
    <font>
      <b/>
      <i/>
      <sz val="9"/>
      <color theme="1"/>
      <name val="Verdana"/>
      <family val="2"/>
    </font>
    <font>
      <sz val="20"/>
      <color theme="1"/>
      <name val="Verdana"/>
      <family val="2"/>
    </font>
    <font>
      <sz val="9"/>
      <color theme="0" tint="-0.499984740745262"/>
      <name val="Verdana"/>
      <family val="2"/>
    </font>
    <font>
      <sz val="9"/>
      <color indexed="81"/>
      <name val="Tahoma"/>
      <family val="2"/>
    </font>
    <font>
      <sz val="9"/>
      <color rgb="FF000000"/>
      <name val="Tahoma"/>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s>
  <borders count="2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s>
  <cellStyleXfs count="2">
    <xf numFmtId="0" fontId="0" fillId="0" borderId="0"/>
    <xf numFmtId="9" fontId="1" fillId="0" borderId="0" applyFont="0" applyFill="0" applyBorder="0" applyAlignment="0" applyProtection="0"/>
  </cellStyleXfs>
  <cellXfs count="88">
    <xf numFmtId="0" fontId="0" fillId="0" borderId="0" xfId="0"/>
    <xf numFmtId="0" fontId="2" fillId="0" borderId="0" xfId="0" applyFont="1"/>
    <xf numFmtId="0" fontId="3" fillId="0" borderId="0" xfId="0" applyFont="1"/>
    <xf numFmtId="0" fontId="2" fillId="0" borderId="5" xfId="0" applyFont="1" applyBorder="1"/>
    <xf numFmtId="0" fontId="2" fillId="0" borderId="0" xfId="0" applyFont="1" applyAlignment="1">
      <alignment vertical="center"/>
    </xf>
    <xf numFmtId="0" fontId="3" fillId="0" borderId="0" xfId="0" applyFont="1" applyAlignment="1">
      <alignment vertical="center"/>
    </xf>
    <xf numFmtId="49" fontId="4" fillId="2" borderId="7" xfId="0" applyNumberFormat="1" applyFont="1" applyFill="1" applyBorder="1" applyAlignment="1">
      <alignment horizontal="center" vertical="center"/>
    </xf>
    <xf numFmtId="0" fontId="2" fillId="0" borderId="0" xfId="0" applyFont="1" applyAlignment="1">
      <alignment horizontal="center" vertical="center" wrapText="1"/>
    </xf>
    <xf numFmtId="14" fontId="4" fillId="2" borderId="7" xfId="0" applyNumberFormat="1" applyFont="1" applyFill="1" applyBorder="1" applyAlignment="1">
      <alignment horizontal="center" vertical="center"/>
    </xf>
    <xf numFmtId="0" fontId="0" fillId="0" borderId="0" xfId="0" applyAlignment="1">
      <alignment vertical="center"/>
    </xf>
    <xf numFmtId="0" fontId="4" fillId="0" borderId="7" xfId="0" applyFont="1" applyBorder="1" applyAlignment="1">
      <alignment horizontal="center" vertical="center"/>
    </xf>
    <xf numFmtId="164" fontId="4" fillId="0" borderId="7" xfId="1" applyNumberFormat="1" applyFont="1" applyBorder="1" applyAlignment="1" applyProtection="1">
      <alignment horizontal="center" vertical="center"/>
    </xf>
    <xf numFmtId="0" fontId="4" fillId="4" borderId="1" xfId="0" applyFont="1" applyFill="1" applyBorder="1" applyAlignment="1">
      <alignment vertical="center"/>
    </xf>
    <xf numFmtId="0" fontId="4" fillId="4" borderId="0" xfId="0" applyFont="1" applyFill="1" applyAlignment="1">
      <alignment vertical="center"/>
    </xf>
    <xf numFmtId="0" fontId="4" fillId="4" borderId="3" xfId="0" applyFont="1" applyFill="1" applyBorder="1" applyAlignment="1">
      <alignment vertical="center"/>
    </xf>
    <xf numFmtId="0" fontId="2" fillId="0" borderId="7" xfId="0" applyFont="1" applyBorder="1" applyAlignment="1">
      <alignment horizontal="center" vertical="center"/>
    </xf>
    <xf numFmtId="0" fontId="6" fillId="0" borderId="7" xfId="0" applyFont="1" applyBorder="1" applyAlignment="1">
      <alignment horizontal="center"/>
    </xf>
    <xf numFmtId="0" fontId="4" fillId="0" borderId="0" xfId="0" applyFont="1" applyAlignment="1">
      <alignment horizontal="center" vertical="center"/>
    </xf>
    <xf numFmtId="164" fontId="4" fillId="0" borderId="0" xfId="1" applyNumberFormat="1" applyFont="1" applyBorder="1" applyAlignment="1" applyProtection="1">
      <alignment horizontal="center" vertical="center"/>
    </xf>
    <xf numFmtId="1" fontId="4" fillId="0" borderId="0" xfId="0" applyNumberFormat="1" applyFont="1" applyAlignment="1">
      <alignment horizontal="center" vertical="center"/>
    </xf>
    <xf numFmtId="0" fontId="2" fillId="0" borderId="4" xfId="0" applyFont="1" applyBorder="1"/>
    <xf numFmtId="0" fontId="2" fillId="0" borderId="6" xfId="0" applyFont="1" applyBorder="1"/>
    <xf numFmtId="0" fontId="2" fillId="0" borderId="8" xfId="0" applyFont="1" applyBorder="1" applyAlignment="1">
      <alignment vertical="center"/>
    </xf>
    <xf numFmtId="0" fontId="2" fillId="0" borderId="9" xfId="0" applyFont="1" applyBorder="1" applyAlignment="1">
      <alignment vertical="center"/>
    </xf>
    <xf numFmtId="49" fontId="4" fillId="0" borderId="0" xfId="0" applyNumberFormat="1" applyFont="1" applyAlignment="1">
      <alignment horizontal="center" vertical="center"/>
    </xf>
    <xf numFmtId="0" fontId="2" fillId="0" borderId="9" xfId="0" applyFont="1" applyBorder="1" applyAlignment="1">
      <alignment horizontal="center" vertical="center" wrapText="1"/>
    </xf>
    <xf numFmtId="14" fontId="4" fillId="0" borderId="0" xfId="0" applyNumberFormat="1" applyFont="1" applyAlignment="1">
      <alignment horizontal="center" vertical="center"/>
    </xf>
    <xf numFmtId="0" fontId="2" fillId="0" borderId="9" xfId="0" applyFont="1" applyBorder="1"/>
    <xf numFmtId="0" fontId="2" fillId="0" borderId="8" xfId="0" applyFont="1" applyBorder="1"/>
    <xf numFmtId="0" fontId="2" fillId="2" borderId="7" xfId="0" applyFont="1" applyFill="1" applyBorder="1" applyAlignment="1">
      <alignment horizontal="center" vertical="center" wrapText="1"/>
    </xf>
    <xf numFmtId="1" fontId="4" fillId="0" borderId="7" xfId="0" applyNumberFormat="1" applyFont="1" applyBorder="1" applyAlignment="1">
      <alignment horizontal="center" vertical="center"/>
    </xf>
    <xf numFmtId="0" fontId="2" fillId="0" borderId="16" xfId="0" applyFont="1" applyBorder="1" applyAlignment="1">
      <alignment horizontal="left" vertical="center"/>
    </xf>
    <xf numFmtId="0" fontId="2" fillId="0" borderId="16" xfId="0" applyFont="1" applyBorder="1" applyAlignment="1">
      <alignment horizontal="center" vertical="center"/>
    </xf>
    <xf numFmtId="0" fontId="2" fillId="0" borderId="14" xfId="0" applyFont="1" applyBorder="1" applyAlignment="1">
      <alignment horizontal="left" vertical="center"/>
    </xf>
    <xf numFmtId="0" fontId="2" fillId="0" borderId="14" xfId="0" applyFont="1" applyBorder="1" applyAlignment="1">
      <alignment horizontal="center" vertical="center"/>
    </xf>
    <xf numFmtId="0" fontId="2" fillId="0" borderId="15" xfId="0" applyFont="1" applyBorder="1" applyAlignment="1">
      <alignment horizontal="left" vertical="center"/>
    </xf>
    <xf numFmtId="0" fontId="2" fillId="0" borderId="15" xfId="0" applyFont="1" applyBorder="1" applyAlignment="1">
      <alignment horizontal="center" vertical="center"/>
    </xf>
    <xf numFmtId="0" fontId="2" fillId="0" borderId="17" xfId="0" applyFont="1" applyBorder="1" applyAlignment="1">
      <alignment horizontal="center" vertical="center"/>
    </xf>
    <xf numFmtId="0" fontId="2" fillId="0" borderId="17" xfId="0" applyFont="1" applyBorder="1" applyAlignment="1">
      <alignment vertical="center"/>
    </xf>
    <xf numFmtId="0" fontId="2" fillId="0" borderId="14" xfId="0" applyFont="1" applyBorder="1" applyAlignment="1">
      <alignment vertical="center"/>
    </xf>
    <xf numFmtId="9" fontId="2" fillId="0" borderId="14" xfId="1" applyFont="1" applyBorder="1" applyAlignment="1">
      <alignment horizontal="center" vertical="center"/>
    </xf>
    <xf numFmtId="0" fontId="2" fillId="0" borderId="16" xfId="0" applyFont="1" applyBorder="1" applyAlignment="1">
      <alignment vertical="center"/>
    </xf>
    <xf numFmtId="9" fontId="2" fillId="0" borderId="16" xfId="1" applyFont="1" applyBorder="1" applyAlignment="1">
      <alignment horizontal="center" vertical="center"/>
    </xf>
    <xf numFmtId="0" fontId="2" fillId="0" borderId="22" xfId="0" applyFont="1" applyBorder="1" applyAlignment="1">
      <alignment horizontal="center" vertical="center"/>
    </xf>
    <xf numFmtId="0" fontId="2" fillId="0" borderId="21" xfId="0" applyFont="1" applyBorder="1" applyAlignment="1">
      <alignment horizontal="center" vertical="center"/>
    </xf>
    <xf numFmtId="0" fontId="2" fillId="0" borderId="24" xfId="0" applyFont="1" applyBorder="1" applyAlignment="1">
      <alignment horizontal="center" vertical="center"/>
    </xf>
    <xf numFmtId="0" fontId="4" fillId="2" borderId="7" xfId="0" applyFont="1" applyFill="1" applyBorder="1" applyAlignment="1" applyProtection="1">
      <alignment horizontal="center" vertical="center"/>
      <protection locked="0"/>
    </xf>
    <xf numFmtId="1" fontId="2" fillId="0" borderId="14" xfId="0" applyNumberFormat="1" applyFont="1" applyBorder="1" applyAlignment="1">
      <alignment horizontal="center" vertical="center" wrapText="1"/>
    </xf>
    <xf numFmtId="1" fontId="2" fillId="0" borderId="15" xfId="0" applyNumberFormat="1" applyFont="1" applyBorder="1" applyAlignment="1">
      <alignment horizontal="center" vertical="center" wrapText="1"/>
    </xf>
    <xf numFmtId="9" fontId="2" fillId="0" borderId="14" xfId="1" applyFont="1" applyBorder="1" applyAlignment="1" applyProtection="1">
      <alignment horizontal="center" vertical="center" wrapText="1"/>
    </xf>
    <xf numFmtId="9" fontId="2" fillId="0" borderId="15" xfId="1" applyFont="1" applyBorder="1" applyAlignment="1" applyProtection="1">
      <alignment horizontal="center" vertical="center" wrapText="1"/>
    </xf>
    <xf numFmtId="0" fontId="2" fillId="3" borderId="14" xfId="0" applyFont="1" applyFill="1" applyBorder="1" applyAlignment="1" applyProtection="1">
      <alignment horizontal="center" vertical="center" wrapText="1"/>
      <protection locked="0"/>
    </xf>
    <xf numFmtId="0" fontId="2" fillId="3" borderId="17" xfId="0" applyFont="1" applyFill="1" applyBorder="1" applyAlignment="1" applyProtection="1">
      <alignment horizontal="center" vertical="center" wrapText="1"/>
      <protection locked="0"/>
    </xf>
    <xf numFmtId="0" fontId="2" fillId="3" borderId="15" xfId="0" applyFont="1" applyFill="1" applyBorder="1" applyAlignment="1" applyProtection="1">
      <alignment horizontal="center" vertical="center" wrapText="1"/>
      <protection locked="0"/>
    </xf>
    <xf numFmtId="0" fontId="2" fillId="3" borderId="23" xfId="0" applyFont="1" applyFill="1" applyBorder="1" applyAlignment="1" applyProtection="1">
      <alignment horizontal="center" vertical="center" wrapText="1"/>
      <protection locked="0"/>
    </xf>
    <xf numFmtId="0" fontId="4" fillId="0" borderId="2" xfId="0" applyFont="1" applyBorder="1" applyAlignment="1">
      <alignment horizontal="center" vertical="center"/>
    </xf>
    <xf numFmtId="0" fontId="2" fillId="0" borderId="20" xfId="0" applyFont="1" applyBorder="1" applyAlignment="1">
      <alignment horizontal="left" vertical="center"/>
    </xf>
    <xf numFmtId="0" fontId="2" fillId="0" borderId="0" xfId="0" applyFont="1" applyAlignment="1">
      <alignment horizontal="center"/>
    </xf>
    <xf numFmtId="0" fontId="2" fillId="0" borderId="0" xfId="0" applyFont="1" applyAlignment="1">
      <alignment horizontal="center" vertical="center"/>
    </xf>
    <xf numFmtId="0" fontId="2" fillId="0" borderId="14" xfId="0" applyFont="1" applyBorder="1" applyAlignment="1" applyProtection="1">
      <alignment horizontal="left" vertical="top"/>
      <protection locked="0"/>
    </xf>
    <xf numFmtId="0" fontId="2" fillId="0" borderId="19" xfId="0" applyFont="1" applyBorder="1" applyAlignment="1" applyProtection="1">
      <alignment horizontal="left" vertical="top"/>
      <protection locked="0"/>
    </xf>
    <xf numFmtId="0" fontId="2" fillId="0" borderId="15" xfId="0" applyFont="1" applyBorder="1" applyAlignment="1" applyProtection="1">
      <alignment horizontal="left" vertical="top"/>
      <protection locked="0"/>
    </xf>
    <xf numFmtId="0" fontId="2" fillId="0" borderId="17" xfId="0" applyFont="1" applyBorder="1" applyAlignment="1">
      <alignment horizontal="left" vertical="center"/>
    </xf>
    <xf numFmtId="0" fontId="2" fillId="3" borderId="13" xfId="0" applyFont="1" applyFill="1" applyBorder="1" applyAlignment="1" applyProtection="1">
      <alignment horizontal="center" vertical="center" wrapText="1"/>
      <protection locked="0"/>
    </xf>
    <xf numFmtId="0" fontId="2" fillId="3" borderId="19" xfId="0" applyFont="1" applyFill="1" applyBorder="1" applyAlignment="1" applyProtection="1">
      <alignment horizontal="center" vertical="center" wrapText="1"/>
      <protection locked="0"/>
    </xf>
    <xf numFmtId="0" fontId="4" fillId="0" borderId="7" xfId="0" applyFont="1" applyBorder="1" applyAlignment="1">
      <alignment horizontal="center" vertical="center" wrapText="1"/>
    </xf>
    <xf numFmtId="0" fontId="7" fillId="0" borderId="7" xfId="0" applyFont="1" applyBorder="1" applyAlignment="1">
      <alignment horizontal="left" vertical="top" wrapText="1"/>
    </xf>
    <xf numFmtId="0" fontId="2" fillId="0" borderId="11" xfId="0" applyFont="1" applyBorder="1" applyAlignment="1">
      <alignment horizontal="center"/>
    </xf>
    <xf numFmtId="0" fontId="2" fillId="0" borderId="5" xfId="0" applyFont="1" applyBorder="1" applyAlignment="1">
      <alignment horizontal="center" vertical="center"/>
    </xf>
    <xf numFmtId="0" fontId="2" fillId="0" borderId="0" xfId="0" applyFont="1" applyAlignment="1" applyProtection="1">
      <alignment horizontal="center" vertical="center"/>
      <protection locked="0"/>
    </xf>
    <xf numFmtId="0" fontId="2" fillId="2" borderId="7" xfId="0" applyFont="1" applyFill="1" applyBorder="1" applyAlignment="1">
      <alignment horizontal="center" vertical="center" wrapText="1"/>
    </xf>
    <xf numFmtId="0" fontId="2" fillId="2" borderId="7" xfId="0" applyFont="1" applyFill="1" applyBorder="1" applyAlignment="1">
      <alignment horizontal="center" vertical="center"/>
    </xf>
    <xf numFmtId="0" fontId="2" fillId="0" borderId="13"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23" xfId="0" applyFont="1" applyBorder="1" applyAlignment="1">
      <alignment horizontal="center" vertical="center" wrapText="1"/>
    </xf>
    <xf numFmtId="0" fontId="4" fillId="2" borderId="23" xfId="0" applyFont="1" applyFill="1" applyBorder="1" applyAlignment="1">
      <alignment horizontal="center" vertical="center"/>
    </xf>
    <xf numFmtId="0" fontId="2" fillId="2" borderId="4" xfId="0" applyFont="1" applyFill="1" applyBorder="1" applyAlignment="1" applyProtection="1">
      <alignment horizontal="center" vertical="center"/>
      <protection locked="0"/>
    </xf>
    <xf numFmtId="0" fontId="2" fillId="2" borderId="6" xfId="0" applyFont="1" applyFill="1" applyBorder="1" applyAlignment="1" applyProtection="1">
      <alignment horizontal="center" vertical="center"/>
      <protection locked="0"/>
    </xf>
    <xf numFmtId="0" fontId="2" fillId="2" borderId="10" xfId="0" applyFont="1" applyFill="1" applyBorder="1" applyAlignment="1" applyProtection="1">
      <alignment horizontal="center" vertical="center"/>
      <protection locked="0"/>
    </xf>
    <xf numFmtId="0" fontId="2" fillId="2" borderId="12" xfId="0" applyFont="1" applyFill="1" applyBorder="1" applyAlignment="1" applyProtection="1">
      <alignment horizontal="center" vertical="center"/>
      <protection locked="0"/>
    </xf>
    <xf numFmtId="0" fontId="4" fillId="2" borderId="1"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4" fillId="3" borderId="7" xfId="0" applyFont="1" applyFill="1" applyBorder="1" applyAlignment="1">
      <alignment horizontal="center" vertical="center" wrapText="1"/>
    </xf>
    <xf numFmtId="0" fontId="4" fillId="0" borderId="13"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cellXfs>
  <cellStyles count="2">
    <cellStyle name="Normal" xfId="0" builtinId="0"/>
    <cellStyle name="Porcentaje" xfId="1" builtinId="5"/>
  </cellStyles>
  <dxfs count="4">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806" y="202407"/>
          <a:ext cx="192404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806" y="202407"/>
          <a:ext cx="192404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8606" y="240507"/>
          <a:ext cx="192404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8606" y="240507"/>
          <a:ext cx="192404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0"/>
  <sheetViews>
    <sheetView showGridLines="0" view="pageBreakPreview" zoomScaleNormal="80" zoomScaleSheetLayoutView="100" workbookViewId="0">
      <selection activeCell="B2" sqref="B2:L2"/>
    </sheetView>
  </sheetViews>
  <sheetFormatPr baseColWidth="10" defaultColWidth="8.6640625" defaultRowHeight="14.4" x14ac:dyDescent="0.3"/>
  <cols>
    <col min="1" max="1" width="3.33203125" style="2" customWidth="1"/>
    <col min="2" max="2" width="9.33203125" style="1" customWidth="1"/>
    <col min="3" max="3" width="7.33203125" style="1" customWidth="1"/>
    <col min="4" max="4" width="43.109375" style="1" customWidth="1"/>
    <col min="5" max="5" width="26.33203125" style="1" customWidth="1"/>
    <col min="6" max="6" width="14.109375" style="1" bestFit="1" customWidth="1"/>
    <col min="7" max="7" width="13.44140625" style="1" customWidth="1"/>
    <col min="8" max="8" width="13.6640625" style="1" customWidth="1"/>
    <col min="9" max="9" width="13.44140625" style="1" customWidth="1"/>
    <col min="10" max="10" width="10.44140625" style="1" customWidth="1"/>
    <col min="11" max="11" width="12.44140625" style="1" customWidth="1"/>
    <col min="12" max="12" width="12.33203125" style="1" customWidth="1"/>
    <col min="13" max="13" width="4.88671875" style="2" customWidth="1"/>
    <col min="14" max="14" width="16.44140625" style="2" customWidth="1"/>
    <col min="16" max="16" width="16.44140625" style="2" customWidth="1"/>
    <col min="17" max="17" width="0" hidden="1" customWidth="1"/>
    <col min="18" max="18" width="16.44140625" style="2" customWidth="1"/>
    <col min="19" max="16384" width="8.6640625" style="2"/>
  </cols>
  <sheetData>
    <row r="1" spans="2:17" ht="18" customHeight="1" x14ac:dyDescent="0.3">
      <c r="Q1" t="s">
        <v>0</v>
      </c>
    </row>
    <row r="2" spans="2:17" ht="49.5" customHeight="1" x14ac:dyDescent="0.3">
      <c r="B2" s="84" t="s">
        <v>1</v>
      </c>
      <c r="C2" s="84"/>
      <c r="D2" s="84"/>
      <c r="E2" s="84"/>
      <c r="F2" s="84"/>
      <c r="G2" s="84"/>
      <c r="H2" s="84"/>
      <c r="I2" s="84"/>
      <c r="J2" s="84"/>
      <c r="K2" s="84"/>
      <c r="L2" s="84"/>
      <c r="Q2" t="s">
        <v>2</v>
      </c>
    </row>
    <row r="3" spans="2:17" ht="18.75" customHeight="1" x14ac:dyDescent="0.3">
      <c r="B3" s="85" t="s">
        <v>3</v>
      </c>
      <c r="C3" s="86"/>
      <c r="D3" s="86"/>
      <c r="E3" s="55"/>
      <c r="F3" s="86" t="s">
        <v>4</v>
      </c>
      <c r="G3" s="86"/>
      <c r="H3" s="86"/>
      <c r="I3" s="86"/>
      <c r="J3" s="86" t="s">
        <v>5</v>
      </c>
      <c r="K3" s="86"/>
      <c r="L3" s="87"/>
    </row>
    <row r="4" spans="2:17" x14ac:dyDescent="0.3">
      <c r="B4" s="20"/>
      <c r="C4" s="3"/>
      <c r="L4" s="21"/>
      <c r="Q4" t="s">
        <v>6</v>
      </c>
    </row>
    <row r="5" spans="2:17" s="5" customFormat="1" ht="27.6" customHeight="1" x14ac:dyDescent="0.3">
      <c r="B5" s="70" t="s">
        <v>7</v>
      </c>
      <c r="C5" s="70"/>
      <c r="D5" s="46">
        <v>90612258</v>
      </c>
      <c r="E5"/>
      <c r="F5" s="17"/>
      <c r="G5" s="17"/>
      <c r="H5" s="17"/>
      <c r="I5" s="4"/>
      <c r="J5" s="4"/>
      <c r="K5" s="4"/>
      <c r="L5" s="22"/>
      <c r="O5"/>
      <c r="Q5" t="s">
        <v>8</v>
      </c>
    </row>
    <row r="6" spans="2:17" s="5" customFormat="1" x14ac:dyDescent="0.3">
      <c r="B6" s="23"/>
      <c r="C6" s="4"/>
      <c r="D6" s="4"/>
      <c r="E6"/>
      <c r="F6" s="4"/>
      <c r="G6" s="4"/>
      <c r="H6" s="4"/>
      <c r="I6" s="4"/>
      <c r="J6" s="4"/>
      <c r="K6" s="4"/>
      <c r="L6" s="22"/>
      <c r="O6"/>
      <c r="Q6" t="s">
        <v>11</v>
      </c>
    </row>
    <row r="7" spans="2:17" s="5" customFormat="1" x14ac:dyDescent="0.3">
      <c r="B7" s="70" t="s">
        <v>12</v>
      </c>
      <c r="C7" s="70"/>
      <c r="D7" s="6" t="s">
        <v>2</v>
      </c>
      <c r="E7"/>
      <c r="F7" s="24"/>
      <c r="G7" s="24"/>
      <c r="H7" s="24"/>
      <c r="I7" s="4"/>
      <c r="J7" s="4"/>
      <c r="K7" s="4"/>
      <c r="L7" s="22"/>
      <c r="O7"/>
      <c r="Q7" t="s">
        <v>13</v>
      </c>
    </row>
    <row r="8" spans="2:17" s="5" customFormat="1" x14ac:dyDescent="0.3">
      <c r="B8" s="25"/>
      <c r="C8" s="7"/>
      <c r="D8" s="24"/>
      <c r="E8"/>
      <c r="F8" s="24"/>
      <c r="G8" s="24"/>
      <c r="H8" s="24"/>
      <c r="I8" s="4"/>
      <c r="J8" s="4"/>
      <c r="K8" s="4"/>
      <c r="L8" s="22"/>
      <c r="O8"/>
      <c r="Q8" t="s">
        <v>14</v>
      </c>
    </row>
    <row r="9" spans="2:17" s="5" customFormat="1" x14ac:dyDescent="0.3">
      <c r="B9" s="70" t="s">
        <v>15</v>
      </c>
      <c r="C9" s="70"/>
      <c r="D9" s="8">
        <v>46053</v>
      </c>
      <c r="E9"/>
      <c r="F9" s="26"/>
      <c r="G9" s="26"/>
      <c r="H9" s="26"/>
      <c r="I9" s="4"/>
      <c r="J9" s="4"/>
      <c r="K9" s="4"/>
      <c r="L9" s="22"/>
      <c r="O9"/>
      <c r="Q9" t="s">
        <v>16</v>
      </c>
    </row>
    <row r="10" spans="2:17" x14ac:dyDescent="0.3">
      <c r="B10" s="27"/>
      <c r="L10" s="28"/>
      <c r="Q10" t="s">
        <v>17</v>
      </c>
    </row>
    <row r="11" spans="2:17" ht="26.85" customHeight="1" x14ac:dyDescent="0.3">
      <c r="B11" s="71" t="s">
        <v>18</v>
      </c>
      <c r="C11" s="71"/>
      <c r="D11" s="71"/>
      <c r="E11" s="71"/>
      <c r="F11" s="71"/>
      <c r="G11" s="71"/>
      <c r="H11" s="71"/>
      <c r="I11" s="70" t="s">
        <v>19</v>
      </c>
      <c r="J11" s="70"/>
      <c r="K11" s="70" t="s">
        <v>20</v>
      </c>
      <c r="L11" s="70"/>
      <c r="Q11" t="s">
        <v>21</v>
      </c>
    </row>
    <row r="12" spans="2:17" ht="57.6" customHeight="1" x14ac:dyDescent="0.3">
      <c r="B12" s="29" t="s">
        <v>22</v>
      </c>
      <c r="C12" s="29" t="s">
        <v>23</v>
      </c>
      <c r="D12" s="29" t="s">
        <v>24</v>
      </c>
      <c r="E12" s="29" t="s">
        <v>68</v>
      </c>
      <c r="F12" s="29" t="s">
        <v>25</v>
      </c>
      <c r="G12" s="29" t="s">
        <v>26</v>
      </c>
      <c r="H12" s="29" t="s">
        <v>69</v>
      </c>
      <c r="I12" s="29" t="s">
        <v>27</v>
      </c>
      <c r="J12" s="29" t="s">
        <v>28</v>
      </c>
      <c r="K12" s="29" t="s">
        <v>29</v>
      </c>
      <c r="L12" s="29" t="s">
        <v>28</v>
      </c>
      <c r="Q12" t="s">
        <v>30</v>
      </c>
    </row>
    <row r="13" spans="2:17" ht="14.4" customHeight="1" x14ac:dyDescent="0.3">
      <c r="B13" s="32">
        <v>3</v>
      </c>
      <c r="C13" s="32" t="s">
        <v>79</v>
      </c>
      <c r="D13" s="41" t="s">
        <v>70</v>
      </c>
      <c r="E13" s="72" t="s">
        <v>81</v>
      </c>
      <c r="F13" s="31" t="s">
        <v>85</v>
      </c>
      <c r="G13" s="31" t="s">
        <v>85</v>
      </c>
      <c r="H13" s="63">
        <v>23</v>
      </c>
      <c r="I13" s="32">
        <v>0</v>
      </c>
      <c r="J13" s="42">
        <f t="shared" ref="J13:J17" si="0">IFERROR(I13/H13,0)</f>
        <v>0</v>
      </c>
      <c r="K13" s="32">
        <f t="shared" ref="K13:K20" si="1">I13</f>
        <v>0</v>
      </c>
      <c r="L13" s="42">
        <f t="shared" ref="L13:L17" si="2">IFERROR(K13/H13,0)</f>
        <v>0</v>
      </c>
    </row>
    <row r="14" spans="2:17" x14ac:dyDescent="0.3">
      <c r="B14" s="34">
        <v>3</v>
      </c>
      <c r="C14" s="34" t="s">
        <v>49</v>
      </c>
      <c r="D14" s="39" t="s">
        <v>50</v>
      </c>
      <c r="E14" s="73"/>
      <c r="F14" s="33" t="s">
        <v>85</v>
      </c>
      <c r="G14" s="33" t="s">
        <v>85</v>
      </c>
      <c r="H14" s="64">
        <v>5</v>
      </c>
      <c r="I14" s="34">
        <v>0</v>
      </c>
      <c r="J14" s="40">
        <f t="shared" si="0"/>
        <v>0</v>
      </c>
      <c r="K14" s="34">
        <f t="shared" si="1"/>
        <v>0</v>
      </c>
      <c r="L14" s="40">
        <f t="shared" si="2"/>
        <v>0</v>
      </c>
    </row>
    <row r="15" spans="2:17" x14ac:dyDescent="0.3">
      <c r="B15" s="34">
        <v>3</v>
      </c>
      <c r="C15" s="34" t="s">
        <v>51</v>
      </c>
      <c r="D15" s="39" t="s">
        <v>72</v>
      </c>
      <c r="E15" s="73"/>
      <c r="F15" s="33" t="s">
        <v>52</v>
      </c>
      <c r="G15" s="33" t="s">
        <v>31</v>
      </c>
      <c r="H15" s="51">
        <v>6</v>
      </c>
      <c r="I15" s="34">
        <v>2</v>
      </c>
      <c r="J15" s="40">
        <f t="shared" si="0"/>
        <v>0.33333333333333331</v>
      </c>
      <c r="K15" s="34">
        <f t="shared" si="1"/>
        <v>2</v>
      </c>
      <c r="L15" s="40">
        <f t="shared" si="2"/>
        <v>0.33333333333333331</v>
      </c>
    </row>
    <row r="16" spans="2:17" x14ac:dyDescent="0.3">
      <c r="B16" s="34">
        <v>3</v>
      </c>
      <c r="C16" s="34" t="s">
        <v>66</v>
      </c>
      <c r="D16" s="39" t="s">
        <v>67</v>
      </c>
      <c r="E16" s="73"/>
      <c r="F16" s="33" t="s">
        <v>85</v>
      </c>
      <c r="G16" s="33" t="s">
        <v>85</v>
      </c>
      <c r="H16" s="51">
        <v>5</v>
      </c>
      <c r="I16" s="34">
        <v>0</v>
      </c>
      <c r="J16" s="40">
        <f t="shared" si="0"/>
        <v>0</v>
      </c>
      <c r="K16" s="34">
        <f t="shared" si="1"/>
        <v>0</v>
      </c>
      <c r="L16" s="40">
        <f t="shared" si="2"/>
        <v>0</v>
      </c>
    </row>
    <row r="17" spans="2:17" s="5" customFormat="1" x14ac:dyDescent="0.3">
      <c r="B17" s="34">
        <v>3</v>
      </c>
      <c r="C17" s="37" t="s">
        <v>41</v>
      </c>
      <c r="D17" s="38" t="s">
        <v>42</v>
      </c>
      <c r="E17" s="73"/>
      <c r="F17" s="33" t="s">
        <v>85</v>
      </c>
      <c r="G17" s="33" t="s">
        <v>85</v>
      </c>
      <c r="H17" s="51">
        <v>13</v>
      </c>
      <c r="I17" s="34">
        <v>0</v>
      </c>
      <c r="J17" s="40">
        <f t="shared" si="0"/>
        <v>0</v>
      </c>
      <c r="K17" s="34">
        <f t="shared" si="1"/>
        <v>0</v>
      </c>
      <c r="L17" s="40">
        <f t="shared" si="2"/>
        <v>0</v>
      </c>
      <c r="O17" s="9"/>
      <c r="Q17" s="9"/>
    </row>
    <row r="18" spans="2:17" x14ac:dyDescent="0.3">
      <c r="B18" s="34">
        <v>3</v>
      </c>
      <c r="C18" s="34" t="s">
        <v>80</v>
      </c>
      <c r="D18" s="39" t="s">
        <v>74</v>
      </c>
      <c r="E18" s="73"/>
      <c r="F18" s="33" t="s">
        <v>75</v>
      </c>
      <c r="G18" s="33" t="s">
        <v>31</v>
      </c>
      <c r="H18" s="51">
        <v>5</v>
      </c>
      <c r="I18" s="34">
        <v>1</v>
      </c>
      <c r="J18" s="40">
        <f t="shared" ref="J18:J33" si="3">IFERROR(I18/H18,0)</f>
        <v>0.2</v>
      </c>
      <c r="K18" s="34">
        <f t="shared" si="1"/>
        <v>1</v>
      </c>
      <c r="L18" s="40">
        <f>IFERROR(K18/H18,0)</f>
        <v>0.2</v>
      </c>
    </row>
    <row r="19" spans="2:17" x14ac:dyDescent="0.3">
      <c r="B19" s="34">
        <v>3</v>
      </c>
      <c r="C19" s="34" t="s">
        <v>43</v>
      </c>
      <c r="D19" s="39" t="s">
        <v>44</v>
      </c>
      <c r="E19" s="73"/>
      <c r="F19" s="33" t="s">
        <v>44</v>
      </c>
      <c r="G19" s="33" t="s">
        <v>31</v>
      </c>
      <c r="H19" s="51">
        <v>26</v>
      </c>
      <c r="I19" s="34">
        <v>1</v>
      </c>
      <c r="J19" s="40">
        <f t="shared" si="3"/>
        <v>3.8461538461538464E-2</v>
      </c>
      <c r="K19" s="34">
        <f t="shared" si="1"/>
        <v>1</v>
      </c>
      <c r="L19" s="40">
        <f>IFERROR(K19/H19,0)</f>
        <v>3.8461538461538464E-2</v>
      </c>
    </row>
    <row r="20" spans="2:17" x14ac:dyDescent="0.3">
      <c r="B20" s="34">
        <v>3</v>
      </c>
      <c r="C20" s="34" t="s">
        <v>45</v>
      </c>
      <c r="D20" s="39" t="s">
        <v>46</v>
      </c>
      <c r="E20" s="73"/>
      <c r="F20" s="33" t="s">
        <v>46</v>
      </c>
      <c r="G20" s="33" t="s">
        <v>31</v>
      </c>
      <c r="H20" s="51">
        <v>8</v>
      </c>
      <c r="I20" s="34">
        <v>1</v>
      </c>
      <c r="J20" s="40">
        <f t="shared" si="3"/>
        <v>0.125</v>
      </c>
      <c r="K20" s="34">
        <f t="shared" si="1"/>
        <v>1</v>
      </c>
      <c r="L20" s="40">
        <f>IFERROR(K20/H20,0)</f>
        <v>0.125</v>
      </c>
    </row>
    <row r="21" spans="2:17" x14ac:dyDescent="0.3">
      <c r="B21" s="34">
        <v>3</v>
      </c>
      <c r="C21" s="37" t="s">
        <v>48</v>
      </c>
      <c r="D21" s="38" t="s">
        <v>76</v>
      </c>
      <c r="E21" s="73"/>
      <c r="F21" s="33" t="s">
        <v>85</v>
      </c>
      <c r="G21" s="33" t="s">
        <v>85</v>
      </c>
      <c r="H21" s="64">
        <v>25</v>
      </c>
      <c r="I21" s="34">
        <v>0</v>
      </c>
      <c r="J21" s="40">
        <f t="shared" si="3"/>
        <v>0</v>
      </c>
      <c r="K21" s="34">
        <f t="shared" ref="K21:K26" si="4">I21</f>
        <v>0</v>
      </c>
      <c r="L21" s="40">
        <f t="shared" ref="L21:L26" si="5">IFERROR(K21/H21,0)</f>
        <v>0</v>
      </c>
    </row>
    <row r="22" spans="2:17" s="5" customFormat="1" x14ac:dyDescent="0.3">
      <c r="B22" s="34">
        <v>5</v>
      </c>
      <c r="C22" s="34" t="s">
        <v>53</v>
      </c>
      <c r="D22" s="39" t="s">
        <v>77</v>
      </c>
      <c r="E22" s="73"/>
      <c r="F22" s="33" t="s">
        <v>73</v>
      </c>
      <c r="G22" s="33" t="s">
        <v>31</v>
      </c>
      <c r="H22" s="51">
        <v>13</v>
      </c>
      <c r="I22" s="34">
        <v>2</v>
      </c>
      <c r="J22" s="40">
        <f t="shared" si="3"/>
        <v>0.15384615384615385</v>
      </c>
      <c r="K22" s="34">
        <f t="shared" si="4"/>
        <v>2</v>
      </c>
      <c r="L22" s="40">
        <f t="shared" si="5"/>
        <v>0.15384615384615385</v>
      </c>
      <c r="O22" s="9"/>
      <c r="Q22" s="9"/>
    </row>
    <row r="23" spans="2:17" x14ac:dyDescent="0.3">
      <c r="B23" s="34">
        <v>5</v>
      </c>
      <c r="C23" s="34" t="s">
        <v>54</v>
      </c>
      <c r="D23" s="39" t="s">
        <v>55</v>
      </c>
      <c r="E23" s="73"/>
      <c r="F23" s="33" t="s">
        <v>47</v>
      </c>
      <c r="G23" s="33" t="s">
        <v>31</v>
      </c>
      <c r="H23" s="51">
        <v>23</v>
      </c>
      <c r="I23" s="34">
        <v>3</v>
      </c>
      <c r="J23" s="40">
        <f t="shared" si="3"/>
        <v>0.13043478260869565</v>
      </c>
      <c r="K23" s="34">
        <f t="shared" si="4"/>
        <v>3</v>
      </c>
      <c r="L23" s="40">
        <f t="shared" si="5"/>
        <v>0.13043478260869565</v>
      </c>
    </row>
    <row r="24" spans="2:17" x14ac:dyDescent="0.3">
      <c r="B24" s="34">
        <v>5</v>
      </c>
      <c r="C24" s="34" t="s">
        <v>56</v>
      </c>
      <c r="D24" s="39" t="s">
        <v>57</v>
      </c>
      <c r="E24" s="73"/>
      <c r="F24" s="33" t="s">
        <v>85</v>
      </c>
      <c r="G24" s="33" t="s">
        <v>85</v>
      </c>
      <c r="H24" s="64">
        <v>13</v>
      </c>
      <c r="I24" s="34">
        <v>0</v>
      </c>
      <c r="J24" s="40">
        <f t="shared" si="3"/>
        <v>0</v>
      </c>
      <c r="K24" s="34">
        <f t="shared" si="4"/>
        <v>0</v>
      </c>
      <c r="L24" s="40">
        <f t="shared" si="5"/>
        <v>0</v>
      </c>
    </row>
    <row r="25" spans="2:17" x14ac:dyDescent="0.3">
      <c r="B25" s="34">
        <v>5</v>
      </c>
      <c r="C25" s="37" t="s">
        <v>58</v>
      </c>
      <c r="D25" s="38" t="s">
        <v>59</v>
      </c>
      <c r="E25" s="73"/>
      <c r="F25" s="33" t="s">
        <v>85</v>
      </c>
      <c r="G25" s="33" t="s">
        <v>85</v>
      </c>
      <c r="H25" s="51">
        <v>5</v>
      </c>
      <c r="I25" s="34">
        <v>0</v>
      </c>
      <c r="J25" s="40">
        <f t="shared" si="3"/>
        <v>0</v>
      </c>
      <c r="K25" s="34">
        <f t="shared" si="4"/>
        <v>0</v>
      </c>
      <c r="L25" s="40">
        <f t="shared" si="5"/>
        <v>0</v>
      </c>
    </row>
    <row r="26" spans="2:17" x14ac:dyDescent="0.3">
      <c r="B26" s="34">
        <v>5</v>
      </c>
      <c r="C26" s="34" t="s">
        <v>60</v>
      </c>
      <c r="D26" s="39" t="s">
        <v>61</v>
      </c>
      <c r="E26" s="73"/>
      <c r="F26" s="33" t="s">
        <v>47</v>
      </c>
      <c r="G26" s="33" t="s">
        <v>31</v>
      </c>
      <c r="H26" s="51">
        <v>16</v>
      </c>
      <c r="I26" s="34">
        <v>1</v>
      </c>
      <c r="J26" s="40">
        <f t="shared" si="3"/>
        <v>6.25E-2</v>
      </c>
      <c r="K26" s="34">
        <f t="shared" si="4"/>
        <v>1</v>
      </c>
      <c r="L26" s="40">
        <f t="shared" si="5"/>
        <v>6.25E-2</v>
      </c>
    </row>
    <row r="27" spans="2:17" x14ac:dyDescent="0.3">
      <c r="B27" s="34">
        <v>5</v>
      </c>
      <c r="C27" s="34" t="s">
        <v>62</v>
      </c>
      <c r="D27" s="39" t="s">
        <v>63</v>
      </c>
      <c r="E27" s="73"/>
      <c r="F27" s="33" t="s">
        <v>85</v>
      </c>
      <c r="G27" s="33" t="s">
        <v>85</v>
      </c>
      <c r="H27" s="51">
        <v>17</v>
      </c>
      <c r="I27" s="34">
        <v>0</v>
      </c>
      <c r="J27" s="40">
        <f t="shared" si="3"/>
        <v>0</v>
      </c>
      <c r="K27" s="34">
        <f>I27</f>
        <v>0</v>
      </c>
      <c r="L27" s="40">
        <f>IFERROR(K27/H27,0)</f>
        <v>0</v>
      </c>
    </row>
    <row r="28" spans="2:17" x14ac:dyDescent="0.3">
      <c r="B28" s="34">
        <v>5</v>
      </c>
      <c r="C28" s="34" t="s">
        <v>64</v>
      </c>
      <c r="D28" s="39" t="s">
        <v>78</v>
      </c>
      <c r="E28" s="73"/>
      <c r="F28" s="33" t="s">
        <v>85</v>
      </c>
      <c r="G28" s="33" t="s">
        <v>85</v>
      </c>
      <c r="H28" s="64">
        <v>13</v>
      </c>
      <c r="I28" s="34">
        <v>0</v>
      </c>
      <c r="J28" s="40">
        <f t="shared" si="3"/>
        <v>0</v>
      </c>
      <c r="K28" s="34">
        <f>I28</f>
        <v>0</v>
      </c>
      <c r="L28" s="40">
        <f>IFERROR(K28/H28,0)</f>
        <v>0</v>
      </c>
    </row>
    <row r="29" spans="2:17" x14ac:dyDescent="0.3">
      <c r="B29" s="45">
        <v>5</v>
      </c>
      <c r="C29" s="36" t="s">
        <v>83</v>
      </c>
      <c r="D29" s="35" t="s">
        <v>65</v>
      </c>
      <c r="E29" s="74"/>
      <c r="F29" s="56" t="s">
        <v>85</v>
      </c>
      <c r="G29" s="56" t="s">
        <v>85</v>
      </c>
      <c r="H29" s="53">
        <v>5</v>
      </c>
      <c r="I29" s="53">
        <v>0</v>
      </c>
      <c r="J29" s="50">
        <f t="shared" si="3"/>
        <v>0</v>
      </c>
      <c r="K29" s="48">
        <f>I29</f>
        <v>0</v>
      </c>
      <c r="L29" s="50">
        <f>IFERROR(K29/H29,0)</f>
        <v>0</v>
      </c>
    </row>
    <row r="30" spans="2:17" ht="14.4" customHeight="1" x14ac:dyDescent="0.3">
      <c r="B30" s="43">
        <v>3</v>
      </c>
      <c r="C30" s="32" t="s">
        <v>79</v>
      </c>
      <c r="D30" s="31" t="s">
        <v>70</v>
      </c>
      <c r="E30" s="72" t="s">
        <v>82</v>
      </c>
      <c r="F30" s="62" t="s">
        <v>71</v>
      </c>
      <c r="G30" s="31" t="s">
        <v>31</v>
      </c>
      <c r="H30" s="32">
        <v>13</v>
      </c>
      <c r="I30" s="32">
        <v>2</v>
      </c>
      <c r="J30" s="42">
        <f t="shared" si="3"/>
        <v>0.15384615384615385</v>
      </c>
      <c r="K30" s="32">
        <f t="shared" ref="K30:K33" si="6">I30</f>
        <v>2</v>
      </c>
      <c r="L30" s="42">
        <f t="shared" ref="L30:L46" si="7">IFERROR(K30/H30,0)</f>
        <v>0.15384615384615385</v>
      </c>
    </row>
    <row r="31" spans="2:17" x14ac:dyDescent="0.3">
      <c r="B31" s="44">
        <v>3</v>
      </c>
      <c r="C31" s="34" t="s">
        <v>49</v>
      </c>
      <c r="D31" s="33" t="s">
        <v>50</v>
      </c>
      <c r="E31" s="73"/>
      <c r="F31" s="33" t="s">
        <v>85</v>
      </c>
      <c r="G31" s="33" t="s">
        <v>85</v>
      </c>
      <c r="H31" s="34">
        <v>13</v>
      </c>
      <c r="I31" s="34">
        <v>0</v>
      </c>
      <c r="J31" s="40">
        <f t="shared" si="3"/>
        <v>0</v>
      </c>
      <c r="K31" s="34">
        <f t="shared" si="6"/>
        <v>0</v>
      </c>
      <c r="L31" s="40">
        <f t="shared" si="7"/>
        <v>0</v>
      </c>
    </row>
    <row r="32" spans="2:17" s="5" customFormat="1" x14ac:dyDescent="0.3">
      <c r="B32" s="44">
        <v>3</v>
      </c>
      <c r="C32" s="34" t="s">
        <v>51</v>
      </c>
      <c r="D32" s="33" t="s">
        <v>72</v>
      </c>
      <c r="E32" s="73"/>
      <c r="F32" s="33" t="s">
        <v>85</v>
      </c>
      <c r="G32" s="33" t="s">
        <v>85</v>
      </c>
      <c r="H32" s="34">
        <v>13</v>
      </c>
      <c r="I32" s="34">
        <v>0</v>
      </c>
      <c r="J32" s="40">
        <f t="shared" si="3"/>
        <v>0</v>
      </c>
      <c r="K32" s="34">
        <f t="shared" si="6"/>
        <v>0</v>
      </c>
      <c r="L32" s="40">
        <f t="shared" si="7"/>
        <v>0</v>
      </c>
      <c r="O32" s="9"/>
      <c r="Q32" s="9"/>
    </row>
    <row r="33" spans="2:17" x14ac:dyDescent="0.3">
      <c r="B33" s="44">
        <v>3</v>
      </c>
      <c r="C33" s="34" t="s">
        <v>66</v>
      </c>
      <c r="D33" s="33" t="s">
        <v>67</v>
      </c>
      <c r="E33" s="73"/>
      <c r="F33" s="59" t="s">
        <v>85</v>
      </c>
      <c r="G33" s="59" t="s">
        <v>85</v>
      </c>
      <c r="H33" s="51">
        <v>13</v>
      </c>
      <c r="I33" s="52">
        <v>0</v>
      </c>
      <c r="J33" s="49">
        <f t="shared" si="3"/>
        <v>0</v>
      </c>
      <c r="K33" s="47">
        <f t="shared" si="6"/>
        <v>0</v>
      </c>
      <c r="L33" s="49">
        <f t="shared" si="7"/>
        <v>0</v>
      </c>
    </row>
    <row r="34" spans="2:17" x14ac:dyDescent="0.3">
      <c r="B34" s="44">
        <v>3</v>
      </c>
      <c r="C34" s="34" t="s">
        <v>41</v>
      </c>
      <c r="D34" s="33" t="s">
        <v>42</v>
      </c>
      <c r="E34" s="73"/>
      <c r="F34" s="33" t="s">
        <v>73</v>
      </c>
      <c r="G34" s="60" t="s">
        <v>31</v>
      </c>
      <c r="H34" s="51">
        <v>13</v>
      </c>
      <c r="I34" s="52">
        <v>2</v>
      </c>
      <c r="J34" s="49">
        <f t="shared" ref="J34" si="8">IFERROR(I34/H34,0)</f>
        <v>0.15384615384615385</v>
      </c>
      <c r="K34" s="47">
        <f t="shared" ref="K34" si="9">I34</f>
        <v>2</v>
      </c>
      <c r="L34" s="49">
        <f t="shared" si="7"/>
        <v>0.15384615384615385</v>
      </c>
    </row>
    <row r="35" spans="2:17" x14ac:dyDescent="0.3">
      <c r="B35" s="44">
        <v>3</v>
      </c>
      <c r="C35" s="34" t="s">
        <v>80</v>
      </c>
      <c r="D35" s="33" t="s">
        <v>74</v>
      </c>
      <c r="E35" s="73"/>
      <c r="F35" s="60" t="s">
        <v>85</v>
      </c>
      <c r="G35" s="60" t="s">
        <v>85</v>
      </c>
      <c r="H35" s="51">
        <v>13</v>
      </c>
      <c r="I35" s="52">
        <v>0</v>
      </c>
      <c r="J35" s="49">
        <f t="shared" ref="J35:J46" si="10">IFERROR(I35/H35,0)</f>
        <v>0</v>
      </c>
      <c r="K35" s="47">
        <f t="shared" ref="K35:K46" si="11">I35</f>
        <v>0</v>
      </c>
      <c r="L35" s="49">
        <f t="shared" si="7"/>
        <v>0</v>
      </c>
    </row>
    <row r="36" spans="2:17" x14ac:dyDescent="0.3">
      <c r="B36" s="44">
        <v>3</v>
      </c>
      <c r="C36" s="34" t="s">
        <v>43</v>
      </c>
      <c r="D36" s="33" t="s">
        <v>44</v>
      </c>
      <c r="E36" s="73"/>
      <c r="F36" s="33" t="s">
        <v>44</v>
      </c>
      <c r="G36" s="60" t="s">
        <v>31</v>
      </c>
      <c r="H36" s="51">
        <v>13</v>
      </c>
      <c r="I36" s="52">
        <v>2</v>
      </c>
      <c r="J36" s="49">
        <f t="shared" si="10"/>
        <v>0.15384615384615385</v>
      </c>
      <c r="K36" s="47">
        <f t="shared" si="11"/>
        <v>2</v>
      </c>
      <c r="L36" s="49">
        <f t="shared" si="7"/>
        <v>0.15384615384615385</v>
      </c>
    </row>
    <row r="37" spans="2:17" x14ac:dyDescent="0.3">
      <c r="B37" s="44">
        <v>3</v>
      </c>
      <c r="C37" s="34" t="s">
        <v>45</v>
      </c>
      <c r="D37" s="33" t="s">
        <v>46</v>
      </c>
      <c r="E37" s="73"/>
      <c r="F37" s="33" t="s">
        <v>46</v>
      </c>
      <c r="G37" s="60" t="s">
        <v>31</v>
      </c>
      <c r="H37" s="51">
        <v>13</v>
      </c>
      <c r="I37" s="52">
        <v>2</v>
      </c>
      <c r="J37" s="49">
        <f t="shared" si="10"/>
        <v>0.15384615384615385</v>
      </c>
      <c r="K37" s="47">
        <f t="shared" si="11"/>
        <v>2</v>
      </c>
      <c r="L37" s="49">
        <f t="shared" si="7"/>
        <v>0.15384615384615385</v>
      </c>
    </row>
    <row r="38" spans="2:17" x14ac:dyDescent="0.3">
      <c r="B38" s="44">
        <v>3</v>
      </c>
      <c r="C38" s="34" t="s">
        <v>48</v>
      </c>
      <c r="D38" s="33" t="s">
        <v>76</v>
      </c>
      <c r="E38" s="73"/>
      <c r="F38" s="33" t="s">
        <v>76</v>
      </c>
      <c r="G38" s="60" t="s">
        <v>31</v>
      </c>
      <c r="H38" s="51">
        <v>13</v>
      </c>
      <c r="I38" s="52">
        <v>2</v>
      </c>
      <c r="J38" s="49">
        <f t="shared" si="10"/>
        <v>0.15384615384615385</v>
      </c>
      <c r="K38" s="47">
        <f t="shared" si="11"/>
        <v>2</v>
      </c>
      <c r="L38" s="49">
        <f t="shared" si="7"/>
        <v>0.15384615384615385</v>
      </c>
    </row>
    <row r="39" spans="2:17" x14ac:dyDescent="0.3">
      <c r="B39" s="44">
        <v>5</v>
      </c>
      <c r="C39" s="34" t="s">
        <v>53</v>
      </c>
      <c r="D39" s="33" t="s">
        <v>77</v>
      </c>
      <c r="E39" s="73"/>
      <c r="F39" s="60" t="s">
        <v>85</v>
      </c>
      <c r="G39" s="60" t="s">
        <v>85</v>
      </c>
      <c r="H39" s="51">
        <v>13</v>
      </c>
      <c r="I39" s="52">
        <v>0</v>
      </c>
      <c r="J39" s="49">
        <f t="shared" si="10"/>
        <v>0</v>
      </c>
      <c r="K39" s="47">
        <f t="shared" si="11"/>
        <v>0</v>
      </c>
      <c r="L39" s="49">
        <f t="shared" si="7"/>
        <v>0</v>
      </c>
    </row>
    <row r="40" spans="2:17" x14ac:dyDescent="0.3">
      <c r="B40" s="44">
        <v>5</v>
      </c>
      <c r="C40" s="34" t="s">
        <v>54</v>
      </c>
      <c r="D40" s="33" t="s">
        <v>55</v>
      </c>
      <c r="E40" s="73"/>
      <c r="F40" s="60" t="s">
        <v>85</v>
      </c>
      <c r="G40" s="60" t="s">
        <v>85</v>
      </c>
      <c r="H40" s="51">
        <v>13</v>
      </c>
      <c r="I40" s="52">
        <v>0</v>
      </c>
      <c r="J40" s="49">
        <f t="shared" si="10"/>
        <v>0</v>
      </c>
      <c r="K40" s="47">
        <f t="shared" si="11"/>
        <v>0</v>
      </c>
      <c r="L40" s="49">
        <f t="shared" si="7"/>
        <v>0</v>
      </c>
    </row>
    <row r="41" spans="2:17" x14ac:dyDescent="0.3">
      <c r="B41" s="44">
        <v>5</v>
      </c>
      <c r="C41" s="34" t="s">
        <v>56</v>
      </c>
      <c r="D41" s="33" t="s">
        <v>57</v>
      </c>
      <c r="E41" s="73"/>
      <c r="F41" s="60" t="s">
        <v>85</v>
      </c>
      <c r="G41" s="60" t="s">
        <v>85</v>
      </c>
      <c r="H41" s="51">
        <v>13</v>
      </c>
      <c r="I41" s="52">
        <v>0</v>
      </c>
      <c r="J41" s="49">
        <f t="shared" si="10"/>
        <v>0</v>
      </c>
      <c r="K41" s="47">
        <f t="shared" si="11"/>
        <v>0</v>
      </c>
      <c r="L41" s="49">
        <f t="shared" si="7"/>
        <v>0</v>
      </c>
    </row>
    <row r="42" spans="2:17" x14ac:dyDescent="0.3">
      <c r="B42" s="44">
        <v>5</v>
      </c>
      <c r="C42" s="34" t="s">
        <v>58</v>
      </c>
      <c r="D42" s="33" t="s">
        <v>59</v>
      </c>
      <c r="E42" s="73"/>
      <c r="F42" s="33" t="s">
        <v>47</v>
      </c>
      <c r="G42" s="60" t="s">
        <v>31</v>
      </c>
      <c r="H42" s="51">
        <v>13</v>
      </c>
      <c r="I42" s="52">
        <v>1</v>
      </c>
      <c r="J42" s="49">
        <f t="shared" si="10"/>
        <v>7.6923076923076927E-2</v>
      </c>
      <c r="K42" s="47">
        <f t="shared" si="11"/>
        <v>1</v>
      </c>
      <c r="L42" s="49">
        <f t="shared" si="7"/>
        <v>7.6923076923076927E-2</v>
      </c>
    </row>
    <row r="43" spans="2:17" x14ac:dyDescent="0.3">
      <c r="B43" s="44">
        <v>5</v>
      </c>
      <c r="C43" s="34" t="s">
        <v>60</v>
      </c>
      <c r="D43" s="33" t="s">
        <v>61</v>
      </c>
      <c r="E43" s="73"/>
      <c r="F43" s="60" t="s">
        <v>85</v>
      </c>
      <c r="G43" s="60" t="s">
        <v>85</v>
      </c>
      <c r="H43" s="51">
        <v>13</v>
      </c>
      <c r="I43" s="52">
        <v>0</v>
      </c>
      <c r="J43" s="49">
        <f t="shared" si="10"/>
        <v>0</v>
      </c>
      <c r="K43" s="47">
        <f t="shared" si="11"/>
        <v>0</v>
      </c>
      <c r="L43" s="49">
        <f t="shared" si="7"/>
        <v>0</v>
      </c>
    </row>
    <row r="44" spans="2:17" x14ac:dyDescent="0.3">
      <c r="B44" s="44">
        <v>5</v>
      </c>
      <c r="C44" s="34" t="s">
        <v>62</v>
      </c>
      <c r="D44" s="33" t="s">
        <v>63</v>
      </c>
      <c r="E44" s="73"/>
      <c r="F44" s="60" t="s">
        <v>85</v>
      </c>
      <c r="G44" s="60" t="s">
        <v>85</v>
      </c>
      <c r="H44" s="51">
        <v>13</v>
      </c>
      <c r="I44" s="52">
        <v>0</v>
      </c>
      <c r="J44" s="49">
        <f t="shared" si="10"/>
        <v>0</v>
      </c>
      <c r="K44" s="47">
        <f t="shared" si="11"/>
        <v>0</v>
      </c>
      <c r="L44" s="49">
        <f t="shared" si="7"/>
        <v>0</v>
      </c>
    </row>
    <row r="45" spans="2:17" x14ac:dyDescent="0.3">
      <c r="B45" s="44">
        <v>5</v>
      </c>
      <c r="C45" s="34" t="s">
        <v>64</v>
      </c>
      <c r="D45" s="33" t="s">
        <v>78</v>
      </c>
      <c r="E45" s="73"/>
      <c r="F45" s="60" t="s">
        <v>85</v>
      </c>
      <c r="G45" s="60" t="s">
        <v>85</v>
      </c>
      <c r="H45" s="51">
        <v>13</v>
      </c>
      <c r="I45" s="52">
        <v>0</v>
      </c>
      <c r="J45" s="49">
        <f t="shared" si="10"/>
        <v>0</v>
      </c>
      <c r="K45" s="47">
        <f t="shared" si="11"/>
        <v>0</v>
      </c>
      <c r="L45" s="49">
        <f t="shared" si="7"/>
        <v>0</v>
      </c>
    </row>
    <row r="46" spans="2:17" x14ac:dyDescent="0.3">
      <c r="B46" s="45">
        <v>5</v>
      </c>
      <c r="C46" s="36" t="s">
        <v>83</v>
      </c>
      <c r="D46" s="35" t="s">
        <v>65</v>
      </c>
      <c r="E46" s="74"/>
      <c r="F46" s="61" t="s">
        <v>85</v>
      </c>
      <c r="G46" s="61" t="s">
        <v>85</v>
      </c>
      <c r="H46" s="53">
        <v>13</v>
      </c>
      <c r="I46" s="54">
        <v>0</v>
      </c>
      <c r="J46" s="50">
        <f t="shared" si="10"/>
        <v>0</v>
      </c>
      <c r="K46" s="48">
        <f t="shared" si="11"/>
        <v>0</v>
      </c>
      <c r="L46" s="50">
        <f t="shared" si="7"/>
        <v>0</v>
      </c>
    </row>
    <row r="47" spans="2:17" s="5" customFormat="1" ht="23.25" customHeight="1" x14ac:dyDescent="0.3">
      <c r="B47" s="4"/>
      <c r="C47" s="4"/>
      <c r="D47" s="4"/>
      <c r="E47" s="4"/>
      <c r="F47" s="4"/>
      <c r="G47" s="7"/>
      <c r="H47" s="75" t="s">
        <v>32</v>
      </c>
      <c r="I47" s="75"/>
      <c r="J47" s="75"/>
      <c r="K47" s="75"/>
      <c r="L47" s="75"/>
      <c r="O47"/>
      <c r="Q47"/>
    </row>
    <row r="48" spans="2:17" s="5" customFormat="1" ht="16.5" customHeight="1" x14ac:dyDescent="0.3">
      <c r="B48" s="4"/>
      <c r="C48" s="4"/>
      <c r="H48" s="10">
        <f>+SUM(H13:H46)</f>
        <v>442</v>
      </c>
      <c r="I48" s="10">
        <f>+SUM(I13:I46)</f>
        <v>22</v>
      </c>
      <c r="J48" s="11">
        <f>IFERROR(I48/H48,0)</f>
        <v>4.9773755656108594E-2</v>
      </c>
      <c r="K48" s="30">
        <f>+SUM(K13:K46)</f>
        <v>22</v>
      </c>
      <c r="L48" s="11">
        <f>IFERROR(K48/H48,0)</f>
        <v>4.9773755656108594E-2</v>
      </c>
      <c r="O48"/>
      <c r="Q48"/>
    </row>
    <row r="49" spans="2:17" s="5" customFormat="1" ht="18.75" customHeight="1" x14ac:dyDescent="0.3">
      <c r="B49" s="4"/>
      <c r="C49" s="4"/>
      <c r="I49" s="17"/>
      <c r="J49" s="18"/>
      <c r="K49" s="19"/>
      <c r="L49" s="18"/>
      <c r="O49"/>
      <c r="Q49"/>
    </row>
    <row r="50" spans="2:17" s="5" customFormat="1" ht="20.25" customHeight="1" x14ac:dyDescent="0.3">
      <c r="B50" s="4"/>
      <c r="C50" s="4"/>
      <c r="I50" s="17"/>
      <c r="J50" s="18"/>
      <c r="K50" s="19"/>
      <c r="L50" s="18"/>
      <c r="O50"/>
      <c r="Q50"/>
    </row>
    <row r="51" spans="2:17" s="5" customFormat="1" ht="58.2" customHeight="1" x14ac:dyDescent="0.3">
      <c r="B51" s="76" t="s">
        <v>33</v>
      </c>
      <c r="C51" s="77"/>
      <c r="D51" s="80" t="s">
        <v>90</v>
      </c>
      <c r="E51" s="81"/>
      <c r="F51" s="81"/>
      <c r="G51" s="81"/>
      <c r="H51" s="81"/>
      <c r="I51" s="81"/>
      <c r="J51" s="81"/>
      <c r="K51" s="81"/>
      <c r="L51" s="82"/>
      <c r="O51"/>
      <c r="Q51"/>
    </row>
    <row r="52" spans="2:17" s="5" customFormat="1" ht="81" customHeight="1" x14ac:dyDescent="0.3">
      <c r="B52" s="78"/>
      <c r="C52" s="79"/>
      <c r="D52" s="80" t="s">
        <v>91</v>
      </c>
      <c r="E52" s="81"/>
      <c r="F52" s="81"/>
      <c r="G52" s="81"/>
      <c r="H52" s="81"/>
      <c r="I52" s="81"/>
      <c r="J52" s="81"/>
      <c r="K52" s="81"/>
      <c r="L52" s="82"/>
      <c r="O52"/>
      <c r="Q52"/>
    </row>
    <row r="53" spans="2:17" x14ac:dyDescent="0.3">
      <c r="B53" s="83" t="s">
        <v>35</v>
      </c>
      <c r="C53" s="83"/>
      <c r="D53" s="83"/>
      <c r="E53" s="83"/>
      <c r="F53" s="83"/>
      <c r="G53" s="83"/>
      <c r="H53" s="83"/>
      <c r="I53" s="83"/>
      <c r="J53" s="83"/>
      <c r="K53" s="83"/>
      <c r="L53" s="83"/>
    </row>
    <row r="54" spans="2:17" ht="15" customHeight="1" x14ac:dyDescent="0.3">
      <c r="B54" s="83"/>
      <c r="C54" s="83"/>
      <c r="D54" s="83"/>
      <c r="E54" s="83"/>
      <c r="F54" s="83"/>
      <c r="G54" s="83"/>
      <c r="H54" s="83"/>
      <c r="I54" s="83"/>
      <c r="J54" s="83"/>
      <c r="K54" s="83"/>
      <c r="L54" s="83"/>
    </row>
    <row r="55" spans="2:17" x14ac:dyDescent="0.3">
      <c r="B55" s="12" t="s">
        <v>36</v>
      </c>
      <c r="C55" s="13"/>
      <c r="D55" s="13"/>
      <c r="E55" s="13"/>
      <c r="F55" s="13"/>
      <c r="G55" s="13"/>
      <c r="H55" s="13"/>
      <c r="I55" s="13"/>
      <c r="J55" s="13"/>
      <c r="K55" s="13"/>
      <c r="L55" s="14"/>
    </row>
    <row r="56" spans="2:17" ht="20.100000000000001" customHeight="1" x14ac:dyDescent="0.4">
      <c r="B56" s="15" t="s">
        <v>37</v>
      </c>
      <c r="C56" s="16"/>
      <c r="D56" s="66" t="s">
        <v>34</v>
      </c>
      <c r="E56" s="66"/>
      <c r="F56" s="66"/>
      <c r="G56" s="66"/>
      <c r="H56" s="66"/>
      <c r="I56" s="66"/>
      <c r="J56" s="66"/>
      <c r="K56" s="66"/>
      <c r="L56" s="66"/>
    </row>
    <row r="57" spans="2:17" ht="20.100000000000001" customHeight="1" x14ac:dyDescent="0.4">
      <c r="B57" s="15" t="s">
        <v>38</v>
      </c>
      <c r="C57" s="16"/>
      <c r="D57" s="66"/>
      <c r="E57" s="66"/>
      <c r="F57" s="66"/>
      <c r="G57" s="66"/>
      <c r="H57" s="66"/>
      <c r="I57" s="66"/>
      <c r="J57" s="66"/>
      <c r="K57" s="66"/>
      <c r="L57" s="66"/>
    </row>
    <row r="58" spans="2:17" x14ac:dyDescent="0.3">
      <c r="B58" s="65" t="s">
        <v>35</v>
      </c>
      <c r="C58" s="65"/>
      <c r="D58" s="65"/>
      <c r="E58" s="65"/>
      <c r="F58" s="65"/>
      <c r="G58" s="65"/>
      <c r="H58" s="65"/>
      <c r="I58" s="65"/>
      <c r="J58" s="65"/>
      <c r="K58" s="65"/>
      <c r="L58" s="65"/>
    </row>
    <row r="59" spans="2:17" x14ac:dyDescent="0.3">
      <c r="B59" s="65"/>
      <c r="C59" s="65"/>
      <c r="D59" s="65"/>
      <c r="E59" s="65"/>
      <c r="F59" s="65"/>
      <c r="G59" s="65"/>
      <c r="H59" s="65"/>
      <c r="I59" s="65"/>
      <c r="J59" s="65"/>
      <c r="K59" s="65"/>
      <c r="L59" s="65"/>
    </row>
    <row r="60" spans="2:17" ht="19.5" customHeight="1" x14ac:dyDescent="0.3">
      <c r="B60" s="12" t="s">
        <v>39</v>
      </c>
      <c r="C60" s="13"/>
      <c r="D60" s="13"/>
      <c r="E60" s="13"/>
      <c r="F60" s="13"/>
      <c r="G60" s="13"/>
      <c r="H60" s="13"/>
      <c r="I60" s="13"/>
      <c r="J60" s="13"/>
      <c r="K60" s="13"/>
      <c r="L60" s="14"/>
    </row>
    <row r="61" spans="2:17" ht="23.85" customHeight="1" x14ac:dyDescent="0.4">
      <c r="B61" s="15" t="s">
        <v>37</v>
      </c>
      <c r="C61" s="16"/>
      <c r="D61" s="66" t="s">
        <v>34</v>
      </c>
      <c r="E61" s="66"/>
      <c r="F61" s="66"/>
      <c r="G61" s="66"/>
      <c r="H61" s="66"/>
      <c r="I61" s="66"/>
      <c r="J61" s="66"/>
      <c r="K61" s="66"/>
      <c r="L61" s="66"/>
    </row>
    <row r="62" spans="2:17" ht="24.6" x14ac:dyDescent="0.4">
      <c r="B62" s="15" t="s">
        <v>38</v>
      </c>
      <c r="C62" s="16"/>
      <c r="D62" s="66"/>
      <c r="E62" s="66"/>
      <c r="F62" s="66"/>
      <c r="G62" s="66"/>
      <c r="H62" s="66"/>
      <c r="I62" s="66"/>
      <c r="J62" s="66"/>
      <c r="K62" s="66"/>
      <c r="L62" s="66"/>
    </row>
    <row r="65" spans="2:11" x14ac:dyDescent="0.3">
      <c r="B65" s="67"/>
      <c r="C65" s="67"/>
      <c r="D65" s="67"/>
      <c r="E65" s="57"/>
      <c r="I65" s="67"/>
      <c r="J65" s="67"/>
      <c r="K65" s="67"/>
    </row>
    <row r="66" spans="2:11" ht="18" customHeight="1" x14ac:dyDescent="0.3">
      <c r="B66" s="4" t="s">
        <v>40</v>
      </c>
      <c r="C66" s="68"/>
      <c r="D66" s="68"/>
      <c r="E66" s="58"/>
      <c r="I66" s="69" t="s">
        <v>84</v>
      </c>
      <c r="J66" s="69"/>
      <c r="K66" s="69"/>
    </row>
    <row r="93" spans="1:18" s="1" customFormat="1" hidden="1" x14ac:dyDescent="0.3">
      <c r="A93" t="s">
        <v>0</v>
      </c>
      <c r="M93" s="2"/>
      <c r="N93" s="2"/>
      <c r="O93"/>
      <c r="P93" s="2"/>
      <c r="Q93"/>
      <c r="R93" s="2"/>
    </row>
    <row r="94" spans="1:18" s="1" customFormat="1" hidden="1" x14ac:dyDescent="0.3">
      <c r="A94" t="s">
        <v>2</v>
      </c>
      <c r="M94" s="2"/>
      <c r="N94" s="2"/>
      <c r="O94"/>
      <c r="P94" s="2"/>
      <c r="Q94"/>
      <c r="R94" s="2"/>
    </row>
    <row r="95" spans="1:18" s="1" customFormat="1" hidden="1" x14ac:dyDescent="0.3">
      <c r="A95" t="s">
        <v>6</v>
      </c>
      <c r="M95" s="2"/>
      <c r="N95" s="2"/>
      <c r="O95"/>
      <c r="P95" s="2"/>
      <c r="Q95"/>
      <c r="R95" s="2"/>
    </row>
    <row r="96" spans="1:18" s="1" customFormat="1" hidden="1" x14ac:dyDescent="0.3">
      <c r="A96" t="s">
        <v>8</v>
      </c>
      <c r="M96" s="2"/>
      <c r="N96" s="2"/>
      <c r="O96"/>
      <c r="P96" s="2"/>
      <c r="Q96"/>
      <c r="R96" s="2"/>
    </row>
    <row r="97" spans="1:18" s="1" customFormat="1" hidden="1" x14ac:dyDescent="0.3">
      <c r="A97" t="s">
        <v>9</v>
      </c>
      <c r="M97" s="2"/>
      <c r="N97" s="2"/>
      <c r="O97"/>
      <c r="P97" s="2"/>
      <c r="Q97"/>
      <c r="R97" s="2"/>
    </row>
    <row r="98" spans="1:18" s="1" customFormat="1" hidden="1" x14ac:dyDescent="0.3">
      <c r="A98" t="s">
        <v>10</v>
      </c>
      <c r="B98" s="2"/>
      <c r="M98" s="2"/>
      <c r="N98" s="2"/>
      <c r="O98"/>
      <c r="P98" s="2"/>
      <c r="Q98"/>
      <c r="R98" s="2"/>
    </row>
    <row r="99" spans="1:18" s="1" customFormat="1" hidden="1" x14ac:dyDescent="0.3">
      <c r="A99" t="s">
        <v>11</v>
      </c>
      <c r="B99" s="2"/>
      <c r="M99" s="2"/>
      <c r="N99" s="2"/>
      <c r="O99"/>
      <c r="P99" s="2"/>
      <c r="Q99"/>
      <c r="R99" s="2"/>
    </row>
    <row r="100" spans="1:18" s="1" customFormat="1" hidden="1" x14ac:dyDescent="0.3">
      <c r="A100" t="s">
        <v>13</v>
      </c>
      <c r="B100" s="2"/>
      <c r="M100" s="2"/>
      <c r="N100" s="2"/>
      <c r="O100"/>
      <c r="P100" s="2"/>
      <c r="Q100"/>
      <c r="R100" s="2"/>
    </row>
    <row r="101" spans="1:18" s="1" customFormat="1" hidden="1" x14ac:dyDescent="0.3">
      <c r="A101" t="s">
        <v>14</v>
      </c>
      <c r="B101" s="5"/>
      <c r="M101" s="2"/>
      <c r="N101" s="2"/>
      <c r="O101"/>
      <c r="P101" s="2"/>
      <c r="Q101"/>
      <c r="R101" s="2"/>
    </row>
    <row r="102" spans="1:18" s="1" customFormat="1" hidden="1" x14ac:dyDescent="0.3">
      <c r="A102" t="s">
        <v>16</v>
      </c>
      <c r="B102" s="2"/>
      <c r="M102" s="2"/>
      <c r="N102" s="2"/>
      <c r="O102"/>
      <c r="P102" s="2"/>
      <c r="Q102"/>
      <c r="R102" s="2"/>
    </row>
    <row r="103" spans="1:18" s="1" customFormat="1" hidden="1" x14ac:dyDescent="0.3">
      <c r="A103" t="s">
        <v>17</v>
      </c>
      <c r="B103" s="5"/>
      <c r="M103" s="2"/>
      <c r="N103" s="2"/>
      <c r="O103"/>
      <c r="P103" s="2"/>
      <c r="Q103"/>
      <c r="R103" s="2"/>
    </row>
    <row r="104" spans="1:18" s="1" customFormat="1" hidden="1" x14ac:dyDescent="0.3">
      <c r="A104" t="s">
        <v>21</v>
      </c>
      <c r="B104" s="5"/>
      <c r="M104" s="2"/>
      <c r="N104" s="2"/>
      <c r="O104"/>
      <c r="P104" s="2"/>
      <c r="Q104"/>
      <c r="R104" s="2"/>
    </row>
    <row r="105" spans="1:18" s="1" customFormat="1" hidden="1" x14ac:dyDescent="0.3">
      <c r="A105" t="s">
        <v>30</v>
      </c>
      <c r="B105" s="5"/>
      <c r="M105" s="2"/>
      <c r="N105" s="2"/>
      <c r="O105"/>
      <c r="P105" s="2"/>
      <c r="Q105"/>
      <c r="R105" s="2"/>
    </row>
    <row r="106" spans="1:18" x14ac:dyDescent="0.3">
      <c r="B106" s="5"/>
    </row>
    <row r="107" spans="1:18" x14ac:dyDescent="0.3">
      <c r="B107" s="5"/>
    </row>
    <row r="108" spans="1:18" x14ac:dyDescent="0.3">
      <c r="B108" s="2"/>
    </row>
    <row r="109" spans="1:18" x14ac:dyDescent="0.3">
      <c r="B109" s="2"/>
    </row>
    <row r="110" spans="1:18" x14ac:dyDescent="0.3">
      <c r="B110" s="2"/>
    </row>
  </sheetData>
  <sheetProtection formatCells="0" formatColumns="0" formatRows="0" insertColumns="0" insertRows="0" insertHyperlinks="0" deleteColumns="0" deleteRows="0" sort="0" autoFilter="0" pivotTables="0"/>
  <mergeCells count="24">
    <mergeCell ref="E13:E29"/>
    <mergeCell ref="E30:E46"/>
    <mergeCell ref="H47:L47"/>
    <mergeCell ref="B58:L59"/>
    <mergeCell ref="D61:L62"/>
    <mergeCell ref="B51:C52"/>
    <mergeCell ref="D51:L51"/>
    <mergeCell ref="D52:L52"/>
    <mergeCell ref="B65:D65"/>
    <mergeCell ref="I65:K65"/>
    <mergeCell ref="C66:D66"/>
    <mergeCell ref="B53:L54"/>
    <mergeCell ref="D56:L57"/>
    <mergeCell ref="I66:K66"/>
    <mergeCell ref="B7:C7"/>
    <mergeCell ref="B9:C9"/>
    <mergeCell ref="B11:H11"/>
    <mergeCell ref="I11:J11"/>
    <mergeCell ref="K11:L11"/>
    <mergeCell ref="B2:L2"/>
    <mergeCell ref="B3:D3"/>
    <mergeCell ref="F3:I3"/>
    <mergeCell ref="J3:L3"/>
    <mergeCell ref="B5:C5"/>
  </mergeCells>
  <conditionalFormatting sqref="K48">
    <cfRule type="cellIs" dxfId="3" priority="26" operator="greaterThan">
      <formula>350</formula>
    </cfRule>
  </conditionalFormatting>
  <conditionalFormatting sqref="L29 L33:L46">
    <cfRule type="cellIs" dxfId="2" priority="1" operator="greaterThan">
      <formula>1</formula>
    </cfRule>
  </conditionalFormatting>
  <dataValidations count="4">
    <dataValidation type="whole" allowBlank="1" showInputMessage="1" showErrorMessage="1" errorTitle="¡Error!" error="Introduzca un número válido." promptTitle="¡Atención!" prompt="Introduzca un número entre 0 y 30" sqref="I23:I46" xr:uid="{00000000-0002-0000-0000-000000000000}">
      <formula1>0</formula1>
      <formula2>30</formula2>
    </dataValidation>
    <dataValidation type="list" allowBlank="1" showInputMessage="1" showErrorMessage="1" sqref="D7" xr:uid="{00000000-0002-0000-0000-000001000000}">
      <formula1>$A$94:$A$105</formula1>
    </dataValidation>
    <dataValidation type="list" allowBlank="1" showInputMessage="1" showErrorMessage="1" sqref="F7:H8 D8" xr:uid="{00000000-0002-0000-0000-000002000000}">
      <formula1>#REF!</formula1>
    </dataValidation>
    <dataValidation type="whole" allowBlank="1" showInputMessage="1" showErrorMessage="1" errorTitle="¡Error!" error="Introduzca un número válido." promptTitle="¡Atención!" prompt="Introduzca un número entre 0 y 366" sqref="H48:I48 K48 I13:I22 H13:H46" xr:uid="{00000000-0002-0000-0000-000003000000}">
      <formula1>0</formula1>
      <formula2>366</formula2>
    </dataValidation>
  </dataValidations>
  <pageMargins left="0.7" right="0.7" top="0.75" bottom="0.75" header="0.3" footer="0.3"/>
  <pageSetup scale="10"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0"/>
  <sheetViews>
    <sheetView showGridLines="0" tabSelected="1" view="pageBreakPreview" zoomScaleNormal="80" zoomScaleSheetLayoutView="100" workbookViewId="0">
      <selection activeCell="B2" sqref="B2:L2"/>
    </sheetView>
  </sheetViews>
  <sheetFormatPr baseColWidth="10" defaultColWidth="8.6640625" defaultRowHeight="14.4" x14ac:dyDescent="0.3"/>
  <cols>
    <col min="1" max="1" width="3.33203125" style="2" customWidth="1"/>
    <col min="2" max="2" width="9.33203125" style="1" customWidth="1"/>
    <col min="3" max="3" width="7.33203125" style="1" customWidth="1"/>
    <col min="4" max="4" width="43.109375" style="1" customWidth="1"/>
    <col min="5" max="5" width="26.33203125" style="1" customWidth="1"/>
    <col min="6" max="6" width="14.109375" style="1" bestFit="1" customWidth="1"/>
    <col min="7" max="7" width="13.44140625" style="1" customWidth="1"/>
    <col min="8" max="8" width="13.6640625" style="1" customWidth="1"/>
    <col min="9" max="9" width="13.44140625" style="1" customWidth="1"/>
    <col min="10" max="10" width="10.44140625" style="1" customWidth="1"/>
    <col min="11" max="11" width="12.44140625" style="1" customWidth="1"/>
    <col min="12" max="12" width="12.33203125" style="1" customWidth="1"/>
    <col min="13" max="13" width="4.88671875" style="2" customWidth="1"/>
    <col min="14" max="14" width="16.44140625" style="2" customWidth="1"/>
    <col min="16" max="16" width="16.44140625" style="2" customWidth="1"/>
    <col min="17" max="17" width="0" hidden="1" customWidth="1"/>
    <col min="18" max="18" width="16.44140625" style="2" customWidth="1"/>
    <col min="19" max="16384" width="8.6640625" style="2"/>
  </cols>
  <sheetData>
    <row r="1" spans="2:17" ht="18" customHeight="1" x14ac:dyDescent="0.3">
      <c r="Q1" t="s">
        <v>0</v>
      </c>
    </row>
    <row r="2" spans="2:17" ht="49.5" customHeight="1" x14ac:dyDescent="0.3">
      <c r="B2" s="84" t="s">
        <v>1</v>
      </c>
      <c r="C2" s="84"/>
      <c r="D2" s="84"/>
      <c r="E2" s="84"/>
      <c r="F2" s="84"/>
      <c r="G2" s="84"/>
      <c r="H2" s="84"/>
      <c r="I2" s="84"/>
      <c r="J2" s="84"/>
      <c r="K2" s="84"/>
      <c r="L2" s="84"/>
      <c r="Q2" t="s">
        <v>2</v>
      </c>
    </row>
    <row r="3" spans="2:17" ht="18.75" customHeight="1" x14ac:dyDescent="0.3">
      <c r="B3" s="85" t="s">
        <v>3</v>
      </c>
      <c r="C3" s="86"/>
      <c r="D3" s="86"/>
      <c r="E3" s="55"/>
      <c r="F3" s="86" t="s">
        <v>4</v>
      </c>
      <c r="G3" s="86"/>
      <c r="H3" s="86"/>
      <c r="I3" s="86"/>
      <c r="J3" s="86" t="s">
        <v>5</v>
      </c>
      <c r="K3" s="86"/>
      <c r="L3" s="87"/>
    </row>
    <row r="4" spans="2:17" x14ac:dyDescent="0.3">
      <c r="B4" s="20"/>
      <c r="C4" s="3"/>
      <c r="L4" s="21"/>
      <c r="Q4" t="s">
        <v>6</v>
      </c>
    </row>
    <row r="5" spans="2:17" s="5" customFormat="1" ht="27.6" customHeight="1" x14ac:dyDescent="0.3">
      <c r="B5" s="70" t="s">
        <v>7</v>
      </c>
      <c r="C5" s="70"/>
      <c r="D5" s="46">
        <v>90612258</v>
      </c>
      <c r="E5"/>
      <c r="F5" s="17"/>
      <c r="G5" s="17"/>
      <c r="H5" s="17"/>
      <c r="I5" s="4"/>
      <c r="J5" s="4"/>
      <c r="K5" s="4"/>
      <c r="L5" s="22"/>
      <c r="O5"/>
      <c r="Q5" t="s">
        <v>8</v>
      </c>
    </row>
    <row r="6" spans="2:17" s="5" customFormat="1" x14ac:dyDescent="0.3">
      <c r="B6" s="23"/>
      <c r="C6" s="4"/>
      <c r="D6" s="4"/>
      <c r="E6"/>
      <c r="F6" s="4"/>
      <c r="G6" s="4"/>
      <c r="H6" s="4"/>
      <c r="I6" s="4"/>
      <c r="J6" s="4"/>
      <c r="K6" s="4"/>
      <c r="L6" s="22"/>
      <c r="O6"/>
      <c r="Q6" t="s">
        <v>11</v>
      </c>
    </row>
    <row r="7" spans="2:17" s="5" customFormat="1" x14ac:dyDescent="0.3">
      <c r="B7" s="70" t="s">
        <v>12</v>
      </c>
      <c r="C7" s="70"/>
      <c r="D7" s="6" t="s">
        <v>6</v>
      </c>
      <c r="E7"/>
      <c r="F7" s="24"/>
      <c r="G7" s="24"/>
      <c r="H7" s="24"/>
      <c r="I7" s="4"/>
      <c r="J7" s="4"/>
      <c r="K7" s="4"/>
      <c r="L7" s="22"/>
      <c r="O7"/>
      <c r="Q7" t="s">
        <v>13</v>
      </c>
    </row>
    <row r="8" spans="2:17" s="5" customFormat="1" x14ac:dyDescent="0.3">
      <c r="B8" s="25"/>
      <c r="C8" s="7"/>
      <c r="D8" s="24"/>
      <c r="E8"/>
      <c r="F8" s="24"/>
      <c r="G8" s="24"/>
      <c r="H8" s="24"/>
      <c r="I8" s="4"/>
      <c r="J8" s="4"/>
      <c r="K8" s="4"/>
      <c r="L8" s="22"/>
      <c r="O8"/>
      <c r="Q8" t="s">
        <v>14</v>
      </c>
    </row>
    <row r="9" spans="2:17" s="5" customFormat="1" x14ac:dyDescent="0.3">
      <c r="B9" s="70" t="s">
        <v>15</v>
      </c>
      <c r="C9" s="70"/>
      <c r="D9" s="8">
        <v>46081</v>
      </c>
      <c r="E9"/>
      <c r="F9" s="26"/>
      <c r="G9" s="26"/>
      <c r="H9" s="26"/>
      <c r="I9" s="4"/>
      <c r="J9" s="4"/>
      <c r="K9" s="4"/>
      <c r="L9" s="22"/>
      <c r="O9"/>
      <c r="Q9" t="s">
        <v>16</v>
      </c>
    </row>
    <row r="10" spans="2:17" x14ac:dyDescent="0.3">
      <c r="B10" s="27"/>
      <c r="L10" s="28"/>
      <c r="Q10" t="s">
        <v>17</v>
      </c>
    </row>
    <row r="11" spans="2:17" ht="26.85" customHeight="1" x14ac:dyDescent="0.3">
      <c r="B11" s="71" t="s">
        <v>18</v>
      </c>
      <c r="C11" s="71"/>
      <c r="D11" s="71"/>
      <c r="E11" s="71"/>
      <c r="F11" s="71"/>
      <c r="G11" s="71"/>
      <c r="H11" s="71"/>
      <c r="I11" s="70" t="s">
        <v>19</v>
      </c>
      <c r="J11" s="70"/>
      <c r="K11" s="70" t="s">
        <v>20</v>
      </c>
      <c r="L11" s="70"/>
      <c r="Q11" t="s">
        <v>21</v>
      </c>
    </row>
    <row r="12" spans="2:17" ht="57.6" customHeight="1" x14ac:dyDescent="0.3">
      <c r="B12" s="29" t="s">
        <v>22</v>
      </c>
      <c r="C12" s="29" t="s">
        <v>23</v>
      </c>
      <c r="D12" s="29" t="s">
        <v>24</v>
      </c>
      <c r="E12" s="29" t="s">
        <v>68</v>
      </c>
      <c r="F12" s="29" t="s">
        <v>25</v>
      </c>
      <c r="G12" s="29" t="s">
        <v>26</v>
      </c>
      <c r="H12" s="29" t="s">
        <v>69</v>
      </c>
      <c r="I12" s="29" t="s">
        <v>27</v>
      </c>
      <c r="J12" s="29" t="s">
        <v>28</v>
      </c>
      <c r="K12" s="29" t="s">
        <v>29</v>
      </c>
      <c r="L12" s="29" t="s">
        <v>28</v>
      </c>
      <c r="Q12" t="s">
        <v>30</v>
      </c>
    </row>
    <row r="13" spans="2:17" ht="14.4" customHeight="1" x14ac:dyDescent="0.3">
      <c r="B13" s="32">
        <v>3</v>
      </c>
      <c r="C13" s="32" t="s">
        <v>79</v>
      </c>
      <c r="D13" s="41" t="s">
        <v>70</v>
      </c>
      <c r="E13" s="72" t="s">
        <v>81</v>
      </c>
      <c r="F13" s="31" t="s">
        <v>71</v>
      </c>
      <c r="G13" s="31" t="s">
        <v>31</v>
      </c>
      <c r="H13" s="32">
        <v>23</v>
      </c>
      <c r="I13" s="63">
        <v>3</v>
      </c>
      <c r="J13" s="42">
        <f t="shared" ref="J13:J46" si="0">IFERROR(I13/H13,0)</f>
        <v>0.13043478260869565</v>
      </c>
      <c r="K13" s="32">
        <f>I13+ENERO!K13</f>
        <v>3</v>
      </c>
      <c r="L13" s="42">
        <f t="shared" ref="L13:L17" si="1">IFERROR(K13/H13,0)</f>
        <v>0.13043478260869565</v>
      </c>
    </row>
    <row r="14" spans="2:17" x14ac:dyDescent="0.3">
      <c r="B14" s="34">
        <v>3</v>
      </c>
      <c r="C14" s="34" t="s">
        <v>49</v>
      </c>
      <c r="D14" s="39" t="s">
        <v>50</v>
      </c>
      <c r="E14" s="73"/>
      <c r="F14" s="33" t="s">
        <v>85</v>
      </c>
      <c r="G14" s="33" t="s">
        <v>85</v>
      </c>
      <c r="H14" s="34">
        <v>5</v>
      </c>
      <c r="I14" s="51">
        <v>0</v>
      </c>
      <c r="J14" s="40">
        <f t="shared" si="0"/>
        <v>0</v>
      </c>
      <c r="K14" s="34">
        <f>I14+ENERO!K14</f>
        <v>0</v>
      </c>
      <c r="L14" s="40">
        <f t="shared" si="1"/>
        <v>0</v>
      </c>
    </row>
    <row r="15" spans="2:17" x14ac:dyDescent="0.3">
      <c r="B15" s="34">
        <v>3</v>
      </c>
      <c r="C15" s="34" t="s">
        <v>51</v>
      </c>
      <c r="D15" s="39" t="s">
        <v>72</v>
      </c>
      <c r="E15" s="73"/>
      <c r="F15" s="33" t="s">
        <v>85</v>
      </c>
      <c r="G15" s="33" t="s">
        <v>85</v>
      </c>
      <c r="H15" s="34">
        <v>6</v>
      </c>
      <c r="I15" s="52">
        <v>0</v>
      </c>
      <c r="J15" s="40">
        <f t="shared" si="0"/>
        <v>0</v>
      </c>
      <c r="K15" s="34">
        <f>I15+ENERO!K15</f>
        <v>2</v>
      </c>
      <c r="L15" s="40">
        <f t="shared" si="1"/>
        <v>0.33333333333333331</v>
      </c>
    </row>
    <row r="16" spans="2:17" x14ac:dyDescent="0.3">
      <c r="B16" s="34">
        <v>3</v>
      </c>
      <c r="C16" s="34" t="s">
        <v>66</v>
      </c>
      <c r="D16" s="39" t="s">
        <v>67</v>
      </c>
      <c r="E16" s="73"/>
      <c r="F16" s="33" t="s">
        <v>87</v>
      </c>
      <c r="G16" s="33" t="s">
        <v>31</v>
      </c>
      <c r="H16" s="34">
        <v>5</v>
      </c>
      <c r="I16" s="51">
        <v>3</v>
      </c>
      <c r="J16" s="40">
        <f t="shared" si="0"/>
        <v>0.6</v>
      </c>
      <c r="K16" s="34">
        <f>I16+ENERO!K16</f>
        <v>3</v>
      </c>
      <c r="L16" s="40">
        <f t="shared" si="1"/>
        <v>0.6</v>
      </c>
    </row>
    <row r="17" spans="2:17" s="5" customFormat="1" x14ac:dyDescent="0.3">
      <c r="B17" s="34">
        <v>3</v>
      </c>
      <c r="C17" s="37" t="s">
        <v>41</v>
      </c>
      <c r="D17" s="38" t="s">
        <v>42</v>
      </c>
      <c r="E17" s="73"/>
      <c r="F17" s="33" t="s">
        <v>85</v>
      </c>
      <c r="G17" s="33" t="s">
        <v>85</v>
      </c>
      <c r="H17" s="34">
        <v>13</v>
      </c>
      <c r="I17" s="51">
        <v>0</v>
      </c>
      <c r="J17" s="40">
        <f t="shared" si="0"/>
        <v>0</v>
      </c>
      <c r="K17" s="34">
        <f>I17+ENERO!K17</f>
        <v>0</v>
      </c>
      <c r="L17" s="40">
        <f t="shared" si="1"/>
        <v>0</v>
      </c>
      <c r="O17" s="9"/>
      <c r="Q17" s="9"/>
    </row>
    <row r="18" spans="2:17" x14ac:dyDescent="0.3">
      <c r="B18" s="34">
        <v>3</v>
      </c>
      <c r="C18" s="34" t="s">
        <v>80</v>
      </c>
      <c r="D18" s="39" t="s">
        <v>74</v>
      </c>
      <c r="E18" s="73"/>
      <c r="F18" s="33" t="s">
        <v>75</v>
      </c>
      <c r="G18" s="33" t="s">
        <v>31</v>
      </c>
      <c r="H18" s="34">
        <v>5</v>
      </c>
      <c r="I18" s="51">
        <v>1</v>
      </c>
      <c r="J18" s="40">
        <f t="shared" si="0"/>
        <v>0.2</v>
      </c>
      <c r="K18" s="34">
        <f>I18+ENERO!K18</f>
        <v>2</v>
      </c>
      <c r="L18" s="40">
        <f>IFERROR(K18/H18,0)</f>
        <v>0.4</v>
      </c>
    </row>
    <row r="19" spans="2:17" x14ac:dyDescent="0.3">
      <c r="B19" s="34">
        <v>3</v>
      </c>
      <c r="C19" s="34" t="s">
        <v>43</v>
      </c>
      <c r="D19" s="39" t="s">
        <v>44</v>
      </c>
      <c r="E19" s="73"/>
      <c r="F19" s="33" t="s">
        <v>85</v>
      </c>
      <c r="G19" s="33" t="s">
        <v>85</v>
      </c>
      <c r="H19" s="34">
        <v>26</v>
      </c>
      <c r="I19" s="51">
        <v>0</v>
      </c>
      <c r="J19" s="40">
        <f t="shared" si="0"/>
        <v>0</v>
      </c>
      <c r="K19" s="34">
        <f>I19+ENERO!K19</f>
        <v>1</v>
      </c>
      <c r="L19" s="40">
        <f>IFERROR(K19/H19,0)</f>
        <v>3.8461538461538464E-2</v>
      </c>
    </row>
    <row r="20" spans="2:17" x14ac:dyDescent="0.3">
      <c r="B20" s="34">
        <v>3</v>
      </c>
      <c r="C20" s="34" t="s">
        <v>45</v>
      </c>
      <c r="D20" s="39" t="s">
        <v>46</v>
      </c>
      <c r="E20" s="73"/>
      <c r="F20" s="33" t="s">
        <v>46</v>
      </c>
      <c r="G20" s="33" t="s">
        <v>31</v>
      </c>
      <c r="H20" s="34">
        <v>8</v>
      </c>
      <c r="I20" s="51">
        <v>1</v>
      </c>
      <c r="J20" s="40">
        <f t="shared" si="0"/>
        <v>0.125</v>
      </c>
      <c r="K20" s="34">
        <f>I20+ENERO!K20</f>
        <v>2</v>
      </c>
      <c r="L20" s="40">
        <f>IFERROR(K20/H20,0)</f>
        <v>0.25</v>
      </c>
    </row>
    <row r="21" spans="2:17" x14ac:dyDescent="0.3">
      <c r="B21" s="34">
        <v>3</v>
      </c>
      <c r="C21" s="37" t="s">
        <v>48</v>
      </c>
      <c r="D21" s="38" t="s">
        <v>76</v>
      </c>
      <c r="E21" s="73"/>
      <c r="F21" s="33" t="s">
        <v>76</v>
      </c>
      <c r="G21" s="33" t="s">
        <v>31</v>
      </c>
      <c r="H21" s="34">
        <v>25</v>
      </c>
      <c r="I21" s="51">
        <v>1</v>
      </c>
      <c r="J21" s="40">
        <f t="shared" si="0"/>
        <v>0.04</v>
      </c>
      <c r="K21" s="34">
        <f>I21+ENERO!K21</f>
        <v>1</v>
      </c>
      <c r="L21" s="40">
        <f t="shared" ref="L21:L26" si="2">IFERROR(K21/H21,0)</f>
        <v>0.04</v>
      </c>
    </row>
    <row r="22" spans="2:17" s="5" customFormat="1" x14ac:dyDescent="0.3">
      <c r="B22" s="34">
        <v>5</v>
      </c>
      <c r="C22" s="34" t="s">
        <v>53</v>
      </c>
      <c r="D22" s="39" t="s">
        <v>77</v>
      </c>
      <c r="E22" s="73"/>
      <c r="F22" s="33" t="s">
        <v>73</v>
      </c>
      <c r="G22" s="33" t="s">
        <v>31</v>
      </c>
      <c r="H22" s="34">
        <v>13</v>
      </c>
      <c r="I22" s="52">
        <v>2</v>
      </c>
      <c r="J22" s="40">
        <f t="shared" si="0"/>
        <v>0.15384615384615385</v>
      </c>
      <c r="K22" s="34">
        <f>I22+ENERO!K22</f>
        <v>4</v>
      </c>
      <c r="L22" s="40">
        <f t="shared" si="2"/>
        <v>0.30769230769230771</v>
      </c>
      <c r="O22" s="9"/>
      <c r="Q22" s="9"/>
    </row>
    <row r="23" spans="2:17" x14ac:dyDescent="0.3">
      <c r="B23" s="34">
        <v>5</v>
      </c>
      <c r="C23" s="34" t="s">
        <v>54</v>
      </c>
      <c r="D23" s="39" t="s">
        <v>55</v>
      </c>
      <c r="E23" s="73"/>
      <c r="F23" s="33" t="s">
        <v>47</v>
      </c>
      <c r="G23" s="33" t="s">
        <v>31</v>
      </c>
      <c r="H23" s="34">
        <v>23</v>
      </c>
      <c r="I23" s="51">
        <v>5</v>
      </c>
      <c r="J23" s="40">
        <f t="shared" si="0"/>
        <v>0.21739130434782608</v>
      </c>
      <c r="K23" s="34">
        <f>I23+ENERO!K23</f>
        <v>8</v>
      </c>
      <c r="L23" s="40">
        <f t="shared" si="2"/>
        <v>0.34782608695652173</v>
      </c>
    </row>
    <row r="24" spans="2:17" x14ac:dyDescent="0.3">
      <c r="B24" s="34">
        <v>5</v>
      </c>
      <c r="C24" s="34" t="s">
        <v>56</v>
      </c>
      <c r="D24" s="39" t="s">
        <v>57</v>
      </c>
      <c r="E24" s="73"/>
      <c r="F24" s="33" t="s">
        <v>85</v>
      </c>
      <c r="G24" s="33" t="s">
        <v>85</v>
      </c>
      <c r="H24" s="34">
        <v>13</v>
      </c>
      <c r="I24" s="51">
        <v>0</v>
      </c>
      <c r="J24" s="40">
        <f t="shared" si="0"/>
        <v>0</v>
      </c>
      <c r="K24" s="34">
        <f>I24+ENERO!K24</f>
        <v>0</v>
      </c>
      <c r="L24" s="40">
        <f t="shared" si="2"/>
        <v>0</v>
      </c>
    </row>
    <row r="25" spans="2:17" x14ac:dyDescent="0.3">
      <c r="B25" s="34">
        <v>5</v>
      </c>
      <c r="C25" s="37" t="s">
        <v>58</v>
      </c>
      <c r="D25" s="38" t="s">
        <v>59</v>
      </c>
      <c r="E25" s="73"/>
      <c r="F25" s="33" t="s">
        <v>47</v>
      </c>
      <c r="G25" s="33" t="s">
        <v>31</v>
      </c>
      <c r="H25" s="34">
        <v>5</v>
      </c>
      <c r="I25" s="52">
        <v>1</v>
      </c>
      <c r="J25" s="40">
        <f t="shared" si="0"/>
        <v>0.2</v>
      </c>
      <c r="K25" s="34">
        <f>I25+ENERO!K25</f>
        <v>1</v>
      </c>
      <c r="L25" s="40">
        <f t="shared" si="2"/>
        <v>0.2</v>
      </c>
    </row>
    <row r="26" spans="2:17" x14ac:dyDescent="0.3">
      <c r="B26" s="34">
        <v>5</v>
      </c>
      <c r="C26" s="34" t="s">
        <v>60</v>
      </c>
      <c r="D26" s="39" t="s">
        <v>61</v>
      </c>
      <c r="E26" s="73"/>
      <c r="F26" s="33" t="s">
        <v>47</v>
      </c>
      <c r="G26" s="33" t="s">
        <v>31</v>
      </c>
      <c r="H26" s="34">
        <v>16</v>
      </c>
      <c r="I26" s="51">
        <v>4</v>
      </c>
      <c r="J26" s="40">
        <f t="shared" si="0"/>
        <v>0.25</v>
      </c>
      <c r="K26" s="34">
        <f>I26+ENERO!K26</f>
        <v>5</v>
      </c>
      <c r="L26" s="40">
        <f t="shared" si="2"/>
        <v>0.3125</v>
      </c>
    </row>
    <row r="27" spans="2:17" x14ac:dyDescent="0.3">
      <c r="B27" s="34">
        <v>5</v>
      </c>
      <c r="C27" s="34" t="s">
        <v>62</v>
      </c>
      <c r="D27" s="39" t="s">
        <v>63</v>
      </c>
      <c r="E27" s="73"/>
      <c r="F27" s="33" t="s">
        <v>47</v>
      </c>
      <c r="G27" s="33" t="s">
        <v>31</v>
      </c>
      <c r="H27" s="34">
        <v>17</v>
      </c>
      <c r="I27" s="51">
        <v>4</v>
      </c>
      <c r="J27" s="40">
        <f t="shared" si="0"/>
        <v>0.23529411764705882</v>
      </c>
      <c r="K27" s="34">
        <f>I27+ENERO!K27</f>
        <v>4</v>
      </c>
      <c r="L27" s="40">
        <f>IFERROR(K27/H27,0)</f>
        <v>0.23529411764705882</v>
      </c>
    </row>
    <row r="28" spans="2:17" x14ac:dyDescent="0.3">
      <c r="B28" s="34">
        <v>5</v>
      </c>
      <c r="C28" s="34" t="s">
        <v>64</v>
      </c>
      <c r="D28" s="39" t="s">
        <v>78</v>
      </c>
      <c r="E28" s="73"/>
      <c r="F28" s="33" t="s">
        <v>47</v>
      </c>
      <c r="G28" s="33" t="s">
        <v>31</v>
      </c>
      <c r="H28" s="34">
        <v>13</v>
      </c>
      <c r="I28" s="64">
        <v>4</v>
      </c>
      <c r="J28" s="40">
        <f t="shared" si="0"/>
        <v>0.30769230769230771</v>
      </c>
      <c r="K28" s="34">
        <f>I28+ENERO!K28</f>
        <v>4</v>
      </c>
      <c r="L28" s="40">
        <f>IFERROR(K28/H28,0)</f>
        <v>0.30769230769230771</v>
      </c>
    </row>
    <row r="29" spans="2:17" x14ac:dyDescent="0.3">
      <c r="B29" s="45">
        <v>5</v>
      </c>
      <c r="C29" s="36" t="s">
        <v>83</v>
      </c>
      <c r="D29" s="35" t="s">
        <v>65</v>
      </c>
      <c r="E29" s="74"/>
      <c r="F29" s="56" t="s">
        <v>47</v>
      </c>
      <c r="G29" s="56" t="s">
        <v>31</v>
      </c>
      <c r="H29" s="53">
        <v>5</v>
      </c>
      <c r="I29" s="53">
        <v>1</v>
      </c>
      <c r="J29" s="50">
        <f t="shared" si="0"/>
        <v>0.2</v>
      </c>
      <c r="K29" s="48">
        <f>I29+ENERO!K29</f>
        <v>1</v>
      </c>
      <c r="L29" s="50">
        <f>IFERROR(K29/H29,0)</f>
        <v>0.2</v>
      </c>
    </row>
    <row r="30" spans="2:17" ht="14.4" customHeight="1" x14ac:dyDescent="0.3">
      <c r="B30" s="43">
        <v>3</v>
      </c>
      <c r="C30" s="32" t="s">
        <v>79</v>
      </c>
      <c r="D30" s="31" t="s">
        <v>70</v>
      </c>
      <c r="E30" s="72" t="s">
        <v>82</v>
      </c>
      <c r="F30" s="62" t="s">
        <v>71</v>
      </c>
      <c r="G30" s="31" t="s">
        <v>31</v>
      </c>
      <c r="H30" s="32">
        <v>13</v>
      </c>
      <c r="I30" s="32">
        <v>3</v>
      </c>
      <c r="J30" s="42">
        <f t="shared" si="0"/>
        <v>0.23076923076923078</v>
      </c>
      <c r="K30" s="32">
        <f>I30+ENERO!K30</f>
        <v>5</v>
      </c>
      <c r="L30" s="42">
        <f t="shared" ref="L30:L46" si="3">IFERROR(K30/H30,0)</f>
        <v>0.38461538461538464</v>
      </c>
    </row>
    <row r="31" spans="2:17" x14ac:dyDescent="0.3">
      <c r="B31" s="44">
        <v>3</v>
      </c>
      <c r="C31" s="34" t="s">
        <v>49</v>
      </c>
      <c r="D31" s="33" t="s">
        <v>50</v>
      </c>
      <c r="E31" s="73"/>
      <c r="F31" s="33" t="s">
        <v>86</v>
      </c>
      <c r="G31" s="33" t="s">
        <v>31</v>
      </c>
      <c r="H31" s="34">
        <v>13</v>
      </c>
      <c r="I31" s="34">
        <v>2</v>
      </c>
      <c r="J31" s="40">
        <f t="shared" si="0"/>
        <v>0.15384615384615385</v>
      </c>
      <c r="K31" s="34">
        <f>I31+ENERO!K31</f>
        <v>2</v>
      </c>
      <c r="L31" s="40">
        <f t="shared" si="3"/>
        <v>0.15384615384615385</v>
      </c>
    </row>
    <row r="32" spans="2:17" s="5" customFormat="1" x14ac:dyDescent="0.3">
      <c r="B32" s="44">
        <v>3</v>
      </c>
      <c r="C32" s="34" t="s">
        <v>51</v>
      </c>
      <c r="D32" s="33" t="s">
        <v>72</v>
      </c>
      <c r="E32" s="73"/>
      <c r="F32" s="33" t="s">
        <v>52</v>
      </c>
      <c r="G32" s="33" t="s">
        <v>31</v>
      </c>
      <c r="H32" s="34">
        <v>13</v>
      </c>
      <c r="I32" s="34">
        <v>2</v>
      </c>
      <c r="J32" s="40">
        <f t="shared" si="0"/>
        <v>0.15384615384615385</v>
      </c>
      <c r="K32" s="34">
        <f>I32+ENERO!K32</f>
        <v>2</v>
      </c>
      <c r="L32" s="40">
        <f t="shared" si="3"/>
        <v>0.15384615384615385</v>
      </c>
      <c r="O32" s="9"/>
      <c r="Q32" s="9"/>
    </row>
    <row r="33" spans="2:17" x14ac:dyDescent="0.3">
      <c r="B33" s="44">
        <v>3</v>
      </c>
      <c r="C33" s="34" t="s">
        <v>66</v>
      </c>
      <c r="D33" s="33" t="s">
        <v>67</v>
      </c>
      <c r="E33" s="73"/>
      <c r="F33" s="59" t="s">
        <v>87</v>
      </c>
      <c r="G33" s="59" t="s">
        <v>31</v>
      </c>
      <c r="H33" s="51">
        <v>13</v>
      </c>
      <c r="I33" s="52">
        <v>2</v>
      </c>
      <c r="J33" s="49">
        <f t="shared" si="0"/>
        <v>0.15384615384615385</v>
      </c>
      <c r="K33" s="47">
        <f>I33+ENERO!K33</f>
        <v>2</v>
      </c>
      <c r="L33" s="49">
        <f t="shared" si="3"/>
        <v>0.15384615384615385</v>
      </c>
    </row>
    <row r="34" spans="2:17" x14ac:dyDescent="0.3">
      <c r="B34" s="44">
        <v>3</v>
      </c>
      <c r="C34" s="34" t="s">
        <v>41</v>
      </c>
      <c r="D34" s="33" t="s">
        <v>42</v>
      </c>
      <c r="E34" s="73"/>
      <c r="F34" s="33" t="s">
        <v>73</v>
      </c>
      <c r="G34" s="60" t="s">
        <v>31</v>
      </c>
      <c r="H34" s="51">
        <v>13</v>
      </c>
      <c r="I34" s="52">
        <v>2</v>
      </c>
      <c r="J34" s="49">
        <f t="shared" si="0"/>
        <v>0.15384615384615385</v>
      </c>
      <c r="K34" s="47">
        <f>I34+ENERO!K34</f>
        <v>4</v>
      </c>
      <c r="L34" s="49">
        <f t="shared" si="3"/>
        <v>0.30769230769230771</v>
      </c>
    </row>
    <row r="35" spans="2:17" x14ac:dyDescent="0.3">
      <c r="B35" s="44">
        <v>3</v>
      </c>
      <c r="C35" s="34" t="s">
        <v>80</v>
      </c>
      <c r="D35" s="36" t="s">
        <v>83</v>
      </c>
      <c r="E35" s="73"/>
      <c r="F35" s="60" t="s">
        <v>75</v>
      </c>
      <c r="G35" s="60" t="s">
        <v>31</v>
      </c>
      <c r="H35" s="51">
        <v>13</v>
      </c>
      <c r="I35" s="52">
        <v>2</v>
      </c>
      <c r="J35" s="49">
        <f t="shared" si="0"/>
        <v>0.15384615384615385</v>
      </c>
      <c r="K35" s="47">
        <f>I35+ENERO!K35</f>
        <v>2</v>
      </c>
      <c r="L35" s="49">
        <f t="shared" si="3"/>
        <v>0.15384615384615385</v>
      </c>
    </row>
    <row r="36" spans="2:17" x14ac:dyDescent="0.3">
      <c r="B36" s="44">
        <v>3</v>
      </c>
      <c r="C36" s="34" t="s">
        <v>43</v>
      </c>
      <c r="D36" s="33" t="s">
        <v>44</v>
      </c>
      <c r="E36" s="73"/>
      <c r="F36" s="33" t="s">
        <v>44</v>
      </c>
      <c r="G36" s="60" t="s">
        <v>31</v>
      </c>
      <c r="H36" s="51">
        <v>13</v>
      </c>
      <c r="I36" s="52">
        <v>3</v>
      </c>
      <c r="J36" s="49">
        <f t="shared" si="0"/>
        <v>0.23076923076923078</v>
      </c>
      <c r="K36" s="47">
        <f>I36+ENERO!K36</f>
        <v>5</v>
      </c>
      <c r="L36" s="49">
        <f t="shared" si="3"/>
        <v>0.38461538461538464</v>
      </c>
    </row>
    <row r="37" spans="2:17" x14ac:dyDescent="0.3">
      <c r="B37" s="44">
        <v>3</v>
      </c>
      <c r="C37" s="34" t="s">
        <v>45</v>
      </c>
      <c r="D37" s="33" t="s">
        <v>46</v>
      </c>
      <c r="E37" s="73"/>
      <c r="F37" s="33" t="s">
        <v>46</v>
      </c>
      <c r="G37" s="60" t="s">
        <v>31</v>
      </c>
      <c r="H37" s="51">
        <v>13</v>
      </c>
      <c r="I37" s="52">
        <v>3</v>
      </c>
      <c r="J37" s="49">
        <f t="shared" si="0"/>
        <v>0.23076923076923078</v>
      </c>
      <c r="K37" s="47">
        <f>I37+ENERO!K37</f>
        <v>5</v>
      </c>
      <c r="L37" s="49">
        <f t="shared" si="3"/>
        <v>0.38461538461538464</v>
      </c>
    </row>
    <row r="38" spans="2:17" x14ac:dyDescent="0.3">
      <c r="B38" s="44">
        <v>3</v>
      </c>
      <c r="C38" s="34" t="s">
        <v>48</v>
      </c>
      <c r="D38" s="33" t="s">
        <v>76</v>
      </c>
      <c r="E38" s="73"/>
      <c r="F38" s="33" t="s">
        <v>76</v>
      </c>
      <c r="G38" s="60" t="s">
        <v>31</v>
      </c>
      <c r="H38" s="51">
        <v>13</v>
      </c>
      <c r="I38" s="52">
        <v>2</v>
      </c>
      <c r="J38" s="49">
        <f t="shared" si="0"/>
        <v>0.15384615384615385</v>
      </c>
      <c r="K38" s="47">
        <f>I38+ENERO!K38</f>
        <v>4</v>
      </c>
      <c r="L38" s="49">
        <f t="shared" si="3"/>
        <v>0.30769230769230771</v>
      </c>
    </row>
    <row r="39" spans="2:17" x14ac:dyDescent="0.3">
      <c r="B39" s="44">
        <v>5</v>
      </c>
      <c r="C39" s="34" t="s">
        <v>53</v>
      </c>
      <c r="D39" s="33" t="s">
        <v>77</v>
      </c>
      <c r="E39" s="73"/>
      <c r="F39" s="60" t="s">
        <v>73</v>
      </c>
      <c r="G39" s="60" t="s">
        <v>31</v>
      </c>
      <c r="H39" s="51">
        <v>13</v>
      </c>
      <c r="I39" s="52">
        <v>2</v>
      </c>
      <c r="J39" s="49">
        <f t="shared" si="0"/>
        <v>0.15384615384615385</v>
      </c>
      <c r="K39" s="47">
        <f>I39+ENERO!K39</f>
        <v>2</v>
      </c>
      <c r="L39" s="49">
        <f t="shared" si="3"/>
        <v>0.15384615384615385</v>
      </c>
    </row>
    <row r="40" spans="2:17" x14ac:dyDescent="0.3">
      <c r="B40" s="44">
        <v>5</v>
      </c>
      <c r="C40" s="34" t="s">
        <v>54</v>
      </c>
      <c r="D40" s="33" t="s">
        <v>55</v>
      </c>
      <c r="E40" s="73"/>
      <c r="F40" s="60" t="s">
        <v>47</v>
      </c>
      <c r="G40" s="60" t="s">
        <v>31</v>
      </c>
      <c r="H40" s="51">
        <v>13</v>
      </c>
      <c r="I40" s="52">
        <v>2</v>
      </c>
      <c r="J40" s="49">
        <f t="shared" si="0"/>
        <v>0.15384615384615385</v>
      </c>
      <c r="K40" s="47">
        <f>I40+ENERO!K40</f>
        <v>2</v>
      </c>
      <c r="L40" s="49">
        <f t="shared" si="3"/>
        <v>0.15384615384615385</v>
      </c>
    </row>
    <row r="41" spans="2:17" x14ac:dyDescent="0.3">
      <c r="B41" s="44">
        <v>5</v>
      </c>
      <c r="C41" s="34" t="s">
        <v>56</v>
      </c>
      <c r="D41" s="33" t="s">
        <v>57</v>
      </c>
      <c r="E41" s="73"/>
      <c r="F41" s="60" t="s">
        <v>85</v>
      </c>
      <c r="G41" s="60" t="s">
        <v>85</v>
      </c>
      <c r="H41" s="51">
        <v>13</v>
      </c>
      <c r="I41" s="52">
        <v>0</v>
      </c>
      <c r="J41" s="49">
        <f t="shared" si="0"/>
        <v>0</v>
      </c>
      <c r="K41" s="47">
        <f>I41+ENERO!K41</f>
        <v>0</v>
      </c>
      <c r="L41" s="49">
        <f t="shared" si="3"/>
        <v>0</v>
      </c>
    </row>
    <row r="42" spans="2:17" x14ac:dyDescent="0.3">
      <c r="B42" s="44">
        <v>5</v>
      </c>
      <c r="C42" s="34" t="s">
        <v>58</v>
      </c>
      <c r="D42" s="33" t="s">
        <v>59</v>
      </c>
      <c r="E42" s="73"/>
      <c r="F42" s="33" t="s">
        <v>85</v>
      </c>
      <c r="G42" s="60" t="s">
        <v>85</v>
      </c>
      <c r="H42" s="51">
        <v>13</v>
      </c>
      <c r="I42" s="52">
        <v>0</v>
      </c>
      <c r="J42" s="49">
        <f t="shared" si="0"/>
        <v>0</v>
      </c>
      <c r="K42" s="47">
        <f>I42+ENERO!K42</f>
        <v>1</v>
      </c>
      <c r="L42" s="49">
        <f t="shared" si="3"/>
        <v>7.6923076923076927E-2</v>
      </c>
    </row>
    <row r="43" spans="2:17" x14ac:dyDescent="0.3">
      <c r="B43" s="44">
        <v>5</v>
      </c>
      <c r="C43" s="34" t="s">
        <v>60</v>
      </c>
      <c r="D43" s="33" t="s">
        <v>61</v>
      </c>
      <c r="E43" s="73"/>
      <c r="F43" s="60" t="s">
        <v>47</v>
      </c>
      <c r="G43" s="60" t="s">
        <v>31</v>
      </c>
      <c r="H43" s="51">
        <v>13</v>
      </c>
      <c r="I43" s="52">
        <v>3</v>
      </c>
      <c r="J43" s="49">
        <f t="shared" si="0"/>
        <v>0.23076923076923078</v>
      </c>
      <c r="K43" s="47">
        <f>I43+ENERO!K43</f>
        <v>3</v>
      </c>
      <c r="L43" s="49">
        <f t="shared" si="3"/>
        <v>0.23076923076923078</v>
      </c>
    </row>
    <row r="44" spans="2:17" x14ac:dyDescent="0.3">
      <c r="B44" s="44">
        <v>5</v>
      </c>
      <c r="C44" s="34" t="s">
        <v>62</v>
      </c>
      <c r="D44" s="33" t="s">
        <v>63</v>
      </c>
      <c r="E44" s="73"/>
      <c r="F44" s="60" t="s">
        <v>47</v>
      </c>
      <c r="G44" s="60" t="s">
        <v>31</v>
      </c>
      <c r="H44" s="51">
        <v>13</v>
      </c>
      <c r="I44" s="52">
        <v>2</v>
      </c>
      <c r="J44" s="49">
        <f t="shared" si="0"/>
        <v>0.15384615384615385</v>
      </c>
      <c r="K44" s="47">
        <f>I44+ENERO!K44</f>
        <v>2</v>
      </c>
      <c r="L44" s="49">
        <f t="shared" si="3"/>
        <v>0.15384615384615385</v>
      </c>
    </row>
    <row r="45" spans="2:17" x14ac:dyDescent="0.3">
      <c r="B45" s="44">
        <v>5</v>
      </c>
      <c r="C45" s="34" t="s">
        <v>64</v>
      </c>
      <c r="D45" s="33" t="s">
        <v>78</v>
      </c>
      <c r="E45" s="73"/>
      <c r="F45" s="60" t="s">
        <v>85</v>
      </c>
      <c r="G45" s="60" t="s">
        <v>85</v>
      </c>
      <c r="H45" s="51">
        <v>13</v>
      </c>
      <c r="I45" s="52">
        <v>0</v>
      </c>
      <c r="J45" s="49">
        <f t="shared" si="0"/>
        <v>0</v>
      </c>
      <c r="K45" s="47">
        <f>I45+ENERO!K45</f>
        <v>0</v>
      </c>
      <c r="L45" s="49">
        <f t="shared" si="3"/>
        <v>0</v>
      </c>
    </row>
    <row r="46" spans="2:17" x14ac:dyDescent="0.3">
      <c r="B46" s="45">
        <v>5</v>
      </c>
      <c r="C46" s="36" t="s">
        <v>83</v>
      </c>
      <c r="D46" s="35" t="s">
        <v>65</v>
      </c>
      <c r="E46" s="74"/>
      <c r="F46" s="61" t="s">
        <v>85</v>
      </c>
      <c r="G46" s="61" t="s">
        <v>85</v>
      </c>
      <c r="H46" s="53">
        <v>13</v>
      </c>
      <c r="I46" s="54">
        <v>0</v>
      </c>
      <c r="J46" s="50">
        <f t="shared" si="0"/>
        <v>0</v>
      </c>
      <c r="K46" s="48">
        <f>I46+ENERO!K46</f>
        <v>0</v>
      </c>
      <c r="L46" s="50">
        <f t="shared" si="3"/>
        <v>0</v>
      </c>
    </row>
    <row r="47" spans="2:17" s="5" customFormat="1" ht="23.25" customHeight="1" x14ac:dyDescent="0.3">
      <c r="B47" s="4"/>
      <c r="C47" s="4"/>
      <c r="D47" s="4"/>
      <c r="E47" s="4"/>
      <c r="F47" s="4"/>
      <c r="G47" s="7"/>
      <c r="H47" s="75" t="s">
        <v>32</v>
      </c>
      <c r="I47" s="75"/>
      <c r="J47" s="75"/>
      <c r="K47" s="75"/>
      <c r="L47" s="75"/>
      <c r="O47"/>
      <c r="Q47"/>
    </row>
    <row r="48" spans="2:17" s="5" customFormat="1" ht="16.5" customHeight="1" x14ac:dyDescent="0.3">
      <c r="B48" s="4"/>
      <c r="C48" s="4"/>
      <c r="H48" s="10">
        <f>+SUM(H13:H46)</f>
        <v>442</v>
      </c>
      <c r="I48" s="10">
        <f>+SUM(I13:I46)</f>
        <v>60</v>
      </c>
      <c r="J48" s="11">
        <f>IFERROR(I48/H48,0)</f>
        <v>0.13574660633484162</v>
      </c>
      <c r="K48" s="30">
        <f>+SUM(K13:K46)</f>
        <v>82</v>
      </c>
      <c r="L48" s="11">
        <f>IFERROR(K48/H48,0)</f>
        <v>0.18552036199095023</v>
      </c>
      <c r="O48"/>
      <c r="Q48"/>
    </row>
    <row r="49" spans="2:17" s="5" customFormat="1" ht="18.75" customHeight="1" x14ac:dyDescent="0.3">
      <c r="B49" s="4"/>
      <c r="C49" s="4"/>
      <c r="I49" s="17"/>
      <c r="J49" s="18"/>
      <c r="K49" s="19"/>
      <c r="L49" s="18"/>
      <c r="O49"/>
      <c r="Q49"/>
    </row>
    <row r="50" spans="2:17" s="5" customFormat="1" ht="20.25" customHeight="1" x14ac:dyDescent="0.3">
      <c r="B50" s="4"/>
      <c r="C50" s="4"/>
      <c r="I50" s="17"/>
      <c r="J50" s="18"/>
      <c r="K50" s="19"/>
      <c r="L50" s="18"/>
      <c r="O50"/>
      <c r="Q50"/>
    </row>
    <row r="51" spans="2:17" s="5" customFormat="1" ht="71.400000000000006" customHeight="1" x14ac:dyDescent="0.3">
      <c r="B51" s="76" t="s">
        <v>33</v>
      </c>
      <c r="C51" s="77"/>
      <c r="D51" s="80" t="s">
        <v>89</v>
      </c>
      <c r="E51" s="81"/>
      <c r="F51" s="81"/>
      <c r="G51" s="81"/>
      <c r="H51" s="81"/>
      <c r="I51" s="81"/>
      <c r="J51" s="81"/>
      <c r="K51" s="81"/>
      <c r="L51" s="82"/>
      <c r="O51"/>
      <c r="Q51"/>
    </row>
    <row r="52" spans="2:17" s="5" customFormat="1" ht="72" customHeight="1" x14ac:dyDescent="0.3">
      <c r="B52" s="78"/>
      <c r="C52" s="79"/>
      <c r="D52" s="80" t="s">
        <v>88</v>
      </c>
      <c r="E52" s="81"/>
      <c r="F52" s="81"/>
      <c r="G52" s="81"/>
      <c r="H52" s="81"/>
      <c r="I52" s="81"/>
      <c r="J52" s="81"/>
      <c r="K52" s="81"/>
      <c r="L52" s="82"/>
      <c r="O52"/>
      <c r="Q52"/>
    </row>
    <row r="53" spans="2:17" x14ac:dyDescent="0.3">
      <c r="B53" s="83" t="s">
        <v>35</v>
      </c>
      <c r="C53" s="83"/>
      <c r="D53" s="83"/>
      <c r="E53" s="83"/>
      <c r="F53" s="83"/>
      <c r="G53" s="83"/>
      <c r="H53" s="83"/>
      <c r="I53" s="83"/>
      <c r="J53" s="83"/>
      <c r="K53" s="83"/>
      <c r="L53" s="83"/>
    </row>
    <row r="54" spans="2:17" ht="15" customHeight="1" x14ac:dyDescent="0.3">
      <c r="B54" s="83"/>
      <c r="C54" s="83"/>
      <c r="D54" s="83"/>
      <c r="E54" s="83"/>
      <c r="F54" s="83"/>
      <c r="G54" s="83"/>
      <c r="H54" s="83"/>
      <c r="I54" s="83"/>
      <c r="J54" s="83"/>
      <c r="K54" s="83"/>
      <c r="L54" s="83"/>
    </row>
    <row r="55" spans="2:17" x14ac:dyDescent="0.3">
      <c r="B55" s="12" t="s">
        <v>36</v>
      </c>
      <c r="C55" s="13"/>
      <c r="D55" s="13"/>
      <c r="E55" s="13"/>
      <c r="F55" s="13"/>
      <c r="G55" s="13"/>
      <c r="H55" s="13"/>
      <c r="I55" s="13"/>
      <c r="J55" s="13"/>
      <c r="K55" s="13"/>
      <c r="L55" s="14"/>
    </row>
    <row r="56" spans="2:17" ht="20.100000000000001" customHeight="1" x14ac:dyDescent="0.4">
      <c r="B56" s="15" t="s">
        <v>37</v>
      </c>
      <c r="C56" s="16"/>
      <c r="D56" s="66" t="s">
        <v>34</v>
      </c>
      <c r="E56" s="66"/>
      <c r="F56" s="66"/>
      <c r="G56" s="66"/>
      <c r="H56" s="66"/>
      <c r="I56" s="66"/>
      <c r="J56" s="66"/>
      <c r="K56" s="66"/>
      <c r="L56" s="66"/>
    </row>
    <row r="57" spans="2:17" ht="20.100000000000001" customHeight="1" x14ac:dyDescent="0.4">
      <c r="B57" s="15" t="s">
        <v>38</v>
      </c>
      <c r="C57" s="16"/>
      <c r="D57" s="66"/>
      <c r="E57" s="66"/>
      <c r="F57" s="66"/>
      <c r="G57" s="66"/>
      <c r="H57" s="66"/>
      <c r="I57" s="66"/>
      <c r="J57" s="66"/>
      <c r="K57" s="66"/>
      <c r="L57" s="66"/>
    </row>
    <row r="58" spans="2:17" x14ac:dyDescent="0.3">
      <c r="B58" s="65" t="s">
        <v>35</v>
      </c>
      <c r="C58" s="65"/>
      <c r="D58" s="65"/>
      <c r="E58" s="65"/>
      <c r="F58" s="65"/>
      <c r="G58" s="65"/>
      <c r="H58" s="65"/>
      <c r="I58" s="65"/>
      <c r="J58" s="65"/>
      <c r="K58" s="65"/>
      <c r="L58" s="65"/>
    </row>
    <row r="59" spans="2:17" x14ac:dyDescent="0.3">
      <c r="B59" s="65"/>
      <c r="C59" s="65"/>
      <c r="D59" s="65"/>
      <c r="E59" s="65"/>
      <c r="F59" s="65"/>
      <c r="G59" s="65"/>
      <c r="H59" s="65"/>
      <c r="I59" s="65"/>
      <c r="J59" s="65"/>
      <c r="K59" s="65"/>
      <c r="L59" s="65"/>
    </row>
    <row r="60" spans="2:17" ht="19.5" customHeight="1" x14ac:dyDescent="0.3">
      <c r="B60" s="12" t="s">
        <v>39</v>
      </c>
      <c r="C60" s="13"/>
      <c r="D60" s="13"/>
      <c r="E60" s="13"/>
      <c r="F60" s="13"/>
      <c r="G60" s="13"/>
      <c r="H60" s="13"/>
      <c r="I60" s="13"/>
      <c r="J60" s="13"/>
      <c r="K60" s="13"/>
      <c r="L60" s="14"/>
    </row>
    <row r="61" spans="2:17" ht="23.85" customHeight="1" x14ac:dyDescent="0.4">
      <c r="B61" s="15" t="s">
        <v>37</v>
      </c>
      <c r="C61" s="16"/>
      <c r="D61" s="66" t="s">
        <v>34</v>
      </c>
      <c r="E61" s="66"/>
      <c r="F61" s="66"/>
      <c r="G61" s="66"/>
      <c r="H61" s="66"/>
      <c r="I61" s="66"/>
      <c r="J61" s="66"/>
      <c r="K61" s="66"/>
      <c r="L61" s="66"/>
    </row>
    <row r="62" spans="2:17" ht="24.6" x14ac:dyDescent="0.4">
      <c r="B62" s="15" t="s">
        <v>38</v>
      </c>
      <c r="C62" s="16"/>
      <c r="D62" s="66"/>
      <c r="E62" s="66"/>
      <c r="F62" s="66"/>
      <c r="G62" s="66"/>
      <c r="H62" s="66"/>
      <c r="I62" s="66"/>
      <c r="J62" s="66"/>
      <c r="K62" s="66"/>
      <c r="L62" s="66"/>
    </row>
    <row r="65" spans="2:11" x14ac:dyDescent="0.3">
      <c r="B65" s="67"/>
      <c r="C65" s="67"/>
      <c r="D65" s="67"/>
      <c r="E65" s="57"/>
      <c r="I65" s="67"/>
      <c r="J65" s="67"/>
      <c r="K65" s="67"/>
    </row>
    <row r="66" spans="2:11" ht="18" customHeight="1" x14ac:dyDescent="0.3">
      <c r="B66" s="4" t="s">
        <v>40</v>
      </c>
      <c r="C66" s="68"/>
      <c r="D66" s="68"/>
      <c r="E66" s="58"/>
      <c r="I66" s="69" t="s">
        <v>84</v>
      </c>
      <c r="J66" s="69"/>
      <c r="K66" s="69"/>
    </row>
    <row r="93" spans="1:18" s="1" customFormat="1" hidden="1" x14ac:dyDescent="0.3">
      <c r="A93" t="s">
        <v>0</v>
      </c>
      <c r="M93" s="2"/>
      <c r="N93" s="2"/>
      <c r="O93"/>
      <c r="P93" s="2"/>
      <c r="Q93"/>
      <c r="R93" s="2"/>
    </row>
    <row r="94" spans="1:18" s="1" customFormat="1" hidden="1" x14ac:dyDescent="0.3">
      <c r="A94" t="s">
        <v>2</v>
      </c>
      <c r="M94" s="2"/>
      <c r="N94" s="2"/>
      <c r="O94"/>
      <c r="P94" s="2"/>
      <c r="Q94"/>
      <c r="R94" s="2"/>
    </row>
    <row r="95" spans="1:18" s="1" customFormat="1" hidden="1" x14ac:dyDescent="0.3">
      <c r="A95" t="s">
        <v>6</v>
      </c>
      <c r="M95" s="2"/>
      <c r="N95" s="2"/>
      <c r="O95"/>
      <c r="P95" s="2"/>
      <c r="Q95"/>
      <c r="R95" s="2"/>
    </row>
    <row r="96" spans="1:18" s="1" customFormat="1" hidden="1" x14ac:dyDescent="0.3">
      <c r="A96" t="s">
        <v>8</v>
      </c>
      <c r="M96" s="2"/>
      <c r="N96" s="2"/>
      <c r="O96"/>
      <c r="P96" s="2"/>
      <c r="Q96"/>
      <c r="R96" s="2"/>
    </row>
    <row r="97" spans="1:18" s="1" customFormat="1" hidden="1" x14ac:dyDescent="0.3">
      <c r="A97" t="s">
        <v>9</v>
      </c>
      <c r="M97" s="2"/>
      <c r="N97" s="2"/>
      <c r="O97"/>
      <c r="P97" s="2"/>
      <c r="Q97"/>
      <c r="R97" s="2"/>
    </row>
    <row r="98" spans="1:18" s="1" customFormat="1" hidden="1" x14ac:dyDescent="0.3">
      <c r="A98" t="s">
        <v>10</v>
      </c>
      <c r="B98" s="2"/>
      <c r="M98" s="2"/>
      <c r="N98" s="2"/>
      <c r="O98"/>
      <c r="P98" s="2"/>
      <c r="Q98"/>
      <c r="R98" s="2"/>
    </row>
    <row r="99" spans="1:18" s="1" customFormat="1" hidden="1" x14ac:dyDescent="0.3">
      <c r="A99" t="s">
        <v>11</v>
      </c>
      <c r="B99" s="2"/>
      <c r="M99" s="2"/>
      <c r="N99" s="2"/>
      <c r="O99"/>
      <c r="P99" s="2"/>
      <c r="Q99"/>
      <c r="R99" s="2"/>
    </row>
    <row r="100" spans="1:18" s="1" customFormat="1" hidden="1" x14ac:dyDescent="0.3">
      <c r="A100" t="s">
        <v>13</v>
      </c>
      <c r="B100" s="2"/>
      <c r="M100" s="2"/>
      <c r="N100" s="2"/>
      <c r="O100"/>
      <c r="P100" s="2"/>
      <c r="Q100"/>
      <c r="R100" s="2"/>
    </row>
    <row r="101" spans="1:18" s="1" customFormat="1" hidden="1" x14ac:dyDescent="0.3">
      <c r="A101" t="s">
        <v>14</v>
      </c>
      <c r="B101" s="5"/>
      <c r="M101" s="2"/>
      <c r="N101" s="2"/>
      <c r="O101"/>
      <c r="P101" s="2"/>
      <c r="Q101"/>
      <c r="R101" s="2"/>
    </row>
    <row r="102" spans="1:18" s="1" customFormat="1" hidden="1" x14ac:dyDescent="0.3">
      <c r="A102" t="s">
        <v>16</v>
      </c>
      <c r="B102" s="2"/>
      <c r="M102" s="2"/>
      <c r="N102" s="2"/>
      <c r="O102"/>
      <c r="P102" s="2"/>
      <c r="Q102"/>
      <c r="R102" s="2"/>
    </row>
    <row r="103" spans="1:18" s="1" customFormat="1" hidden="1" x14ac:dyDescent="0.3">
      <c r="A103" t="s">
        <v>17</v>
      </c>
      <c r="B103" s="5"/>
      <c r="M103" s="2"/>
      <c r="N103" s="2"/>
      <c r="O103"/>
      <c r="P103" s="2"/>
      <c r="Q103"/>
      <c r="R103" s="2"/>
    </row>
    <row r="104" spans="1:18" s="1" customFormat="1" hidden="1" x14ac:dyDescent="0.3">
      <c r="A104" t="s">
        <v>21</v>
      </c>
      <c r="B104" s="5"/>
      <c r="M104" s="2"/>
      <c r="N104" s="2"/>
      <c r="O104"/>
      <c r="P104" s="2"/>
      <c r="Q104"/>
      <c r="R104" s="2"/>
    </row>
    <row r="105" spans="1:18" s="1" customFormat="1" hidden="1" x14ac:dyDescent="0.3">
      <c r="A105" t="s">
        <v>30</v>
      </c>
      <c r="B105" s="5"/>
      <c r="M105" s="2"/>
      <c r="N105" s="2"/>
      <c r="O105"/>
      <c r="P105" s="2"/>
      <c r="Q105"/>
      <c r="R105" s="2"/>
    </row>
    <row r="106" spans="1:18" x14ac:dyDescent="0.3">
      <c r="B106" s="5"/>
    </row>
    <row r="107" spans="1:18" x14ac:dyDescent="0.3">
      <c r="B107" s="5"/>
    </row>
    <row r="108" spans="1:18" x14ac:dyDescent="0.3">
      <c r="B108" s="2"/>
    </row>
    <row r="109" spans="1:18" x14ac:dyDescent="0.3">
      <c r="B109" s="2"/>
    </row>
    <row r="110" spans="1:18" x14ac:dyDescent="0.3">
      <c r="B110" s="2"/>
    </row>
  </sheetData>
  <sheetProtection formatCells="0" formatColumns="0" formatRows="0" insertColumns="0" insertRows="0" insertHyperlinks="0" deleteColumns="0" deleteRows="0" sort="0" autoFilter="0" pivotTables="0"/>
  <mergeCells count="24">
    <mergeCell ref="B7:C7"/>
    <mergeCell ref="B2:L2"/>
    <mergeCell ref="B3:D3"/>
    <mergeCell ref="F3:I3"/>
    <mergeCell ref="J3:L3"/>
    <mergeCell ref="B5:C5"/>
    <mergeCell ref="D56:L57"/>
    <mergeCell ref="B9:C9"/>
    <mergeCell ref="B11:H11"/>
    <mergeCell ref="I11:J11"/>
    <mergeCell ref="K11:L11"/>
    <mergeCell ref="E13:E29"/>
    <mergeCell ref="E30:E46"/>
    <mergeCell ref="H47:L47"/>
    <mergeCell ref="B51:C52"/>
    <mergeCell ref="D51:L51"/>
    <mergeCell ref="D52:L52"/>
    <mergeCell ref="B53:L54"/>
    <mergeCell ref="B58:L59"/>
    <mergeCell ref="D61:L62"/>
    <mergeCell ref="B65:D65"/>
    <mergeCell ref="I65:K65"/>
    <mergeCell ref="C66:D66"/>
    <mergeCell ref="I66:K66"/>
  </mergeCells>
  <conditionalFormatting sqref="K48">
    <cfRule type="cellIs" dxfId="1" priority="2" operator="greaterThan">
      <formula>350</formula>
    </cfRule>
  </conditionalFormatting>
  <conditionalFormatting sqref="L29 L33:L46">
    <cfRule type="cellIs" dxfId="0" priority="1" operator="greaterThan">
      <formula>1</formula>
    </cfRule>
  </conditionalFormatting>
  <dataValidations count="4">
    <dataValidation type="whole" allowBlank="1" showInputMessage="1" showErrorMessage="1" errorTitle="¡Error!" error="Introduzca un número válido." promptTitle="¡Atención!" prompt="Introduzca un número entre 0 y 366" sqref="H48:I48 K48 I13:I22 H13:H46" xr:uid="{00000000-0002-0000-0100-000000000000}">
      <formula1>0</formula1>
      <formula2>366</formula2>
    </dataValidation>
    <dataValidation type="list" allowBlank="1" showInputMessage="1" showErrorMessage="1" sqref="F7:H8 D8" xr:uid="{00000000-0002-0000-0100-000001000000}">
      <formula1>#REF!</formula1>
    </dataValidation>
    <dataValidation type="list" allowBlank="1" showInputMessage="1" showErrorMessage="1" sqref="D7" xr:uid="{00000000-0002-0000-0100-000002000000}">
      <formula1>$A$94:$A$105</formula1>
    </dataValidation>
    <dataValidation type="whole" allowBlank="1" showInputMessage="1" showErrorMessage="1" errorTitle="¡Error!" error="Introduzca un número válido." promptTitle="¡Atención!" prompt="Introduzca un número entre 0 y 30" sqref="I23:I46" xr:uid="{00000000-0002-0000-0100-000003000000}">
      <formula1>0</formula1>
      <formula2>30</formula2>
    </dataValidation>
  </dataValidations>
  <pageMargins left="0.7" right="0.7" top="0.75" bottom="0.75" header="0.3" footer="0.3"/>
  <pageSetup scale="10"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ENERO</vt:lpstr>
      <vt:lpstr>FEBRERO</vt:lpstr>
      <vt:lpstr>ENERO!Área_de_impresión</vt:lpstr>
      <vt:lpstr>FEBRERO!Área_de_impresión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Meridian 0873</dc:creator>
  <cp:lastModifiedBy>Petroservicios Ocho</cp:lastModifiedBy>
  <dcterms:created xsi:type="dcterms:W3CDTF">2024-01-10T22:00:55Z</dcterms:created>
  <dcterms:modified xsi:type="dcterms:W3CDTF">2026-03-03T23:33:17Z</dcterms:modified>
</cp:coreProperties>
</file>