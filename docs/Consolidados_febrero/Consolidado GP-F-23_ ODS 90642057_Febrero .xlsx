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/>
  </bookViews>
  <sheets>
    <sheet name="FEBRERO" sheetId="16" r:id="rId1"/>
  </sheets>
  <definedNames>
    <definedName name="_xlnm.Print_Area" localSheetId="0">FEBRERO!$A$1:$M$48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6" l="1"/>
  <c r="H30" i="16"/>
  <c r="J30" i="16" l="1"/>
  <c r="J26" i="16" l="1"/>
  <c r="J25" i="16"/>
  <c r="J24" i="16"/>
  <c r="J23" i="16"/>
  <c r="J22" i="16"/>
  <c r="K17" i="16" l="1"/>
  <c r="K16" i="16"/>
  <c r="K15" i="16"/>
  <c r="K14" i="16"/>
  <c r="K13" i="16"/>
  <c r="J13" i="16" l="1"/>
  <c r="J14" i="16"/>
  <c r="J15" i="16"/>
  <c r="J16" i="16"/>
  <c r="J17" i="16"/>
  <c r="K28" i="16" l="1"/>
  <c r="J28" i="16"/>
  <c r="K27" i="16"/>
  <c r="J27" i="16"/>
  <c r="K26" i="16"/>
  <c r="K25" i="16"/>
  <c r="K24" i="16"/>
  <c r="K23" i="16"/>
  <c r="K22" i="16"/>
  <c r="K21" i="16"/>
  <c r="J21" i="16"/>
  <c r="K20" i="16"/>
  <c r="J20" i="16"/>
  <c r="K19" i="16"/>
  <c r="J19" i="16"/>
  <c r="K18" i="16"/>
  <c r="J18" i="16"/>
  <c r="K30" i="16" l="1"/>
  <c r="L30" i="16" s="1"/>
  <c r="L25" i="16"/>
  <c r="L21" i="16"/>
  <c r="L22" i="16"/>
  <c r="L26" i="16"/>
  <c r="L19" i="16"/>
  <c r="L23" i="16"/>
  <c r="L27" i="16"/>
  <c r="L20" i="16"/>
  <c r="L24" i="16"/>
  <c r="L28" i="16"/>
  <c r="L18" i="16"/>
  <c r="L17" i="16"/>
  <c r="L16" i="16"/>
  <c r="L15" i="16"/>
  <c r="L14" i="16"/>
  <c r="L13" i="16"/>
</calcChain>
</file>

<file path=xl/comments1.xml><?xml version="1.0" encoding="utf-8"?>
<comments xmlns="http://schemas.openxmlformats.org/spreadsheetml/2006/main">
  <authors>
    <author>Autor</author>
  </authors>
  <commentList>
    <comment ref="K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I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<sst xmlns="http://schemas.openxmlformats.org/spreadsheetml/2006/main" count="128" uniqueCount="92">
  <si>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</si>
  <si>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</si>
  <si>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</si>
  <si>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</si>
  <si>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</si>
  <si>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</si>
  <si>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</si>
  <si>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</si>
  <si>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</si>
  <si>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</si>
  <si>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</si>
  <si>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</si>
  <si>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</si>
  <si>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</si>
  <si>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</si>
  <si>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</si>
  <si>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</si>
  <si>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</si>
  <si>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</si>
  <si>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</si>
  <si>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</si>
  <si>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</si>
  <si>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</si>
  <si>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</si>
  <si>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</si>
  <si>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</si>
  <si>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</si>
  <si>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</si>
  <si>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</si>
  <si>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</si>
  <si>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</si>
  <si>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</si>
  <si>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</si>
  <si>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</si>
  <si>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</si>
  <si>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</si>
  <si>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</si>
  <si>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</si>
  <si>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</si>
  <si>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</si>
  <si>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</si>
  <si>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3.16</t>
  </si>
  <si>
    <t>Base de Datos - Informe de la Evaluación</t>
  </si>
  <si>
    <t>3.18</t>
  </si>
  <si>
    <t>3.6</t>
  </si>
  <si>
    <t>Profesional Acargo</t>
  </si>
  <si>
    <t>Días contratados Acta de Inicio</t>
  </si>
  <si>
    <t>Modelo Dinámico
Perfiles de Producción
Informe</t>
  </si>
  <si>
    <t>3.3</t>
  </si>
  <si>
    <t>3.15</t>
  </si>
  <si>
    <t>-</t>
  </si>
  <si>
    <t>Malla de Geomodelamiento</t>
  </si>
  <si>
    <t>Información georeferenciada</t>
  </si>
  <si>
    <t>Calculo Volumétrico - Bases de Datos</t>
  </si>
  <si>
    <t>German Orejarena</t>
  </si>
  <si>
    <t>1.1.</t>
  </si>
  <si>
    <t>1.2</t>
  </si>
  <si>
    <t>1.3</t>
  </si>
  <si>
    <t>1.4</t>
  </si>
  <si>
    <t>1.7</t>
  </si>
  <si>
    <t>1.14</t>
  </si>
  <si>
    <t>1.16</t>
  </si>
  <si>
    <t>1.17</t>
  </si>
  <si>
    <t>Ricardo Gaviria</t>
  </si>
  <si>
    <t>3.4</t>
  </si>
  <si>
    <t>3.5</t>
  </si>
  <si>
    <t>3.13</t>
  </si>
  <si>
    <t>Modelo Dinámico con los archivos de entrada
Perfiles de producción e inyección
Informe</t>
  </si>
  <si>
    <t>Modelo Analítico - Perfiles de Producción - Informe del modelo</t>
  </si>
  <si>
    <t>Base de Datos - Perfiles Generados - Informe del análisis</t>
  </si>
  <si>
    <r>
      <t xml:space="preserve">1.1 1.2 1.3 1.4 1.7 1.14 1.16 1.17 Senior (GO):
</t>
    </r>
    <r>
      <rPr>
        <sz val="9"/>
        <color theme="1"/>
        <rFont val="Verdana"/>
        <family val="2"/>
      </rPr>
      <t>Trabajo en progreso, iniciando labores reales desde el 12 de febrero una vez se tuvieron todos los permisos/accesos a aplicaciones y carpetas de ECP. Para más detalle, por favor consultar el documento word 'GP-F-25_FEBRERO_2026_German Orejarena - ODS90642057.docx'. Gracias.</t>
    </r>
  </si>
  <si>
    <t>Generar Modelo Estático del yacimiento integrando la información disponible.</t>
  </si>
  <si>
    <t>Generación Bases de Datos de Pozos (Registros, Topes e información disponible)</t>
  </si>
  <si>
    <t xml:space="preserve">Interpretación Sísmica </t>
  </si>
  <si>
    <t xml:space="preserve">Generación Modelo estructural </t>
  </si>
  <si>
    <t>Generación Modelo Geocelular</t>
  </si>
  <si>
    <t xml:space="preserve">Generación de grid estructurales </t>
  </si>
  <si>
    <t xml:space="preserve">Georeferenciación de Mapas, pozos, Imágenes satélite, etc. y Definición de CRS (Cordinates Reference System) </t>
  </si>
  <si>
    <t xml:space="preserve">Calculo probabilístico de Volúmenes In situ. </t>
  </si>
  <si>
    <t>Base de Datos</t>
  </si>
  <si>
    <t xml:space="preserve">Modelo Geocelular - Informe del Modelo </t>
  </si>
  <si>
    <t>Modelo Estático - Informe de Modelo - Cálculo de Volúmenes in Place</t>
  </si>
  <si>
    <r>
      <t xml:space="preserve">3.3 3.4 3.5 3.6 3.13 3.15 3.16 3.18 Senior (RG):
</t>
    </r>
    <r>
      <rPr>
        <sz val="9"/>
        <color theme="1"/>
        <rFont val="Verdana"/>
        <family val="2"/>
      </rPr>
      <t>3.3 - Revisión y consolidación del plan de desarrollo, volumenes asociados de reservas, recursos contingentes y prospectivos a reportar a la ANH
3.4 - Avance en la definición de pruebas de laboratorio para el diseño de la inyección de agua en la formación Pepino del campo Orito
3.6 - Revisión de los modelos analíticos y de simulación disponibles para la evaluación de actividades de desarrollo en el campo Orito
3.16 - Revisión de la declinaciones de producción de los campos Churuyaco, Hormiga y Sucumbios
3.18 - Consolidación de la declinaciones de producción en el caso P50 de los campos Churuyaco, Hormiga y Sucumbios</t>
    </r>
  </si>
  <si>
    <t>Luis Francisco Castiblanco Borbón</t>
  </si>
  <si>
    <t>Realice el plan de desarrollo de campo y los pronósticos: realizando todos los pronósticos de escenarios de simulación para llevar a cabo la planificación del desarrollo de campo, esto incluye investigar y realizar análisis de sensibilidad e incertidumbre de los principales parámetros coincidentes de la historia y las incógnitas y su efecto en el pronóstico.</t>
  </si>
  <si>
    <t xml:space="preserve">Construya un estudio de modelos conceptuales y modelos de laboratorio: para construir un modelo conceptual que investigue temas específicos. Problemas de conformance, aplicabilidad del polímero en un campo específico, investigar el efecto del espaciamiento de pozos y los tipos de patrones (5 puntos, 5 puntos invertidos, 7 puntos, unidad de línea) en proyectos EOR químicos. </t>
  </si>
  <si>
    <t>Modelado sectorial cuando el modelo de simulación dinámica está disponible: modelado sectorial en el objetivo del estudio, modela adecuadamente y respeta las condiciones de frontera mediante el uso de límites de flujo o presión, realiza la planificación del desarrollo del campo, perforación de relleno, agotamiento primario, inyección de agua y térmica o química.</t>
  </si>
  <si>
    <t>Generar Modelo analítico del yacimiento integrando la información disponible en un software específico</t>
  </si>
  <si>
    <t>Generar base de datos de producción (OFM o la que se requiera)</t>
  </si>
  <si>
    <t>Generar Balance de Materia por campo y/o por subunidad y/o por compartimiento</t>
  </si>
  <si>
    <t>Análisis de Declinaciones por pozo y/o subunidad</t>
  </si>
  <si>
    <t>Generar perfiles de Producción por pozos para pozos existente en escenarios Bajo, Medio 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</si>
</sst>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7" xfId="0" applyFont="1" applyBorder="1" applyAlignment="1">
      <alignment horizontal="center" vertical="center"/>
    </xf>
    <xf numFmtId="164" fontId="4" fillId="0" borderId="7" xfId="1" applyNumberFormat="1" applyFont="1" applyBorder="1" applyAlignment="1" applyProtection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2" fillId="2" borderId="7" xfId="0" applyFont="1" applyFill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9" fontId="2" fillId="0" borderId="14" xfId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9" fontId="2" fillId="0" borderId="16" xfId="1" applyFont="1" applyBorder="1" applyAlignment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vertical="center"/>
    </xf>
    <xf numFmtId="9" fontId="2" fillId="0" borderId="15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2"/>
  <sheetViews>
    <sheetView showGridLines="0" tabSelected="1" view="pageBreakPreview" zoomScale="80" zoomScaleNormal="80" zoomScaleSheetLayoutView="80" workbookViewId="0">
      <selection activeCell="B2" sqref="B2:L2"/>
    </sheetView>
  </sheetViews>
  <sheetFormatPr baseColWidth="10" defaultColWidth="8.6328125" defaultRowHeight="14.5" x14ac:dyDescent="0.35"/>
  <cols>
    <col min="1" max="1" width="3.36328125" style="2" customWidth="1"/>
    <col min="2" max="2" width="9.36328125" style="1" customWidth="1"/>
    <col min="3" max="3" width="7.36328125" style="1" customWidth="1"/>
    <col min="4" max="4" width="43.08984375" style="1" customWidth="1"/>
    <col min="5" max="5" width="26.36328125" style="1" customWidth="1"/>
    <col min="6" max="6" width="14.08984375" style="1" bestFit="1" customWidth="1"/>
    <col min="7" max="7" width="13.453125" style="1" customWidth="1"/>
    <col min="8" max="8" width="13.6328125" style="1" customWidth="1"/>
    <col min="9" max="9" width="13.453125" style="1" customWidth="1"/>
    <col min="10" max="10" width="10.453125" style="1" customWidth="1"/>
    <col min="11" max="11" width="12.453125" style="1" customWidth="1"/>
    <col min="12" max="12" width="12.36328125" style="1" customWidth="1"/>
    <col min="13" max="13" width="4.90625" style="2" customWidth="1"/>
    <col min="14" max="14" width="16.453125" style="2" customWidth="1"/>
    <col min="16" max="16" width="16.453125" style="2" customWidth="1"/>
    <col min="17" max="17" width="0" hidden="1" customWidth="1"/>
    <col min="18" max="18" width="16.453125" style="2" customWidth="1"/>
    <col min="19" max="16384" width="8.6328125" style="2"/>
  </cols>
  <sheetData>
    <row r="1" spans="2:17" ht="18" customHeight="1" x14ac:dyDescent="0.35">
      <c r="Q1" t="s">
        <v>0</v>
      </c>
    </row>
    <row r="2" spans="2:17" ht="49.5" customHeight="1" x14ac:dyDescent="0.3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Q2" t="s">
        <v>2</v>
      </c>
    </row>
    <row r="3" spans="2:17" ht="18.75" customHeight="1" x14ac:dyDescent="0.35">
      <c r="B3" s="69" t="s">
        <v>3</v>
      </c>
      <c r="C3" s="70"/>
      <c r="D3" s="70"/>
      <c r="E3" s="44"/>
      <c r="F3" s="70" t="s">
        <v>4</v>
      </c>
      <c r="G3" s="70"/>
      <c r="H3" s="70"/>
      <c r="I3" s="70"/>
      <c r="J3" s="70" t="s">
        <v>5</v>
      </c>
      <c r="K3" s="70"/>
      <c r="L3" s="71"/>
    </row>
    <row r="4" spans="2:17" x14ac:dyDescent="0.35">
      <c r="B4" s="20"/>
      <c r="C4" s="3"/>
      <c r="L4" s="21"/>
      <c r="Q4" t="s">
        <v>6</v>
      </c>
    </row>
    <row r="5" spans="2:17" s="5" customFormat="1" ht="27.65" customHeight="1" x14ac:dyDescent="0.35">
      <c r="B5" s="66" t="s">
        <v>7</v>
      </c>
      <c r="C5" s="66"/>
      <c r="D5" s="43">
        <v>90642057</v>
      </c>
      <c r="E5"/>
      <c r="F5" s="17"/>
      <c r="G5" s="17"/>
      <c r="H5" s="17"/>
      <c r="I5" s="4"/>
      <c r="J5" s="4"/>
      <c r="K5" s="4"/>
      <c r="L5" s="22"/>
      <c r="O5"/>
      <c r="Q5" t="s">
        <v>8</v>
      </c>
    </row>
    <row r="6" spans="2:17" s="5" customFormat="1" x14ac:dyDescent="0.35">
      <c r="B6" s="23"/>
      <c r="C6" s="4"/>
      <c r="D6" s="4"/>
      <c r="E6"/>
      <c r="F6" s="4"/>
      <c r="G6" s="4"/>
      <c r="H6" s="4"/>
      <c r="I6" s="4"/>
      <c r="J6" s="4"/>
      <c r="K6" s="4"/>
      <c r="L6" s="22"/>
      <c r="O6"/>
      <c r="Q6" t="s">
        <v>11</v>
      </c>
    </row>
    <row r="7" spans="2:17" s="5" customFormat="1" x14ac:dyDescent="0.35">
      <c r="B7" s="66" t="s">
        <v>12</v>
      </c>
      <c r="C7" s="66"/>
      <c r="D7" s="6" t="s">
        <v>6</v>
      </c>
      <c r="E7"/>
      <c r="F7" s="24"/>
      <c r="G7" s="24"/>
      <c r="H7" s="24"/>
      <c r="I7" s="4"/>
      <c r="J7" s="4"/>
      <c r="K7" s="4"/>
      <c r="L7" s="22"/>
      <c r="O7"/>
      <c r="Q7" t="s">
        <v>13</v>
      </c>
    </row>
    <row r="8" spans="2:17" s="5" customFormat="1" x14ac:dyDescent="0.35">
      <c r="B8" s="25"/>
      <c r="C8" s="7"/>
      <c r="D8" s="24"/>
      <c r="E8"/>
      <c r="F8" s="24"/>
      <c r="G8" s="24"/>
      <c r="H8" s="24"/>
      <c r="I8" s="4"/>
      <c r="J8" s="4"/>
      <c r="K8" s="4"/>
      <c r="L8" s="22"/>
      <c r="O8"/>
      <c r="Q8" t="s">
        <v>14</v>
      </c>
    </row>
    <row r="9" spans="2:17" s="5" customFormat="1" x14ac:dyDescent="0.35">
      <c r="B9" s="66" t="s">
        <v>15</v>
      </c>
      <c r="C9" s="66"/>
      <c r="D9" s="8">
        <v>46081</v>
      </c>
      <c r="E9"/>
      <c r="F9" s="26"/>
      <c r="G9" s="26"/>
      <c r="H9" s="26"/>
      <c r="I9" s="4"/>
      <c r="J9" s="4"/>
      <c r="K9" s="4"/>
      <c r="L9" s="22"/>
      <c r="O9"/>
      <c r="Q9" t="s">
        <v>16</v>
      </c>
    </row>
    <row r="10" spans="2:17" x14ac:dyDescent="0.35">
      <c r="B10" s="27"/>
      <c r="L10" s="28"/>
      <c r="Q10" t="s">
        <v>17</v>
      </c>
    </row>
    <row r="11" spans="2:17" ht="26.9" customHeight="1" x14ac:dyDescent="0.35">
      <c r="B11" s="67" t="s">
        <v>18</v>
      </c>
      <c r="C11" s="67"/>
      <c r="D11" s="67"/>
      <c r="E11" s="67"/>
      <c r="F11" s="67"/>
      <c r="G11" s="67"/>
      <c r="H11" s="67"/>
      <c r="I11" s="66" t="s">
        <v>19</v>
      </c>
      <c r="J11" s="66"/>
      <c r="K11" s="66" t="s">
        <v>20</v>
      </c>
      <c r="L11" s="66"/>
      <c r="Q11" t="s">
        <v>21</v>
      </c>
    </row>
    <row r="12" spans="2:17" ht="57.65" customHeight="1" x14ac:dyDescent="0.35">
      <c r="B12" s="29" t="s">
        <v>22</v>
      </c>
      <c r="C12" s="29" t="s">
        <v>23</v>
      </c>
      <c r="D12" s="29" t="s">
        <v>24</v>
      </c>
      <c r="E12" s="29" t="s">
        <v>45</v>
      </c>
      <c r="F12" s="29" t="s">
        <v>25</v>
      </c>
      <c r="G12" s="29" t="s">
        <v>26</v>
      </c>
      <c r="H12" s="29" t="s">
        <v>46</v>
      </c>
      <c r="I12" s="29" t="s">
        <v>27</v>
      </c>
      <c r="J12" s="29" t="s">
        <v>28</v>
      </c>
      <c r="K12" s="29" t="s">
        <v>29</v>
      </c>
      <c r="L12" s="29" t="s">
        <v>28</v>
      </c>
      <c r="Q12" t="s">
        <v>30</v>
      </c>
    </row>
    <row r="13" spans="2:17" x14ac:dyDescent="0.35">
      <c r="B13" s="32">
        <v>1</v>
      </c>
      <c r="C13" s="32" t="s">
        <v>55</v>
      </c>
      <c r="D13" s="41" t="s">
        <v>71</v>
      </c>
      <c r="E13" s="49" t="s">
        <v>54</v>
      </c>
      <c r="F13" s="31" t="s">
        <v>81</v>
      </c>
      <c r="G13" s="31" t="s">
        <v>31</v>
      </c>
      <c r="H13" s="32">
        <v>130</v>
      </c>
      <c r="I13" s="32">
        <v>13</v>
      </c>
      <c r="J13" s="42">
        <f t="shared" ref="J13:J17" si="0">IFERROR(I13/H13,0)</f>
        <v>0.1</v>
      </c>
      <c r="K13" s="32">
        <f t="shared" ref="K13:K20" si="1">I13</f>
        <v>13</v>
      </c>
      <c r="L13" s="42">
        <f t="shared" ref="L13:L17" si="2">IFERROR(K13/H13,0)</f>
        <v>0.1</v>
      </c>
    </row>
    <row r="14" spans="2:17" x14ac:dyDescent="0.35">
      <c r="B14" s="34">
        <v>1</v>
      </c>
      <c r="C14" s="34" t="s">
        <v>56</v>
      </c>
      <c r="D14" s="39" t="s">
        <v>72</v>
      </c>
      <c r="E14" s="50"/>
      <c r="F14" s="33" t="s">
        <v>79</v>
      </c>
      <c r="G14" s="33" t="s">
        <v>31</v>
      </c>
      <c r="H14" s="34">
        <v>15</v>
      </c>
      <c r="I14" s="34">
        <v>5</v>
      </c>
      <c r="J14" s="40">
        <f t="shared" si="0"/>
        <v>0.33333333333333331</v>
      </c>
      <c r="K14" s="34">
        <f t="shared" si="1"/>
        <v>5</v>
      </c>
      <c r="L14" s="40">
        <f t="shared" si="2"/>
        <v>0.33333333333333331</v>
      </c>
    </row>
    <row r="15" spans="2:17" x14ac:dyDescent="0.35">
      <c r="B15" s="34">
        <v>1</v>
      </c>
      <c r="C15" s="34" t="s">
        <v>57</v>
      </c>
      <c r="D15" s="39" t="s">
        <v>73</v>
      </c>
      <c r="E15" s="50"/>
      <c r="F15" s="33" t="s">
        <v>50</v>
      </c>
      <c r="G15" s="33" t="s">
        <v>50</v>
      </c>
      <c r="H15" s="34">
        <v>2</v>
      </c>
      <c r="I15" s="34">
        <v>0</v>
      </c>
      <c r="J15" s="40">
        <f t="shared" si="0"/>
        <v>0</v>
      </c>
      <c r="K15" s="34">
        <f t="shared" si="1"/>
        <v>0</v>
      </c>
      <c r="L15" s="40">
        <f t="shared" si="2"/>
        <v>0</v>
      </c>
    </row>
    <row r="16" spans="2:17" x14ac:dyDescent="0.35">
      <c r="B16" s="34">
        <v>1</v>
      </c>
      <c r="C16" s="34" t="s">
        <v>58</v>
      </c>
      <c r="D16" s="39" t="s">
        <v>74</v>
      </c>
      <c r="E16" s="50"/>
      <c r="F16" s="33" t="s">
        <v>50</v>
      </c>
      <c r="G16" s="33" t="s">
        <v>50</v>
      </c>
      <c r="H16" s="34">
        <v>15</v>
      </c>
      <c r="I16" s="34">
        <v>0</v>
      </c>
      <c r="J16" s="40">
        <f t="shared" si="0"/>
        <v>0</v>
      </c>
      <c r="K16" s="34">
        <f t="shared" si="1"/>
        <v>0</v>
      </c>
      <c r="L16" s="40">
        <f t="shared" si="2"/>
        <v>0</v>
      </c>
    </row>
    <row r="17" spans="2:17" s="5" customFormat="1" x14ac:dyDescent="0.35">
      <c r="B17" s="34">
        <v>1</v>
      </c>
      <c r="C17" s="37" t="s">
        <v>59</v>
      </c>
      <c r="D17" s="38" t="s">
        <v>75</v>
      </c>
      <c r="E17" s="50"/>
      <c r="F17" s="33" t="s">
        <v>80</v>
      </c>
      <c r="G17" s="33" t="s">
        <v>31</v>
      </c>
      <c r="H17" s="34">
        <v>10</v>
      </c>
      <c r="I17" s="34">
        <v>3</v>
      </c>
      <c r="J17" s="40">
        <f t="shared" si="0"/>
        <v>0.3</v>
      </c>
      <c r="K17" s="34">
        <f t="shared" si="1"/>
        <v>3</v>
      </c>
      <c r="L17" s="40">
        <f t="shared" si="2"/>
        <v>0.3</v>
      </c>
      <c r="O17" s="9"/>
      <c r="Q17" s="9"/>
    </row>
    <row r="18" spans="2:17" x14ac:dyDescent="0.35">
      <c r="B18" s="34">
        <v>1</v>
      </c>
      <c r="C18" s="34" t="s">
        <v>60</v>
      </c>
      <c r="D18" s="39" t="s">
        <v>76</v>
      </c>
      <c r="E18" s="50"/>
      <c r="F18" s="33" t="s">
        <v>51</v>
      </c>
      <c r="G18" s="33" t="s">
        <v>31</v>
      </c>
      <c r="H18" s="34">
        <v>10</v>
      </c>
      <c r="I18" s="34">
        <v>3</v>
      </c>
      <c r="J18" s="40">
        <f t="shared" ref="J18:J28" si="3">IFERROR(I18/H18,0)</f>
        <v>0.3</v>
      </c>
      <c r="K18" s="34">
        <f t="shared" si="1"/>
        <v>3</v>
      </c>
      <c r="L18" s="40">
        <f>IFERROR(K18/H18,0)</f>
        <v>0.3</v>
      </c>
    </row>
    <row r="19" spans="2:17" x14ac:dyDescent="0.35">
      <c r="B19" s="34">
        <v>1</v>
      </c>
      <c r="C19" s="34" t="s">
        <v>61</v>
      </c>
      <c r="D19" s="39" t="s">
        <v>77</v>
      </c>
      <c r="E19" s="50"/>
      <c r="F19" s="33" t="s">
        <v>52</v>
      </c>
      <c r="G19" s="33" t="s">
        <v>31</v>
      </c>
      <c r="H19" s="34">
        <v>12</v>
      </c>
      <c r="I19" s="34">
        <v>4</v>
      </c>
      <c r="J19" s="40">
        <f t="shared" si="3"/>
        <v>0.33333333333333331</v>
      </c>
      <c r="K19" s="34">
        <f t="shared" si="1"/>
        <v>4</v>
      </c>
      <c r="L19" s="40">
        <f>IFERROR(K19/H19,0)</f>
        <v>0.33333333333333331</v>
      </c>
    </row>
    <row r="20" spans="2:17" x14ac:dyDescent="0.35">
      <c r="B20" s="36">
        <v>1</v>
      </c>
      <c r="C20" s="36" t="s">
        <v>62</v>
      </c>
      <c r="D20" s="47" t="s">
        <v>78</v>
      </c>
      <c r="E20" s="51"/>
      <c r="F20" s="35" t="s">
        <v>53</v>
      </c>
      <c r="G20" s="35" t="s">
        <v>31</v>
      </c>
      <c r="H20" s="36">
        <v>15</v>
      </c>
      <c r="I20" s="36">
        <v>1</v>
      </c>
      <c r="J20" s="48">
        <f t="shared" si="3"/>
        <v>6.6666666666666666E-2</v>
      </c>
      <c r="K20" s="36">
        <f t="shared" si="1"/>
        <v>1</v>
      </c>
      <c r="L20" s="48">
        <f>IFERROR(K20/H20,0)</f>
        <v>6.6666666666666666E-2</v>
      </c>
    </row>
    <row r="21" spans="2:17" x14ac:dyDescent="0.35">
      <c r="B21" s="32">
        <v>3</v>
      </c>
      <c r="C21" s="32" t="s">
        <v>48</v>
      </c>
      <c r="D21" s="41" t="s">
        <v>84</v>
      </c>
      <c r="E21" s="49" t="s">
        <v>63</v>
      </c>
      <c r="F21" s="31" t="s">
        <v>47</v>
      </c>
      <c r="G21" s="33" t="s">
        <v>31</v>
      </c>
      <c r="H21" s="32">
        <v>71</v>
      </c>
      <c r="I21" s="32">
        <v>15</v>
      </c>
      <c r="J21" s="42">
        <f t="shared" si="3"/>
        <v>0.21126760563380281</v>
      </c>
      <c r="K21" s="32">
        <f t="shared" ref="K21:K26" si="4">I21</f>
        <v>15</v>
      </c>
      <c r="L21" s="42">
        <f t="shared" ref="L21:L26" si="5">IFERROR(K21/H21,0)</f>
        <v>0.21126760563380281</v>
      </c>
    </row>
    <row r="22" spans="2:17" s="5" customFormat="1" x14ac:dyDescent="0.35">
      <c r="B22" s="34">
        <v>3</v>
      </c>
      <c r="C22" s="34" t="s">
        <v>64</v>
      </c>
      <c r="D22" s="39" t="s">
        <v>85</v>
      </c>
      <c r="E22" s="50"/>
      <c r="F22" s="33" t="s">
        <v>67</v>
      </c>
      <c r="G22" s="33" t="s">
        <v>31</v>
      </c>
      <c r="H22" s="34">
        <v>7</v>
      </c>
      <c r="I22" s="34">
        <v>4</v>
      </c>
      <c r="J22" s="40">
        <f t="shared" si="3"/>
        <v>0.5714285714285714</v>
      </c>
      <c r="K22" s="34">
        <f t="shared" si="4"/>
        <v>4</v>
      </c>
      <c r="L22" s="40">
        <f t="shared" si="5"/>
        <v>0.5714285714285714</v>
      </c>
      <c r="O22" s="9"/>
      <c r="Q22" s="9"/>
    </row>
    <row r="23" spans="2:17" x14ac:dyDescent="0.35">
      <c r="B23" s="34">
        <v>3</v>
      </c>
      <c r="C23" s="34" t="s">
        <v>65</v>
      </c>
      <c r="D23" s="39" t="s">
        <v>86</v>
      </c>
      <c r="E23" s="50"/>
      <c r="F23" s="33" t="s">
        <v>50</v>
      </c>
      <c r="G23" s="33" t="s">
        <v>50</v>
      </c>
      <c r="H23" s="34">
        <v>7</v>
      </c>
      <c r="I23" s="34">
        <v>0</v>
      </c>
      <c r="J23" s="40">
        <f t="shared" si="3"/>
        <v>0</v>
      </c>
      <c r="K23" s="34">
        <f t="shared" si="4"/>
        <v>0</v>
      </c>
      <c r="L23" s="40">
        <f t="shared" si="5"/>
        <v>0</v>
      </c>
    </row>
    <row r="24" spans="2:17" x14ac:dyDescent="0.35">
      <c r="B24" s="34">
        <v>3</v>
      </c>
      <c r="C24" s="34" t="s">
        <v>44</v>
      </c>
      <c r="D24" s="39" t="s">
        <v>87</v>
      </c>
      <c r="E24" s="50"/>
      <c r="F24" s="33" t="s">
        <v>68</v>
      </c>
      <c r="G24" s="33" t="s">
        <v>31</v>
      </c>
      <c r="H24" s="34">
        <v>30</v>
      </c>
      <c r="I24" s="34">
        <v>2</v>
      </c>
      <c r="J24" s="40">
        <f t="shared" si="3"/>
        <v>6.6666666666666666E-2</v>
      </c>
      <c r="K24" s="34">
        <f t="shared" si="4"/>
        <v>2</v>
      </c>
      <c r="L24" s="40">
        <f t="shared" si="5"/>
        <v>6.6666666666666666E-2</v>
      </c>
    </row>
    <row r="25" spans="2:17" x14ac:dyDescent="0.35">
      <c r="B25" s="34">
        <v>3</v>
      </c>
      <c r="C25" s="37" t="s">
        <v>66</v>
      </c>
      <c r="D25" s="38" t="s">
        <v>88</v>
      </c>
      <c r="E25" s="50"/>
      <c r="F25" s="33" t="s">
        <v>50</v>
      </c>
      <c r="G25" s="33" t="s">
        <v>50</v>
      </c>
      <c r="H25" s="34">
        <v>14</v>
      </c>
      <c r="I25" s="34">
        <v>0</v>
      </c>
      <c r="J25" s="40">
        <f t="shared" si="3"/>
        <v>0</v>
      </c>
      <c r="K25" s="34">
        <f t="shared" si="4"/>
        <v>0</v>
      </c>
      <c r="L25" s="40">
        <f t="shared" si="5"/>
        <v>0</v>
      </c>
    </row>
    <row r="26" spans="2:17" x14ac:dyDescent="0.35">
      <c r="B26" s="34">
        <v>3</v>
      </c>
      <c r="C26" s="34" t="s">
        <v>49</v>
      </c>
      <c r="D26" s="39" t="s">
        <v>89</v>
      </c>
      <c r="E26" s="50"/>
      <c r="F26" s="33" t="s">
        <v>50</v>
      </c>
      <c r="G26" s="33" t="s">
        <v>50</v>
      </c>
      <c r="H26" s="34">
        <v>14</v>
      </c>
      <c r="I26" s="34">
        <v>0</v>
      </c>
      <c r="J26" s="40">
        <f t="shared" si="3"/>
        <v>0</v>
      </c>
      <c r="K26" s="34">
        <f t="shared" si="4"/>
        <v>0</v>
      </c>
      <c r="L26" s="40">
        <f t="shared" si="5"/>
        <v>0</v>
      </c>
    </row>
    <row r="27" spans="2:17" x14ac:dyDescent="0.35">
      <c r="B27" s="34">
        <v>3</v>
      </c>
      <c r="C27" s="34" t="s">
        <v>41</v>
      </c>
      <c r="D27" s="39" t="s">
        <v>90</v>
      </c>
      <c r="E27" s="50"/>
      <c r="F27" s="33" t="s">
        <v>69</v>
      </c>
      <c r="G27" s="33" t="s">
        <v>31</v>
      </c>
      <c r="H27" s="34">
        <v>30</v>
      </c>
      <c r="I27" s="34">
        <v>3</v>
      </c>
      <c r="J27" s="40">
        <f t="shared" si="3"/>
        <v>0.1</v>
      </c>
      <c r="K27" s="34">
        <f>I27</f>
        <v>3</v>
      </c>
      <c r="L27" s="40">
        <f>IFERROR(K27/H27,0)</f>
        <v>0.1</v>
      </c>
    </row>
    <row r="28" spans="2:17" x14ac:dyDescent="0.35">
      <c r="B28" s="36">
        <v>3</v>
      </c>
      <c r="C28" s="36" t="s">
        <v>43</v>
      </c>
      <c r="D28" s="47" t="s">
        <v>91</v>
      </c>
      <c r="E28" s="51"/>
      <c r="F28" s="35" t="s">
        <v>42</v>
      </c>
      <c r="G28" s="33" t="s">
        <v>31</v>
      </c>
      <c r="H28" s="36">
        <v>36</v>
      </c>
      <c r="I28" s="36">
        <v>5</v>
      </c>
      <c r="J28" s="48">
        <f t="shared" si="3"/>
        <v>0.1388888888888889</v>
      </c>
      <c r="K28" s="36">
        <f>I28</f>
        <v>5</v>
      </c>
      <c r="L28" s="48">
        <f>IFERROR(K28/H28,0)</f>
        <v>0.1388888888888889</v>
      </c>
    </row>
    <row r="29" spans="2:17" s="5" customFormat="1" ht="23.25" customHeight="1" x14ac:dyDescent="0.35">
      <c r="B29" s="4"/>
      <c r="C29" s="4"/>
      <c r="D29" s="4"/>
      <c r="E29" s="4"/>
      <c r="F29" s="4"/>
      <c r="G29" s="7"/>
      <c r="H29" s="52" t="s">
        <v>32</v>
      </c>
      <c r="I29" s="52"/>
      <c r="J29" s="52"/>
      <c r="K29" s="52"/>
      <c r="L29" s="52"/>
      <c r="O29"/>
      <c r="Q29"/>
    </row>
    <row r="30" spans="2:17" s="5" customFormat="1" ht="16.5" customHeight="1" x14ac:dyDescent="0.35">
      <c r="B30" s="4"/>
      <c r="C30" s="4"/>
      <c r="H30" s="10">
        <f>+SUM(H13:H28)</f>
        <v>418</v>
      </c>
      <c r="I30" s="10">
        <f>+SUM(I13:I28)</f>
        <v>58</v>
      </c>
      <c r="J30" s="11">
        <f>IFERROR(I30/H30,0)</f>
        <v>0.13875598086124402</v>
      </c>
      <c r="K30" s="30">
        <f>+SUM(K13:K28)</f>
        <v>58</v>
      </c>
      <c r="L30" s="11">
        <f>IFERROR(K30/H30,0)</f>
        <v>0.13875598086124402</v>
      </c>
      <c r="O30"/>
      <c r="Q30"/>
    </row>
    <row r="31" spans="2:17" s="5" customFormat="1" ht="18.75" customHeight="1" x14ac:dyDescent="0.35">
      <c r="B31" s="4"/>
      <c r="C31" s="4"/>
      <c r="I31" s="17"/>
      <c r="J31" s="18"/>
      <c r="K31" s="19"/>
      <c r="L31" s="18"/>
      <c r="O31"/>
      <c r="Q31"/>
    </row>
    <row r="32" spans="2:17" s="5" customFormat="1" ht="20.25" customHeight="1" x14ac:dyDescent="0.35">
      <c r="B32" s="4"/>
      <c r="C32" s="4"/>
      <c r="I32" s="17"/>
      <c r="J32" s="18"/>
      <c r="K32" s="19"/>
      <c r="L32" s="18"/>
      <c r="O32"/>
      <c r="Q32"/>
    </row>
    <row r="33" spans="2:17" s="5" customFormat="1" ht="39.75" customHeight="1" x14ac:dyDescent="0.35">
      <c r="B33" s="55" t="s">
        <v>33</v>
      </c>
      <c r="C33" s="56"/>
      <c r="D33" s="59" t="s">
        <v>70</v>
      </c>
      <c r="E33" s="60"/>
      <c r="F33" s="60"/>
      <c r="G33" s="60"/>
      <c r="H33" s="60"/>
      <c r="I33" s="60"/>
      <c r="J33" s="60"/>
      <c r="K33" s="60"/>
      <c r="L33" s="61"/>
      <c r="O33"/>
      <c r="Q33"/>
    </row>
    <row r="34" spans="2:17" s="5" customFormat="1" ht="72.75" customHeight="1" x14ac:dyDescent="0.35">
      <c r="B34" s="57"/>
      <c r="C34" s="58"/>
      <c r="D34" s="59" t="s">
        <v>82</v>
      </c>
      <c r="E34" s="60"/>
      <c r="F34" s="60"/>
      <c r="G34" s="60"/>
      <c r="H34" s="60"/>
      <c r="I34" s="60"/>
      <c r="J34" s="60"/>
      <c r="K34" s="60"/>
      <c r="L34" s="61"/>
      <c r="O34"/>
      <c r="Q34"/>
    </row>
    <row r="35" spans="2:17" x14ac:dyDescent="0.35">
      <c r="B35" s="64" t="s">
        <v>35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2:17" ht="15" customHeight="1" x14ac:dyDescent="0.35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  <row r="37" spans="2:17" x14ac:dyDescent="0.35">
      <c r="B37" s="12" t="s">
        <v>36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2:17" ht="20.149999999999999" customHeight="1" x14ac:dyDescent="0.45">
      <c r="B38" s="15" t="s">
        <v>37</v>
      </c>
      <c r="C38" s="16"/>
      <c r="D38" s="54" t="s">
        <v>34</v>
      </c>
      <c r="E38" s="54"/>
      <c r="F38" s="54"/>
      <c r="G38" s="54"/>
      <c r="H38" s="54"/>
      <c r="I38" s="54"/>
      <c r="J38" s="54"/>
      <c r="K38" s="54"/>
      <c r="L38" s="54"/>
    </row>
    <row r="39" spans="2:17" ht="20.149999999999999" customHeight="1" x14ac:dyDescent="0.45">
      <c r="B39" s="15" t="s">
        <v>38</v>
      </c>
      <c r="C39" s="16"/>
      <c r="D39" s="54"/>
      <c r="E39" s="54"/>
      <c r="F39" s="54"/>
      <c r="G39" s="54"/>
      <c r="H39" s="54"/>
      <c r="I39" s="54"/>
      <c r="J39" s="54"/>
      <c r="K39" s="54"/>
      <c r="L39" s="54"/>
    </row>
    <row r="40" spans="2:17" x14ac:dyDescent="0.35">
      <c r="B40" s="53" t="s">
        <v>35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2:17" x14ac:dyDescent="0.35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2:17" ht="19.5" customHeight="1" x14ac:dyDescent="0.35">
      <c r="B42" s="12" t="s">
        <v>39</v>
      </c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 spans="2:17" ht="23.9" customHeight="1" x14ac:dyDescent="0.45">
      <c r="B43" s="15" t="s">
        <v>37</v>
      </c>
      <c r="C43" s="16"/>
      <c r="D43" s="54" t="s">
        <v>34</v>
      </c>
      <c r="E43" s="54"/>
      <c r="F43" s="54"/>
      <c r="G43" s="54"/>
      <c r="H43" s="54"/>
      <c r="I43" s="54"/>
      <c r="J43" s="54"/>
      <c r="K43" s="54"/>
      <c r="L43" s="54"/>
    </row>
    <row r="44" spans="2:17" ht="24.5" x14ac:dyDescent="0.45">
      <c r="B44" s="15" t="s">
        <v>38</v>
      </c>
      <c r="C44" s="16"/>
      <c r="D44" s="54"/>
      <c r="E44" s="54"/>
      <c r="F44" s="54"/>
      <c r="G44" s="54"/>
      <c r="H44" s="54"/>
      <c r="I44" s="54"/>
      <c r="J44" s="54"/>
      <c r="K44" s="54"/>
      <c r="L44" s="54"/>
    </row>
    <row r="47" spans="2:17" x14ac:dyDescent="0.35">
      <c r="B47" s="62"/>
      <c r="C47" s="62"/>
      <c r="D47" s="62"/>
      <c r="E47" s="45"/>
      <c r="I47" s="62"/>
      <c r="J47" s="62"/>
      <c r="K47" s="62"/>
    </row>
    <row r="48" spans="2:17" ht="18" customHeight="1" x14ac:dyDescent="0.35">
      <c r="B48" s="4" t="s">
        <v>40</v>
      </c>
      <c r="C48" s="63"/>
      <c r="D48" s="63"/>
      <c r="E48" s="46"/>
      <c r="I48" s="65" t="s">
        <v>83</v>
      </c>
      <c r="J48" s="65"/>
      <c r="K48" s="65"/>
    </row>
    <row r="75" spans="1:18" s="1" customFormat="1" hidden="1" x14ac:dyDescent="0.35">
      <c r="A75" t="s">
        <v>0</v>
      </c>
      <c r="M75" s="2"/>
      <c r="N75" s="2"/>
      <c r="O75"/>
      <c r="P75" s="2"/>
      <c r="Q75"/>
      <c r="R75" s="2"/>
    </row>
    <row r="76" spans="1:18" s="1" customFormat="1" hidden="1" x14ac:dyDescent="0.35">
      <c r="A76" t="s">
        <v>2</v>
      </c>
      <c r="M76" s="2"/>
      <c r="N76" s="2"/>
      <c r="O76"/>
      <c r="P76" s="2"/>
      <c r="Q76"/>
      <c r="R76" s="2"/>
    </row>
    <row r="77" spans="1:18" s="1" customFormat="1" hidden="1" x14ac:dyDescent="0.35">
      <c r="A77" t="s">
        <v>6</v>
      </c>
      <c r="M77" s="2"/>
      <c r="N77" s="2"/>
      <c r="O77"/>
      <c r="P77" s="2"/>
      <c r="Q77"/>
      <c r="R77" s="2"/>
    </row>
    <row r="78" spans="1:18" s="1" customFormat="1" hidden="1" x14ac:dyDescent="0.35">
      <c r="A78" t="s">
        <v>8</v>
      </c>
      <c r="M78" s="2"/>
      <c r="N78" s="2"/>
      <c r="O78"/>
      <c r="P78" s="2"/>
      <c r="Q78"/>
      <c r="R78" s="2"/>
    </row>
    <row r="79" spans="1:18" s="1" customFormat="1" hidden="1" x14ac:dyDescent="0.35">
      <c r="A79" t="s">
        <v>9</v>
      </c>
      <c r="M79" s="2"/>
      <c r="N79" s="2"/>
      <c r="O79"/>
      <c r="P79" s="2"/>
      <c r="Q79"/>
      <c r="R79" s="2"/>
    </row>
    <row r="80" spans="1:18" s="1" customFormat="1" hidden="1" x14ac:dyDescent="0.35">
      <c r="A80" t="s">
        <v>10</v>
      </c>
      <c r="B80" s="2"/>
      <c r="M80" s="2"/>
      <c r="N80" s="2"/>
      <c r="O80"/>
      <c r="P80" s="2"/>
      <c r="Q80"/>
      <c r="R80" s="2"/>
    </row>
    <row r="81" spans="1:18" s="1" customFormat="1" hidden="1" x14ac:dyDescent="0.35">
      <c r="A81" t="s">
        <v>11</v>
      </c>
      <c r="B81" s="2"/>
      <c r="M81" s="2"/>
      <c r="N81" s="2"/>
      <c r="O81"/>
      <c r="P81" s="2"/>
      <c r="Q81"/>
      <c r="R81" s="2"/>
    </row>
    <row r="82" spans="1:18" s="1" customFormat="1" hidden="1" x14ac:dyDescent="0.35">
      <c r="A82" t="s">
        <v>13</v>
      </c>
      <c r="B82" s="2"/>
      <c r="M82" s="2"/>
      <c r="N82" s="2"/>
      <c r="O82"/>
      <c r="P82" s="2"/>
      <c r="Q82"/>
      <c r="R82" s="2"/>
    </row>
    <row r="83" spans="1:18" s="1" customFormat="1" hidden="1" x14ac:dyDescent="0.35">
      <c r="A83" t="s">
        <v>14</v>
      </c>
      <c r="B83" s="5"/>
      <c r="M83" s="2"/>
      <c r="N83" s="2"/>
      <c r="O83"/>
      <c r="P83" s="2"/>
      <c r="Q83"/>
      <c r="R83" s="2"/>
    </row>
    <row r="84" spans="1:18" s="1" customFormat="1" hidden="1" x14ac:dyDescent="0.35">
      <c r="A84" t="s">
        <v>16</v>
      </c>
      <c r="B84" s="2"/>
      <c r="M84" s="2"/>
      <c r="N84" s="2"/>
      <c r="O84"/>
      <c r="P84" s="2"/>
      <c r="Q84"/>
      <c r="R84" s="2"/>
    </row>
    <row r="85" spans="1:18" s="1" customFormat="1" hidden="1" x14ac:dyDescent="0.35">
      <c r="A85" t="s">
        <v>17</v>
      </c>
      <c r="B85" s="5"/>
      <c r="M85" s="2"/>
      <c r="N85" s="2"/>
      <c r="O85"/>
      <c r="P85" s="2"/>
      <c r="Q85"/>
      <c r="R85" s="2"/>
    </row>
    <row r="86" spans="1:18" s="1" customFormat="1" hidden="1" x14ac:dyDescent="0.35">
      <c r="A86" t="s">
        <v>21</v>
      </c>
      <c r="B86" s="5"/>
      <c r="M86" s="2"/>
      <c r="N86" s="2"/>
      <c r="O86"/>
      <c r="P86" s="2"/>
      <c r="Q86"/>
      <c r="R86" s="2"/>
    </row>
    <row r="87" spans="1:18" s="1" customFormat="1" hidden="1" x14ac:dyDescent="0.35">
      <c r="A87" t="s">
        <v>30</v>
      </c>
      <c r="B87" s="5"/>
      <c r="M87" s="2"/>
      <c r="N87" s="2"/>
      <c r="O87"/>
      <c r="P87" s="2"/>
      <c r="Q87"/>
      <c r="R87" s="2"/>
    </row>
    <row r="88" spans="1:18" x14ac:dyDescent="0.35">
      <c r="B88" s="5"/>
    </row>
    <row r="89" spans="1:18" x14ac:dyDescent="0.35">
      <c r="B89" s="5"/>
    </row>
    <row r="90" spans="1:18" x14ac:dyDescent="0.35">
      <c r="B90" s="2"/>
    </row>
    <row r="91" spans="1:18" x14ac:dyDescent="0.35">
      <c r="B91" s="2"/>
    </row>
    <row r="92" spans="1:18" x14ac:dyDescent="0.35">
      <c r="B92" s="2"/>
    </row>
  </sheetData>
  <sheetProtection formatCells="0" formatColumns="0" formatRows="0" insertColumns="0" insertRows="0" insertHyperlinks="0" deleteColumns="0" deleteRows="0" sort="0" autoFilter="0" pivotTables="0"/>
  <mergeCells count="24">
    <mergeCell ref="B2:L2"/>
    <mergeCell ref="B3:D3"/>
    <mergeCell ref="F3:I3"/>
    <mergeCell ref="J3:L3"/>
    <mergeCell ref="B5:C5"/>
    <mergeCell ref="B7:C7"/>
    <mergeCell ref="B9:C9"/>
    <mergeCell ref="B11:H11"/>
    <mergeCell ref="I11:J11"/>
    <mergeCell ref="K11:L11"/>
    <mergeCell ref="B47:D47"/>
    <mergeCell ref="I47:K47"/>
    <mergeCell ref="C48:D48"/>
    <mergeCell ref="B35:L36"/>
    <mergeCell ref="D38:L39"/>
    <mergeCell ref="I48:K48"/>
    <mergeCell ref="E13:E20"/>
    <mergeCell ref="E21:E28"/>
    <mergeCell ref="H29:L29"/>
    <mergeCell ref="B40:L41"/>
    <mergeCell ref="D43:L44"/>
    <mergeCell ref="B33:C34"/>
    <mergeCell ref="D33:L33"/>
    <mergeCell ref="D34:L34"/>
  </mergeCells>
  <conditionalFormatting sqref="K30">
    <cfRule type="cellIs" dxfId="0" priority="26" operator="greaterThan">
      <formula>350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I23:I28">
      <formula1>0</formula1>
      <formula2>30</formula2>
    </dataValidation>
    <dataValidation type="list" allowBlank="1" showInputMessage="1" showErrorMessage="1" sqref="D7">
      <formula1>$A$76:$A$87</formula1>
    </dataValidation>
    <dataValidation type="list" allowBlank="1" showInputMessage="1" showErrorMessage="1" sqref="F7:H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H30:I30 K30 I13:I22 H13:H28">
      <formula1>0</formula1>
      <formula2>366</formula2>
    </dataValidation>
  </dataValidations>
  <pageMargins left="0.7" right="0.7" top="0.75" bottom="0.75" header="0.3" footer="0.3"/>
  <pageSetup scale="1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FEBRERO</vt:lpstr>
      <vt:lpstr>FEBRERO!Área_de_impresión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2026-03-06T19:57:37Z</dcterms:modified>
</cp:coreProperties>
</file>