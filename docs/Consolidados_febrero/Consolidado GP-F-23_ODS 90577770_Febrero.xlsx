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ReportesEcopetrol\docs\Consolidados_febrero\"/>
    </mc:Choice>
  </mc:AlternateContent>
  <bookViews>
    <workbookView xWindow="0" yWindow="0" windowWidth="19200" windowHeight="6600" activeTab="1"/>
  </bookViews>
  <sheets>
    <sheet name="ENERO 2026" sheetId="28" r:id="rId1"/>
    <sheet name="FEBRERO 2026" sheetId="29" r:id="rId2"/>
  </sheets>
  <definedNames>
    <definedName name="_xlnm._FilterDatabase" localSheetId="0" hidden="1">'ENERO 2026'!$B$12:$L$71</definedName>
    <definedName name="_xlnm._FilterDatabase" localSheetId="1" hidden="1">'FEBRERO 2026'!$B$12:$L$72</definedName>
    <definedName name="_xlnm.Print_Area" localSheetId="0">'ENERO 2026'!$A$1:$M$90</definedName>
    <definedName name="_xlnm.Print_Area" localSheetId="1">'FEBRERO 2026'!$A$1:$M$91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0" i="29" l="1"/>
  <c r="L70" i="29" s="1"/>
  <c r="I72" i="29"/>
  <c r="J72" i="29" s="1"/>
  <c r="H72" i="29"/>
  <c r="J70" i="29"/>
  <c r="J69" i="29" l="1"/>
  <c r="J68" i="29"/>
  <c r="J67" i="29"/>
  <c r="J66" i="29"/>
  <c r="J65" i="29"/>
  <c r="J64" i="29"/>
  <c r="J63" i="29"/>
  <c r="J62" i="29"/>
  <c r="J61" i="29"/>
  <c r="J60" i="29"/>
  <c r="J59" i="29"/>
  <c r="J58" i="29"/>
  <c r="J57" i="29"/>
  <c r="J56" i="29"/>
  <c r="J55" i="29"/>
  <c r="J54" i="29"/>
  <c r="J53" i="29"/>
  <c r="J52" i="29"/>
  <c r="J51" i="29"/>
  <c r="J50" i="29"/>
  <c r="J49" i="29"/>
  <c r="J48" i="29"/>
  <c r="J47" i="29"/>
  <c r="J46" i="29"/>
  <c r="J45" i="29"/>
  <c r="J44" i="29"/>
  <c r="J43" i="29"/>
  <c r="J42" i="29"/>
  <c r="J41" i="29"/>
  <c r="J40" i="29"/>
  <c r="J39" i="29"/>
  <c r="J38" i="29"/>
  <c r="J37" i="29"/>
  <c r="J36" i="29"/>
  <c r="J35" i="29"/>
  <c r="J34" i="29"/>
  <c r="J33" i="29"/>
  <c r="J32" i="29"/>
  <c r="J31" i="29"/>
  <c r="J30" i="29"/>
  <c r="J29" i="29"/>
  <c r="J28" i="29"/>
  <c r="J27" i="29"/>
  <c r="J26" i="29"/>
  <c r="J25" i="29"/>
  <c r="J24" i="29"/>
  <c r="J23" i="29"/>
  <c r="J22" i="29"/>
  <c r="J21" i="29"/>
  <c r="J20" i="29"/>
  <c r="J19" i="29"/>
  <c r="J18" i="29"/>
  <c r="J17" i="29"/>
  <c r="J16" i="29"/>
  <c r="J15" i="29"/>
  <c r="J14" i="29"/>
  <c r="J13" i="29"/>
  <c r="I71" i="28" l="1"/>
  <c r="H71" i="28"/>
  <c r="K20" i="28" l="1"/>
  <c r="K20" i="29" s="1"/>
  <c r="L20" i="29" s="1"/>
  <c r="K19" i="28"/>
  <c r="K19" i="29" s="1"/>
  <c r="L19" i="29" s="1"/>
  <c r="K18" i="28"/>
  <c r="K18" i="29" s="1"/>
  <c r="L18" i="29" s="1"/>
  <c r="K17" i="28"/>
  <c r="K17" i="29" s="1"/>
  <c r="L17" i="29" s="1"/>
  <c r="K16" i="28"/>
  <c r="K16" i="29" s="1"/>
  <c r="L16" i="29" s="1"/>
  <c r="K15" i="28"/>
  <c r="K15" i="29" s="1"/>
  <c r="L15" i="29" s="1"/>
  <c r="K14" i="28"/>
  <c r="K14" i="29" s="1"/>
  <c r="L14" i="29" s="1"/>
  <c r="K13" i="28"/>
  <c r="K13" i="29" s="1"/>
  <c r="K36" i="28"/>
  <c r="K36" i="29" s="1"/>
  <c r="L36" i="29" s="1"/>
  <c r="K35" i="28"/>
  <c r="K35" i="29" s="1"/>
  <c r="L35" i="29" s="1"/>
  <c r="K34" i="28"/>
  <c r="K34" i="29" s="1"/>
  <c r="L34" i="29" s="1"/>
  <c r="K33" i="28"/>
  <c r="K33" i="29" s="1"/>
  <c r="L33" i="29" s="1"/>
  <c r="K32" i="28"/>
  <c r="K32" i="29" s="1"/>
  <c r="L32" i="29" s="1"/>
  <c r="K31" i="28"/>
  <c r="K31" i="29" s="1"/>
  <c r="L31" i="29" s="1"/>
  <c r="K30" i="28"/>
  <c r="K30" i="29" s="1"/>
  <c r="L30" i="29" s="1"/>
  <c r="K29" i="28"/>
  <c r="K29" i="29" s="1"/>
  <c r="L29" i="29" s="1"/>
  <c r="K69" i="28"/>
  <c r="K69" i="29" s="1"/>
  <c r="L69" i="29" s="1"/>
  <c r="K68" i="28"/>
  <c r="K68" i="29" s="1"/>
  <c r="L68" i="29" s="1"/>
  <c r="K67" i="28"/>
  <c r="K67" i="29" s="1"/>
  <c r="L67" i="29" s="1"/>
  <c r="K66" i="28"/>
  <c r="K66" i="29" s="1"/>
  <c r="L66" i="29" s="1"/>
  <c r="K65" i="28"/>
  <c r="K65" i="29" s="1"/>
  <c r="L65" i="29" s="1"/>
  <c r="K64" i="28"/>
  <c r="K64" i="29" s="1"/>
  <c r="L64" i="29" s="1"/>
  <c r="K63" i="28"/>
  <c r="K63" i="29" s="1"/>
  <c r="L63" i="29" s="1"/>
  <c r="K42" i="28"/>
  <c r="K42" i="29" s="1"/>
  <c r="L42" i="29" s="1"/>
  <c r="K41" i="28"/>
  <c r="K41" i="29" s="1"/>
  <c r="L41" i="29" s="1"/>
  <c r="K40" i="28"/>
  <c r="K40" i="29" s="1"/>
  <c r="L40" i="29" s="1"/>
  <c r="K39" i="28"/>
  <c r="K39" i="29" s="1"/>
  <c r="L39" i="29" s="1"/>
  <c r="K38" i="28"/>
  <c r="K38" i="29" s="1"/>
  <c r="L38" i="29" s="1"/>
  <c r="K37" i="28"/>
  <c r="K37" i="29" s="1"/>
  <c r="L37" i="29" s="1"/>
  <c r="K28" i="28"/>
  <c r="K28" i="29" s="1"/>
  <c r="L28" i="29" s="1"/>
  <c r="K27" i="28"/>
  <c r="K27" i="29" s="1"/>
  <c r="L27" i="29" s="1"/>
  <c r="K26" i="28"/>
  <c r="K26" i="29" s="1"/>
  <c r="L26" i="29" s="1"/>
  <c r="K25" i="28"/>
  <c r="K25" i="29" s="1"/>
  <c r="L25" i="29" s="1"/>
  <c r="K24" i="28"/>
  <c r="K24" i="29" s="1"/>
  <c r="L24" i="29" s="1"/>
  <c r="K23" i="28"/>
  <c r="K23" i="29" s="1"/>
  <c r="L23" i="29" s="1"/>
  <c r="K22" i="28"/>
  <c r="K22" i="29" s="1"/>
  <c r="L22" i="29" s="1"/>
  <c r="K21" i="28"/>
  <c r="K21" i="29" s="1"/>
  <c r="L21" i="29" s="1"/>
  <c r="K62" i="28"/>
  <c r="K62" i="29" s="1"/>
  <c r="L62" i="29" s="1"/>
  <c r="K61" i="28"/>
  <c r="K61" i="29" s="1"/>
  <c r="L61" i="29" s="1"/>
  <c r="K60" i="28"/>
  <c r="K60" i="29" s="1"/>
  <c r="L60" i="29" s="1"/>
  <c r="K59" i="28"/>
  <c r="K59" i="29" s="1"/>
  <c r="L59" i="29" s="1"/>
  <c r="K58" i="28"/>
  <c r="K58" i="29" s="1"/>
  <c r="L58" i="29" s="1"/>
  <c r="K57" i="28"/>
  <c r="K57" i="29" s="1"/>
  <c r="L57" i="29" s="1"/>
  <c r="K56" i="28"/>
  <c r="K56" i="29" s="1"/>
  <c r="L56" i="29" s="1"/>
  <c r="K55" i="28"/>
  <c r="K55" i="29" s="1"/>
  <c r="L55" i="29" s="1"/>
  <c r="K54" i="28"/>
  <c r="K54" i="29" s="1"/>
  <c r="L54" i="29" s="1"/>
  <c r="K53" i="28"/>
  <c r="K53" i="29" s="1"/>
  <c r="L53" i="29" s="1"/>
  <c r="K52" i="28"/>
  <c r="K52" i="29" s="1"/>
  <c r="L52" i="29" s="1"/>
  <c r="K51" i="28"/>
  <c r="K51" i="29" s="1"/>
  <c r="L51" i="29" s="1"/>
  <c r="K50" i="28"/>
  <c r="K49" i="28"/>
  <c r="K48" i="28"/>
  <c r="K47" i="28"/>
  <c r="K46" i="28"/>
  <c r="K45" i="28"/>
  <c r="K44" i="28"/>
  <c r="K43" i="28"/>
  <c r="K43" i="29" s="1"/>
  <c r="L43" i="29" s="1"/>
  <c r="J49" i="28"/>
  <c r="J45" i="28"/>
  <c r="J44" i="28"/>
  <c r="K72" i="29" l="1"/>
  <c r="L72" i="29" s="1"/>
  <c r="L46" i="28"/>
  <c r="K46" i="29"/>
  <c r="L46" i="29" s="1"/>
  <c r="L44" i="28"/>
  <c r="K44" i="29"/>
  <c r="L44" i="29" s="1"/>
  <c r="L45" i="28"/>
  <c r="K45" i="29"/>
  <c r="L45" i="29" s="1"/>
  <c r="L49" i="28"/>
  <c r="K49" i="29"/>
  <c r="L49" i="29" s="1"/>
  <c r="L48" i="28"/>
  <c r="K48" i="29"/>
  <c r="L48" i="29" s="1"/>
  <c r="L50" i="28"/>
  <c r="K50" i="29"/>
  <c r="L50" i="29" s="1"/>
  <c r="L13" i="29"/>
  <c r="L47" i="28"/>
  <c r="K47" i="29"/>
  <c r="L47" i="29" s="1"/>
  <c r="K71" i="28"/>
  <c r="L20" i="28"/>
  <c r="J20" i="28"/>
  <c r="L19" i="28"/>
  <c r="J19" i="28"/>
  <c r="L18" i="28"/>
  <c r="J18" i="28"/>
  <c r="L17" i="28"/>
  <c r="J17" i="28"/>
  <c r="L16" i="28"/>
  <c r="J16" i="28"/>
  <c r="L15" i="28"/>
  <c r="J15" i="28"/>
  <c r="L14" i="28"/>
  <c r="J14" i="28"/>
  <c r="L13" i="28"/>
  <c r="J13" i="28"/>
  <c r="L36" i="28"/>
  <c r="J36" i="28"/>
  <c r="L35" i="28"/>
  <c r="J35" i="28"/>
  <c r="L34" i="28"/>
  <c r="J34" i="28"/>
  <c r="L33" i="28"/>
  <c r="J33" i="28"/>
  <c r="L32" i="28"/>
  <c r="J32" i="28"/>
  <c r="L31" i="28"/>
  <c r="J31" i="28"/>
  <c r="L30" i="28"/>
  <c r="J30" i="28"/>
  <c r="L29" i="28"/>
  <c r="J29" i="28"/>
  <c r="L69" i="28"/>
  <c r="J69" i="28"/>
  <c r="L68" i="28"/>
  <c r="J68" i="28"/>
  <c r="L67" i="28"/>
  <c r="J67" i="28"/>
  <c r="L66" i="28"/>
  <c r="J66" i="28"/>
  <c r="L65" i="28"/>
  <c r="J65" i="28"/>
  <c r="L64" i="28"/>
  <c r="J64" i="28"/>
  <c r="L63" i="28"/>
  <c r="J63" i="28"/>
  <c r="L42" i="28"/>
  <c r="J42" i="28"/>
  <c r="L41" i="28"/>
  <c r="J41" i="28"/>
  <c r="L40" i="28"/>
  <c r="J40" i="28"/>
  <c r="L39" i="28"/>
  <c r="J39" i="28"/>
  <c r="L38" i="28"/>
  <c r="J38" i="28"/>
  <c r="L37" i="28"/>
  <c r="J37" i="28"/>
  <c r="J28" i="28"/>
  <c r="J27" i="28"/>
  <c r="J26" i="28"/>
  <c r="J25" i="28"/>
  <c r="J24" i="28"/>
  <c r="J23" i="28"/>
  <c r="J22" i="28"/>
  <c r="J21" i="28"/>
  <c r="J62" i="28"/>
  <c r="J61" i="28"/>
  <c r="J60" i="28"/>
  <c r="J59" i="28"/>
  <c r="J58" i="28"/>
  <c r="J57" i="28"/>
  <c r="J56" i="28"/>
  <c r="J55" i="28"/>
  <c r="J54" i="28"/>
  <c r="J53" i="28"/>
  <c r="J52" i="28"/>
  <c r="J51" i="28"/>
  <c r="J50" i="28"/>
  <c r="J48" i="28"/>
  <c r="J47" i="28"/>
  <c r="J46" i="28"/>
  <c r="L43" i="28"/>
  <c r="J43" i="28"/>
  <c r="J71" i="28" l="1"/>
  <c r="L52" i="28" l="1"/>
  <c r="L53" i="28"/>
  <c r="L54" i="28"/>
  <c r="L55" i="28"/>
  <c r="L56" i="28"/>
  <c r="L57" i="28"/>
  <c r="L58" i="28"/>
  <c r="L59" i="28"/>
  <c r="L60" i="28"/>
  <c r="L61" i="28"/>
  <c r="L62" i="28"/>
  <c r="L21" i="28"/>
  <c r="L22" i="28"/>
  <c r="L23" i="28"/>
  <c r="L24" i="28"/>
  <c r="L25" i="28"/>
  <c r="L26" i="28"/>
  <c r="L27" i="28"/>
  <c r="L28" i="28"/>
  <c r="L51" i="28" l="1"/>
  <c r="L71" i="28"/>
</calcChain>
</file>

<file path=xl/comments1.xml><?xml version="1.0" encoding="utf-8"?>
<comments xmlns="http://schemas.openxmlformats.org/spreadsheetml/2006/main">
  <authors>
    <author>Autor</author>
  </authors>
  <commentList>
    <comment ref="K12" authorId="0" shapeId="0">
      <text>
        <r>
          <rPr>
            <sz val="9"/>
            <color indexed="81"/>
            <rFont val="Tahoma"/>
            <family val="2"/>
          </rPr>
          <t>Días acumulados del último reporte + Días del mes a reportar.</t>
        </r>
      </text>
    </comment>
    <comment ref="B89" authorId="0" shapeId="0">
      <text>
        <r>
          <rPr>
            <sz val="9"/>
            <color indexed="81"/>
            <rFont val="Tahoma"/>
            <family val="2"/>
          </rPr>
          <t>Firma de quién revisa</t>
        </r>
      </text>
    </comment>
    <comment ref="C90" authorId="0" shapeId="0">
      <text>
        <r>
          <rPr>
            <sz val="9"/>
            <color rgb="FF000000"/>
            <rFont val="Tahoma"/>
            <family val="2"/>
          </rPr>
          <t>Nombre completo de quién revisa</t>
        </r>
      </text>
    </comment>
    <comment ref="I90" authorId="0" shapeId="0">
      <text>
        <r>
          <rPr>
            <sz val="9"/>
            <color indexed="81"/>
            <rFont val="Tahoma"/>
            <family val="2"/>
          </rPr>
          <t>Nombre completo del interventor</t>
        </r>
      </text>
    </comment>
  </commentList>
</comments>
</file>

<file path=xl/comments2.xml><?xml version="1.0" encoding="utf-8"?>
<comments xmlns="http://schemas.openxmlformats.org/spreadsheetml/2006/main">
  <authors>
    <author>Autor</author>
  </authors>
  <commentList>
    <comment ref="K12" authorId="0" shapeId="0">
      <text>
        <r>
          <rPr>
            <sz val="9"/>
            <color indexed="81"/>
            <rFont val="Tahoma"/>
            <family val="2"/>
          </rPr>
          <t>Días acumulados del último reporte + Días del mes a reportar.</t>
        </r>
      </text>
    </comment>
    <comment ref="B90" authorId="0" shapeId="0">
      <text>
        <r>
          <rPr>
            <sz val="9"/>
            <color indexed="81"/>
            <rFont val="Tahoma"/>
            <family val="2"/>
          </rPr>
          <t>Firma de quién revisa</t>
        </r>
      </text>
    </comment>
    <comment ref="C91" authorId="0" shapeId="0">
      <text>
        <r>
          <rPr>
            <sz val="9"/>
            <color rgb="FF000000"/>
            <rFont val="Tahoma"/>
            <family val="2"/>
          </rPr>
          <t>Nombre completo de quién revisa</t>
        </r>
      </text>
    </comment>
    <comment ref="I91" authorId="0" shapeId="0">
      <text>
        <r>
          <rPr>
            <sz val="9"/>
            <color indexed="81"/>
            <rFont val="Tahoma"/>
            <family val="2"/>
          </rPr>
          <t>Nombre completo del interventor</t>
        </r>
      </text>
    </comment>
  </commentList>
</comments>
</file>

<file path=xl/sharedStrings.xml><?xml version="1.0" encoding="utf-8"?>
<sst xmlns="http://schemas.openxmlformats.org/spreadsheetml/2006/main" count="595" uniqueCount="151">
  <si>
    <t>MES</t>
  </si>
  <si>
    <t>REPORTE DE AVANCE</t>
  </si>
  <si>
    <t>ENERO</t>
  </si>
  <si>
    <t>Fecha: 29/06/2022</t>
  </si>
  <si>
    <t>Version: 01</t>
  </si>
  <si>
    <t>GP-F-23</t>
  </si>
  <si>
    <t>FEBRERO</t>
  </si>
  <si>
    <t>Código Orden de servicio</t>
  </si>
  <si>
    <t>MARZO</t>
  </si>
  <si>
    <t>ABRIL</t>
  </si>
  <si>
    <t>MAYO</t>
  </si>
  <si>
    <t>JUNIO</t>
  </si>
  <si>
    <t>Mes a reportar</t>
  </si>
  <si>
    <t>JULIO</t>
  </si>
  <si>
    <t>AGOSTO</t>
  </si>
  <si>
    <t>Fecha reporte</t>
  </si>
  <si>
    <t>SEPTIEMBRE</t>
  </si>
  <si>
    <t>OCTUBRE</t>
  </si>
  <si>
    <t>Clasificación del servicio</t>
  </si>
  <si>
    <t>Reporte mes por servicio</t>
  </si>
  <si>
    <t>Reporte acumulado por servicio</t>
  </si>
  <si>
    <t>NOVIEMBRE</t>
  </si>
  <si>
    <t>Ítem general</t>
  </si>
  <si>
    <t>ítem actividad</t>
  </si>
  <si>
    <t>Descripción de la actividad</t>
  </si>
  <si>
    <t>Soporte</t>
  </si>
  <si>
    <t>Medio de entrega</t>
  </si>
  <si>
    <t>Días</t>
  </si>
  <si>
    <t>% avance</t>
  </si>
  <si>
    <t xml:space="preserve">Días </t>
  </si>
  <si>
    <t>DICIEMBRE</t>
  </si>
  <si>
    <t>Digital</t>
  </si>
  <si>
    <t>TOTAL ACUMULADO</t>
  </si>
  <si>
    <t>Describa en este espacio su observación</t>
  </si>
  <si>
    <r>
      <t>¿Se presentó algún aspecto o situación que afecte la ejecución y calidad de los entregables? (</t>
    </r>
    <r>
      <rPr>
        <b/>
        <i/>
        <sz val="9"/>
        <color theme="1"/>
        <rFont val="Verdana"/>
        <family val="2"/>
      </rPr>
      <t>Marque con una X</t>
    </r>
    <r>
      <rPr>
        <b/>
        <sz val="9"/>
        <color theme="1"/>
        <rFont val="Verdana"/>
        <family val="2"/>
      </rPr>
      <t>)</t>
    </r>
  </si>
  <si>
    <t>PROFESIONAL</t>
  </si>
  <si>
    <t>SI</t>
  </si>
  <si>
    <t>NO</t>
  </si>
  <si>
    <t>INTERVENTOR O LIDER</t>
  </si>
  <si>
    <t>Revisa:</t>
  </si>
  <si>
    <t>3.13</t>
  </si>
  <si>
    <t>Generar base de datos de producción (OFM o la que se requiera)</t>
  </si>
  <si>
    <t>Base de Datos</t>
  </si>
  <si>
    <t>Generar Distribución de Producción por sub- unidades (allocation)</t>
  </si>
  <si>
    <t>3.16</t>
  </si>
  <si>
    <t>Análisis de Declinaciones por pozo y/o subunidad</t>
  </si>
  <si>
    <t>3.17</t>
  </si>
  <si>
    <t>Analizar data histórica de producción, productividad y daño por pozo</t>
  </si>
  <si>
    <t>Base de Datos - Informe de la Evaluación</t>
  </si>
  <si>
    <t>3.18</t>
  </si>
  <si>
    <t>3.6</t>
  </si>
  <si>
    <t>3.10</t>
  </si>
  <si>
    <t>Control de calidad del dato adquirido para valorar representatividad de la prueba en cuestión. De ser válidas, levantamiento de información de entrada para análisis e interpretación (registros de desviación, estado mecánico de cada pozo, caliper/bit size ("), espesor neto (pies TVD), porosidad media (phi), Sw, PVT, producciones asociadas, corte de agua, salinidades, mapa estructural, etc.</t>
  </si>
  <si>
    <t>3.11</t>
  </si>
  <si>
    <t>Informe del análisis por pozo o prueba</t>
  </si>
  <si>
    <t>5.1</t>
  </si>
  <si>
    <t>Generar bases de datos de Eventos de pozos</t>
  </si>
  <si>
    <t>5.2</t>
  </si>
  <si>
    <t>Generación de oportunidades de intervención a Pozos</t>
  </si>
  <si>
    <t>5.3</t>
  </si>
  <si>
    <t>Estimar restricciones de Presión y tasas para la generación de perfiles de producción</t>
  </si>
  <si>
    <t>5.4</t>
  </si>
  <si>
    <t>Generar modelo de Pozos</t>
  </si>
  <si>
    <t>5.5</t>
  </si>
  <si>
    <t>Adelantar la evaluación e interpretación de datos enfocada a candidatización de actividades de reacondicionamiento y optimización de productividad en los activos</t>
  </si>
  <si>
    <t>5.6</t>
  </si>
  <si>
    <t>Generar los análisis asociados a candidatización de pozos para optimización de la producción empleando simulación numérica (análisis nodal) de productividad de pozos</t>
  </si>
  <si>
    <t>5.9</t>
  </si>
  <si>
    <t>5.10</t>
  </si>
  <si>
    <t>Adelantar en análisis y evaluación de datos enfocada a la ejecución de estudios de daño de formación</t>
  </si>
  <si>
    <t>5.11</t>
  </si>
  <si>
    <t>Generar los análisis asociados a la ejecución de estudios de daño de formación empleando simulación numérica (análisis nodal y single well model, análisis de aguas, análisis de crudos, entre otros)</t>
  </si>
  <si>
    <t>3.12</t>
  </si>
  <si>
    <t>Generar Modelo de Presiones partiendo de las pruebas previamente validadas e interpretadas</t>
  </si>
  <si>
    <t>Modelo del sector</t>
  </si>
  <si>
    <t>Días contratados Acta de Inicio</t>
  </si>
  <si>
    <t>1.2</t>
  </si>
  <si>
    <t>1.4</t>
  </si>
  <si>
    <t>1.5</t>
  </si>
  <si>
    <t>1.15</t>
  </si>
  <si>
    <t>1.16</t>
  </si>
  <si>
    <t>Digitalización, digitación y/o captura de información geológica (Mapas, Raw Data, topes, etc.)</t>
  </si>
  <si>
    <t>Modelo poblado</t>
  </si>
  <si>
    <t>Información georeferenciada</t>
  </si>
  <si>
    <t>Profesional a cargo</t>
  </si>
  <si>
    <t>Modelo estructural - Informe del Modelo</t>
  </si>
  <si>
    <t>Mapas en formato digital</t>
  </si>
  <si>
    <t>Generación de Bases de datos de Pozos (Registros, Topes e Información disponible)</t>
  </si>
  <si>
    <t>Bases de Datos</t>
  </si>
  <si>
    <t>Carga de información para poblar el modelo geocelular (direccionales, 
coordenadas, surveys, topes, data de presión, estados mecánicos, evento de pozos, etc.)</t>
  </si>
  <si>
    <t>1.17</t>
  </si>
  <si>
    <t xml:space="preserve">Calculo probabilístico de Volúmenes In situ. </t>
  </si>
  <si>
    <t>Calculo Volumétrico - Bases de Datos</t>
  </si>
  <si>
    <t>3.3</t>
  </si>
  <si>
    <t xml:space="preserve">Realizar el plan de desarrollo de campo y los pronósticos: realizando todos los pronósticos de escenarios de simulación para llevar a cabo la planificación del desarrollo de campo, esto incluye investigar y realizar análisis de sensibilidad  e incertidumbre de los principales parámetros coincidentes de la historia y las incógnitas y su efecto en el pronóstico. La predicción se basaría en el plan de desarrollo de campo, las ubicaciones de perforación de relleno, el análisis de patrones, la optimización  de la inyección de agua, la tasa de inyección óptima y el proceso de recuperación terciaria (química y térmica). Realizar evaluaciones económicas y evaluaciones de cada proceso y presentar la mejor solución óptima. </t>
  </si>
  <si>
    <t>Modelo Dinámico -Perfiles de Producción -Informe.</t>
  </si>
  <si>
    <t>3.4</t>
  </si>
  <si>
    <t>Construya un estudio de modelos conceptuales y modelos de laboratorio: para construir un modelo conceptual que investigue temas específicos. Por ejemplo: tiempos y perfiles de ruptura del trazador, meseta de relación WOR de depósitos de múltiples capas, para investigar la aplicación de nueva tecnología (basada en polímeros o basada en térmicas). Problemas de conformance, aplicabilidad del polímero en un campo específico, investigar el efecto del espaciamiento de pozos y los tipos de patrones (5 puntos, 5 puntos invertidos, 7 puntos, unidad de línea) en proyectos EOR químicos. Un estudio conceptual para desarrollar una metodología práctica para tecnologías nuevas y actuales basadas en datos de campo y de laboratorio (metodología para modelar polímeros de preferencia cruzada, nano surfactante). Desarrollar una metodología para integrar y modelar pozos de múltiples segmentos y datos ILT.</t>
  </si>
  <si>
    <t>Modelo Dinámico con los archivos de entrada
Perfiles de producción e inyección
Informe</t>
  </si>
  <si>
    <t>Generar Modelo analítico del yacimiento integrando la información disponible en un software específico.</t>
  </si>
  <si>
    <t>Modelo Analítico - Perfiles de Producción - Informe del modelo</t>
  </si>
  <si>
    <t>3.7</t>
  </si>
  <si>
    <t>Inventario y acceso a raw data de puntos de presión (Pre-Test) tomados con probadores de formación (RDT (Halliburton), MDT (Schlumberger), MFT (Weatherford), etc.). La raw data debe contener por profundidad probada: valores de presión, temperatura, caudales inducidos (cc/seg) y volúmenes asociados de cámara pre-test (cc).</t>
  </si>
  <si>
    <t>Base de datos</t>
  </si>
  <si>
    <t>Base de Datos - Perfiles Generados - Informe del análisis</t>
  </si>
  <si>
    <t>Generar perfiles de Producción por pozos para pozos existente en escenarios Bajo, Medio y Alto</t>
  </si>
  <si>
    <t>Realizar el seguimiento de producción/ inyección de pozos intervenidos con base en los comportamientos de producción previo y posterior a la intervención</t>
  </si>
  <si>
    <t>Realice el plan de desarrollo de campo y los pronósticos: realizando todos los pronósticos de escenarios de simulación para llevar a cabo la planificación del desarrollo de campo, esto incluye investigar y realizar análisis de sensibilidad  e incertidumbre de los principales parámetros coincidentes de la historia y las incógnitas y su efecto en el pronóstico. La predicción se basaría en el plan de desarrollo de campo, las ubicaciones de perforación de relleno, el análisis de patrones, la optimización  de la inyección de agua, la tasa de inyección óptima y el proceso de recuperación terciaria (química y térmica). Realizar evaluaciones económicas y evaluaciones de cada proceso y presentar la mejor solución óptima. Generar Modelo analítico del yacimiento integrando la información disponible en un software específico.</t>
  </si>
  <si>
    <t>Realice el plan de desarrollo de campo y los pronósticos: realizando todos los pronósticos de escenarios de simulación para llevar a cabo la planificación del desarrollo de campo, esto incluye investigar y realizar análisis de sensibilidad  e incertidumbre de los principales parámetros coincidentes de la historia y las incógnitas y su efecto en el pronóstico. La predicción se basaría en el plan de desarrollo de campo, las ubicaciones de perforación de relleno, el análisis de patrones, la optimización  de la inyección de agua, la tasa de inyección óptima y el proceso de recuperación terciaria (química y térmica). Realizar evaluaciones económicas y evaluaciones de cada proceso y presentar la mejor solución óptima.</t>
  </si>
  <si>
    <t>3.5</t>
  </si>
  <si>
    <t>Modelado sectorial cuando el modelo de simulación dinámica está disponible: modelado sectorial en el objetivo del estudio, modela adecuadamente y respeta las condiciones de frontera mediante el uso de límites de flujo o presión, realiza la planificación del desarrollo del campo, perforación de relleno, agotamiento primario, inyección de agua y térmica o química. Proceso de recuperación. Aumentar adecuadamente el resultado del modelo de sector al campo completo. Realizar la valuación económica del proceso.</t>
  </si>
  <si>
    <t>Inventario - Informe de Representatividad (Preliminar)</t>
  </si>
  <si>
    <t>Análisis e interpretación de datos de pruebas de presión-producción (DSTs, PBU, Pruebas Extendidas Producción, Gradientes Estáticos- Dinámicos PT, etc.) o de presión inyección (Inyectividad, SRT, FOT) aplicadas ya sea en tiempo real, memorizadas o con sarta temporal DST. Integración Probador Formación - Registros Open Hole.</t>
  </si>
  <si>
    <t>Actualización de Tableros PBI con información de producción, inyección e intervenciones</t>
  </si>
  <si>
    <t>Reuniones sistemáticas para el seguimiento y monitoreo de la producción/inyección del Campo yariguí, y así identificar pozos candidatos para trabajos de WO y mejorar el índice de productividad e inyectividad</t>
  </si>
  <si>
    <t>Revisión de perfiles FID certificados y Flujos de Caja del campo yariguí-Cantagallo.
Estimación de justificación de reservas 1P del Campo Yariguí</t>
  </si>
  <si>
    <t>Actualización de Tableros PBI creados para el seguimiento de producción/inyección, gráficos de Lorenz de pozos inyectores, balance de presiones y revisión de reservas certificadas</t>
  </si>
  <si>
    <t>Reuniones sistemáticas para el seguimiento y monitoreo de la producción/inyección del Campo yariguí, y así identificar pozos con oportunidades de optimización de la presión de fondo manteniendo el balance de presiones del patrón</t>
  </si>
  <si>
    <t>Reuniones sistemáticas para el seguimiento y monitoreo de la producción/inyección del Campo yariguí</t>
  </si>
  <si>
    <t>Actualización de Tableros PBI creados para el balance de presiones y poder identificar condiciones actuales de los pozos como Pwf actuales, Pwf límite, índice de productividad y condición de daño</t>
  </si>
  <si>
    <t>Sharepoint: https://ecopetrol.sharepoint.com/sites/TablerosdeSeguimientoYR-CG/Shared%20Documents/Forms/AllItems.aspx</t>
  </si>
  <si>
    <t>Actas en medio digital: https://wellmeeting.ecopetrol.com.co/</t>
  </si>
  <si>
    <t>Sharepoint: https://ecopetrol.sharepoint.com/sites/TablerosdeSeguimientoYR-CG/Shared%20Documents/Forms/AllItems.aspx
Ruta compartida: \\10.11.46.150\groups07\01_YR-CG\04_PROYECTOS\26_PIC\2026
Ruta compartida: \\10.11.46.150\groups07\01_YR-CG\02_Modelo Dinámico\02_Yacimientos\07_Auditoria de Reservas</t>
  </si>
  <si>
    <t>Actas en medio digital: https://wellmeeting.ecopetrol.com.co/
Sharepoint: https://ecopetrol.sharepoint.com/sites/TablerosdeSeguimientoYR-CG/Shared%20Documents/Forms/AllItems.aspx</t>
  </si>
  <si>
    <t>1.1</t>
  </si>
  <si>
    <t>Generar Modelo Estático del yacimiento integrando la información disponible.</t>
  </si>
  <si>
    <t>Modelo Estático - Informe de Modelo - Cálculo de Volúmenes in Place</t>
  </si>
  <si>
    <t>Generación Modelo estructural.</t>
  </si>
  <si>
    <t>1.7</t>
  </si>
  <si>
    <t>Generación Modelo Geocelular.</t>
  </si>
  <si>
    <t>Modelo Geocelular - Informe del Modelo</t>
  </si>
  <si>
    <t>Carga de información para poblar el modelo geocelular (direccionales,coordenadas, surveys, topes, data de presión, estados mecánicos, evento de pozos, etc.)</t>
  </si>
  <si>
    <t xml:space="preserve">Georeferenciación de Mapas, pozos, Imágenes satélite, etc. y  Definición de CRS (Cordinates Reference System) </t>
  </si>
  <si>
    <t>Observaciones</t>
  </si>
  <si>
    <t>Jhon Abelardo Cuesta Asprilla</t>
  </si>
  <si>
    <t>Andres Fabian Amaya Hernandez</t>
  </si>
  <si>
    <t>Jose Carlos Garcia Rueda</t>
  </si>
  <si>
    <t>Maria Angelica Prada Fonseca</t>
  </si>
  <si>
    <t>Estefany Lizeth  Velandia Jaimes</t>
  </si>
  <si>
    <t>Gustavo Andres Bautista Velandia</t>
  </si>
  <si>
    <t>Emmanuel Robles Albarracin</t>
  </si>
  <si>
    <t>Ximena Alejandra  Rodriguez Florez</t>
  </si>
  <si>
    <r>
      <t xml:space="preserve">5.1 5.2 5.3 5.4 5.5 5.6 5.9 5.10 Junior (AM):
</t>
    </r>
    <r>
      <rPr>
        <sz val="9"/>
        <color theme="1"/>
        <rFont val="Verdana"/>
        <family val="2"/>
      </rPr>
      <t xml:space="preserve">
</t>
    </r>
  </si>
  <si>
    <r>
      <t xml:space="preserve">1.2 1.5 1.15 1.17 Junior (EV):
</t>
    </r>
    <r>
      <rPr>
        <sz val="9"/>
        <color theme="1"/>
        <rFont val="Verdana"/>
        <family val="2"/>
      </rPr>
      <t>* Apoyo integral en la actualización y consolidación de bases de datos, así como en la elaboración y validación de cartografía técnica, como parte de la entrega anual de los informes ITA – vigencia 2025, requeridos por la Agencia Nacional de Hidrocarburos (ANH). 
* Adicionalmente, gestión y atención de requerimientos operativos y técnicos del día a día, brindando soporte oportuno a los ingenieros del equipo para el apoyo en el desarrollo de sus actividades.</t>
    </r>
  </si>
  <si>
    <r>
      <t xml:space="preserve">1.1 1.2 1.4 1.5 1.7 1.15 1.16 1.17 Senior (XR): 
</t>
    </r>
    <r>
      <rPr>
        <sz val="9"/>
        <color theme="1"/>
        <rFont val="Verdana"/>
        <family val="2"/>
      </rPr>
      <t xml:space="preserve">* (1.1) mediante diagnósticos del modelo actual, reuniones de validación y elaboración de entregables; se consolidaron y revisaron los datos de pozos 
* (1.2) realizando QAQC y estudio de ensemble data; se ejecutaron tareas de digitalización y captura de información geológica 
* (1.5) con exportación de curvas y ajustes de mapas; se efectuó la georreferenciación y definición de CRS 
* (1.16) mediante corrección de mapas ITA Lisama; y de manera preliminar se realizaron actividades relacionadas con el modelo estructural 
* (1.4) y la preparación de datos para el modelo geocelular 
* (1.7, 1.15). Para detalles, revisar informe GP-F-25_Ximena A. Rodriguez.       
</t>
    </r>
    <r>
      <rPr>
        <b/>
        <sz val="9"/>
        <color theme="1"/>
        <rFont val="Verdana"/>
        <family val="2"/>
      </rPr>
      <t xml:space="preserve">
</t>
    </r>
  </si>
  <si>
    <r>
      <t xml:space="preserve">1.2 1.5 1.15 1.17 Junior (EV):
</t>
    </r>
    <r>
      <rPr>
        <sz val="9"/>
        <color theme="1"/>
        <rFont val="Verdana"/>
        <family val="2"/>
      </rPr>
      <t xml:space="preserve"> Se dio inicio al análisis de propiedades petrofísicas en los intervalos previamente propuestos para cañoneo, correspondientes a 18 de los 24 pozos candidatos a Open Zone del Campo Nare Unificado. Participación en la elaboración de informes y mapas IRR vigencia 2025.  Adicionalmente participación en el primer día técnico de la comunidad de práctica disciplina de geomodelamiento y en el taller de fluidos Teca Nare.</t>
    </r>
  </si>
  <si>
    <r>
      <t xml:space="preserve">1.1 1.2 1.4 1.5 1.7 1.15 1.16 1.17 Senior (XR): 
</t>
    </r>
    <r>
      <rPr>
        <sz val="9"/>
        <color theme="1"/>
        <rFont val="Verdana"/>
        <family val="2"/>
      </rPr>
      <t xml:space="preserve">       
</t>
    </r>
    <r>
      <rPr>
        <b/>
        <sz val="9"/>
        <color theme="1"/>
        <rFont val="Verdana"/>
        <family val="2"/>
      </rPr>
      <t xml:space="preserve">
</t>
    </r>
  </si>
  <si>
    <t>-</t>
  </si>
  <si>
    <t>Estimación de justificación de reservas 1P del Campo Yariguí.
Diligenciamiento de Formato F20 sobre la conversión de reservas PND del Campo Yariguí-Cantagallo</t>
  </si>
  <si>
    <t>Hugo Quiroga Cruz</t>
  </si>
  <si>
    <t>Heliodoro Cañarete Mejía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</si>
</sst>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sz val="11"/>
      <color theme="1"/>
      <name val="Calibri"/>
      <family val="2"/>
      <scheme val="minor"/>
    </font>
    <font>
      <sz val="9"/>
      <color theme="1"/>
      <name val="Verdana"/>
      <family val="2"/>
    </font>
    <font>
      <sz val="9"/>
      <color theme="1"/>
      <name val="Calibri"/>
      <family val="2"/>
      <scheme val="minor"/>
    </font>
    <font>
      <b/>
      <sz val="9"/>
      <color theme="1"/>
      <name val="Verdana"/>
      <family val="2"/>
    </font>
    <font>
      <b/>
      <i/>
      <sz val="9"/>
      <color theme="1"/>
      <name val="Verdana"/>
      <family val="2"/>
    </font>
    <font>
      <sz val="20"/>
      <color theme="1"/>
      <name val="Verdana"/>
      <family val="2"/>
    </font>
    <font>
      <sz val="9"/>
      <color theme="0" tint="-0.499984740745262"/>
      <name val="Verdana"/>
      <family val="2"/>
    </font>
    <font>
      <sz val="9"/>
      <color indexed="81"/>
      <name val="Tahoma"/>
      <family val="2"/>
    </font>
    <font>
      <sz val="9"/>
      <color rgb="FF000000"/>
      <name val="Tahoma"/>
      <family val="2"/>
    </font>
    <font>
      <sz val="9"/>
      <color rgb="FF000000"/>
      <name val="Verdana"/>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s>
  <cellStyleXfs count="2">
    <xf numFmtId="0" fontId="0" fillId="0" borderId="0"/>
    <xf numFmtId="9" fontId="1" fillId="0" borderId="0" applyFont="0" applyFill="0" applyBorder="0" applyAlignment="0" applyProtection="0"/>
  </cellStyleXfs>
  <cellXfs count="148">
    <xf numFmtId="0" fontId="0" fillId="0" borderId="0" xfId="0"/>
    <xf numFmtId="0" fontId="2" fillId="0" borderId="0" xfId="0" applyFont="1"/>
    <xf numFmtId="0" fontId="3" fillId="0" borderId="0" xfId="0" applyFont="1"/>
    <xf numFmtId="0" fontId="2" fillId="0" borderId="5" xfId="0" applyFont="1" applyBorder="1"/>
    <xf numFmtId="0" fontId="2" fillId="0" borderId="0" xfId="0" applyFont="1" applyAlignment="1">
      <alignment vertical="center"/>
    </xf>
    <xf numFmtId="0" fontId="3" fillId="0" borderId="0" xfId="0" applyFont="1" applyAlignment="1">
      <alignment vertical="center"/>
    </xf>
    <xf numFmtId="49" fontId="4" fillId="2" borderId="7" xfId="0" applyNumberFormat="1" applyFont="1" applyFill="1" applyBorder="1" applyAlignment="1">
      <alignment horizontal="center" vertical="center"/>
    </xf>
    <xf numFmtId="14" fontId="4" fillId="2" borderId="7" xfId="0" applyNumberFormat="1" applyFont="1" applyFill="1" applyBorder="1" applyAlignment="1">
      <alignment horizontal="center" vertical="center"/>
    </xf>
    <xf numFmtId="0" fontId="0" fillId="0" borderId="0" xfId="0" applyAlignment="1">
      <alignment vertical="center"/>
    </xf>
    <xf numFmtId="164" fontId="4" fillId="0" borderId="7" xfId="1" applyNumberFormat="1" applyFont="1" applyBorder="1" applyAlignment="1" applyProtection="1">
      <alignment horizontal="center" vertical="center"/>
    </xf>
    <xf numFmtId="0" fontId="4" fillId="4" borderId="1" xfId="0" applyFont="1" applyFill="1" applyBorder="1" applyAlignment="1">
      <alignment vertical="center"/>
    </xf>
    <xf numFmtId="0" fontId="4" fillId="4" borderId="0" xfId="0" applyFont="1" applyFill="1" applyAlignment="1">
      <alignment vertical="center"/>
    </xf>
    <xf numFmtId="0" fontId="4" fillId="4" borderId="3" xfId="0" applyFont="1" applyFill="1" applyBorder="1" applyAlignment="1">
      <alignment vertical="center"/>
    </xf>
    <xf numFmtId="0" fontId="2" fillId="0" borderId="7" xfId="0" applyFont="1" applyBorder="1" applyAlignment="1">
      <alignment horizontal="center" vertical="center"/>
    </xf>
    <xf numFmtId="0" fontId="6" fillId="0" borderId="7" xfId="0" applyFont="1" applyBorder="1" applyAlignment="1">
      <alignment horizontal="center"/>
    </xf>
    <xf numFmtId="0" fontId="4" fillId="0" borderId="0" xfId="0" applyFont="1" applyAlignment="1">
      <alignment horizontal="center" vertical="center"/>
    </xf>
    <xf numFmtId="164" fontId="4" fillId="0" borderId="0" xfId="1" applyNumberFormat="1" applyFont="1" applyBorder="1" applyAlignment="1" applyProtection="1">
      <alignment horizontal="center" vertical="center"/>
    </xf>
    <xf numFmtId="1" fontId="4" fillId="0" borderId="0" xfId="0" applyNumberFormat="1" applyFont="1" applyAlignment="1">
      <alignment horizontal="center" vertical="center"/>
    </xf>
    <xf numFmtId="0" fontId="2" fillId="0" borderId="4" xfId="0" applyFont="1" applyBorder="1"/>
    <xf numFmtId="0" fontId="2" fillId="0" borderId="6" xfId="0" applyFont="1" applyBorder="1"/>
    <xf numFmtId="0" fontId="2" fillId="0" borderId="8" xfId="0" applyFont="1" applyBorder="1" applyAlignment="1">
      <alignment vertical="center"/>
    </xf>
    <xf numFmtId="0" fontId="2" fillId="0" borderId="9" xfId="0" applyFont="1" applyBorder="1" applyAlignment="1">
      <alignment vertical="center"/>
    </xf>
    <xf numFmtId="49" fontId="4" fillId="0" borderId="0" xfId="0" applyNumberFormat="1" applyFont="1" applyAlignment="1">
      <alignment horizontal="center" vertical="center"/>
    </xf>
    <xf numFmtId="14" fontId="4" fillId="0" borderId="0" xfId="0" applyNumberFormat="1" applyFont="1" applyAlignment="1">
      <alignment horizontal="center" vertical="center"/>
    </xf>
    <xf numFmtId="0" fontId="2" fillId="0" borderId="9" xfId="0" applyFont="1" applyBorder="1"/>
    <xf numFmtId="0" fontId="2" fillId="0" borderId="8" xfId="0" applyFont="1" applyBorder="1"/>
    <xf numFmtId="1" fontId="4" fillId="0" borderId="7" xfId="0" applyNumberFormat="1" applyFont="1" applyBorder="1" applyAlignment="1">
      <alignment horizontal="center" vertical="center"/>
    </xf>
    <xf numFmtId="0" fontId="3"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3" fillId="0" borderId="0" xfId="0" applyFont="1" applyAlignment="1">
      <alignment horizontal="left" vertical="center" wrapText="1"/>
    </xf>
    <xf numFmtId="0" fontId="0" fillId="0" borderId="0" xfId="0" applyAlignment="1">
      <alignment horizontal="left" wrapText="1"/>
    </xf>
    <xf numFmtId="0" fontId="2" fillId="0" borderId="9"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4" xfId="0" applyFont="1" applyBorder="1" applyAlignment="1">
      <alignment horizontal="left" vertical="center"/>
    </xf>
    <xf numFmtId="0" fontId="2" fillId="0" borderId="28" xfId="0" applyFont="1" applyBorder="1" applyAlignment="1">
      <alignment horizontal="center" vertical="center"/>
    </xf>
    <xf numFmtId="0" fontId="2" fillId="3" borderId="24" xfId="0" applyFont="1" applyFill="1" applyBorder="1" applyAlignment="1">
      <alignment horizontal="center" vertical="center"/>
    </xf>
    <xf numFmtId="0" fontId="2" fillId="0" borderId="24" xfId="0" applyFont="1" applyBorder="1" applyAlignment="1">
      <alignment horizontal="center" vertical="center"/>
    </xf>
    <xf numFmtId="9" fontId="2" fillId="0" borderId="24" xfId="1" applyFont="1" applyBorder="1" applyAlignment="1" applyProtection="1">
      <alignment horizontal="center" vertical="center"/>
    </xf>
    <xf numFmtId="1" fontId="2" fillId="0" borderId="24" xfId="0" applyNumberFormat="1" applyFont="1" applyBorder="1" applyAlignment="1">
      <alignment horizontal="center" vertical="center"/>
    </xf>
    <xf numFmtId="0" fontId="2" fillId="0" borderId="16" xfId="0" applyFont="1" applyBorder="1" applyAlignment="1">
      <alignment horizontal="center" vertical="center"/>
    </xf>
    <xf numFmtId="0" fontId="2" fillId="0" borderId="13" xfId="0" applyFont="1" applyBorder="1" applyAlignment="1">
      <alignment horizontal="center" vertical="center"/>
    </xf>
    <xf numFmtId="0" fontId="2" fillId="0" borderId="22" xfId="0" applyFont="1" applyBorder="1" applyAlignment="1">
      <alignment horizontal="left" vertical="center"/>
    </xf>
    <xf numFmtId="0" fontId="2" fillId="0" borderId="29" xfId="0" applyFont="1" applyBorder="1" applyAlignment="1">
      <alignment horizontal="center" vertical="center"/>
    </xf>
    <xf numFmtId="0" fontId="2" fillId="3" borderId="22" xfId="0" applyFont="1" applyFill="1" applyBorder="1" applyAlignment="1">
      <alignment horizontal="center" vertical="center"/>
    </xf>
    <xf numFmtId="0" fontId="2" fillId="0" borderId="22" xfId="0" applyFont="1" applyBorder="1" applyAlignment="1">
      <alignment horizontal="center" vertical="center"/>
    </xf>
    <xf numFmtId="9" fontId="2" fillId="0" borderId="22" xfId="1" applyFont="1" applyBorder="1" applyAlignment="1" applyProtection="1">
      <alignment horizontal="center" vertical="center"/>
    </xf>
    <xf numFmtId="1" fontId="2" fillId="0" borderId="22" xfId="0" applyNumberFormat="1"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23" xfId="0" applyFont="1" applyBorder="1" applyAlignment="1">
      <alignment horizontal="left" vertical="center"/>
    </xf>
    <xf numFmtId="0" fontId="2" fillId="0" borderId="30" xfId="0" applyFont="1" applyBorder="1" applyAlignment="1">
      <alignment horizontal="center" vertical="center"/>
    </xf>
    <xf numFmtId="0" fontId="2" fillId="3" borderId="23" xfId="0" applyFont="1" applyFill="1" applyBorder="1" applyAlignment="1">
      <alignment horizontal="center" vertical="center"/>
    </xf>
    <xf numFmtId="0" fontId="2" fillId="0" borderId="23" xfId="0" applyFont="1" applyBorder="1" applyAlignment="1">
      <alignment horizontal="center" vertical="center"/>
    </xf>
    <xf numFmtId="9" fontId="2" fillId="0" borderId="23" xfId="1" applyFont="1" applyBorder="1" applyAlignment="1" applyProtection="1">
      <alignment horizontal="center" vertical="center"/>
    </xf>
    <xf numFmtId="1" fontId="2" fillId="0" borderId="23" xfId="0" applyNumberFormat="1" applyFont="1" applyBorder="1" applyAlignment="1">
      <alignment horizontal="center" vertical="center"/>
    </xf>
    <xf numFmtId="0" fontId="2" fillId="0" borderId="21" xfId="0" applyFont="1" applyBorder="1" applyAlignment="1">
      <alignment horizontal="center" vertical="center"/>
    </xf>
    <xf numFmtId="0" fontId="2" fillId="0" borderId="15" xfId="0" applyFont="1" applyBorder="1" applyAlignment="1">
      <alignment horizontal="center" vertical="center"/>
    </xf>
    <xf numFmtId="0" fontId="2" fillId="0" borderId="25" xfId="0" applyFont="1" applyBorder="1" applyAlignment="1">
      <alignment horizontal="left" vertical="center"/>
    </xf>
    <xf numFmtId="0" fontId="2" fillId="0" borderId="31" xfId="0" applyFont="1" applyBorder="1" applyAlignment="1">
      <alignment horizontal="center" vertical="center"/>
    </xf>
    <xf numFmtId="0" fontId="2" fillId="0" borderId="25" xfId="0" applyFont="1" applyBorder="1" applyAlignment="1">
      <alignment horizontal="center" vertical="center"/>
    </xf>
    <xf numFmtId="0" fontId="2" fillId="3" borderId="25" xfId="0" applyFont="1" applyFill="1" applyBorder="1" applyAlignment="1">
      <alignment horizontal="center" vertical="center"/>
    </xf>
    <xf numFmtId="9" fontId="2" fillId="0" borderId="25" xfId="1" applyFont="1" applyBorder="1" applyAlignment="1" applyProtection="1">
      <alignment horizontal="center" vertical="center"/>
    </xf>
    <xf numFmtId="1" fontId="2" fillId="0" borderId="25" xfId="0" applyNumberFormat="1" applyFont="1" applyBorder="1" applyAlignment="1">
      <alignment horizontal="center" vertical="center"/>
    </xf>
    <xf numFmtId="9" fontId="2" fillId="0" borderId="24" xfId="1" applyFont="1" applyFill="1" applyBorder="1" applyAlignment="1" applyProtection="1">
      <alignment horizontal="center" vertical="center"/>
    </xf>
    <xf numFmtId="9" fontId="2" fillId="0" borderId="22" xfId="1" applyFont="1" applyFill="1" applyBorder="1" applyAlignment="1" applyProtection="1">
      <alignment horizontal="center" vertical="center"/>
    </xf>
    <xf numFmtId="9" fontId="2" fillId="0" borderId="23" xfId="1" applyFont="1" applyFill="1" applyBorder="1" applyAlignment="1" applyProtection="1">
      <alignment horizontal="center" vertical="center"/>
    </xf>
    <xf numFmtId="1" fontId="2" fillId="3" borderId="22" xfId="0" applyNumberFormat="1" applyFont="1" applyFill="1" applyBorder="1" applyAlignment="1">
      <alignment horizontal="center" vertical="center"/>
    </xf>
    <xf numFmtId="1" fontId="2" fillId="3" borderId="23" xfId="0" applyNumberFormat="1" applyFont="1" applyFill="1" applyBorder="1" applyAlignment="1">
      <alignment horizontal="center" vertical="center"/>
    </xf>
    <xf numFmtId="0" fontId="2" fillId="2" borderId="7" xfId="0" applyFont="1" applyFill="1" applyBorder="1" applyAlignment="1">
      <alignment horizontal="center" vertical="center" wrapText="1"/>
    </xf>
    <xf numFmtId="0" fontId="4" fillId="2" borderId="7" xfId="0" applyFont="1" applyFill="1" applyBorder="1" applyAlignment="1">
      <alignment horizontal="center" vertical="center"/>
    </xf>
    <xf numFmtId="0" fontId="2" fillId="0" borderId="0" xfId="0" applyFont="1" applyAlignment="1">
      <alignment horizontal="center" vertical="center"/>
    </xf>
    <xf numFmtId="0" fontId="4" fillId="0" borderId="2" xfId="0" applyFont="1" applyBorder="1" applyAlignment="1">
      <alignment horizontal="center"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2" fillId="0" borderId="27" xfId="0" applyFont="1" applyBorder="1" applyAlignment="1">
      <alignment horizontal="left" vertical="center"/>
    </xf>
    <xf numFmtId="0" fontId="2" fillId="0" borderId="35" xfId="0" applyFont="1" applyBorder="1" applyAlignment="1">
      <alignment horizontal="center" vertical="center"/>
    </xf>
    <xf numFmtId="0" fontId="2" fillId="0" borderId="27" xfId="0" applyFont="1" applyBorder="1" applyAlignment="1">
      <alignment horizontal="center" vertical="center"/>
    </xf>
    <xf numFmtId="9" fontId="2" fillId="0" borderId="27" xfId="1" applyFont="1" applyBorder="1" applyAlignment="1" applyProtection="1">
      <alignment horizontal="center" vertical="center"/>
    </xf>
    <xf numFmtId="1" fontId="2" fillId="0" borderId="27" xfId="0" applyNumberFormat="1" applyFont="1" applyBorder="1" applyAlignment="1">
      <alignment horizontal="center" vertical="center"/>
    </xf>
    <xf numFmtId="1" fontId="2" fillId="3" borderId="24" xfId="0" applyNumberFormat="1" applyFont="1" applyFill="1" applyBorder="1" applyAlignment="1">
      <alignment horizontal="center" vertical="center"/>
    </xf>
    <xf numFmtId="0" fontId="2" fillId="0" borderId="0" xfId="0" applyFont="1" applyAlignment="1">
      <alignment horizontal="center"/>
    </xf>
    <xf numFmtId="0" fontId="2" fillId="2" borderId="3" xfId="0" applyFont="1" applyFill="1" applyBorder="1" applyAlignment="1">
      <alignment horizontal="center" vertical="center" wrapText="1"/>
    </xf>
    <xf numFmtId="0" fontId="10" fillId="0" borderId="24" xfId="0" applyFont="1" applyBorder="1" applyAlignment="1">
      <alignment horizontal="left" vertical="center"/>
    </xf>
    <xf numFmtId="0" fontId="10" fillId="0" borderId="22" xfId="0" applyFont="1" applyBorder="1" applyAlignment="1">
      <alignment horizontal="left" vertical="center"/>
    </xf>
    <xf numFmtId="0" fontId="10" fillId="0" borderId="23" xfId="0" applyFont="1" applyBorder="1" applyAlignment="1">
      <alignment horizontal="left" vertical="center"/>
    </xf>
    <xf numFmtId="0" fontId="10" fillId="0" borderId="25" xfId="0" applyFont="1" applyBorder="1" applyAlignment="1">
      <alignment horizontal="left" vertical="center"/>
    </xf>
    <xf numFmtId="0" fontId="10" fillId="0" borderId="27" xfId="0" applyFont="1" applyBorder="1" applyAlignment="1">
      <alignment horizontal="left" vertical="center"/>
    </xf>
    <xf numFmtId="0" fontId="10" fillId="0" borderId="24" xfId="0" applyFont="1" applyBorder="1" applyAlignment="1">
      <alignment vertical="center"/>
    </xf>
    <xf numFmtId="0" fontId="10" fillId="0" borderId="22" xfId="0" applyFont="1" applyBorder="1" applyAlignment="1">
      <alignment vertical="center"/>
    </xf>
    <xf numFmtId="0" fontId="10" fillId="0" borderId="23" xfId="0" applyFont="1" applyBorder="1" applyAlignment="1">
      <alignment vertical="center"/>
    </xf>
    <xf numFmtId="0" fontId="10" fillId="0" borderId="25" xfId="0" applyFont="1" applyBorder="1" applyAlignment="1">
      <alignment vertical="center"/>
    </xf>
    <xf numFmtId="0" fontId="10" fillId="0" borderId="27" xfId="0" applyFont="1" applyBorder="1" applyAlignment="1">
      <alignment vertical="center"/>
    </xf>
    <xf numFmtId="0" fontId="2" fillId="0" borderId="28" xfId="0" applyFont="1" applyBorder="1" applyAlignment="1">
      <alignment horizontal="left" vertical="center"/>
    </xf>
    <xf numFmtId="0" fontId="2" fillId="0" borderId="29" xfId="0" applyFont="1" applyBorder="1" applyAlignment="1">
      <alignment horizontal="left" vertical="center"/>
    </xf>
    <xf numFmtId="0" fontId="2" fillId="0" borderId="30" xfId="0" applyFont="1" applyBorder="1" applyAlignment="1">
      <alignment horizontal="left" vertical="center"/>
    </xf>
    <xf numFmtId="1" fontId="2" fillId="0" borderId="7" xfId="0" applyNumberFormat="1" applyFont="1" applyBorder="1" applyAlignment="1">
      <alignment horizontal="center" vertical="center"/>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10" fillId="0" borderId="7" xfId="0" applyFont="1" applyBorder="1" applyAlignment="1">
      <alignment vertical="center"/>
    </xf>
    <xf numFmtId="0" fontId="2" fillId="0" borderId="7" xfId="0" applyFont="1" applyFill="1" applyBorder="1" applyAlignment="1">
      <alignment horizontal="center" vertical="center" wrapText="1"/>
    </xf>
    <xf numFmtId="0" fontId="10" fillId="0" borderId="1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3" xfId="0" applyFont="1" applyBorder="1" applyAlignment="1">
      <alignment horizontal="center" vertical="center" wrapText="1"/>
    </xf>
    <xf numFmtId="0" fontId="4" fillId="0" borderId="14"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2" fillId="2" borderId="7"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32" xfId="0" applyFont="1" applyFill="1" applyBorder="1" applyAlignment="1">
      <alignment horizontal="center" vertical="center"/>
    </xf>
    <xf numFmtId="0" fontId="2" fillId="0" borderId="1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5" xfId="0" applyFont="1" applyBorder="1" applyAlignment="1">
      <alignment horizontal="center" vertical="center"/>
    </xf>
    <xf numFmtId="0" fontId="2" fillId="0" borderId="0" xfId="0" applyFont="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7" fillId="0" borderId="7" xfId="0" applyFont="1" applyBorder="1" applyAlignment="1">
      <alignment horizontal="left" vertical="top"/>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0" borderId="11" xfId="0" applyFont="1" applyBorder="1" applyAlignment="1">
      <alignment horizontal="center"/>
    </xf>
    <xf numFmtId="0" fontId="10" fillId="0" borderId="14" xfId="0" applyFont="1" applyFill="1" applyBorder="1" applyAlignment="1">
      <alignment horizontal="center" vertical="center" wrapText="1"/>
    </xf>
    <xf numFmtId="0" fontId="10" fillId="0" borderId="26" xfId="0" applyFont="1" applyFill="1" applyBorder="1" applyAlignment="1">
      <alignment horizontal="center" vertical="center" wrapText="1"/>
    </xf>
    <xf numFmtId="0" fontId="10" fillId="0" borderId="32" xfId="0" applyFont="1" applyFill="1" applyBorder="1" applyAlignment="1">
      <alignment horizontal="center" vertical="center" wrapText="1"/>
    </xf>
  </cellXfs>
  <cellStyles count="2">
    <cellStyle name="Normal" xfId="0" builtinId="0"/>
    <cellStyle name="Porcentaje" xfId="1" builtinId="5"/>
  </cellStyles>
  <dxfs count="4">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F9B80ED5-F718-411A-A788-AA9C68F70A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1006" y="240507"/>
          <a:ext cx="2171699" cy="644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D92980AB-DAE3-4696-92E4-50EE1C3EFA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1006" y="240507"/>
          <a:ext cx="2171699" cy="644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F9B80ED5-F718-411A-A788-AA9C68F70A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1006" y="240507"/>
          <a:ext cx="2171699" cy="644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D92980AB-DAE3-4696-92E4-50EE1C3EFA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1006" y="240507"/>
          <a:ext cx="2171699" cy="644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34"/>
  <sheetViews>
    <sheetView showGridLines="0" view="pageBreakPreview" zoomScaleNormal="80" zoomScaleSheetLayoutView="100" workbookViewId="0">
      <selection activeCell="B2" sqref="B2:L2"/>
    </sheetView>
  </sheetViews>
  <sheetFormatPr baseColWidth="10" defaultColWidth="8.6328125" defaultRowHeight="14.5" x14ac:dyDescent="0.35"/>
  <cols>
    <col min="1" max="1" width="5.54296875" style="2" customWidth="1"/>
    <col min="2" max="3" width="10.08984375" style="1" customWidth="1"/>
    <col min="4" max="4" width="43.08984375" style="1" customWidth="1"/>
    <col min="5" max="5" width="21.6328125" style="1" customWidth="1"/>
    <col min="6" max="6" width="14.08984375" style="1" bestFit="1" customWidth="1"/>
    <col min="7" max="7" width="13.453125" style="1" customWidth="1"/>
    <col min="8" max="8" width="13.6328125" style="1" customWidth="1"/>
    <col min="9" max="9" width="13.453125" style="1" customWidth="1"/>
    <col min="10" max="10" width="10.453125" style="1" customWidth="1"/>
    <col min="11" max="11" width="12.453125" style="1" customWidth="1"/>
    <col min="12" max="12" width="12.36328125" style="1" customWidth="1"/>
    <col min="13" max="13" width="5.54296875" style="2" customWidth="1"/>
    <col min="14" max="14" width="16.453125" style="2" customWidth="1"/>
    <col min="16" max="16" width="16.453125" style="2" customWidth="1"/>
    <col min="17" max="17" width="0" hidden="1" customWidth="1"/>
    <col min="18" max="18" width="16.453125" style="2" customWidth="1"/>
    <col min="19" max="16384" width="8.6328125" style="2"/>
  </cols>
  <sheetData>
    <row r="1" spans="2:17" ht="18" customHeight="1" x14ac:dyDescent="0.35">
      <c r="Q1" t="s">
        <v>0</v>
      </c>
    </row>
    <row r="2" spans="2:17" ht="51" customHeight="1" x14ac:dyDescent="0.35">
      <c r="B2" s="110" t="s">
        <v>1</v>
      </c>
      <c r="C2" s="110"/>
      <c r="D2" s="110"/>
      <c r="E2" s="110"/>
      <c r="F2" s="110"/>
      <c r="G2" s="110"/>
      <c r="H2" s="110"/>
      <c r="I2" s="110"/>
      <c r="J2" s="110"/>
      <c r="K2" s="110"/>
      <c r="L2" s="110"/>
      <c r="Q2" t="s">
        <v>2</v>
      </c>
    </row>
    <row r="3" spans="2:17" x14ac:dyDescent="0.35">
      <c r="B3" s="111" t="s">
        <v>3</v>
      </c>
      <c r="C3" s="112"/>
      <c r="D3" s="112"/>
      <c r="E3" s="73"/>
      <c r="F3" s="112" t="s">
        <v>4</v>
      </c>
      <c r="G3" s="112"/>
      <c r="H3" s="112"/>
      <c r="I3" s="112"/>
      <c r="J3" s="112" t="s">
        <v>5</v>
      </c>
      <c r="K3" s="112"/>
      <c r="L3" s="113"/>
    </row>
    <row r="4" spans="2:17" x14ac:dyDescent="0.35">
      <c r="B4" s="18"/>
      <c r="C4" s="3"/>
      <c r="L4" s="19"/>
      <c r="Q4" t="s">
        <v>6</v>
      </c>
    </row>
    <row r="5" spans="2:17" s="5" customFormat="1" x14ac:dyDescent="0.35">
      <c r="B5" s="114" t="s">
        <v>7</v>
      </c>
      <c r="C5" s="114"/>
      <c r="D5" s="71">
        <v>90577770</v>
      </c>
      <c r="E5"/>
      <c r="F5" s="15"/>
      <c r="G5" s="15"/>
      <c r="H5" s="15"/>
      <c r="J5" s="4"/>
      <c r="K5" s="4"/>
      <c r="L5" s="20"/>
      <c r="O5"/>
      <c r="Q5" t="s">
        <v>8</v>
      </c>
    </row>
    <row r="6" spans="2:17" s="5" customFormat="1" x14ac:dyDescent="0.35">
      <c r="B6" s="21"/>
      <c r="C6" s="4"/>
      <c r="D6" s="4"/>
      <c r="E6"/>
      <c r="F6" s="4"/>
      <c r="G6" s="4"/>
      <c r="H6" s="4"/>
      <c r="I6" s="4"/>
      <c r="J6" s="4"/>
      <c r="K6" s="4"/>
      <c r="L6" s="20"/>
      <c r="O6"/>
      <c r="Q6" t="s">
        <v>11</v>
      </c>
    </row>
    <row r="7" spans="2:17" s="5" customFormat="1" x14ac:dyDescent="0.35">
      <c r="B7" s="114" t="s">
        <v>12</v>
      </c>
      <c r="C7" s="114"/>
      <c r="D7" s="6" t="s">
        <v>2</v>
      </c>
      <c r="E7"/>
      <c r="F7" s="22"/>
      <c r="G7" s="22"/>
      <c r="H7" s="22"/>
      <c r="I7" s="4"/>
      <c r="J7" s="4"/>
      <c r="K7" s="4"/>
      <c r="L7" s="20"/>
      <c r="O7"/>
      <c r="Q7" t="s">
        <v>13</v>
      </c>
    </row>
    <row r="8" spans="2:17" s="5" customFormat="1" x14ac:dyDescent="0.35">
      <c r="B8" s="32"/>
      <c r="C8" s="72"/>
      <c r="D8" s="22"/>
      <c r="E8"/>
      <c r="F8" s="22"/>
      <c r="G8" s="22"/>
      <c r="H8" s="22"/>
      <c r="I8" s="4"/>
      <c r="J8" s="4"/>
      <c r="K8" s="4"/>
      <c r="L8" s="20"/>
      <c r="O8"/>
      <c r="Q8" t="s">
        <v>14</v>
      </c>
    </row>
    <row r="9" spans="2:17" s="5" customFormat="1" x14ac:dyDescent="0.35">
      <c r="B9" s="114" t="s">
        <v>15</v>
      </c>
      <c r="C9" s="114"/>
      <c r="D9" s="7">
        <v>46053</v>
      </c>
      <c r="E9"/>
      <c r="F9" s="23"/>
      <c r="G9" s="23"/>
      <c r="H9" s="23"/>
      <c r="I9" s="4"/>
      <c r="J9" s="4"/>
      <c r="K9" s="4"/>
      <c r="L9" s="20"/>
      <c r="O9"/>
      <c r="Q9" t="s">
        <v>16</v>
      </c>
    </row>
    <row r="10" spans="2:17" x14ac:dyDescent="0.35">
      <c r="B10" s="24"/>
      <c r="L10" s="25"/>
      <c r="Q10" t="s">
        <v>17</v>
      </c>
    </row>
    <row r="11" spans="2:17" x14ac:dyDescent="0.35">
      <c r="B11" s="114" t="s">
        <v>18</v>
      </c>
      <c r="C11" s="114"/>
      <c r="D11" s="114"/>
      <c r="E11" s="114"/>
      <c r="F11" s="114"/>
      <c r="G11" s="114"/>
      <c r="H11" s="114"/>
      <c r="I11" s="114" t="s">
        <v>19</v>
      </c>
      <c r="J11" s="114"/>
      <c r="K11" s="114" t="s">
        <v>20</v>
      </c>
      <c r="L11" s="114"/>
      <c r="Q11" t="s">
        <v>21</v>
      </c>
    </row>
    <row r="12" spans="2:17" s="27" customFormat="1" ht="42.65" customHeight="1" x14ac:dyDescent="0.35">
      <c r="B12" s="70" t="s">
        <v>22</v>
      </c>
      <c r="C12" s="70" t="s">
        <v>23</v>
      </c>
      <c r="D12" s="70" t="s">
        <v>24</v>
      </c>
      <c r="E12" s="70" t="s">
        <v>84</v>
      </c>
      <c r="F12" s="70" t="s">
        <v>25</v>
      </c>
      <c r="G12" s="83" t="s">
        <v>26</v>
      </c>
      <c r="H12" s="70" t="s">
        <v>75</v>
      </c>
      <c r="I12" s="70" t="s">
        <v>27</v>
      </c>
      <c r="J12" s="70" t="s">
        <v>28</v>
      </c>
      <c r="K12" s="70" t="s">
        <v>29</v>
      </c>
      <c r="L12" s="70" t="s">
        <v>28</v>
      </c>
      <c r="O12" s="28"/>
      <c r="Q12" s="28" t="s">
        <v>30</v>
      </c>
    </row>
    <row r="13" spans="2:17" ht="14.4" customHeight="1" x14ac:dyDescent="0.35">
      <c r="B13" s="33">
        <v>1</v>
      </c>
      <c r="C13" s="34" t="s">
        <v>124</v>
      </c>
      <c r="D13" s="35" t="s">
        <v>125</v>
      </c>
      <c r="E13" s="102" t="s">
        <v>141</v>
      </c>
      <c r="F13" s="84" t="s">
        <v>126</v>
      </c>
      <c r="G13" s="36" t="s">
        <v>31</v>
      </c>
      <c r="H13" s="40">
        <v>60</v>
      </c>
      <c r="I13" s="81">
        <v>10</v>
      </c>
      <c r="J13" s="39">
        <f t="shared" ref="J13:J43" si="0">IFERROR(I13/H13,0)</f>
        <v>0.16666666666666666</v>
      </c>
      <c r="K13" s="40">
        <f t="shared" ref="K13:K50" si="1">I13</f>
        <v>10</v>
      </c>
      <c r="L13" s="65">
        <f t="shared" ref="L13:L17" si="2">IFERROR(K13/H13,0)</f>
        <v>0.16666666666666666</v>
      </c>
    </row>
    <row r="14" spans="2:17" x14ac:dyDescent="0.35">
      <c r="B14" s="41">
        <v>1</v>
      </c>
      <c r="C14" s="42" t="s">
        <v>76</v>
      </c>
      <c r="D14" s="43" t="s">
        <v>87</v>
      </c>
      <c r="E14" s="103"/>
      <c r="F14" s="85" t="s">
        <v>88</v>
      </c>
      <c r="G14" s="44" t="s">
        <v>31</v>
      </c>
      <c r="H14" s="48">
        <v>20</v>
      </c>
      <c r="I14" s="68">
        <v>6</v>
      </c>
      <c r="J14" s="47">
        <f t="shared" si="0"/>
        <v>0.3</v>
      </c>
      <c r="K14" s="48">
        <f t="shared" si="1"/>
        <v>6</v>
      </c>
      <c r="L14" s="66">
        <f t="shared" si="2"/>
        <v>0.3</v>
      </c>
    </row>
    <row r="15" spans="2:17" x14ac:dyDescent="0.35">
      <c r="B15" s="41">
        <v>1</v>
      </c>
      <c r="C15" s="42" t="s">
        <v>77</v>
      </c>
      <c r="D15" s="43" t="s">
        <v>127</v>
      </c>
      <c r="E15" s="103"/>
      <c r="F15" s="85" t="s">
        <v>85</v>
      </c>
      <c r="G15" s="44" t="s">
        <v>31</v>
      </c>
      <c r="H15" s="48">
        <v>45</v>
      </c>
      <c r="I15" s="68">
        <v>2</v>
      </c>
      <c r="J15" s="47">
        <f t="shared" si="0"/>
        <v>4.4444444444444446E-2</v>
      </c>
      <c r="K15" s="48">
        <f t="shared" si="1"/>
        <v>2</v>
      </c>
      <c r="L15" s="66">
        <f t="shared" si="2"/>
        <v>4.4444444444444446E-2</v>
      </c>
    </row>
    <row r="16" spans="2:17" x14ac:dyDescent="0.35">
      <c r="B16" s="41">
        <v>1</v>
      </c>
      <c r="C16" s="42" t="s">
        <v>78</v>
      </c>
      <c r="D16" s="43" t="s">
        <v>81</v>
      </c>
      <c r="E16" s="103"/>
      <c r="F16" s="85" t="s">
        <v>86</v>
      </c>
      <c r="G16" s="44" t="s">
        <v>31</v>
      </c>
      <c r="H16" s="48">
        <v>20</v>
      </c>
      <c r="I16" s="68">
        <v>4</v>
      </c>
      <c r="J16" s="47">
        <f t="shared" si="0"/>
        <v>0.2</v>
      </c>
      <c r="K16" s="48">
        <f t="shared" si="1"/>
        <v>4</v>
      </c>
      <c r="L16" s="66">
        <f t="shared" si="2"/>
        <v>0.2</v>
      </c>
    </row>
    <row r="17" spans="2:17" x14ac:dyDescent="0.35">
      <c r="B17" s="41">
        <v>1</v>
      </c>
      <c r="C17" s="42" t="s">
        <v>128</v>
      </c>
      <c r="D17" s="43" t="s">
        <v>129</v>
      </c>
      <c r="E17" s="103"/>
      <c r="F17" s="85" t="s">
        <v>130</v>
      </c>
      <c r="G17" s="44" t="s">
        <v>31</v>
      </c>
      <c r="H17" s="48">
        <v>30</v>
      </c>
      <c r="I17" s="68">
        <v>1</v>
      </c>
      <c r="J17" s="47">
        <f t="shared" si="0"/>
        <v>3.3333333333333333E-2</v>
      </c>
      <c r="K17" s="48">
        <f t="shared" si="1"/>
        <v>1</v>
      </c>
      <c r="L17" s="66">
        <f t="shared" si="2"/>
        <v>3.3333333333333333E-2</v>
      </c>
    </row>
    <row r="18" spans="2:17" x14ac:dyDescent="0.35">
      <c r="B18" s="41">
        <v>1</v>
      </c>
      <c r="C18" s="42" t="s">
        <v>79</v>
      </c>
      <c r="D18" s="43" t="s">
        <v>131</v>
      </c>
      <c r="E18" s="103"/>
      <c r="F18" s="85" t="s">
        <v>82</v>
      </c>
      <c r="G18" s="44" t="s">
        <v>31</v>
      </c>
      <c r="H18" s="48">
        <v>20</v>
      </c>
      <c r="I18" s="68">
        <v>1</v>
      </c>
      <c r="J18" s="47">
        <f t="shared" si="0"/>
        <v>0.05</v>
      </c>
      <c r="K18" s="48">
        <f t="shared" si="1"/>
        <v>1</v>
      </c>
      <c r="L18" s="66">
        <f>IFERROR(K18/H18,0)</f>
        <v>0.05</v>
      </c>
    </row>
    <row r="19" spans="2:17" x14ac:dyDescent="0.35">
      <c r="B19" s="41">
        <v>1</v>
      </c>
      <c r="C19" s="42" t="s">
        <v>80</v>
      </c>
      <c r="D19" s="43" t="s">
        <v>132</v>
      </c>
      <c r="E19" s="103"/>
      <c r="F19" s="85" t="s">
        <v>83</v>
      </c>
      <c r="G19" s="44" t="s">
        <v>31</v>
      </c>
      <c r="H19" s="48">
        <v>20</v>
      </c>
      <c r="I19" s="68">
        <v>2</v>
      </c>
      <c r="J19" s="47">
        <f t="shared" si="0"/>
        <v>0.1</v>
      </c>
      <c r="K19" s="48">
        <f t="shared" si="1"/>
        <v>2</v>
      </c>
      <c r="L19" s="66">
        <f>IFERROR(K19/H19,0)</f>
        <v>0.1</v>
      </c>
    </row>
    <row r="20" spans="2:17" x14ac:dyDescent="0.35">
      <c r="B20" s="49">
        <v>1</v>
      </c>
      <c r="C20" s="50" t="s">
        <v>90</v>
      </c>
      <c r="D20" s="51" t="s">
        <v>91</v>
      </c>
      <c r="E20" s="104"/>
      <c r="F20" s="86" t="s">
        <v>147</v>
      </c>
      <c r="G20" s="52" t="s">
        <v>147</v>
      </c>
      <c r="H20" s="56">
        <v>21</v>
      </c>
      <c r="I20" s="69">
        <v>0</v>
      </c>
      <c r="J20" s="55">
        <f t="shared" si="0"/>
        <v>0</v>
      </c>
      <c r="K20" s="56">
        <f t="shared" si="1"/>
        <v>0</v>
      </c>
      <c r="L20" s="67">
        <f>IFERROR(K20/H20,0)</f>
        <v>0</v>
      </c>
    </row>
    <row r="21" spans="2:17" ht="14.4" customHeight="1" x14ac:dyDescent="0.35">
      <c r="B21" s="57">
        <v>5</v>
      </c>
      <c r="C21" s="58" t="s">
        <v>55</v>
      </c>
      <c r="D21" s="59" t="s">
        <v>56</v>
      </c>
      <c r="E21" s="102" t="s">
        <v>134</v>
      </c>
      <c r="F21" s="87" t="s">
        <v>42</v>
      </c>
      <c r="G21" s="60" t="s">
        <v>31</v>
      </c>
      <c r="H21" s="40">
        <v>30</v>
      </c>
      <c r="I21" s="62">
        <v>3</v>
      </c>
      <c r="J21" s="63">
        <f t="shared" si="0"/>
        <v>0.1</v>
      </c>
      <c r="K21" s="62">
        <f t="shared" si="1"/>
        <v>3</v>
      </c>
      <c r="L21" s="63">
        <f t="shared" ref="L21:L28" si="3">IFERROR(K21/H21,0)</f>
        <v>0.1</v>
      </c>
    </row>
    <row r="22" spans="2:17" x14ac:dyDescent="0.35">
      <c r="B22" s="41">
        <v>5</v>
      </c>
      <c r="C22" s="42" t="s">
        <v>57</v>
      </c>
      <c r="D22" s="43" t="s">
        <v>58</v>
      </c>
      <c r="E22" s="103"/>
      <c r="F22" s="85" t="s">
        <v>48</v>
      </c>
      <c r="G22" s="44" t="s">
        <v>31</v>
      </c>
      <c r="H22" s="48">
        <v>30</v>
      </c>
      <c r="I22" s="45">
        <v>3</v>
      </c>
      <c r="J22" s="47">
        <f t="shared" si="0"/>
        <v>0.1</v>
      </c>
      <c r="K22" s="45">
        <f t="shared" si="1"/>
        <v>3</v>
      </c>
      <c r="L22" s="47">
        <f t="shared" si="3"/>
        <v>0.1</v>
      </c>
    </row>
    <row r="23" spans="2:17" s="5" customFormat="1" x14ac:dyDescent="0.35">
      <c r="B23" s="41">
        <v>5</v>
      </c>
      <c r="C23" s="42" t="s">
        <v>59</v>
      </c>
      <c r="D23" s="43" t="s">
        <v>60</v>
      </c>
      <c r="E23" s="103"/>
      <c r="F23" s="85" t="s">
        <v>48</v>
      </c>
      <c r="G23" s="44" t="s">
        <v>31</v>
      </c>
      <c r="H23" s="48">
        <v>30</v>
      </c>
      <c r="I23" s="45">
        <v>3</v>
      </c>
      <c r="J23" s="47">
        <f t="shared" si="0"/>
        <v>0.1</v>
      </c>
      <c r="K23" s="45">
        <f t="shared" si="1"/>
        <v>3</v>
      </c>
      <c r="L23" s="47">
        <f t="shared" si="3"/>
        <v>0.1</v>
      </c>
      <c r="O23" s="8"/>
      <c r="Q23" s="8"/>
    </row>
    <row r="24" spans="2:17" x14ac:dyDescent="0.35">
      <c r="B24" s="41">
        <v>5</v>
      </c>
      <c r="C24" s="42" t="s">
        <v>61</v>
      </c>
      <c r="D24" s="43" t="s">
        <v>62</v>
      </c>
      <c r="E24" s="103"/>
      <c r="F24" s="85" t="s">
        <v>48</v>
      </c>
      <c r="G24" s="44" t="s">
        <v>31</v>
      </c>
      <c r="H24" s="48">
        <v>30</v>
      </c>
      <c r="I24" s="45">
        <v>3</v>
      </c>
      <c r="J24" s="47">
        <f t="shared" si="0"/>
        <v>0.1</v>
      </c>
      <c r="K24" s="45">
        <f t="shared" si="1"/>
        <v>3</v>
      </c>
      <c r="L24" s="47">
        <f t="shared" si="3"/>
        <v>0.1</v>
      </c>
    </row>
    <row r="25" spans="2:17" x14ac:dyDescent="0.35">
      <c r="B25" s="41">
        <v>5</v>
      </c>
      <c r="C25" s="42" t="s">
        <v>63</v>
      </c>
      <c r="D25" s="43" t="s">
        <v>64</v>
      </c>
      <c r="E25" s="103"/>
      <c r="F25" s="85" t="s">
        <v>48</v>
      </c>
      <c r="G25" s="44" t="s">
        <v>31</v>
      </c>
      <c r="H25" s="48">
        <v>29</v>
      </c>
      <c r="I25" s="45">
        <v>4</v>
      </c>
      <c r="J25" s="47">
        <f t="shared" si="0"/>
        <v>0.13793103448275862</v>
      </c>
      <c r="K25" s="45">
        <f t="shared" si="1"/>
        <v>4</v>
      </c>
      <c r="L25" s="47">
        <f t="shared" si="3"/>
        <v>0.13793103448275862</v>
      </c>
    </row>
    <row r="26" spans="2:17" x14ac:dyDescent="0.35">
      <c r="B26" s="41">
        <v>5</v>
      </c>
      <c r="C26" s="42" t="s">
        <v>65</v>
      </c>
      <c r="D26" s="43" t="s">
        <v>66</v>
      </c>
      <c r="E26" s="103"/>
      <c r="F26" s="85" t="s">
        <v>48</v>
      </c>
      <c r="G26" s="44" t="s">
        <v>31</v>
      </c>
      <c r="H26" s="48">
        <v>29</v>
      </c>
      <c r="I26" s="45">
        <v>4</v>
      </c>
      <c r="J26" s="47">
        <f t="shared" si="0"/>
        <v>0.13793103448275862</v>
      </c>
      <c r="K26" s="45">
        <f t="shared" si="1"/>
        <v>4</v>
      </c>
      <c r="L26" s="47">
        <f t="shared" si="3"/>
        <v>0.13793103448275862</v>
      </c>
    </row>
    <row r="27" spans="2:17" x14ac:dyDescent="0.35">
      <c r="B27" s="41">
        <v>5</v>
      </c>
      <c r="C27" s="42" t="s">
        <v>67</v>
      </c>
      <c r="D27" s="43" t="s">
        <v>106</v>
      </c>
      <c r="E27" s="103"/>
      <c r="F27" s="85" t="s">
        <v>48</v>
      </c>
      <c r="G27" s="44" t="s">
        <v>31</v>
      </c>
      <c r="H27" s="48">
        <v>29</v>
      </c>
      <c r="I27" s="45">
        <v>3</v>
      </c>
      <c r="J27" s="47">
        <f t="shared" si="0"/>
        <v>0.10344827586206896</v>
      </c>
      <c r="K27" s="45">
        <f t="shared" si="1"/>
        <v>3</v>
      </c>
      <c r="L27" s="47">
        <f t="shared" si="3"/>
        <v>0.10344827586206896</v>
      </c>
    </row>
    <row r="28" spans="2:17" x14ac:dyDescent="0.35">
      <c r="B28" s="49">
        <v>5</v>
      </c>
      <c r="C28" s="50" t="s">
        <v>68</v>
      </c>
      <c r="D28" s="51" t="s">
        <v>69</v>
      </c>
      <c r="E28" s="104"/>
      <c r="F28" s="86" t="s">
        <v>48</v>
      </c>
      <c r="G28" s="52" t="s">
        <v>31</v>
      </c>
      <c r="H28" s="56">
        <v>29</v>
      </c>
      <c r="I28" s="53">
        <v>3</v>
      </c>
      <c r="J28" s="55">
        <f t="shared" si="0"/>
        <v>0.10344827586206896</v>
      </c>
      <c r="K28" s="53">
        <f t="shared" si="1"/>
        <v>3</v>
      </c>
      <c r="L28" s="55">
        <f t="shared" si="3"/>
        <v>0.10344827586206896</v>
      </c>
    </row>
    <row r="29" spans="2:17" ht="14.4" customHeight="1" x14ac:dyDescent="0.35">
      <c r="B29" s="33">
        <v>5</v>
      </c>
      <c r="C29" s="34" t="s">
        <v>55</v>
      </c>
      <c r="D29" s="35" t="s">
        <v>56</v>
      </c>
      <c r="E29" s="102" t="s">
        <v>135</v>
      </c>
      <c r="F29" s="84" t="s">
        <v>113</v>
      </c>
      <c r="G29" s="94" t="s">
        <v>120</v>
      </c>
      <c r="H29" s="40">
        <v>30</v>
      </c>
      <c r="I29" s="81">
        <v>3.25</v>
      </c>
      <c r="J29" s="39">
        <f t="shared" si="0"/>
        <v>0.10833333333333334</v>
      </c>
      <c r="K29" s="40">
        <f t="shared" si="1"/>
        <v>3.25</v>
      </c>
      <c r="L29" s="65">
        <f t="shared" ref="L29:L39" si="4">IFERROR(K29/H29,0)</f>
        <v>0.10833333333333334</v>
      </c>
    </row>
    <row r="30" spans="2:17" x14ac:dyDescent="0.35">
      <c r="B30" s="41">
        <v>5</v>
      </c>
      <c r="C30" s="42" t="s">
        <v>57</v>
      </c>
      <c r="D30" s="43" t="s">
        <v>58</v>
      </c>
      <c r="E30" s="103"/>
      <c r="F30" s="85" t="s">
        <v>114</v>
      </c>
      <c r="G30" s="95" t="s">
        <v>121</v>
      </c>
      <c r="H30" s="48">
        <v>30</v>
      </c>
      <c r="I30" s="68">
        <v>3.25</v>
      </c>
      <c r="J30" s="47">
        <f t="shared" si="0"/>
        <v>0.10833333333333334</v>
      </c>
      <c r="K30" s="48">
        <f t="shared" si="1"/>
        <v>3.25</v>
      </c>
      <c r="L30" s="66">
        <f t="shared" si="4"/>
        <v>0.10833333333333334</v>
      </c>
    </row>
    <row r="31" spans="2:17" x14ac:dyDescent="0.35">
      <c r="B31" s="41">
        <v>5</v>
      </c>
      <c r="C31" s="42" t="s">
        <v>59</v>
      </c>
      <c r="D31" s="43" t="s">
        <v>60</v>
      </c>
      <c r="E31" s="103"/>
      <c r="F31" s="85" t="s">
        <v>115</v>
      </c>
      <c r="G31" s="95" t="s">
        <v>122</v>
      </c>
      <c r="H31" s="48">
        <v>30</v>
      </c>
      <c r="I31" s="68">
        <v>3.25</v>
      </c>
      <c r="J31" s="47">
        <f t="shared" si="0"/>
        <v>0.10833333333333334</v>
      </c>
      <c r="K31" s="48">
        <f t="shared" si="1"/>
        <v>3.25</v>
      </c>
      <c r="L31" s="66">
        <f t="shared" si="4"/>
        <v>0.10833333333333334</v>
      </c>
    </row>
    <row r="32" spans="2:17" x14ac:dyDescent="0.35">
      <c r="B32" s="41">
        <v>5</v>
      </c>
      <c r="C32" s="42" t="s">
        <v>61</v>
      </c>
      <c r="D32" s="43" t="s">
        <v>62</v>
      </c>
      <c r="E32" s="103"/>
      <c r="F32" s="85" t="s">
        <v>48</v>
      </c>
      <c r="G32" s="95" t="s">
        <v>31</v>
      </c>
      <c r="H32" s="48">
        <v>30</v>
      </c>
      <c r="I32" s="68">
        <v>3.25</v>
      </c>
      <c r="J32" s="47">
        <f t="shared" si="0"/>
        <v>0.10833333333333334</v>
      </c>
      <c r="K32" s="48">
        <f t="shared" si="1"/>
        <v>3.25</v>
      </c>
      <c r="L32" s="66">
        <f t="shared" si="4"/>
        <v>0.10833333333333334</v>
      </c>
    </row>
    <row r="33" spans="2:17" x14ac:dyDescent="0.35">
      <c r="B33" s="41">
        <v>5</v>
      </c>
      <c r="C33" s="42" t="s">
        <v>63</v>
      </c>
      <c r="D33" s="43" t="s">
        <v>64</v>
      </c>
      <c r="E33" s="103"/>
      <c r="F33" s="85" t="s">
        <v>116</v>
      </c>
      <c r="G33" s="95" t="s">
        <v>120</v>
      </c>
      <c r="H33" s="48">
        <v>30</v>
      </c>
      <c r="I33" s="68">
        <v>3.25</v>
      </c>
      <c r="J33" s="47">
        <f t="shared" si="0"/>
        <v>0.10833333333333334</v>
      </c>
      <c r="K33" s="48">
        <f t="shared" si="1"/>
        <v>3.25</v>
      </c>
      <c r="L33" s="66">
        <f t="shared" si="4"/>
        <v>0.10833333333333334</v>
      </c>
    </row>
    <row r="34" spans="2:17" x14ac:dyDescent="0.35">
      <c r="B34" s="41">
        <v>5</v>
      </c>
      <c r="C34" s="42" t="s">
        <v>65</v>
      </c>
      <c r="D34" s="43" t="s">
        <v>66</v>
      </c>
      <c r="E34" s="103"/>
      <c r="F34" s="85" t="s">
        <v>117</v>
      </c>
      <c r="G34" s="95" t="s">
        <v>123</v>
      </c>
      <c r="H34" s="48">
        <v>30</v>
      </c>
      <c r="I34" s="68">
        <v>3.25</v>
      </c>
      <c r="J34" s="47">
        <f t="shared" si="0"/>
        <v>0.10833333333333334</v>
      </c>
      <c r="K34" s="48">
        <f t="shared" si="1"/>
        <v>3.25</v>
      </c>
      <c r="L34" s="66">
        <f t="shared" si="4"/>
        <v>0.10833333333333334</v>
      </c>
    </row>
    <row r="35" spans="2:17" x14ac:dyDescent="0.35">
      <c r="B35" s="41">
        <v>5</v>
      </c>
      <c r="C35" s="42" t="s">
        <v>67</v>
      </c>
      <c r="D35" s="43" t="s">
        <v>106</v>
      </c>
      <c r="E35" s="103"/>
      <c r="F35" s="85" t="s">
        <v>118</v>
      </c>
      <c r="G35" s="95" t="s">
        <v>121</v>
      </c>
      <c r="H35" s="48">
        <v>28</v>
      </c>
      <c r="I35" s="68">
        <v>3.25</v>
      </c>
      <c r="J35" s="47">
        <f t="shared" si="0"/>
        <v>0.11607142857142858</v>
      </c>
      <c r="K35" s="48">
        <f t="shared" si="1"/>
        <v>3.25</v>
      </c>
      <c r="L35" s="66">
        <f t="shared" si="4"/>
        <v>0.11607142857142858</v>
      </c>
    </row>
    <row r="36" spans="2:17" s="5" customFormat="1" x14ac:dyDescent="0.35">
      <c r="B36" s="49">
        <v>5</v>
      </c>
      <c r="C36" s="50" t="s">
        <v>68</v>
      </c>
      <c r="D36" s="51" t="s">
        <v>69</v>
      </c>
      <c r="E36" s="104"/>
      <c r="F36" s="86" t="s">
        <v>119</v>
      </c>
      <c r="G36" s="96" t="s">
        <v>120</v>
      </c>
      <c r="H36" s="56">
        <v>28</v>
      </c>
      <c r="I36" s="69">
        <v>3.25</v>
      </c>
      <c r="J36" s="55">
        <f t="shared" si="0"/>
        <v>0.11607142857142858</v>
      </c>
      <c r="K36" s="56">
        <f t="shared" si="1"/>
        <v>3.25</v>
      </c>
      <c r="L36" s="67">
        <f t="shared" si="4"/>
        <v>0.11607142857142858</v>
      </c>
      <c r="O36" s="8"/>
      <c r="Q36" s="8"/>
    </row>
    <row r="37" spans="2:17" ht="15" customHeight="1" x14ac:dyDescent="0.35">
      <c r="B37" s="33">
        <v>3</v>
      </c>
      <c r="C37" s="34" t="s">
        <v>93</v>
      </c>
      <c r="D37" s="35" t="s">
        <v>107</v>
      </c>
      <c r="E37" s="102" t="s">
        <v>136</v>
      </c>
      <c r="F37" s="84" t="s">
        <v>95</v>
      </c>
      <c r="G37" s="36" t="s">
        <v>31</v>
      </c>
      <c r="H37" s="38">
        <v>78</v>
      </c>
      <c r="I37" s="37">
        <v>14</v>
      </c>
      <c r="J37" s="39">
        <f t="shared" si="0"/>
        <v>0.17948717948717949</v>
      </c>
      <c r="K37" s="37">
        <f t="shared" si="1"/>
        <v>14</v>
      </c>
      <c r="L37" s="39">
        <f t="shared" si="4"/>
        <v>0.17948717948717949</v>
      </c>
    </row>
    <row r="38" spans="2:17" x14ac:dyDescent="0.35">
      <c r="B38" s="41">
        <v>3</v>
      </c>
      <c r="C38" s="42" t="s">
        <v>40</v>
      </c>
      <c r="D38" s="43" t="s">
        <v>41</v>
      </c>
      <c r="E38" s="103"/>
      <c r="F38" s="85" t="s">
        <v>42</v>
      </c>
      <c r="G38" s="44" t="s">
        <v>31</v>
      </c>
      <c r="H38" s="46">
        <v>34</v>
      </c>
      <c r="I38" s="45">
        <v>2</v>
      </c>
      <c r="J38" s="47">
        <f t="shared" si="0"/>
        <v>5.8823529411764705E-2</v>
      </c>
      <c r="K38" s="45">
        <f t="shared" si="1"/>
        <v>2</v>
      </c>
      <c r="L38" s="47">
        <f t="shared" si="4"/>
        <v>5.8823529411764705E-2</v>
      </c>
    </row>
    <row r="39" spans="2:17" x14ac:dyDescent="0.35">
      <c r="B39" s="41">
        <v>3</v>
      </c>
      <c r="C39" s="42">
        <v>3.14</v>
      </c>
      <c r="D39" s="43" t="s">
        <v>43</v>
      </c>
      <c r="E39" s="103"/>
      <c r="F39" s="85" t="s">
        <v>147</v>
      </c>
      <c r="G39" s="44" t="s">
        <v>147</v>
      </c>
      <c r="H39" s="46">
        <v>30</v>
      </c>
      <c r="I39" s="45">
        <v>0</v>
      </c>
      <c r="J39" s="47">
        <f t="shared" si="0"/>
        <v>0</v>
      </c>
      <c r="K39" s="45">
        <f t="shared" si="1"/>
        <v>0</v>
      </c>
      <c r="L39" s="47">
        <f t="shared" si="4"/>
        <v>0</v>
      </c>
    </row>
    <row r="40" spans="2:17" x14ac:dyDescent="0.35">
      <c r="B40" s="41">
        <v>3</v>
      </c>
      <c r="C40" s="42">
        <v>3.16</v>
      </c>
      <c r="D40" s="43" t="s">
        <v>45</v>
      </c>
      <c r="E40" s="103"/>
      <c r="F40" s="85" t="s">
        <v>147</v>
      </c>
      <c r="G40" s="44" t="s">
        <v>147</v>
      </c>
      <c r="H40" s="46">
        <v>30</v>
      </c>
      <c r="I40" s="45">
        <v>0</v>
      </c>
      <c r="J40" s="47">
        <f t="shared" si="0"/>
        <v>0</v>
      </c>
      <c r="K40" s="45">
        <f t="shared" si="1"/>
        <v>0</v>
      </c>
      <c r="L40" s="47">
        <f t="shared" ref="L40:L41" si="5">IFERROR(K40/H40,0)</f>
        <v>0</v>
      </c>
    </row>
    <row r="41" spans="2:17" s="5" customFormat="1" x14ac:dyDescent="0.35">
      <c r="B41" s="41">
        <v>3</v>
      </c>
      <c r="C41" s="42">
        <v>3.17</v>
      </c>
      <c r="D41" s="43" t="s">
        <v>47</v>
      </c>
      <c r="E41" s="103"/>
      <c r="F41" s="85" t="s">
        <v>48</v>
      </c>
      <c r="G41" s="44" t="s">
        <v>31</v>
      </c>
      <c r="H41" s="46">
        <v>34</v>
      </c>
      <c r="I41" s="45">
        <v>10</v>
      </c>
      <c r="J41" s="47">
        <f t="shared" si="0"/>
        <v>0.29411764705882354</v>
      </c>
      <c r="K41" s="45">
        <f t="shared" si="1"/>
        <v>10</v>
      </c>
      <c r="L41" s="47">
        <f t="shared" si="5"/>
        <v>0.29411764705882354</v>
      </c>
      <c r="O41" s="8"/>
      <c r="Q41" s="8"/>
    </row>
    <row r="42" spans="2:17" x14ac:dyDescent="0.35">
      <c r="B42" s="49">
        <v>3</v>
      </c>
      <c r="C42" s="50">
        <v>3.18</v>
      </c>
      <c r="D42" s="51" t="s">
        <v>105</v>
      </c>
      <c r="E42" s="104"/>
      <c r="F42" s="86" t="s">
        <v>147</v>
      </c>
      <c r="G42" s="52" t="s">
        <v>147</v>
      </c>
      <c r="H42" s="54">
        <v>30</v>
      </c>
      <c r="I42" s="53">
        <v>0</v>
      </c>
      <c r="J42" s="55">
        <f t="shared" si="0"/>
        <v>0</v>
      </c>
      <c r="K42" s="53">
        <f t="shared" si="1"/>
        <v>0</v>
      </c>
      <c r="L42" s="67">
        <f>IFERROR(K42/H42,0)</f>
        <v>0</v>
      </c>
    </row>
    <row r="43" spans="2:17" ht="14.4" customHeight="1" x14ac:dyDescent="0.35">
      <c r="B43" s="33">
        <v>5</v>
      </c>
      <c r="C43" s="34" t="s">
        <v>55</v>
      </c>
      <c r="D43" s="35" t="s">
        <v>56</v>
      </c>
      <c r="E43" s="105" t="s">
        <v>137</v>
      </c>
      <c r="F43" s="84" t="s">
        <v>42</v>
      </c>
      <c r="G43" s="36" t="s">
        <v>31</v>
      </c>
      <c r="H43" s="38">
        <v>30</v>
      </c>
      <c r="I43" s="38">
        <v>5</v>
      </c>
      <c r="J43" s="39">
        <f t="shared" si="0"/>
        <v>0.16666666666666666</v>
      </c>
      <c r="K43" s="40">
        <f t="shared" si="1"/>
        <v>5</v>
      </c>
      <c r="L43" s="39">
        <f t="shared" ref="L43:L50" si="6">IFERROR(K43/H43,0)</f>
        <v>0.16666666666666666</v>
      </c>
    </row>
    <row r="44" spans="2:17" x14ac:dyDescent="0.35">
      <c r="B44" s="57">
        <v>5</v>
      </c>
      <c r="C44" s="58" t="s">
        <v>57</v>
      </c>
      <c r="D44" s="59" t="s">
        <v>58</v>
      </c>
      <c r="E44" s="106"/>
      <c r="F44" s="87" t="s">
        <v>48</v>
      </c>
      <c r="G44" s="60" t="s">
        <v>31</v>
      </c>
      <c r="H44" s="61">
        <v>27</v>
      </c>
      <c r="I44" s="61">
        <v>6</v>
      </c>
      <c r="J44" s="63">
        <f t="shared" ref="J44:J45" si="7">IFERROR(I44/H44,0)</f>
        <v>0.22222222222222221</v>
      </c>
      <c r="K44" s="64">
        <f t="shared" si="1"/>
        <v>6</v>
      </c>
      <c r="L44" s="63">
        <f t="shared" si="6"/>
        <v>0.22222222222222221</v>
      </c>
    </row>
    <row r="45" spans="2:17" x14ac:dyDescent="0.35">
      <c r="B45" s="57">
        <v>5</v>
      </c>
      <c r="C45" s="58" t="s">
        <v>59</v>
      </c>
      <c r="D45" s="59" t="s">
        <v>60</v>
      </c>
      <c r="E45" s="106"/>
      <c r="F45" s="87" t="s">
        <v>147</v>
      </c>
      <c r="G45" s="60" t="s">
        <v>147</v>
      </c>
      <c r="H45" s="61">
        <v>35</v>
      </c>
      <c r="I45" s="61">
        <v>0</v>
      </c>
      <c r="J45" s="63">
        <f t="shared" si="7"/>
        <v>0</v>
      </c>
      <c r="K45" s="64">
        <f t="shared" si="1"/>
        <v>0</v>
      </c>
      <c r="L45" s="63">
        <f t="shared" si="6"/>
        <v>0</v>
      </c>
    </row>
    <row r="46" spans="2:17" x14ac:dyDescent="0.35">
      <c r="B46" s="41">
        <v>5</v>
      </c>
      <c r="C46" s="42" t="s">
        <v>61</v>
      </c>
      <c r="D46" s="43" t="s">
        <v>62</v>
      </c>
      <c r="E46" s="107"/>
      <c r="F46" s="85" t="s">
        <v>147</v>
      </c>
      <c r="G46" s="44" t="s">
        <v>147</v>
      </c>
      <c r="H46" s="46">
        <v>24</v>
      </c>
      <c r="I46" s="46">
        <v>0</v>
      </c>
      <c r="J46" s="47">
        <f>IFERROR(I46/H46,0)</f>
        <v>0</v>
      </c>
      <c r="K46" s="48">
        <f t="shared" si="1"/>
        <v>0</v>
      </c>
      <c r="L46" s="47">
        <f t="shared" si="6"/>
        <v>0</v>
      </c>
    </row>
    <row r="47" spans="2:17" x14ac:dyDescent="0.35">
      <c r="B47" s="41">
        <v>5</v>
      </c>
      <c r="C47" s="42" t="s">
        <v>63</v>
      </c>
      <c r="D47" s="43" t="s">
        <v>64</v>
      </c>
      <c r="E47" s="107"/>
      <c r="F47" s="85" t="s">
        <v>48</v>
      </c>
      <c r="G47" s="44" t="s">
        <v>31</v>
      </c>
      <c r="H47" s="46">
        <v>29</v>
      </c>
      <c r="I47" s="46">
        <v>5</v>
      </c>
      <c r="J47" s="47">
        <f>IFERROR(I47/H47,0)</f>
        <v>0.17241379310344829</v>
      </c>
      <c r="K47" s="48">
        <f t="shared" si="1"/>
        <v>5</v>
      </c>
      <c r="L47" s="47">
        <f t="shared" si="6"/>
        <v>0.17241379310344829</v>
      </c>
    </row>
    <row r="48" spans="2:17" x14ac:dyDescent="0.35">
      <c r="B48" s="41">
        <v>5</v>
      </c>
      <c r="C48" s="42" t="s">
        <v>65</v>
      </c>
      <c r="D48" s="43" t="s">
        <v>66</v>
      </c>
      <c r="E48" s="107"/>
      <c r="F48" s="85" t="s">
        <v>147</v>
      </c>
      <c r="G48" s="44" t="s">
        <v>147</v>
      </c>
      <c r="H48" s="46">
        <v>23</v>
      </c>
      <c r="I48" s="46">
        <v>0</v>
      </c>
      <c r="J48" s="47">
        <f>IFERROR(I48/H48,0)</f>
        <v>0</v>
      </c>
      <c r="K48" s="48">
        <f t="shared" si="1"/>
        <v>0</v>
      </c>
      <c r="L48" s="47">
        <f t="shared" si="6"/>
        <v>0</v>
      </c>
    </row>
    <row r="49" spans="2:17" x14ac:dyDescent="0.35">
      <c r="B49" s="74">
        <v>5</v>
      </c>
      <c r="C49" s="75" t="s">
        <v>68</v>
      </c>
      <c r="D49" s="76" t="s">
        <v>69</v>
      </c>
      <c r="E49" s="108"/>
      <c r="F49" s="88" t="s">
        <v>48</v>
      </c>
      <c r="G49" s="77" t="s">
        <v>31</v>
      </c>
      <c r="H49" s="78">
        <v>19</v>
      </c>
      <c r="I49" s="78">
        <v>5</v>
      </c>
      <c r="J49" s="79">
        <f>IFERROR(I49/H49,0)</f>
        <v>0.26315789473684209</v>
      </c>
      <c r="K49" s="80">
        <f t="shared" si="1"/>
        <v>5</v>
      </c>
      <c r="L49" s="79">
        <f t="shared" si="6"/>
        <v>0.26315789473684209</v>
      </c>
    </row>
    <row r="50" spans="2:17" s="5" customFormat="1" x14ac:dyDescent="0.35">
      <c r="B50" s="49">
        <v>5</v>
      </c>
      <c r="C50" s="50" t="s">
        <v>70</v>
      </c>
      <c r="D50" s="51" t="s">
        <v>71</v>
      </c>
      <c r="E50" s="109"/>
      <c r="F50" s="86" t="s">
        <v>48</v>
      </c>
      <c r="G50" s="52" t="s">
        <v>31</v>
      </c>
      <c r="H50" s="54">
        <v>19</v>
      </c>
      <c r="I50" s="54">
        <v>5</v>
      </c>
      <c r="J50" s="55">
        <f>IFERROR(I50/H50,0)</f>
        <v>0.26315789473684209</v>
      </c>
      <c r="K50" s="56">
        <f t="shared" si="1"/>
        <v>5</v>
      </c>
      <c r="L50" s="55">
        <f t="shared" si="6"/>
        <v>0.26315789473684209</v>
      </c>
      <c r="O50" s="8"/>
      <c r="Q50" s="8"/>
    </row>
    <row r="51" spans="2:17" ht="15" customHeight="1" x14ac:dyDescent="0.35">
      <c r="B51" s="33">
        <v>1</v>
      </c>
      <c r="C51" s="34" t="s">
        <v>76</v>
      </c>
      <c r="D51" s="35" t="s">
        <v>87</v>
      </c>
      <c r="E51" s="102" t="s">
        <v>138</v>
      </c>
      <c r="F51" s="84" t="s">
        <v>88</v>
      </c>
      <c r="G51" s="36" t="s">
        <v>31</v>
      </c>
      <c r="H51" s="38">
        <v>59</v>
      </c>
      <c r="I51" s="37">
        <v>9</v>
      </c>
      <c r="J51" s="39">
        <f t="shared" ref="J51:J69" si="8">IFERROR(I51/H51,0)</f>
        <v>0.15254237288135594</v>
      </c>
      <c r="K51" s="37">
        <f t="shared" ref="K51:K69" si="9">I51</f>
        <v>9</v>
      </c>
      <c r="L51" s="39">
        <f>IFERROR(K51/H51,0)</f>
        <v>0.15254237288135594</v>
      </c>
    </row>
    <row r="52" spans="2:17" x14ac:dyDescent="0.35">
      <c r="B52" s="41">
        <v>1</v>
      </c>
      <c r="C52" s="42" t="s">
        <v>78</v>
      </c>
      <c r="D52" s="43" t="s">
        <v>81</v>
      </c>
      <c r="E52" s="103"/>
      <c r="F52" s="85" t="s">
        <v>86</v>
      </c>
      <c r="G52" s="44" t="s">
        <v>31</v>
      </c>
      <c r="H52" s="46">
        <v>59</v>
      </c>
      <c r="I52" s="45">
        <v>10</v>
      </c>
      <c r="J52" s="47">
        <f t="shared" si="8"/>
        <v>0.16949152542372881</v>
      </c>
      <c r="K52" s="45">
        <f t="shared" si="9"/>
        <v>10</v>
      </c>
      <c r="L52" s="47">
        <f>IFERROR(K52/H52,0)</f>
        <v>0.16949152542372881</v>
      </c>
    </row>
    <row r="53" spans="2:17" x14ac:dyDescent="0.35">
      <c r="B53" s="41">
        <v>1</v>
      </c>
      <c r="C53" s="42" t="s">
        <v>79</v>
      </c>
      <c r="D53" s="43" t="s">
        <v>89</v>
      </c>
      <c r="E53" s="103"/>
      <c r="F53" s="85" t="s">
        <v>82</v>
      </c>
      <c r="G53" s="44" t="s">
        <v>31</v>
      </c>
      <c r="H53" s="46">
        <v>59</v>
      </c>
      <c r="I53" s="45">
        <v>4</v>
      </c>
      <c r="J53" s="47">
        <f t="shared" si="8"/>
        <v>6.7796610169491525E-2</v>
      </c>
      <c r="K53" s="45">
        <f t="shared" si="9"/>
        <v>4</v>
      </c>
      <c r="L53" s="47">
        <f>IFERROR(K53/H53,0)</f>
        <v>6.7796610169491525E-2</v>
      </c>
    </row>
    <row r="54" spans="2:17" x14ac:dyDescent="0.35">
      <c r="B54" s="49">
        <v>1</v>
      </c>
      <c r="C54" s="50" t="s">
        <v>90</v>
      </c>
      <c r="D54" s="51" t="s">
        <v>91</v>
      </c>
      <c r="E54" s="104"/>
      <c r="F54" s="86" t="s">
        <v>92</v>
      </c>
      <c r="G54" s="52" t="s">
        <v>31</v>
      </c>
      <c r="H54" s="54">
        <v>59</v>
      </c>
      <c r="I54" s="53">
        <v>3</v>
      </c>
      <c r="J54" s="55">
        <f t="shared" si="8"/>
        <v>5.0847457627118647E-2</v>
      </c>
      <c r="K54" s="53">
        <f t="shared" si="9"/>
        <v>3</v>
      </c>
      <c r="L54" s="55">
        <f t="shared" ref="L54:L59" si="10">IFERROR(K54/H54,0)</f>
        <v>5.0847457627118647E-2</v>
      </c>
    </row>
    <row r="55" spans="2:17" s="5" customFormat="1" ht="14.4" customHeight="1" x14ac:dyDescent="0.35">
      <c r="B55" s="33">
        <v>3</v>
      </c>
      <c r="C55" s="34" t="s">
        <v>93</v>
      </c>
      <c r="D55" s="35" t="s">
        <v>94</v>
      </c>
      <c r="E55" s="102" t="s">
        <v>139</v>
      </c>
      <c r="F55" s="84" t="s">
        <v>147</v>
      </c>
      <c r="G55" s="36" t="s">
        <v>147</v>
      </c>
      <c r="H55" s="38">
        <v>28</v>
      </c>
      <c r="I55" s="37">
        <v>0</v>
      </c>
      <c r="J55" s="39">
        <f t="shared" si="8"/>
        <v>0</v>
      </c>
      <c r="K55" s="37">
        <f t="shared" si="9"/>
        <v>0</v>
      </c>
      <c r="L55" s="39">
        <f t="shared" si="10"/>
        <v>0</v>
      </c>
      <c r="O55" s="8"/>
      <c r="Q55" s="8"/>
    </row>
    <row r="56" spans="2:17" x14ac:dyDescent="0.35">
      <c r="B56" s="41">
        <v>3</v>
      </c>
      <c r="C56" s="42" t="s">
        <v>96</v>
      </c>
      <c r="D56" s="43" t="s">
        <v>97</v>
      </c>
      <c r="E56" s="103"/>
      <c r="F56" s="85" t="s">
        <v>147</v>
      </c>
      <c r="G56" s="44" t="s">
        <v>147</v>
      </c>
      <c r="H56" s="46">
        <v>29</v>
      </c>
      <c r="I56" s="45">
        <v>0</v>
      </c>
      <c r="J56" s="47">
        <f t="shared" si="8"/>
        <v>0</v>
      </c>
      <c r="K56" s="45">
        <f t="shared" si="9"/>
        <v>0</v>
      </c>
      <c r="L56" s="47">
        <f t="shared" si="10"/>
        <v>0</v>
      </c>
    </row>
    <row r="57" spans="2:17" x14ac:dyDescent="0.35">
      <c r="B57" s="41">
        <v>3</v>
      </c>
      <c r="C57" s="42" t="s">
        <v>50</v>
      </c>
      <c r="D57" s="43" t="s">
        <v>99</v>
      </c>
      <c r="E57" s="103"/>
      <c r="F57" s="85" t="s">
        <v>147</v>
      </c>
      <c r="G57" s="44" t="s">
        <v>147</v>
      </c>
      <c r="H57" s="46">
        <v>29</v>
      </c>
      <c r="I57" s="45">
        <v>0</v>
      </c>
      <c r="J57" s="47">
        <f t="shared" si="8"/>
        <v>0</v>
      </c>
      <c r="K57" s="45">
        <f t="shared" si="9"/>
        <v>0</v>
      </c>
      <c r="L57" s="47">
        <f t="shared" si="10"/>
        <v>0</v>
      </c>
    </row>
    <row r="58" spans="2:17" x14ac:dyDescent="0.35">
      <c r="B58" s="41">
        <v>3</v>
      </c>
      <c r="C58" s="42" t="s">
        <v>101</v>
      </c>
      <c r="D58" s="43" t="s">
        <v>102</v>
      </c>
      <c r="E58" s="103"/>
      <c r="F58" s="85" t="s">
        <v>103</v>
      </c>
      <c r="G58" s="44" t="s">
        <v>31</v>
      </c>
      <c r="H58" s="46">
        <v>30</v>
      </c>
      <c r="I58" s="45">
        <v>8</v>
      </c>
      <c r="J58" s="47">
        <f t="shared" si="8"/>
        <v>0.26666666666666666</v>
      </c>
      <c r="K58" s="45">
        <f t="shared" si="9"/>
        <v>8</v>
      </c>
      <c r="L58" s="47">
        <f t="shared" si="10"/>
        <v>0.26666666666666666</v>
      </c>
    </row>
    <row r="59" spans="2:17" x14ac:dyDescent="0.35">
      <c r="B59" s="41">
        <v>3</v>
      </c>
      <c r="C59" s="42" t="s">
        <v>72</v>
      </c>
      <c r="D59" s="43" t="s">
        <v>73</v>
      </c>
      <c r="E59" s="103"/>
      <c r="F59" s="85" t="s">
        <v>74</v>
      </c>
      <c r="G59" s="44" t="s">
        <v>31</v>
      </c>
      <c r="H59" s="46">
        <v>30</v>
      </c>
      <c r="I59" s="45">
        <v>5</v>
      </c>
      <c r="J59" s="47">
        <f t="shared" si="8"/>
        <v>0.16666666666666666</v>
      </c>
      <c r="K59" s="45">
        <f t="shared" si="9"/>
        <v>5</v>
      </c>
      <c r="L59" s="47">
        <f t="shared" si="10"/>
        <v>0.16666666666666666</v>
      </c>
    </row>
    <row r="60" spans="2:17" x14ac:dyDescent="0.35">
      <c r="B60" s="41">
        <v>3</v>
      </c>
      <c r="C60" s="42" t="s">
        <v>44</v>
      </c>
      <c r="D60" s="43" t="s">
        <v>45</v>
      </c>
      <c r="E60" s="103"/>
      <c r="F60" s="85" t="s">
        <v>104</v>
      </c>
      <c r="G60" s="44" t="s">
        <v>31</v>
      </c>
      <c r="H60" s="46">
        <v>30</v>
      </c>
      <c r="I60" s="45">
        <v>2</v>
      </c>
      <c r="J60" s="47">
        <f t="shared" si="8"/>
        <v>6.6666666666666666E-2</v>
      </c>
      <c r="K60" s="45">
        <f t="shared" si="9"/>
        <v>2</v>
      </c>
      <c r="L60" s="47">
        <f>IFERROR(K60/H60,0)</f>
        <v>6.6666666666666666E-2</v>
      </c>
    </row>
    <row r="61" spans="2:17" x14ac:dyDescent="0.35">
      <c r="B61" s="41">
        <v>3</v>
      </c>
      <c r="C61" s="42" t="s">
        <v>46</v>
      </c>
      <c r="D61" s="43" t="s">
        <v>47</v>
      </c>
      <c r="E61" s="103"/>
      <c r="F61" s="85" t="s">
        <v>48</v>
      </c>
      <c r="G61" s="44" t="s">
        <v>31</v>
      </c>
      <c r="H61" s="46">
        <v>30</v>
      </c>
      <c r="I61" s="45">
        <v>5</v>
      </c>
      <c r="J61" s="47">
        <f t="shared" si="8"/>
        <v>0.16666666666666666</v>
      </c>
      <c r="K61" s="45">
        <f t="shared" si="9"/>
        <v>5</v>
      </c>
      <c r="L61" s="47">
        <f>IFERROR(K61/H61,0)</f>
        <v>0.16666666666666666</v>
      </c>
    </row>
    <row r="62" spans="2:17" x14ac:dyDescent="0.35">
      <c r="B62" s="49">
        <v>3</v>
      </c>
      <c r="C62" s="50" t="s">
        <v>49</v>
      </c>
      <c r="D62" s="51" t="s">
        <v>105</v>
      </c>
      <c r="E62" s="104"/>
      <c r="F62" s="86" t="s">
        <v>48</v>
      </c>
      <c r="G62" s="52" t="s">
        <v>31</v>
      </c>
      <c r="H62" s="54">
        <v>30</v>
      </c>
      <c r="I62" s="53">
        <v>6</v>
      </c>
      <c r="J62" s="55">
        <f t="shared" si="8"/>
        <v>0.2</v>
      </c>
      <c r="K62" s="53">
        <f t="shared" si="9"/>
        <v>6</v>
      </c>
      <c r="L62" s="55">
        <f>IFERROR(K62/H62,0)</f>
        <v>0.2</v>
      </c>
    </row>
    <row r="63" spans="2:17" ht="14.4" customHeight="1" x14ac:dyDescent="0.35">
      <c r="B63" s="33">
        <v>3</v>
      </c>
      <c r="C63" s="34" t="s">
        <v>93</v>
      </c>
      <c r="D63" s="35" t="s">
        <v>108</v>
      </c>
      <c r="E63" s="117" t="s">
        <v>140</v>
      </c>
      <c r="F63" s="84" t="s">
        <v>95</v>
      </c>
      <c r="G63" s="36" t="s">
        <v>31</v>
      </c>
      <c r="H63" s="40">
        <v>113</v>
      </c>
      <c r="I63" s="37">
        <v>11</v>
      </c>
      <c r="J63" s="39">
        <f t="shared" si="8"/>
        <v>9.7345132743362831E-2</v>
      </c>
      <c r="K63" s="40">
        <f t="shared" si="9"/>
        <v>11</v>
      </c>
      <c r="L63" s="65">
        <f>IFERROR(K63/H63,0)</f>
        <v>9.7345132743362831E-2</v>
      </c>
    </row>
    <row r="64" spans="2:17" x14ac:dyDescent="0.35">
      <c r="B64" s="41">
        <v>3</v>
      </c>
      <c r="C64" s="42" t="s">
        <v>109</v>
      </c>
      <c r="D64" s="43" t="s">
        <v>110</v>
      </c>
      <c r="E64" s="118"/>
      <c r="F64" s="85" t="s">
        <v>98</v>
      </c>
      <c r="G64" s="44" t="s">
        <v>31</v>
      </c>
      <c r="H64" s="48">
        <v>48</v>
      </c>
      <c r="I64" s="45">
        <v>5</v>
      </c>
      <c r="J64" s="47">
        <f t="shared" si="8"/>
        <v>0.10416666666666667</v>
      </c>
      <c r="K64" s="48">
        <f t="shared" si="9"/>
        <v>5</v>
      </c>
      <c r="L64" s="66">
        <f>IFERROR(K64/H64,0)</f>
        <v>0.10416666666666667</v>
      </c>
    </row>
    <row r="65" spans="2:17" x14ac:dyDescent="0.35">
      <c r="B65" s="41">
        <v>3</v>
      </c>
      <c r="C65" s="42" t="s">
        <v>51</v>
      </c>
      <c r="D65" s="43" t="s">
        <v>52</v>
      </c>
      <c r="E65" s="118"/>
      <c r="F65" s="85" t="s">
        <v>111</v>
      </c>
      <c r="G65" s="44" t="s">
        <v>31</v>
      </c>
      <c r="H65" s="48">
        <v>15</v>
      </c>
      <c r="I65" s="45">
        <v>2</v>
      </c>
      <c r="J65" s="47">
        <f t="shared" si="8"/>
        <v>0.13333333333333333</v>
      </c>
      <c r="K65" s="48">
        <f t="shared" si="9"/>
        <v>2</v>
      </c>
      <c r="L65" s="66">
        <f t="shared" ref="L65:L69" si="11">IFERROR(K65/H65,0)</f>
        <v>0.13333333333333333</v>
      </c>
    </row>
    <row r="66" spans="2:17" x14ac:dyDescent="0.35">
      <c r="B66" s="41">
        <v>3</v>
      </c>
      <c r="C66" s="42" t="s">
        <v>53</v>
      </c>
      <c r="D66" s="43" t="s">
        <v>112</v>
      </c>
      <c r="E66" s="118"/>
      <c r="F66" s="85" t="s">
        <v>54</v>
      </c>
      <c r="G66" s="44" t="s">
        <v>31</v>
      </c>
      <c r="H66" s="48">
        <v>15</v>
      </c>
      <c r="I66" s="45">
        <v>2</v>
      </c>
      <c r="J66" s="47">
        <f t="shared" si="8"/>
        <v>0.13333333333333333</v>
      </c>
      <c r="K66" s="48">
        <f t="shared" si="9"/>
        <v>2</v>
      </c>
      <c r="L66" s="66">
        <f t="shared" si="11"/>
        <v>0.13333333333333333</v>
      </c>
    </row>
    <row r="67" spans="2:17" s="5" customFormat="1" x14ac:dyDescent="0.35">
      <c r="B67" s="41">
        <v>3</v>
      </c>
      <c r="C67" s="42" t="s">
        <v>44</v>
      </c>
      <c r="D67" s="43" t="s">
        <v>45</v>
      </c>
      <c r="E67" s="118"/>
      <c r="F67" s="85" t="s">
        <v>104</v>
      </c>
      <c r="G67" s="44" t="s">
        <v>31</v>
      </c>
      <c r="H67" s="48">
        <v>15</v>
      </c>
      <c r="I67" s="45">
        <v>2</v>
      </c>
      <c r="J67" s="47">
        <f t="shared" si="8"/>
        <v>0.13333333333333333</v>
      </c>
      <c r="K67" s="48">
        <f t="shared" si="9"/>
        <v>2</v>
      </c>
      <c r="L67" s="66">
        <f t="shared" si="11"/>
        <v>0.13333333333333333</v>
      </c>
      <c r="O67" s="8"/>
      <c r="Q67" s="8"/>
    </row>
    <row r="68" spans="2:17" x14ac:dyDescent="0.35">
      <c r="B68" s="41">
        <v>3</v>
      </c>
      <c r="C68" s="42" t="s">
        <v>46</v>
      </c>
      <c r="D68" s="43" t="s">
        <v>47</v>
      </c>
      <c r="E68" s="118"/>
      <c r="F68" s="85" t="s">
        <v>48</v>
      </c>
      <c r="G68" s="44" t="s">
        <v>31</v>
      </c>
      <c r="H68" s="48">
        <v>15</v>
      </c>
      <c r="I68" s="45">
        <v>2</v>
      </c>
      <c r="J68" s="47">
        <f t="shared" si="8"/>
        <v>0.13333333333333333</v>
      </c>
      <c r="K68" s="48">
        <f t="shared" si="9"/>
        <v>2</v>
      </c>
      <c r="L68" s="66">
        <f t="shared" si="11"/>
        <v>0.13333333333333333</v>
      </c>
    </row>
    <row r="69" spans="2:17" x14ac:dyDescent="0.35">
      <c r="B69" s="49">
        <v>3</v>
      </c>
      <c r="C69" s="50" t="s">
        <v>49</v>
      </c>
      <c r="D69" s="51" t="s">
        <v>105</v>
      </c>
      <c r="E69" s="119"/>
      <c r="F69" s="86" t="s">
        <v>48</v>
      </c>
      <c r="G69" s="52" t="s">
        <v>31</v>
      </c>
      <c r="H69" s="56">
        <v>15</v>
      </c>
      <c r="I69" s="53">
        <v>2</v>
      </c>
      <c r="J69" s="55">
        <f t="shared" si="8"/>
        <v>0.13333333333333333</v>
      </c>
      <c r="K69" s="56">
        <f t="shared" si="9"/>
        <v>2</v>
      </c>
      <c r="L69" s="67">
        <f t="shared" si="11"/>
        <v>0.13333333333333333</v>
      </c>
    </row>
    <row r="70" spans="2:17" s="5" customFormat="1" x14ac:dyDescent="0.35">
      <c r="B70" s="4"/>
      <c r="C70" s="4"/>
      <c r="D70" s="4"/>
      <c r="E70" s="4"/>
      <c r="F70" s="4"/>
      <c r="G70" s="72"/>
      <c r="H70" s="115" t="s">
        <v>32</v>
      </c>
      <c r="I70" s="115"/>
      <c r="J70" s="115"/>
      <c r="K70" s="116"/>
      <c r="L70" s="115"/>
      <c r="O70"/>
      <c r="Q70"/>
    </row>
    <row r="71" spans="2:17" s="5" customFormat="1" x14ac:dyDescent="0.35">
      <c r="B71" s="4"/>
      <c r="C71" s="4"/>
      <c r="H71" s="26">
        <f>+SUM(H13:H69)</f>
        <v>1858</v>
      </c>
      <c r="I71" s="26">
        <f>+SUM(I13:I69)</f>
        <v>208</v>
      </c>
      <c r="J71" s="9">
        <f>IFERROR(I71/H71,0)</f>
        <v>0.11194833153928956</v>
      </c>
      <c r="K71" s="26">
        <f>+SUM(K13:K69)</f>
        <v>208</v>
      </c>
      <c r="L71" s="9">
        <f>IFERROR(K71/H71,0)</f>
        <v>0.11194833153928956</v>
      </c>
      <c r="O71"/>
      <c r="Q71"/>
    </row>
    <row r="72" spans="2:17" s="5" customFormat="1" x14ac:dyDescent="0.35">
      <c r="B72" s="4"/>
      <c r="C72" s="4"/>
      <c r="I72" s="15"/>
      <c r="J72" s="16"/>
      <c r="K72" s="17"/>
      <c r="L72" s="16"/>
      <c r="O72"/>
      <c r="Q72"/>
    </row>
    <row r="73" spans="2:17" s="5" customFormat="1" x14ac:dyDescent="0.35">
      <c r="B73" s="4"/>
      <c r="C73" s="4"/>
      <c r="I73" s="15"/>
      <c r="J73" s="16"/>
      <c r="K73" s="17"/>
      <c r="L73" s="16"/>
      <c r="O73"/>
      <c r="Q73"/>
    </row>
    <row r="74" spans="2:17" s="29" customFormat="1" ht="24" customHeight="1" x14ac:dyDescent="0.35">
      <c r="B74" s="138" t="s">
        <v>133</v>
      </c>
      <c r="C74" s="139"/>
      <c r="D74" s="128" t="s">
        <v>142</v>
      </c>
      <c r="E74" s="129"/>
      <c r="F74" s="129"/>
      <c r="G74" s="129"/>
      <c r="H74" s="129"/>
      <c r="I74" s="129"/>
      <c r="J74" s="129"/>
      <c r="K74" s="129"/>
      <c r="L74" s="130"/>
      <c r="O74" s="28"/>
      <c r="Q74" s="28"/>
    </row>
    <row r="75" spans="2:17" s="29" customFormat="1" ht="61.25" customHeight="1" x14ac:dyDescent="0.35">
      <c r="B75" s="140"/>
      <c r="C75" s="141"/>
      <c r="D75" s="128" t="s">
        <v>143</v>
      </c>
      <c r="E75" s="129"/>
      <c r="F75" s="129"/>
      <c r="G75" s="129"/>
      <c r="H75" s="129"/>
      <c r="I75" s="129"/>
      <c r="J75" s="129"/>
      <c r="K75" s="129"/>
      <c r="L75" s="130"/>
      <c r="O75" s="28"/>
      <c r="Q75" s="28"/>
    </row>
    <row r="76" spans="2:17" s="30" customFormat="1" ht="84" customHeight="1" x14ac:dyDescent="0.35">
      <c r="B76" s="142"/>
      <c r="C76" s="143"/>
      <c r="D76" s="128" t="s">
        <v>144</v>
      </c>
      <c r="E76" s="129"/>
      <c r="F76" s="129"/>
      <c r="G76" s="129"/>
      <c r="H76" s="129"/>
      <c r="I76" s="129"/>
      <c r="J76" s="129"/>
      <c r="K76" s="129"/>
      <c r="L76" s="130"/>
      <c r="O76" s="31"/>
      <c r="Q76" s="31"/>
    </row>
    <row r="77" spans="2:17" x14ac:dyDescent="0.35">
      <c r="B77" s="131" t="s">
        <v>34</v>
      </c>
      <c r="C77" s="132"/>
      <c r="D77" s="132"/>
      <c r="E77" s="132"/>
      <c r="F77" s="132"/>
      <c r="G77" s="132"/>
      <c r="H77" s="132"/>
      <c r="I77" s="132"/>
      <c r="J77" s="132"/>
      <c r="K77" s="132"/>
      <c r="L77" s="133"/>
    </row>
    <row r="78" spans="2:17" x14ac:dyDescent="0.35">
      <c r="B78" s="134"/>
      <c r="C78" s="135"/>
      <c r="D78" s="135"/>
      <c r="E78" s="135"/>
      <c r="F78" s="135"/>
      <c r="G78" s="135"/>
      <c r="H78" s="135"/>
      <c r="I78" s="135"/>
      <c r="J78" s="135"/>
      <c r="K78" s="135"/>
      <c r="L78" s="136"/>
    </row>
    <row r="79" spans="2:17" x14ac:dyDescent="0.35">
      <c r="B79" s="10" t="s">
        <v>35</v>
      </c>
      <c r="C79" s="11"/>
      <c r="D79" s="11"/>
      <c r="E79" s="11"/>
      <c r="F79" s="11"/>
      <c r="G79" s="11"/>
      <c r="H79" s="11"/>
      <c r="I79" s="11"/>
      <c r="J79" s="11"/>
      <c r="K79" s="11"/>
      <c r="L79" s="12"/>
    </row>
    <row r="80" spans="2:17" ht="24.5" x14ac:dyDescent="0.45">
      <c r="B80" s="13" t="s">
        <v>36</v>
      </c>
      <c r="C80" s="14"/>
      <c r="D80" s="137" t="s">
        <v>33</v>
      </c>
      <c r="E80" s="137"/>
      <c r="F80" s="137"/>
      <c r="G80" s="137"/>
      <c r="H80" s="137"/>
      <c r="I80" s="137"/>
      <c r="J80" s="137"/>
      <c r="K80" s="137"/>
      <c r="L80" s="137"/>
    </row>
    <row r="81" spans="2:12" ht="24.5" x14ac:dyDescent="0.45">
      <c r="B81" s="13" t="s">
        <v>37</v>
      </c>
      <c r="C81" s="14"/>
      <c r="D81" s="137"/>
      <c r="E81" s="137"/>
      <c r="F81" s="137"/>
      <c r="G81" s="137"/>
      <c r="H81" s="137"/>
      <c r="I81" s="137"/>
      <c r="J81" s="137"/>
      <c r="K81" s="137"/>
      <c r="L81" s="137"/>
    </row>
    <row r="82" spans="2:12" x14ac:dyDescent="0.35">
      <c r="B82" s="122" t="s">
        <v>34</v>
      </c>
      <c r="C82" s="123"/>
      <c r="D82" s="123"/>
      <c r="E82" s="123"/>
      <c r="F82" s="123"/>
      <c r="G82" s="123"/>
      <c r="H82" s="123"/>
      <c r="I82" s="123"/>
      <c r="J82" s="123"/>
      <c r="K82" s="123"/>
      <c r="L82" s="124"/>
    </row>
    <row r="83" spans="2:12" x14ac:dyDescent="0.35">
      <c r="B83" s="125"/>
      <c r="C83" s="126"/>
      <c r="D83" s="126"/>
      <c r="E83" s="126"/>
      <c r="F83" s="126"/>
      <c r="G83" s="126"/>
      <c r="H83" s="126"/>
      <c r="I83" s="126"/>
      <c r="J83" s="126"/>
      <c r="K83" s="126"/>
      <c r="L83" s="127"/>
    </row>
    <row r="84" spans="2:12" x14ac:dyDescent="0.35">
      <c r="B84" s="10" t="s">
        <v>38</v>
      </c>
      <c r="C84" s="11"/>
      <c r="D84" s="11"/>
      <c r="E84" s="11"/>
      <c r="F84" s="11"/>
      <c r="G84" s="11"/>
      <c r="H84" s="11"/>
      <c r="I84" s="11"/>
      <c r="J84" s="11"/>
      <c r="K84" s="11"/>
      <c r="L84" s="12"/>
    </row>
    <row r="85" spans="2:12" ht="24.5" x14ac:dyDescent="0.45">
      <c r="B85" s="13" t="s">
        <v>36</v>
      </c>
      <c r="C85" s="14"/>
      <c r="D85" s="137" t="s">
        <v>33</v>
      </c>
      <c r="E85" s="137"/>
      <c r="F85" s="137"/>
      <c r="G85" s="137"/>
      <c r="H85" s="137"/>
      <c r="I85" s="137"/>
      <c r="J85" s="137"/>
      <c r="K85" s="137"/>
      <c r="L85" s="137"/>
    </row>
    <row r="86" spans="2:12" ht="24.5" x14ac:dyDescent="0.45">
      <c r="B86" s="13" t="s">
        <v>37</v>
      </c>
      <c r="C86" s="14"/>
      <c r="D86" s="137"/>
      <c r="E86" s="137"/>
      <c r="F86" s="137"/>
      <c r="G86" s="137"/>
      <c r="H86" s="137"/>
      <c r="I86" s="137"/>
      <c r="J86" s="137"/>
      <c r="K86" s="137"/>
      <c r="L86" s="137"/>
    </row>
    <row r="89" spans="2:12" x14ac:dyDescent="0.35">
      <c r="B89" s="144"/>
      <c r="C89" s="144"/>
      <c r="D89" s="144"/>
      <c r="E89" s="82"/>
      <c r="I89" s="144"/>
      <c r="J89" s="144"/>
      <c r="K89" s="144"/>
    </row>
    <row r="90" spans="2:12" ht="19.25" customHeight="1" x14ac:dyDescent="0.35">
      <c r="B90" s="4" t="s">
        <v>39</v>
      </c>
      <c r="C90" s="120"/>
      <c r="D90" s="120"/>
      <c r="E90" s="72"/>
      <c r="I90" s="121" t="s">
        <v>150</v>
      </c>
      <c r="J90" s="121"/>
      <c r="K90" s="121"/>
    </row>
    <row r="117" spans="1:18" s="1" customFormat="1" x14ac:dyDescent="0.35">
      <c r="A117" t="s">
        <v>0</v>
      </c>
      <c r="M117" s="2"/>
      <c r="N117" s="2"/>
      <c r="O117"/>
      <c r="P117" s="2"/>
      <c r="Q117"/>
      <c r="R117" s="2"/>
    </row>
    <row r="118" spans="1:18" s="1" customFormat="1" x14ac:dyDescent="0.35">
      <c r="A118" t="s">
        <v>2</v>
      </c>
      <c r="M118" s="2"/>
      <c r="N118" s="2"/>
      <c r="O118"/>
      <c r="P118" s="2"/>
      <c r="Q118"/>
      <c r="R118" s="2"/>
    </row>
    <row r="119" spans="1:18" s="1" customFormat="1" x14ac:dyDescent="0.35">
      <c r="A119" t="s">
        <v>6</v>
      </c>
      <c r="M119" s="2"/>
      <c r="N119" s="2"/>
      <c r="O119"/>
      <c r="P119" s="2"/>
      <c r="Q119"/>
      <c r="R119" s="2"/>
    </row>
    <row r="120" spans="1:18" s="1" customFormat="1" x14ac:dyDescent="0.35">
      <c r="A120" t="s">
        <v>8</v>
      </c>
      <c r="M120" s="2"/>
      <c r="N120" s="2"/>
      <c r="O120"/>
      <c r="P120" s="2"/>
      <c r="Q120"/>
      <c r="R120" s="2"/>
    </row>
    <row r="121" spans="1:18" s="1" customFormat="1" x14ac:dyDescent="0.35">
      <c r="A121" t="s">
        <v>9</v>
      </c>
      <c r="M121" s="2"/>
      <c r="N121" s="2"/>
      <c r="O121"/>
      <c r="P121" s="2"/>
      <c r="Q121"/>
      <c r="R121" s="2"/>
    </row>
    <row r="122" spans="1:18" s="1" customFormat="1" x14ac:dyDescent="0.35">
      <c r="A122" t="s">
        <v>10</v>
      </c>
      <c r="B122" s="2"/>
      <c r="M122" s="2"/>
      <c r="N122" s="2"/>
      <c r="O122"/>
      <c r="P122" s="2"/>
      <c r="Q122"/>
      <c r="R122" s="2"/>
    </row>
    <row r="123" spans="1:18" s="1" customFormat="1" x14ac:dyDescent="0.35">
      <c r="A123" t="s">
        <v>11</v>
      </c>
      <c r="B123" s="2"/>
      <c r="M123" s="2"/>
      <c r="N123" s="2"/>
      <c r="O123"/>
      <c r="P123" s="2"/>
      <c r="Q123"/>
      <c r="R123" s="2"/>
    </row>
    <row r="124" spans="1:18" s="1" customFormat="1" x14ac:dyDescent="0.35">
      <c r="A124" t="s">
        <v>13</v>
      </c>
      <c r="B124" s="2"/>
      <c r="M124" s="2"/>
      <c r="N124" s="2"/>
      <c r="O124"/>
      <c r="P124" s="2"/>
      <c r="Q124"/>
      <c r="R124" s="2"/>
    </row>
    <row r="125" spans="1:18" s="1" customFormat="1" x14ac:dyDescent="0.35">
      <c r="A125" t="s">
        <v>14</v>
      </c>
      <c r="B125" s="5"/>
      <c r="M125" s="2"/>
      <c r="N125" s="2"/>
      <c r="O125"/>
      <c r="P125" s="2"/>
      <c r="Q125"/>
      <c r="R125" s="2"/>
    </row>
    <row r="126" spans="1:18" s="1" customFormat="1" x14ac:dyDescent="0.35">
      <c r="A126" t="s">
        <v>16</v>
      </c>
      <c r="B126" s="2"/>
      <c r="M126" s="2"/>
      <c r="N126" s="2"/>
      <c r="O126"/>
      <c r="P126" s="2"/>
      <c r="Q126"/>
      <c r="R126" s="2"/>
    </row>
    <row r="127" spans="1:18" s="1" customFormat="1" x14ac:dyDescent="0.35">
      <c r="A127" t="s">
        <v>17</v>
      </c>
      <c r="B127" s="5"/>
      <c r="M127" s="2"/>
      <c r="N127" s="2"/>
      <c r="O127"/>
      <c r="P127" s="2"/>
      <c r="Q127"/>
      <c r="R127" s="2"/>
    </row>
    <row r="128" spans="1:18" s="1" customFormat="1" x14ac:dyDescent="0.35">
      <c r="A128" t="s">
        <v>21</v>
      </c>
      <c r="B128" s="5"/>
      <c r="M128" s="2"/>
      <c r="N128" s="2"/>
      <c r="O128"/>
      <c r="P128" s="2"/>
      <c r="Q128"/>
      <c r="R128" s="2"/>
    </row>
    <row r="129" spans="1:18" s="1" customFormat="1" x14ac:dyDescent="0.35">
      <c r="A129" t="s">
        <v>30</v>
      </c>
      <c r="B129" s="5"/>
      <c r="M129" s="2"/>
      <c r="N129" s="2"/>
      <c r="O129"/>
      <c r="P129" s="2"/>
      <c r="Q129"/>
      <c r="R129" s="2"/>
    </row>
    <row r="130" spans="1:18" x14ac:dyDescent="0.35">
      <c r="B130" s="5"/>
    </row>
    <row r="131" spans="1:18" x14ac:dyDescent="0.35">
      <c r="B131" s="5"/>
    </row>
    <row r="132" spans="1:18" s="1" customFormat="1" x14ac:dyDescent="0.35">
      <c r="B132" s="2"/>
      <c r="M132" s="2"/>
      <c r="N132" s="2"/>
      <c r="O132"/>
      <c r="P132" s="2"/>
      <c r="Q132"/>
    </row>
    <row r="133" spans="1:18" s="1" customFormat="1" x14ac:dyDescent="0.35">
      <c r="B133" s="2"/>
      <c r="M133" s="2"/>
      <c r="N133" s="2"/>
      <c r="O133"/>
      <c r="P133" s="2"/>
      <c r="Q133"/>
    </row>
    <row r="134" spans="1:18" s="1" customFormat="1" x14ac:dyDescent="0.35">
      <c r="B134" s="2"/>
      <c r="M134" s="2"/>
      <c r="N134" s="2"/>
      <c r="O134"/>
      <c r="P134" s="2"/>
      <c r="Q134"/>
    </row>
  </sheetData>
  <sheetProtection formatCells="0" formatColumns="0" formatRows="0" insertColumns="0" insertRows="0" insertHyperlinks="0" deleteColumns="0" deleteRows="0" sort="0" autoFilter="0" pivotTables="0"/>
  <autoFilter ref="B12:L71"/>
  <mergeCells count="31">
    <mergeCell ref="H70:L70"/>
    <mergeCell ref="E51:E54"/>
    <mergeCell ref="E55:E62"/>
    <mergeCell ref="E63:E69"/>
    <mergeCell ref="C90:D90"/>
    <mergeCell ref="I90:K90"/>
    <mergeCell ref="B82:L83"/>
    <mergeCell ref="D75:L75"/>
    <mergeCell ref="D74:L74"/>
    <mergeCell ref="D76:L76"/>
    <mergeCell ref="B77:L78"/>
    <mergeCell ref="D80:L81"/>
    <mergeCell ref="B74:C76"/>
    <mergeCell ref="D85:L86"/>
    <mergeCell ref="B89:D89"/>
    <mergeCell ref="I89:K89"/>
    <mergeCell ref="B7:C7"/>
    <mergeCell ref="B9:C9"/>
    <mergeCell ref="B11:H11"/>
    <mergeCell ref="I11:J11"/>
    <mergeCell ref="K11:L11"/>
    <mergeCell ref="B2:L2"/>
    <mergeCell ref="B3:D3"/>
    <mergeCell ref="F3:I3"/>
    <mergeCell ref="J3:L3"/>
    <mergeCell ref="B5:C5"/>
    <mergeCell ref="E13:E20"/>
    <mergeCell ref="E21:E28"/>
    <mergeCell ref="E29:E36"/>
    <mergeCell ref="E37:E42"/>
    <mergeCell ref="E43:E50"/>
  </mergeCells>
  <conditionalFormatting sqref="L13:L69">
    <cfRule type="cellIs" dxfId="3" priority="1" operator="equal">
      <formula>1</formula>
    </cfRule>
    <cfRule type="cellIs" dxfId="2" priority="2" operator="greaterThan">
      <formula>1</formula>
    </cfRule>
  </conditionalFormatting>
  <dataValidations count="3">
    <dataValidation type="whole" allowBlank="1" showInputMessage="1" showErrorMessage="1" errorTitle="¡Error!" error="Introduzca un número válido." promptTitle="¡Atención!" prompt="Introduzca un número entre 0 y 30" sqref="I17 I60:I62 I21:I28">
      <formula1>0</formula1>
      <formula2>30</formula2>
    </dataValidation>
    <dataValidation type="list" allowBlank="1" showInputMessage="1" showErrorMessage="1" sqref="D7">
      <formula1>$A$118:$A$129</formula1>
    </dataValidation>
    <dataValidation type="whole" allowBlank="1" showInputMessage="1" showErrorMessage="1" errorTitle="¡Error!" error="Introduzca un número válido." promptTitle="¡Atención!" prompt="Introduzca un número entre 0 y 366" sqref="I18:I20 I13:I16 H63:I69 I29:I59 H13:H62">
      <formula1>0</formula1>
      <formula2>366</formula2>
    </dataValidation>
  </dataValidations>
  <pageMargins left="0.7" right="0.7" top="0.75" bottom="0.75" header="0.3" footer="0.3"/>
  <pageSetup scale="10"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35"/>
  <sheetViews>
    <sheetView showGridLines="0" tabSelected="1" view="pageBreakPreview" zoomScale="80" zoomScaleNormal="80" zoomScaleSheetLayoutView="80" workbookViewId="0">
      <selection activeCell="B2" sqref="B2:L2"/>
    </sheetView>
  </sheetViews>
  <sheetFormatPr baseColWidth="10" defaultColWidth="8.6328125" defaultRowHeight="14.5" x14ac:dyDescent="0.35"/>
  <cols>
    <col min="1" max="1" width="5.54296875" style="2" customWidth="1"/>
    <col min="2" max="3" width="10.08984375" style="1" customWidth="1"/>
    <col min="4" max="4" width="43.08984375" style="1" customWidth="1"/>
    <col min="5" max="5" width="21.6328125" style="1" customWidth="1"/>
    <col min="6" max="6" width="14.08984375" style="1" bestFit="1" customWidth="1"/>
    <col min="7" max="7" width="13.453125" style="1" customWidth="1"/>
    <col min="8" max="8" width="13.6328125" style="1" customWidth="1"/>
    <col min="9" max="9" width="13.453125" style="1" customWidth="1"/>
    <col min="10" max="10" width="10.453125" style="1" customWidth="1"/>
    <col min="11" max="11" width="12.453125" style="1" customWidth="1"/>
    <col min="12" max="12" width="12.36328125" style="1" customWidth="1"/>
    <col min="13" max="13" width="5.54296875" style="2" customWidth="1"/>
    <col min="14" max="14" width="16.453125" style="2" customWidth="1"/>
    <col min="16" max="16" width="16.453125" style="2" customWidth="1"/>
    <col min="17" max="17" width="0" hidden="1" customWidth="1"/>
    <col min="18" max="18" width="16.453125" style="2" customWidth="1"/>
    <col min="19" max="16384" width="8.6328125" style="2"/>
  </cols>
  <sheetData>
    <row r="1" spans="2:17" ht="18" customHeight="1" x14ac:dyDescent="0.35">
      <c r="Q1" t="s">
        <v>0</v>
      </c>
    </row>
    <row r="2" spans="2:17" ht="51" customHeight="1" x14ac:dyDescent="0.35">
      <c r="B2" s="110" t="s">
        <v>1</v>
      </c>
      <c r="C2" s="110"/>
      <c r="D2" s="110"/>
      <c r="E2" s="110"/>
      <c r="F2" s="110"/>
      <c r="G2" s="110"/>
      <c r="H2" s="110"/>
      <c r="I2" s="110"/>
      <c r="J2" s="110"/>
      <c r="K2" s="110"/>
      <c r="L2" s="110"/>
      <c r="Q2" t="s">
        <v>2</v>
      </c>
    </row>
    <row r="3" spans="2:17" x14ac:dyDescent="0.35">
      <c r="B3" s="111" t="s">
        <v>3</v>
      </c>
      <c r="C3" s="112"/>
      <c r="D3" s="112"/>
      <c r="E3" s="73"/>
      <c r="F3" s="112" t="s">
        <v>4</v>
      </c>
      <c r="G3" s="112"/>
      <c r="H3" s="112"/>
      <c r="I3" s="112"/>
      <c r="J3" s="112" t="s">
        <v>5</v>
      </c>
      <c r="K3" s="112"/>
      <c r="L3" s="113"/>
    </row>
    <row r="4" spans="2:17" x14ac:dyDescent="0.35">
      <c r="B4" s="18"/>
      <c r="C4" s="3"/>
      <c r="L4" s="19"/>
      <c r="Q4" t="s">
        <v>6</v>
      </c>
    </row>
    <row r="5" spans="2:17" s="5" customFormat="1" x14ac:dyDescent="0.35">
      <c r="B5" s="114" t="s">
        <v>7</v>
      </c>
      <c r="C5" s="114"/>
      <c r="D5" s="71">
        <v>90577770</v>
      </c>
      <c r="E5"/>
      <c r="F5" s="15"/>
      <c r="G5" s="15"/>
      <c r="H5" s="15"/>
      <c r="J5" s="4"/>
      <c r="K5" s="4"/>
      <c r="L5" s="20"/>
      <c r="O5"/>
      <c r="Q5" t="s">
        <v>8</v>
      </c>
    </row>
    <row r="6" spans="2:17" s="5" customFormat="1" x14ac:dyDescent="0.35">
      <c r="B6" s="21"/>
      <c r="C6" s="4"/>
      <c r="D6" s="4"/>
      <c r="E6"/>
      <c r="F6" s="4"/>
      <c r="G6" s="4"/>
      <c r="H6" s="4"/>
      <c r="I6" s="4"/>
      <c r="J6" s="4"/>
      <c r="K6" s="4"/>
      <c r="L6" s="20"/>
      <c r="O6"/>
      <c r="Q6" t="s">
        <v>11</v>
      </c>
    </row>
    <row r="7" spans="2:17" s="5" customFormat="1" x14ac:dyDescent="0.35">
      <c r="B7" s="114" t="s">
        <v>12</v>
      </c>
      <c r="C7" s="114"/>
      <c r="D7" s="6" t="s">
        <v>6</v>
      </c>
      <c r="E7"/>
      <c r="F7" s="22"/>
      <c r="G7" s="22"/>
      <c r="H7" s="22"/>
      <c r="I7" s="4"/>
      <c r="J7" s="4"/>
      <c r="K7" s="4"/>
      <c r="L7" s="20"/>
      <c r="O7"/>
      <c r="Q7" t="s">
        <v>13</v>
      </c>
    </row>
    <row r="8" spans="2:17" s="5" customFormat="1" x14ac:dyDescent="0.35">
      <c r="B8" s="32"/>
      <c r="C8" s="72"/>
      <c r="D8" s="22"/>
      <c r="E8"/>
      <c r="F8" s="22"/>
      <c r="G8" s="22"/>
      <c r="H8" s="22"/>
      <c r="I8" s="4"/>
      <c r="J8" s="4"/>
      <c r="K8" s="4"/>
      <c r="L8" s="20"/>
      <c r="O8"/>
      <c r="Q8" t="s">
        <v>14</v>
      </c>
    </row>
    <row r="9" spans="2:17" s="5" customFormat="1" x14ac:dyDescent="0.35">
      <c r="B9" s="114" t="s">
        <v>15</v>
      </c>
      <c r="C9" s="114"/>
      <c r="D9" s="7">
        <v>46081</v>
      </c>
      <c r="E9"/>
      <c r="F9" s="23"/>
      <c r="G9" s="23"/>
      <c r="H9" s="23"/>
      <c r="I9" s="4"/>
      <c r="J9" s="4"/>
      <c r="K9" s="4"/>
      <c r="L9" s="20"/>
      <c r="O9"/>
      <c r="Q9" t="s">
        <v>16</v>
      </c>
    </row>
    <row r="10" spans="2:17" x14ac:dyDescent="0.35">
      <c r="B10" s="24"/>
      <c r="L10" s="25"/>
      <c r="Q10" t="s">
        <v>17</v>
      </c>
    </row>
    <row r="11" spans="2:17" x14ac:dyDescent="0.35">
      <c r="B11" s="114" t="s">
        <v>18</v>
      </c>
      <c r="C11" s="114"/>
      <c r="D11" s="114"/>
      <c r="E11" s="114"/>
      <c r="F11" s="114"/>
      <c r="G11" s="114"/>
      <c r="H11" s="114"/>
      <c r="I11" s="114" t="s">
        <v>19</v>
      </c>
      <c r="J11" s="114"/>
      <c r="K11" s="114" t="s">
        <v>20</v>
      </c>
      <c r="L11" s="114"/>
      <c r="Q11" t="s">
        <v>21</v>
      </c>
    </row>
    <row r="12" spans="2:17" s="27" customFormat="1" ht="42.65" customHeight="1" x14ac:dyDescent="0.35">
      <c r="B12" s="70" t="s">
        <v>22</v>
      </c>
      <c r="C12" s="70" t="s">
        <v>23</v>
      </c>
      <c r="D12" s="70" t="s">
        <v>24</v>
      </c>
      <c r="E12" s="70" t="s">
        <v>84</v>
      </c>
      <c r="F12" s="70" t="s">
        <v>25</v>
      </c>
      <c r="G12" s="83" t="s">
        <v>26</v>
      </c>
      <c r="H12" s="70" t="s">
        <v>75</v>
      </c>
      <c r="I12" s="70" t="s">
        <v>27</v>
      </c>
      <c r="J12" s="70" t="s">
        <v>28</v>
      </c>
      <c r="K12" s="70" t="s">
        <v>29</v>
      </c>
      <c r="L12" s="70" t="s">
        <v>28</v>
      </c>
      <c r="O12" s="28"/>
      <c r="Q12" s="28" t="s">
        <v>30</v>
      </c>
    </row>
    <row r="13" spans="2:17" ht="14.4" customHeight="1" x14ac:dyDescent="0.35">
      <c r="B13" s="33">
        <v>1</v>
      </c>
      <c r="C13" s="34" t="s">
        <v>124</v>
      </c>
      <c r="D13" s="35" t="s">
        <v>125</v>
      </c>
      <c r="E13" s="145" t="s">
        <v>141</v>
      </c>
      <c r="F13" s="89" t="s">
        <v>126</v>
      </c>
      <c r="G13" s="36" t="s">
        <v>31</v>
      </c>
      <c r="H13" s="40">
        <v>60</v>
      </c>
      <c r="I13" s="81">
        <v>5</v>
      </c>
      <c r="J13" s="39">
        <f t="shared" ref="J13:J45" si="0">IFERROR(I13/H13,0)</f>
        <v>8.3333333333333329E-2</v>
      </c>
      <c r="K13" s="40">
        <f>I13+'ENERO 2026'!K13</f>
        <v>15</v>
      </c>
      <c r="L13" s="65">
        <f t="shared" ref="L13:L17" si="1">IFERROR(K13/H13,0)</f>
        <v>0.25</v>
      </c>
    </row>
    <row r="14" spans="2:17" x14ac:dyDescent="0.35">
      <c r="B14" s="41">
        <v>1</v>
      </c>
      <c r="C14" s="42" t="s">
        <v>76</v>
      </c>
      <c r="D14" s="43" t="s">
        <v>87</v>
      </c>
      <c r="E14" s="146"/>
      <c r="F14" s="90" t="s">
        <v>88</v>
      </c>
      <c r="G14" s="44" t="s">
        <v>31</v>
      </c>
      <c r="H14" s="48">
        <v>20</v>
      </c>
      <c r="I14" s="68">
        <v>7</v>
      </c>
      <c r="J14" s="47">
        <f t="shared" si="0"/>
        <v>0.35</v>
      </c>
      <c r="K14" s="48">
        <f>I14+'ENERO 2026'!K14</f>
        <v>13</v>
      </c>
      <c r="L14" s="66">
        <f t="shared" si="1"/>
        <v>0.65</v>
      </c>
    </row>
    <row r="15" spans="2:17" x14ac:dyDescent="0.35">
      <c r="B15" s="41">
        <v>1</v>
      </c>
      <c r="C15" s="42" t="s">
        <v>77</v>
      </c>
      <c r="D15" s="43" t="s">
        <v>127</v>
      </c>
      <c r="E15" s="146"/>
      <c r="F15" s="90" t="s">
        <v>85</v>
      </c>
      <c r="G15" s="44" t="s">
        <v>31</v>
      </c>
      <c r="H15" s="48">
        <v>45</v>
      </c>
      <c r="I15" s="68">
        <v>3</v>
      </c>
      <c r="J15" s="47">
        <f t="shared" si="0"/>
        <v>6.6666666666666666E-2</v>
      </c>
      <c r="K15" s="48">
        <f>I15+'ENERO 2026'!K15</f>
        <v>5</v>
      </c>
      <c r="L15" s="66">
        <f t="shared" si="1"/>
        <v>0.1111111111111111</v>
      </c>
    </row>
    <row r="16" spans="2:17" x14ac:dyDescent="0.35">
      <c r="B16" s="41">
        <v>1</v>
      </c>
      <c r="C16" s="42" t="s">
        <v>78</v>
      </c>
      <c r="D16" s="43" t="s">
        <v>81</v>
      </c>
      <c r="E16" s="146"/>
      <c r="F16" s="90" t="s">
        <v>86</v>
      </c>
      <c r="G16" s="44" t="s">
        <v>31</v>
      </c>
      <c r="H16" s="48">
        <v>20</v>
      </c>
      <c r="I16" s="68">
        <v>5</v>
      </c>
      <c r="J16" s="47">
        <f t="shared" si="0"/>
        <v>0.25</v>
      </c>
      <c r="K16" s="48">
        <f>I16+'ENERO 2026'!K16</f>
        <v>9</v>
      </c>
      <c r="L16" s="66">
        <f t="shared" si="1"/>
        <v>0.45</v>
      </c>
    </row>
    <row r="17" spans="2:17" x14ac:dyDescent="0.35">
      <c r="B17" s="41">
        <v>1</v>
      </c>
      <c r="C17" s="42" t="s">
        <v>128</v>
      </c>
      <c r="D17" s="43" t="s">
        <v>129</v>
      </c>
      <c r="E17" s="146"/>
      <c r="F17" s="90" t="s">
        <v>130</v>
      </c>
      <c r="G17" s="44" t="s">
        <v>31</v>
      </c>
      <c r="H17" s="48">
        <v>30</v>
      </c>
      <c r="I17" s="68">
        <v>0</v>
      </c>
      <c r="J17" s="47">
        <f t="shared" si="0"/>
        <v>0</v>
      </c>
      <c r="K17" s="48">
        <f>I17+'ENERO 2026'!K17</f>
        <v>1</v>
      </c>
      <c r="L17" s="66">
        <f t="shared" si="1"/>
        <v>3.3333333333333333E-2</v>
      </c>
    </row>
    <row r="18" spans="2:17" x14ac:dyDescent="0.35">
      <c r="B18" s="41">
        <v>1</v>
      </c>
      <c r="C18" s="42" t="s">
        <v>79</v>
      </c>
      <c r="D18" s="43" t="s">
        <v>131</v>
      </c>
      <c r="E18" s="146"/>
      <c r="F18" s="90" t="s">
        <v>82</v>
      </c>
      <c r="G18" s="44" t="s">
        <v>31</v>
      </c>
      <c r="H18" s="48">
        <v>20</v>
      </c>
      <c r="I18" s="68">
        <v>5</v>
      </c>
      <c r="J18" s="47">
        <f t="shared" si="0"/>
        <v>0.25</v>
      </c>
      <c r="K18" s="48">
        <f>I18+'ENERO 2026'!K18</f>
        <v>6</v>
      </c>
      <c r="L18" s="66">
        <f>IFERROR(K18/H18,0)</f>
        <v>0.3</v>
      </c>
    </row>
    <row r="19" spans="2:17" x14ac:dyDescent="0.35">
      <c r="B19" s="41">
        <v>1</v>
      </c>
      <c r="C19" s="42" t="s">
        <v>80</v>
      </c>
      <c r="D19" s="43" t="s">
        <v>132</v>
      </c>
      <c r="E19" s="146"/>
      <c r="F19" s="90" t="s">
        <v>83</v>
      </c>
      <c r="G19" s="44" t="s">
        <v>31</v>
      </c>
      <c r="H19" s="48">
        <v>20</v>
      </c>
      <c r="I19" s="68">
        <v>5</v>
      </c>
      <c r="J19" s="47">
        <f t="shared" si="0"/>
        <v>0.25</v>
      </c>
      <c r="K19" s="48">
        <f>I19+'ENERO 2026'!K19</f>
        <v>7</v>
      </c>
      <c r="L19" s="66">
        <f>IFERROR(K19/H19,0)</f>
        <v>0.35</v>
      </c>
    </row>
    <row r="20" spans="2:17" x14ac:dyDescent="0.35">
      <c r="B20" s="49">
        <v>1</v>
      </c>
      <c r="C20" s="50" t="s">
        <v>90</v>
      </c>
      <c r="D20" s="51" t="s">
        <v>91</v>
      </c>
      <c r="E20" s="147"/>
      <c r="F20" s="91" t="s">
        <v>92</v>
      </c>
      <c r="G20" s="52" t="s">
        <v>31</v>
      </c>
      <c r="H20" s="56">
        <v>21</v>
      </c>
      <c r="I20" s="69">
        <v>0</v>
      </c>
      <c r="J20" s="55">
        <f t="shared" si="0"/>
        <v>0</v>
      </c>
      <c r="K20" s="56">
        <f>I20+'ENERO 2026'!K20</f>
        <v>0</v>
      </c>
      <c r="L20" s="67">
        <f>IFERROR(K20/H20,0)</f>
        <v>0</v>
      </c>
    </row>
    <row r="21" spans="2:17" ht="14.4" customHeight="1" x14ac:dyDescent="0.35">
      <c r="B21" s="57">
        <v>5</v>
      </c>
      <c r="C21" s="58" t="s">
        <v>55</v>
      </c>
      <c r="D21" s="59" t="s">
        <v>56</v>
      </c>
      <c r="E21" s="102" t="s">
        <v>134</v>
      </c>
      <c r="F21" s="92" t="s">
        <v>42</v>
      </c>
      <c r="G21" s="60" t="s">
        <v>31</v>
      </c>
      <c r="H21" s="40">
        <v>30</v>
      </c>
      <c r="I21" s="62">
        <v>3</v>
      </c>
      <c r="J21" s="63">
        <f t="shared" si="0"/>
        <v>0.1</v>
      </c>
      <c r="K21" s="62">
        <f>I21+'ENERO 2026'!K21</f>
        <v>6</v>
      </c>
      <c r="L21" s="63">
        <f t="shared" ref="L21:L41" si="2">IFERROR(K21/H21,0)</f>
        <v>0.2</v>
      </c>
    </row>
    <row r="22" spans="2:17" x14ac:dyDescent="0.35">
      <c r="B22" s="41">
        <v>5</v>
      </c>
      <c r="C22" s="42" t="s">
        <v>57</v>
      </c>
      <c r="D22" s="43" t="s">
        <v>58</v>
      </c>
      <c r="E22" s="103"/>
      <c r="F22" s="90" t="s">
        <v>48</v>
      </c>
      <c r="G22" s="44" t="s">
        <v>31</v>
      </c>
      <c r="H22" s="48">
        <v>30</v>
      </c>
      <c r="I22" s="45">
        <v>4</v>
      </c>
      <c r="J22" s="47">
        <f t="shared" si="0"/>
        <v>0.13333333333333333</v>
      </c>
      <c r="K22" s="45">
        <f>I22+'ENERO 2026'!K22</f>
        <v>7</v>
      </c>
      <c r="L22" s="47">
        <f t="shared" si="2"/>
        <v>0.23333333333333334</v>
      </c>
    </row>
    <row r="23" spans="2:17" s="5" customFormat="1" x14ac:dyDescent="0.35">
      <c r="B23" s="41">
        <v>5</v>
      </c>
      <c r="C23" s="42" t="s">
        <v>59</v>
      </c>
      <c r="D23" s="43" t="s">
        <v>60</v>
      </c>
      <c r="E23" s="103"/>
      <c r="F23" s="90" t="s">
        <v>48</v>
      </c>
      <c r="G23" s="44" t="s">
        <v>31</v>
      </c>
      <c r="H23" s="48">
        <v>30</v>
      </c>
      <c r="I23" s="45">
        <v>4</v>
      </c>
      <c r="J23" s="47">
        <f t="shared" si="0"/>
        <v>0.13333333333333333</v>
      </c>
      <c r="K23" s="45">
        <f>I23+'ENERO 2026'!K23</f>
        <v>7</v>
      </c>
      <c r="L23" s="47">
        <f t="shared" si="2"/>
        <v>0.23333333333333334</v>
      </c>
      <c r="O23" s="8"/>
      <c r="Q23" s="8"/>
    </row>
    <row r="24" spans="2:17" x14ac:dyDescent="0.35">
      <c r="B24" s="41">
        <v>5</v>
      </c>
      <c r="C24" s="42" t="s">
        <v>61</v>
      </c>
      <c r="D24" s="43" t="s">
        <v>62</v>
      </c>
      <c r="E24" s="103"/>
      <c r="F24" s="90" t="s">
        <v>48</v>
      </c>
      <c r="G24" s="44" t="s">
        <v>31</v>
      </c>
      <c r="H24" s="48">
        <v>30</v>
      </c>
      <c r="I24" s="45">
        <v>4</v>
      </c>
      <c r="J24" s="47">
        <f t="shared" si="0"/>
        <v>0.13333333333333333</v>
      </c>
      <c r="K24" s="45">
        <f>I24+'ENERO 2026'!K24</f>
        <v>7</v>
      </c>
      <c r="L24" s="47">
        <f t="shared" si="2"/>
        <v>0.23333333333333334</v>
      </c>
    </row>
    <row r="25" spans="2:17" x14ac:dyDescent="0.35">
      <c r="B25" s="41">
        <v>5</v>
      </c>
      <c r="C25" s="42" t="s">
        <v>63</v>
      </c>
      <c r="D25" s="43" t="s">
        <v>64</v>
      </c>
      <c r="E25" s="103"/>
      <c r="F25" s="90" t="s">
        <v>48</v>
      </c>
      <c r="G25" s="44" t="s">
        <v>31</v>
      </c>
      <c r="H25" s="48">
        <v>29</v>
      </c>
      <c r="I25" s="45">
        <v>4</v>
      </c>
      <c r="J25" s="47">
        <f t="shared" si="0"/>
        <v>0.13793103448275862</v>
      </c>
      <c r="K25" s="45">
        <f>I25+'ENERO 2026'!K25</f>
        <v>8</v>
      </c>
      <c r="L25" s="47">
        <f t="shared" si="2"/>
        <v>0.27586206896551724</v>
      </c>
    </row>
    <row r="26" spans="2:17" x14ac:dyDescent="0.35">
      <c r="B26" s="41">
        <v>5</v>
      </c>
      <c r="C26" s="42" t="s">
        <v>65</v>
      </c>
      <c r="D26" s="43" t="s">
        <v>66</v>
      </c>
      <c r="E26" s="103"/>
      <c r="F26" s="90" t="s">
        <v>48</v>
      </c>
      <c r="G26" s="44" t="s">
        <v>31</v>
      </c>
      <c r="H26" s="48">
        <v>29</v>
      </c>
      <c r="I26" s="45">
        <v>4</v>
      </c>
      <c r="J26" s="47">
        <f t="shared" si="0"/>
        <v>0.13793103448275862</v>
      </c>
      <c r="K26" s="45">
        <f>I26+'ENERO 2026'!K26</f>
        <v>8</v>
      </c>
      <c r="L26" s="47">
        <f t="shared" si="2"/>
        <v>0.27586206896551724</v>
      </c>
    </row>
    <row r="27" spans="2:17" x14ac:dyDescent="0.35">
      <c r="B27" s="41">
        <v>5</v>
      </c>
      <c r="C27" s="42" t="s">
        <v>67</v>
      </c>
      <c r="D27" s="43" t="s">
        <v>106</v>
      </c>
      <c r="E27" s="103"/>
      <c r="F27" s="90" t="s">
        <v>48</v>
      </c>
      <c r="G27" s="44" t="s">
        <v>31</v>
      </c>
      <c r="H27" s="48">
        <v>29</v>
      </c>
      <c r="I27" s="45">
        <v>4</v>
      </c>
      <c r="J27" s="47">
        <f t="shared" si="0"/>
        <v>0.13793103448275862</v>
      </c>
      <c r="K27" s="45">
        <f>I27+'ENERO 2026'!K27</f>
        <v>7</v>
      </c>
      <c r="L27" s="47">
        <f t="shared" si="2"/>
        <v>0.2413793103448276</v>
      </c>
    </row>
    <row r="28" spans="2:17" x14ac:dyDescent="0.35">
      <c r="B28" s="49">
        <v>5</v>
      </c>
      <c r="C28" s="50" t="s">
        <v>68</v>
      </c>
      <c r="D28" s="51" t="s">
        <v>69</v>
      </c>
      <c r="E28" s="104"/>
      <c r="F28" s="91" t="s">
        <v>48</v>
      </c>
      <c r="G28" s="52" t="s">
        <v>31</v>
      </c>
      <c r="H28" s="56">
        <v>29</v>
      </c>
      <c r="I28" s="53">
        <v>3</v>
      </c>
      <c r="J28" s="55">
        <f t="shared" si="0"/>
        <v>0.10344827586206896</v>
      </c>
      <c r="K28" s="53">
        <f>I28+'ENERO 2026'!K28</f>
        <v>6</v>
      </c>
      <c r="L28" s="55">
        <f t="shared" si="2"/>
        <v>0.20689655172413793</v>
      </c>
    </row>
    <row r="29" spans="2:17" ht="14.4" customHeight="1" x14ac:dyDescent="0.35">
      <c r="B29" s="33">
        <v>5</v>
      </c>
      <c r="C29" s="34" t="s">
        <v>55</v>
      </c>
      <c r="D29" s="35" t="s">
        <v>56</v>
      </c>
      <c r="E29" s="102" t="s">
        <v>135</v>
      </c>
      <c r="F29" s="89" t="s">
        <v>113</v>
      </c>
      <c r="G29" s="36" t="s">
        <v>120</v>
      </c>
      <c r="H29" s="40">
        <v>30</v>
      </c>
      <c r="I29" s="81">
        <v>3.75</v>
      </c>
      <c r="J29" s="39">
        <f t="shared" si="0"/>
        <v>0.125</v>
      </c>
      <c r="K29" s="40">
        <f>I29+'ENERO 2026'!K29</f>
        <v>7</v>
      </c>
      <c r="L29" s="65">
        <f t="shared" si="2"/>
        <v>0.23333333333333334</v>
      </c>
    </row>
    <row r="30" spans="2:17" x14ac:dyDescent="0.35">
      <c r="B30" s="41">
        <v>5</v>
      </c>
      <c r="C30" s="42" t="s">
        <v>57</v>
      </c>
      <c r="D30" s="43" t="s">
        <v>58</v>
      </c>
      <c r="E30" s="103"/>
      <c r="F30" s="90" t="s">
        <v>114</v>
      </c>
      <c r="G30" s="44" t="s">
        <v>121</v>
      </c>
      <c r="H30" s="48">
        <v>30</v>
      </c>
      <c r="I30" s="68">
        <v>3.75</v>
      </c>
      <c r="J30" s="47">
        <f t="shared" si="0"/>
        <v>0.125</v>
      </c>
      <c r="K30" s="48">
        <f>I30+'ENERO 2026'!K30</f>
        <v>7</v>
      </c>
      <c r="L30" s="66">
        <f t="shared" si="2"/>
        <v>0.23333333333333334</v>
      </c>
    </row>
    <row r="31" spans="2:17" x14ac:dyDescent="0.35">
      <c r="B31" s="41">
        <v>5</v>
      </c>
      <c r="C31" s="42" t="s">
        <v>59</v>
      </c>
      <c r="D31" s="43" t="s">
        <v>60</v>
      </c>
      <c r="E31" s="103"/>
      <c r="F31" s="90" t="s">
        <v>148</v>
      </c>
      <c r="G31" s="44" t="s">
        <v>122</v>
      </c>
      <c r="H31" s="48">
        <v>30</v>
      </c>
      <c r="I31" s="68">
        <v>3.75</v>
      </c>
      <c r="J31" s="47">
        <f t="shared" si="0"/>
        <v>0.125</v>
      </c>
      <c r="K31" s="48">
        <f>I31+'ENERO 2026'!K31</f>
        <v>7</v>
      </c>
      <c r="L31" s="66">
        <f t="shared" si="2"/>
        <v>0.23333333333333334</v>
      </c>
    </row>
    <row r="32" spans="2:17" x14ac:dyDescent="0.35">
      <c r="B32" s="41">
        <v>5</v>
      </c>
      <c r="C32" s="42" t="s">
        <v>61</v>
      </c>
      <c r="D32" s="43" t="s">
        <v>62</v>
      </c>
      <c r="E32" s="103"/>
      <c r="F32" s="90" t="s">
        <v>48</v>
      </c>
      <c r="G32" s="44" t="s">
        <v>31</v>
      </c>
      <c r="H32" s="48">
        <v>30</v>
      </c>
      <c r="I32" s="68">
        <v>3.75</v>
      </c>
      <c r="J32" s="47">
        <f t="shared" si="0"/>
        <v>0.125</v>
      </c>
      <c r="K32" s="48">
        <f>I32+'ENERO 2026'!K32</f>
        <v>7</v>
      </c>
      <c r="L32" s="66">
        <f t="shared" si="2"/>
        <v>0.23333333333333334</v>
      </c>
    </row>
    <row r="33" spans="2:17" x14ac:dyDescent="0.35">
      <c r="B33" s="41">
        <v>5</v>
      </c>
      <c r="C33" s="42" t="s">
        <v>63</v>
      </c>
      <c r="D33" s="43" t="s">
        <v>64</v>
      </c>
      <c r="E33" s="103"/>
      <c r="F33" s="90" t="s">
        <v>116</v>
      </c>
      <c r="G33" s="44" t="s">
        <v>120</v>
      </c>
      <c r="H33" s="48">
        <v>30</v>
      </c>
      <c r="I33" s="68">
        <v>3.75</v>
      </c>
      <c r="J33" s="47">
        <f t="shared" si="0"/>
        <v>0.125</v>
      </c>
      <c r="K33" s="48">
        <f>I33+'ENERO 2026'!K33</f>
        <v>7</v>
      </c>
      <c r="L33" s="66">
        <f t="shared" si="2"/>
        <v>0.23333333333333334</v>
      </c>
    </row>
    <row r="34" spans="2:17" x14ac:dyDescent="0.35">
      <c r="B34" s="41">
        <v>5</v>
      </c>
      <c r="C34" s="42" t="s">
        <v>65</v>
      </c>
      <c r="D34" s="43" t="s">
        <v>66</v>
      </c>
      <c r="E34" s="103"/>
      <c r="F34" s="90" t="s">
        <v>117</v>
      </c>
      <c r="G34" s="44" t="s">
        <v>123</v>
      </c>
      <c r="H34" s="48">
        <v>30</v>
      </c>
      <c r="I34" s="68">
        <v>3.75</v>
      </c>
      <c r="J34" s="47">
        <f t="shared" si="0"/>
        <v>0.125</v>
      </c>
      <c r="K34" s="48">
        <f>I34+'ENERO 2026'!K34</f>
        <v>7</v>
      </c>
      <c r="L34" s="66">
        <f t="shared" si="2"/>
        <v>0.23333333333333334</v>
      </c>
    </row>
    <row r="35" spans="2:17" x14ac:dyDescent="0.35">
      <c r="B35" s="41">
        <v>5</v>
      </c>
      <c r="C35" s="42" t="s">
        <v>67</v>
      </c>
      <c r="D35" s="43" t="s">
        <v>106</v>
      </c>
      <c r="E35" s="103"/>
      <c r="F35" s="90" t="s">
        <v>118</v>
      </c>
      <c r="G35" s="44" t="s">
        <v>121</v>
      </c>
      <c r="H35" s="48">
        <v>28</v>
      </c>
      <c r="I35" s="68">
        <v>3.75</v>
      </c>
      <c r="J35" s="47">
        <f t="shared" si="0"/>
        <v>0.13392857142857142</v>
      </c>
      <c r="K35" s="48">
        <f>I35+'ENERO 2026'!K35</f>
        <v>7</v>
      </c>
      <c r="L35" s="66">
        <f t="shared" si="2"/>
        <v>0.25</v>
      </c>
    </row>
    <row r="36" spans="2:17" s="5" customFormat="1" x14ac:dyDescent="0.35">
      <c r="B36" s="49">
        <v>5</v>
      </c>
      <c r="C36" s="50" t="s">
        <v>68</v>
      </c>
      <c r="D36" s="51" t="s">
        <v>69</v>
      </c>
      <c r="E36" s="104"/>
      <c r="F36" s="91" t="s">
        <v>119</v>
      </c>
      <c r="G36" s="52" t="s">
        <v>120</v>
      </c>
      <c r="H36" s="56">
        <v>28</v>
      </c>
      <c r="I36" s="69">
        <v>3.75</v>
      </c>
      <c r="J36" s="55">
        <f t="shared" si="0"/>
        <v>0.13392857142857142</v>
      </c>
      <c r="K36" s="56">
        <f>I36+'ENERO 2026'!K36</f>
        <v>7</v>
      </c>
      <c r="L36" s="67">
        <f t="shared" si="2"/>
        <v>0.25</v>
      </c>
      <c r="O36" s="8"/>
      <c r="Q36" s="8"/>
    </row>
    <row r="37" spans="2:17" ht="15" customHeight="1" x14ac:dyDescent="0.35">
      <c r="B37" s="33">
        <v>3</v>
      </c>
      <c r="C37" s="34" t="s">
        <v>93</v>
      </c>
      <c r="D37" s="35" t="s">
        <v>107</v>
      </c>
      <c r="E37" s="102" t="s">
        <v>136</v>
      </c>
      <c r="F37" s="89" t="s">
        <v>95</v>
      </c>
      <c r="G37" s="36" t="s">
        <v>31</v>
      </c>
      <c r="H37" s="38">
        <v>78</v>
      </c>
      <c r="I37" s="37">
        <v>12</v>
      </c>
      <c r="J37" s="39">
        <f t="shared" si="0"/>
        <v>0.15384615384615385</v>
      </c>
      <c r="K37" s="37">
        <f>I37+'ENERO 2026'!K37</f>
        <v>26</v>
      </c>
      <c r="L37" s="39">
        <f t="shared" si="2"/>
        <v>0.33333333333333331</v>
      </c>
    </row>
    <row r="38" spans="2:17" x14ac:dyDescent="0.35">
      <c r="B38" s="41">
        <v>3</v>
      </c>
      <c r="C38" s="42" t="s">
        <v>40</v>
      </c>
      <c r="D38" s="43" t="s">
        <v>41</v>
      </c>
      <c r="E38" s="103"/>
      <c r="F38" s="90" t="s">
        <v>42</v>
      </c>
      <c r="G38" s="44" t="s">
        <v>31</v>
      </c>
      <c r="H38" s="46">
        <v>34</v>
      </c>
      <c r="I38" s="45">
        <v>6</v>
      </c>
      <c r="J38" s="47">
        <f t="shared" si="0"/>
        <v>0.17647058823529413</v>
      </c>
      <c r="K38" s="45">
        <f>I38+'ENERO 2026'!K38</f>
        <v>8</v>
      </c>
      <c r="L38" s="47">
        <f t="shared" si="2"/>
        <v>0.23529411764705882</v>
      </c>
    </row>
    <row r="39" spans="2:17" x14ac:dyDescent="0.35">
      <c r="B39" s="41">
        <v>3</v>
      </c>
      <c r="C39" s="42">
        <v>3.14</v>
      </c>
      <c r="D39" s="43" t="s">
        <v>43</v>
      </c>
      <c r="E39" s="103"/>
      <c r="F39" s="90" t="s">
        <v>42</v>
      </c>
      <c r="G39" s="44" t="s">
        <v>31</v>
      </c>
      <c r="H39" s="46">
        <v>30</v>
      </c>
      <c r="I39" s="45">
        <v>6</v>
      </c>
      <c r="J39" s="47">
        <f t="shared" si="0"/>
        <v>0.2</v>
      </c>
      <c r="K39" s="45">
        <f>I39+'ENERO 2026'!K39</f>
        <v>6</v>
      </c>
      <c r="L39" s="47">
        <f t="shared" si="2"/>
        <v>0.2</v>
      </c>
    </row>
    <row r="40" spans="2:17" x14ac:dyDescent="0.35">
      <c r="B40" s="41">
        <v>3</v>
      </c>
      <c r="C40" s="42">
        <v>3.16</v>
      </c>
      <c r="D40" s="43" t="s">
        <v>45</v>
      </c>
      <c r="E40" s="103"/>
      <c r="F40" s="90" t="s">
        <v>147</v>
      </c>
      <c r="G40" s="44" t="s">
        <v>147</v>
      </c>
      <c r="H40" s="46">
        <v>30</v>
      </c>
      <c r="I40" s="45">
        <v>0</v>
      </c>
      <c r="J40" s="47">
        <f t="shared" si="0"/>
        <v>0</v>
      </c>
      <c r="K40" s="45">
        <f>I40+'ENERO 2026'!K40</f>
        <v>0</v>
      </c>
      <c r="L40" s="47">
        <f t="shared" si="2"/>
        <v>0</v>
      </c>
    </row>
    <row r="41" spans="2:17" s="5" customFormat="1" x14ac:dyDescent="0.35">
      <c r="B41" s="41">
        <v>3</v>
      </c>
      <c r="C41" s="42">
        <v>3.17</v>
      </c>
      <c r="D41" s="43" t="s">
        <v>47</v>
      </c>
      <c r="E41" s="103"/>
      <c r="F41" s="90" t="s">
        <v>147</v>
      </c>
      <c r="G41" s="44" t="s">
        <v>147</v>
      </c>
      <c r="H41" s="46">
        <v>34</v>
      </c>
      <c r="I41" s="45">
        <v>0</v>
      </c>
      <c r="J41" s="47">
        <f t="shared" si="0"/>
        <v>0</v>
      </c>
      <c r="K41" s="45">
        <f>I41+'ENERO 2026'!K41</f>
        <v>10</v>
      </c>
      <c r="L41" s="47">
        <f t="shared" si="2"/>
        <v>0.29411764705882354</v>
      </c>
      <c r="O41" s="8"/>
      <c r="Q41" s="8"/>
    </row>
    <row r="42" spans="2:17" x14ac:dyDescent="0.35">
      <c r="B42" s="49">
        <v>3</v>
      </c>
      <c r="C42" s="50">
        <v>3.18</v>
      </c>
      <c r="D42" s="51" t="s">
        <v>105</v>
      </c>
      <c r="E42" s="104"/>
      <c r="F42" s="91" t="s">
        <v>48</v>
      </c>
      <c r="G42" s="52" t="s">
        <v>31</v>
      </c>
      <c r="H42" s="54">
        <v>30</v>
      </c>
      <c r="I42" s="53">
        <v>6</v>
      </c>
      <c r="J42" s="55">
        <f t="shared" si="0"/>
        <v>0.2</v>
      </c>
      <c r="K42" s="53">
        <f>I42+'ENERO 2026'!K42</f>
        <v>6</v>
      </c>
      <c r="L42" s="67">
        <f>IFERROR(K42/H42,0)</f>
        <v>0.2</v>
      </c>
    </row>
    <row r="43" spans="2:17" ht="14.4" customHeight="1" x14ac:dyDescent="0.35">
      <c r="B43" s="33">
        <v>5</v>
      </c>
      <c r="C43" s="34" t="s">
        <v>55</v>
      </c>
      <c r="D43" s="35" t="s">
        <v>56</v>
      </c>
      <c r="E43" s="105" t="s">
        <v>137</v>
      </c>
      <c r="F43" s="89" t="s">
        <v>42</v>
      </c>
      <c r="G43" s="36" t="s">
        <v>31</v>
      </c>
      <c r="H43" s="38">
        <v>30</v>
      </c>
      <c r="I43" s="38">
        <v>7</v>
      </c>
      <c r="J43" s="39">
        <f t="shared" si="0"/>
        <v>0.23333333333333334</v>
      </c>
      <c r="K43" s="40">
        <f>I43+'ENERO 2026'!K43</f>
        <v>12</v>
      </c>
      <c r="L43" s="39">
        <f t="shared" ref="L43:L50" si="3">IFERROR(K43/H43,0)</f>
        <v>0.4</v>
      </c>
    </row>
    <row r="44" spans="2:17" x14ac:dyDescent="0.35">
      <c r="B44" s="57">
        <v>5</v>
      </c>
      <c r="C44" s="58" t="s">
        <v>57</v>
      </c>
      <c r="D44" s="59" t="s">
        <v>58</v>
      </c>
      <c r="E44" s="106"/>
      <c r="F44" s="92" t="s">
        <v>48</v>
      </c>
      <c r="G44" s="60" t="s">
        <v>31</v>
      </c>
      <c r="H44" s="61">
        <v>27</v>
      </c>
      <c r="I44" s="61">
        <v>7</v>
      </c>
      <c r="J44" s="63">
        <f t="shared" si="0"/>
        <v>0.25925925925925924</v>
      </c>
      <c r="K44" s="64">
        <f>I44+'ENERO 2026'!K44</f>
        <v>13</v>
      </c>
      <c r="L44" s="63">
        <f t="shared" si="3"/>
        <v>0.48148148148148145</v>
      </c>
    </row>
    <row r="45" spans="2:17" x14ac:dyDescent="0.35">
      <c r="B45" s="57">
        <v>5</v>
      </c>
      <c r="C45" s="58" t="s">
        <v>59</v>
      </c>
      <c r="D45" s="59" t="s">
        <v>60</v>
      </c>
      <c r="E45" s="106"/>
      <c r="F45" s="92" t="s">
        <v>48</v>
      </c>
      <c r="G45" s="60" t="s">
        <v>31</v>
      </c>
      <c r="H45" s="61">
        <v>35</v>
      </c>
      <c r="I45" s="61">
        <v>4</v>
      </c>
      <c r="J45" s="63">
        <f t="shared" si="0"/>
        <v>0.11428571428571428</v>
      </c>
      <c r="K45" s="64">
        <f>I45+'ENERO 2026'!K45</f>
        <v>4</v>
      </c>
      <c r="L45" s="63">
        <f t="shared" si="3"/>
        <v>0.11428571428571428</v>
      </c>
    </row>
    <row r="46" spans="2:17" x14ac:dyDescent="0.35">
      <c r="B46" s="41">
        <v>5</v>
      </c>
      <c r="C46" s="42" t="s">
        <v>61</v>
      </c>
      <c r="D46" s="43" t="s">
        <v>62</v>
      </c>
      <c r="E46" s="107"/>
      <c r="F46" s="90" t="s">
        <v>147</v>
      </c>
      <c r="G46" s="44" t="s">
        <v>147</v>
      </c>
      <c r="H46" s="46">
        <v>24</v>
      </c>
      <c r="I46" s="46">
        <v>0</v>
      </c>
      <c r="J46" s="47">
        <f>IFERROR(I46/H46,0)</f>
        <v>0</v>
      </c>
      <c r="K46" s="48">
        <f>I46+'ENERO 2026'!K46</f>
        <v>0</v>
      </c>
      <c r="L46" s="47">
        <f t="shared" si="3"/>
        <v>0</v>
      </c>
    </row>
    <row r="47" spans="2:17" x14ac:dyDescent="0.35">
      <c r="B47" s="41">
        <v>5</v>
      </c>
      <c r="C47" s="42" t="s">
        <v>63</v>
      </c>
      <c r="D47" s="43" t="s">
        <v>64</v>
      </c>
      <c r="E47" s="107"/>
      <c r="F47" s="90" t="s">
        <v>48</v>
      </c>
      <c r="G47" s="44" t="s">
        <v>31</v>
      </c>
      <c r="H47" s="46">
        <v>29</v>
      </c>
      <c r="I47" s="46">
        <v>6</v>
      </c>
      <c r="J47" s="47">
        <f>IFERROR(I47/H47,0)</f>
        <v>0.20689655172413793</v>
      </c>
      <c r="K47" s="48">
        <f>I47+'ENERO 2026'!K47</f>
        <v>11</v>
      </c>
      <c r="L47" s="47">
        <f t="shared" si="3"/>
        <v>0.37931034482758619</v>
      </c>
    </row>
    <row r="48" spans="2:17" x14ac:dyDescent="0.35">
      <c r="B48" s="41">
        <v>5</v>
      </c>
      <c r="C48" s="42" t="s">
        <v>65</v>
      </c>
      <c r="D48" s="43" t="s">
        <v>66</v>
      </c>
      <c r="E48" s="107"/>
      <c r="F48" s="90" t="s">
        <v>147</v>
      </c>
      <c r="G48" s="44" t="s">
        <v>147</v>
      </c>
      <c r="H48" s="46">
        <v>23</v>
      </c>
      <c r="I48" s="46">
        <v>0</v>
      </c>
      <c r="J48" s="47">
        <f>IFERROR(I48/H48,0)</f>
        <v>0</v>
      </c>
      <c r="K48" s="48">
        <f>I48+'ENERO 2026'!K48</f>
        <v>0</v>
      </c>
      <c r="L48" s="47">
        <f t="shared" si="3"/>
        <v>0</v>
      </c>
    </row>
    <row r="49" spans="2:17" x14ac:dyDescent="0.35">
      <c r="B49" s="74">
        <v>5</v>
      </c>
      <c r="C49" s="75" t="s">
        <v>68</v>
      </c>
      <c r="D49" s="76" t="s">
        <v>69</v>
      </c>
      <c r="E49" s="108"/>
      <c r="F49" s="93" t="s">
        <v>48</v>
      </c>
      <c r="G49" s="77" t="s">
        <v>31</v>
      </c>
      <c r="H49" s="78">
        <v>19</v>
      </c>
      <c r="I49" s="78">
        <v>3</v>
      </c>
      <c r="J49" s="79">
        <f>IFERROR(I49/H49,0)</f>
        <v>0.15789473684210525</v>
      </c>
      <c r="K49" s="80">
        <f>I49+'ENERO 2026'!K49</f>
        <v>8</v>
      </c>
      <c r="L49" s="79">
        <f t="shared" si="3"/>
        <v>0.42105263157894735</v>
      </c>
    </row>
    <row r="50" spans="2:17" s="5" customFormat="1" x14ac:dyDescent="0.35">
      <c r="B50" s="49">
        <v>5</v>
      </c>
      <c r="C50" s="50" t="s">
        <v>70</v>
      </c>
      <c r="D50" s="51" t="s">
        <v>71</v>
      </c>
      <c r="E50" s="109"/>
      <c r="F50" s="91" t="s">
        <v>48</v>
      </c>
      <c r="G50" s="52" t="s">
        <v>31</v>
      </c>
      <c r="H50" s="54">
        <v>19</v>
      </c>
      <c r="I50" s="54">
        <v>3</v>
      </c>
      <c r="J50" s="55">
        <f>IFERROR(I50/H50,0)</f>
        <v>0.15789473684210525</v>
      </c>
      <c r="K50" s="56">
        <f>I50+'ENERO 2026'!K50</f>
        <v>8</v>
      </c>
      <c r="L50" s="55">
        <f t="shared" si="3"/>
        <v>0.42105263157894735</v>
      </c>
      <c r="O50" s="8"/>
      <c r="Q50" s="8"/>
    </row>
    <row r="51" spans="2:17" ht="15" customHeight="1" x14ac:dyDescent="0.35">
      <c r="B51" s="33">
        <v>1</v>
      </c>
      <c r="C51" s="34" t="s">
        <v>76</v>
      </c>
      <c r="D51" s="35" t="s">
        <v>87</v>
      </c>
      <c r="E51" s="102" t="s">
        <v>138</v>
      </c>
      <c r="F51" s="89" t="s">
        <v>88</v>
      </c>
      <c r="G51" s="36" t="s">
        <v>31</v>
      </c>
      <c r="H51" s="38">
        <v>59</v>
      </c>
      <c r="I51" s="37">
        <v>17</v>
      </c>
      <c r="J51" s="39">
        <f t="shared" ref="J51:J69" si="4">IFERROR(I51/H51,0)</f>
        <v>0.28813559322033899</v>
      </c>
      <c r="K51" s="37">
        <f>I51+'ENERO 2026'!K51</f>
        <v>26</v>
      </c>
      <c r="L51" s="39">
        <f>IFERROR(K51/H51,0)</f>
        <v>0.44067796610169491</v>
      </c>
    </row>
    <row r="52" spans="2:17" x14ac:dyDescent="0.35">
      <c r="B52" s="41">
        <v>1</v>
      </c>
      <c r="C52" s="42" t="s">
        <v>78</v>
      </c>
      <c r="D52" s="43" t="s">
        <v>81</v>
      </c>
      <c r="E52" s="103"/>
      <c r="F52" s="90" t="s">
        <v>86</v>
      </c>
      <c r="G52" s="44" t="s">
        <v>31</v>
      </c>
      <c r="H52" s="46">
        <v>59</v>
      </c>
      <c r="I52" s="45">
        <v>5</v>
      </c>
      <c r="J52" s="47">
        <f t="shared" si="4"/>
        <v>8.4745762711864403E-2</v>
      </c>
      <c r="K52" s="45">
        <f>I52+'ENERO 2026'!K52</f>
        <v>15</v>
      </c>
      <c r="L52" s="47">
        <f>IFERROR(K52/H52,0)</f>
        <v>0.25423728813559321</v>
      </c>
    </row>
    <row r="53" spans="2:17" x14ac:dyDescent="0.35">
      <c r="B53" s="41">
        <v>1</v>
      </c>
      <c r="C53" s="42" t="s">
        <v>79</v>
      </c>
      <c r="D53" s="43" t="s">
        <v>89</v>
      </c>
      <c r="E53" s="103"/>
      <c r="F53" s="90" t="s">
        <v>147</v>
      </c>
      <c r="G53" s="44" t="s">
        <v>147</v>
      </c>
      <c r="H53" s="46">
        <v>59</v>
      </c>
      <c r="I53" s="45">
        <v>0</v>
      </c>
      <c r="J53" s="47">
        <f t="shared" si="4"/>
        <v>0</v>
      </c>
      <c r="K53" s="45">
        <f>I53+'ENERO 2026'!K53</f>
        <v>4</v>
      </c>
      <c r="L53" s="47">
        <f>IFERROR(K53/H53,0)</f>
        <v>6.7796610169491525E-2</v>
      </c>
    </row>
    <row r="54" spans="2:17" x14ac:dyDescent="0.35">
      <c r="B54" s="49">
        <v>1</v>
      </c>
      <c r="C54" s="50" t="s">
        <v>90</v>
      </c>
      <c r="D54" s="51" t="s">
        <v>91</v>
      </c>
      <c r="E54" s="104"/>
      <c r="F54" s="91" t="s">
        <v>92</v>
      </c>
      <c r="G54" s="52" t="s">
        <v>31</v>
      </c>
      <c r="H54" s="54">
        <v>59</v>
      </c>
      <c r="I54" s="53">
        <v>8</v>
      </c>
      <c r="J54" s="55">
        <f t="shared" si="4"/>
        <v>0.13559322033898305</v>
      </c>
      <c r="K54" s="53">
        <f>I54+'ENERO 2026'!K54</f>
        <v>11</v>
      </c>
      <c r="L54" s="55">
        <f t="shared" ref="L54:L59" si="5">IFERROR(K54/H54,0)</f>
        <v>0.1864406779661017</v>
      </c>
    </row>
    <row r="55" spans="2:17" s="5" customFormat="1" ht="14.4" customHeight="1" x14ac:dyDescent="0.35">
      <c r="B55" s="33">
        <v>3</v>
      </c>
      <c r="C55" s="34" t="s">
        <v>93</v>
      </c>
      <c r="D55" s="35" t="s">
        <v>94</v>
      </c>
      <c r="E55" s="102" t="s">
        <v>139</v>
      </c>
      <c r="F55" s="89" t="s">
        <v>147</v>
      </c>
      <c r="G55" s="36" t="s">
        <v>147</v>
      </c>
      <c r="H55" s="38">
        <v>28</v>
      </c>
      <c r="I55" s="37">
        <v>0</v>
      </c>
      <c r="J55" s="39">
        <f t="shared" si="4"/>
        <v>0</v>
      </c>
      <c r="K55" s="37">
        <f>I55+'ENERO 2026'!K55</f>
        <v>0</v>
      </c>
      <c r="L55" s="39">
        <f t="shared" si="5"/>
        <v>0</v>
      </c>
      <c r="O55" s="8"/>
      <c r="Q55" s="8"/>
    </row>
    <row r="56" spans="2:17" x14ac:dyDescent="0.35">
      <c r="B56" s="41">
        <v>3</v>
      </c>
      <c r="C56" s="42" t="s">
        <v>96</v>
      </c>
      <c r="D56" s="43" t="s">
        <v>97</v>
      </c>
      <c r="E56" s="103"/>
      <c r="F56" s="90" t="s">
        <v>98</v>
      </c>
      <c r="G56" s="44" t="s">
        <v>31</v>
      </c>
      <c r="H56" s="46">
        <v>29</v>
      </c>
      <c r="I56" s="45">
        <v>5</v>
      </c>
      <c r="J56" s="47">
        <f t="shared" si="4"/>
        <v>0.17241379310344829</v>
      </c>
      <c r="K56" s="45">
        <f>I56+'ENERO 2026'!K56</f>
        <v>5</v>
      </c>
      <c r="L56" s="47">
        <f t="shared" si="5"/>
        <v>0.17241379310344829</v>
      </c>
    </row>
    <row r="57" spans="2:17" x14ac:dyDescent="0.35">
      <c r="B57" s="41">
        <v>3</v>
      </c>
      <c r="C57" s="42" t="s">
        <v>50</v>
      </c>
      <c r="D57" s="43" t="s">
        <v>99</v>
      </c>
      <c r="E57" s="103"/>
      <c r="F57" s="90" t="s">
        <v>100</v>
      </c>
      <c r="G57" s="44" t="s">
        <v>31</v>
      </c>
      <c r="H57" s="46">
        <v>29</v>
      </c>
      <c r="I57" s="45">
        <v>5</v>
      </c>
      <c r="J57" s="47">
        <f t="shared" si="4"/>
        <v>0.17241379310344829</v>
      </c>
      <c r="K57" s="45">
        <f>I57+'ENERO 2026'!K57</f>
        <v>5</v>
      </c>
      <c r="L57" s="47">
        <f t="shared" si="5"/>
        <v>0.17241379310344829</v>
      </c>
    </row>
    <row r="58" spans="2:17" x14ac:dyDescent="0.35">
      <c r="B58" s="41">
        <v>3</v>
      </c>
      <c r="C58" s="42" t="s">
        <v>101</v>
      </c>
      <c r="D58" s="43" t="s">
        <v>102</v>
      </c>
      <c r="E58" s="103"/>
      <c r="F58" s="90" t="s">
        <v>103</v>
      </c>
      <c r="G58" s="44" t="s">
        <v>31</v>
      </c>
      <c r="H58" s="46">
        <v>30</v>
      </c>
      <c r="I58" s="45">
        <v>8</v>
      </c>
      <c r="J58" s="47">
        <f t="shared" si="4"/>
        <v>0.26666666666666666</v>
      </c>
      <c r="K58" s="45">
        <f>I58+'ENERO 2026'!K58</f>
        <v>16</v>
      </c>
      <c r="L58" s="47">
        <f t="shared" si="5"/>
        <v>0.53333333333333333</v>
      </c>
    </row>
    <row r="59" spans="2:17" x14ac:dyDescent="0.35">
      <c r="B59" s="41">
        <v>3</v>
      </c>
      <c r="C59" s="42" t="s">
        <v>72</v>
      </c>
      <c r="D59" s="43" t="s">
        <v>73</v>
      </c>
      <c r="E59" s="103"/>
      <c r="F59" s="90" t="s">
        <v>74</v>
      </c>
      <c r="G59" s="44" t="s">
        <v>31</v>
      </c>
      <c r="H59" s="46">
        <v>30</v>
      </c>
      <c r="I59" s="45">
        <v>4</v>
      </c>
      <c r="J59" s="47">
        <f t="shared" si="4"/>
        <v>0.13333333333333333</v>
      </c>
      <c r="K59" s="45">
        <f>I59+'ENERO 2026'!K59</f>
        <v>9</v>
      </c>
      <c r="L59" s="47">
        <f t="shared" si="5"/>
        <v>0.3</v>
      </c>
    </row>
    <row r="60" spans="2:17" x14ac:dyDescent="0.35">
      <c r="B60" s="41">
        <v>3</v>
      </c>
      <c r="C60" s="42" t="s">
        <v>44</v>
      </c>
      <c r="D60" s="43" t="s">
        <v>45</v>
      </c>
      <c r="E60" s="103"/>
      <c r="F60" s="90" t="s">
        <v>147</v>
      </c>
      <c r="G60" s="44" t="s">
        <v>147</v>
      </c>
      <c r="H60" s="46">
        <v>30</v>
      </c>
      <c r="I60" s="45">
        <v>0</v>
      </c>
      <c r="J60" s="47">
        <f t="shared" si="4"/>
        <v>0</v>
      </c>
      <c r="K60" s="45">
        <f>I60+'ENERO 2026'!K60</f>
        <v>2</v>
      </c>
      <c r="L60" s="47">
        <f>IFERROR(K60/H60,0)</f>
        <v>6.6666666666666666E-2</v>
      </c>
    </row>
    <row r="61" spans="2:17" x14ac:dyDescent="0.35">
      <c r="B61" s="41">
        <v>3</v>
      </c>
      <c r="C61" s="42" t="s">
        <v>46</v>
      </c>
      <c r="D61" s="43" t="s">
        <v>47</v>
      </c>
      <c r="E61" s="103"/>
      <c r="F61" s="90" t="s">
        <v>48</v>
      </c>
      <c r="G61" s="44" t="s">
        <v>31</v>
      </c>
      <c r="H61" s="46">
        <v>30</v>
      </c>
      <c r="I61" s="45">
        <v>5</v>
      </c>
      <c r="J61" s="47">
        <f t="shared" si="4"/>
        <v>0.16666666666666666</v>
      </c>
      <c r="K61" s="45">
        <f>I61+'ENERO 2026'!K61</f>
        <v>10</v>
      </c>
      <c r="L61" s="47">
        <f>IFERROR(K61/H61,0)</f>
        <v>0.33333333333333331</v>
      </c>
    </row>
    <row r="62" spans="2:17" x14ac:dyDescent="0.35">
      <c r="B62" s="49">
        <v>3</v>
      </c>
      <c r="C62" s="50" t="s">
        <v>49</v>
      </c>
      <c r="D62" s="51" t="s">
        <v>105</v>
      </c>
      <c r="E62" s="104"/>
      <c r="F62" s="91" t="s">
        <v>48</v>
      </c>
      <c r="G62" s="52" t="s">
        <v>31</v>
      </c>
      <c r="H62" s="54">
        <v>30</v>
      </c>
      <c r="I62" s="53">
        <v>3</v>
      </c>
      <c r="J62" s="55">
        <f t="shared" si="4"/>
        <v>0.1</v>
      </c>
      <c r="K62" s="53">
        <f>I62+'ENERO 2026'!K62</f>
        <v>9</v>
      </c>
      <c r="L62" s="55">
        <f>IFERROR(K62/H62,0)</f>
        <v>0.3</v>
      </c>
    </row>
    <row r="63" spans="2:17" ht="14.4" customHeight="1" x14ac:dyDescent="0.35">
      <c r="B63" s="33">
        <v>3</v>
      </c>
      <c r="C63" s="34" t="s">
        <v>93</v>
      </c>
      <c r="D63" s="35" t="s">
        <v>108</v>
      </c>
      <c r="E63" s="117" t="s">
        <v>140</v>
      </c>
      <c r="F63" s="89" t="s">
        <v>95</v>
      </c>
      <c r="G63" s="36" t="s">
        <v>31</v>
      </c>
      <c r="H63" s="40">
        <v>113</v>
      </c>
      <c r="I63" s="37">
        <v>14</v>
      </c>
      <c r="J63" s="39">
        <f t="shared" si="4"/>
        <v>0.12389380530973451</v>
      </c>
      <c r="K63" s="40">
        <f>I63+'ENERO 2026'!K63</f>
        <v>25</v>
      </c>
      <c r="L63" s="65">
        <f>IFERROR(K63/H63,0)</f>
        <v>0.22123893805309736</v>
      </c>
    </row>
    <row r="64" spans="2:17" x14ac:dyDescent="0.35">
      <c r="B64" s="41">
        <v>3</v>
      </c>
      <c r="C64" s="42" t="s">
        <v>109</v>
      </c>
      <c r="D64" s="43" t="s">
        <v>110</v>
      </c>
      <c r="E64" s="118"/>
      <c r="F64" s="90" t="s">
        <v>98</v>
      </c>
      <c r="G64" s="44" t="s">
        <v>31</v>
      </c>
      <c r="H64" s="48">
        <v>48</v>
      </c>
      <c r="I64" s="45">
        <v>6</v>
      </c>
      <c r="J64" s="47">
        <f t="shared" si="4"/>
        <v>0.125</v>
      </c>
      <c r="K64" s="48">
        <f>I64+'ENERO 2026'!K64</f>
        <v>11</v>
      </c>
      <c r="L64" s="66">
        <f>IFERROR(K64/H64,0)</f>
        <v>0.22916666666666666</v>
      </c>
    </row>
    <row r="65" spans="2:17" x14ac:dyDescent="0.35">
      <c r="B65" s="41">
        <v>3</v>
      </c>
      <c r="C65" s="42" t="s">
        <v>51</v>
      </c>
      <c r="D65" s="43" t="s">
        <v>52</v>
      </c>
      <c r="E65" s="118"/>
      <c r="F65" s="90" t="s">
        <v>111</v>
      </c>
      <c r="G65" s="44" t="s">
        <v>31</v>
      </c>
      <c r="H65" s="48">
        <v>15</v>
      </c>
      <c r="I65" s="45">
        <v>2</v>
      </c>
      <c r="J65" s="47">
        <f t="shared" si="4"/>
        <v>0.13333333333333333</v>
      </c>
      <c r="K65" s="48">
        <f>I65+'ENERO 2026'!K65</f>
        <v>4</v>
      </c>
      <c r="L65" s="66">
        <f t="shared" ref="L65:L69" si="6">IFERROR(K65/H65,0)</f>
        <v>0.26666666666666666</v>
      </c>
    </row>
    <row r="66" spans="2:17" x14ac:dyDescent="0.35">
      <c r="B66" s="41">
        <v>3</v>
      </c>
      <c r="C66" s="42" t="s">
        <v>53</v>
      </c>
      <c r="D66" s="43" t="s">
        <v>112</v>
      </c>
      <c r="E66" s="118"/>
      <c r="F66" s="90" t="s">
        <v>54</v>
      </c>
      <c r="G66" s="44" t="s">
        <v>31</v>
      </c>
      <c r="H66" s="48">
        <v>15</v>
      </c>
      <c r="I66" s="45">
        <v>2</v>
      </c>
      <c r="J66" s="47">
        <f t="shared" si="4"/>
        <v>0.13333333333333333</v>
      </c>
      <c r="K66" s="48">
        <f>I66+'ENERO 2026'!K66</f>
        <v>4</v>
      </c>
      <c r="L66" s="66">
        <f t="shared" si="6"/>
        <v>0.26666666666666666</v>
      </c>
    </row>
    <row r="67" spans="2:17" s="5" customFormat="1" x14ac:dyDescent="0.35">
      <c r="B67" s="41">
        <v>3</v>
      </c>
      <c r="C67" s="42" t="s">
        <v>44</v>
      </c>
      <c r="D67" s="43" t="s">
        <v>45</v>
      </c>
      <c r="E67" s="118"/>
      <c r="F67" s="90" t="s">
        <v>104</v>
      </c>
      <c r="G67" s="44" t="s">
        <v>31</v>
      </c>
      <c r="H67" s="48">
        <v>15</v>
      </c>
      <c r="I67" s="45">
        <v>2</v>
      </c>
      <c r="J67" s="47">
        <f t="shared" si="4"/>
        <v>0.13333333333333333</v>
      </c>
      <c r="K67" s="48">
        <f>I67+'ENERO 2026'!K67</f>
        <v>4</v>
      </c>
      <c r="L67" s="66">
        <f t="shared" si="6"/>
        <v>0.26666666666666666</v>
      </c>
      <c r="O67" s="8"/>
      <c r="Q67" s="8"/>
    </row>
    <row r="68" spans="2:17" x14ac:dyDescent="0.35">
      <c r="B68" s="41">
        <v>3</v>
      </c>
      <c r="C68" s="42" t="s">
        <v>46</v>
      </c>
      <c r="D68" s="43" t="s">
        <v>47</v>
      </c>
      <c r="E68" s="118"/>
      <c r="F68" s="90" t="s">
        <v>48</v>
      </c>
      <c r="G68" s="44" t="s">
        <v>31</v>
      </c>
      <c r="H68" s="48">
        <v>15</v>
      </c>
      <c r="I68" s="45">
        <v>2</v>
      </c>
      <c r="J68" s="47">
        <f t="shared" si="4"/>
        <v>0.13333333333333333</v>
      </c>
      <c r="K68" s="48">
        <f>I68+'ENERO 2026'!K68</f>
        <v>4</v>
      </c>
      <c r="L68" s="66">
        <f t="shared" si="6"/>
        <v>0.26666666666666666</v>
      </c>
    </row>
    <row r="69" spans="2:17" x14ac:dyDescent="0.35">
      <c r="B69" s="49">
        <v>3</v>
      </c>
      <c r="C69" s="50" t="s">
        <v>49</v>
      </c>
      <c r="D69" s="51" t="s">
        <v>105</v>
      </c>
      <c r="E69" s="119"/>
      <c r="F69" s="91" t="s">
        <v>48</v>
      </c>
      <c r="G69" s="52" t="s">
        <v>31</v>
      </c>
      <c r="H69" s="56">
        <v>15</v>
      </c>
      <c r="I69" s="53">
        <v>2</v>
      </c>
      <c r="J69" s="55">
        <f t="shared" si="4"/>
        <v>0.13333333333333333</v>
      </c>
      <c r="K69" s="56">
        <f>I69+'ENERO 2026'!K69</f>
        <v>4</v>
      </c>
      <c r="L69" s="67">
        <f t="shared" si="6"/>
        <v>0.26666666666666666</v>
      </c>
    </row>
    <row r="70" spans="2:17" x14ac:dyDescent="0.35">
      <c r="B70" s="13">
        <v>3</v>
      </c>
      <c r="C70" s="13" t="s">
        <v>93</v>
      </c>
      <c r="D70" s="99" t="s">
        <v>108</v>
      </c>
      <c r="E70" s="101" t="s">
        <v>149</v>
      </c>
      <c r="F70" s="100" t="s">
        <v>95</v>
      </c>
      <c r="G70" s="13" t="s">
        <v>31</v>
      </c>
      <c r="H70" s="97">
        <v>180</v>
      </c>
      <c r="I70" s="98">
        <v>29</v>
      </c>
      <c r="J70" s="55">
        <f t="shared" ref="J70" si="7">IFERROR(I70/H70,0)</f>
        <v>0.16111111111111112</v>
      </c>
      <c r="K70" s="56">
        <f>+I70</f>
        <v>29</v>
      </c>
      <c r="L70" s="67">
        <f t="shared" ref="L70" si="8">IFERROR(K70/H70,0)</f>
        <v>0.16111111111111112</v>
      </c>
    </row>
    <row r="71" spans="2:17" s="5" customFormat="1" x14ac:dyDescent="0.35">
      <c r="B71" s="4"/>
      <c r="C71" s="4"/>
      <c r="D71" s="4"/>
      <c r="E71" s="4"/>
      <c r="F71" s="4"/>
      <c r="G71" s="72"/>
      <c r="H71" s="116" t="s">
        <v>32</v>
      </c>
      <c r="I71" s="116"/>
      <c r="J71" s="116"/>
      <c r="K71" s="116"/>
      <c r="L71" s="116"/>
      <c r="O71"/>
      <c r="Q71"/>
    </row>
    <row r="72" spans="2:17" s="5" customFormat="1" x14ac:dyDescent="0.35">
      <c r="B72" s="4"/>
      <c r="C72" s="4"/>
      <c r="H72" s="26">
        <f>+SUM(H13:H70)</f>
        <v>2038</v>
      </c>
      <c r="I72" s="26">
        <f>+SUM(I13:I70)</f>
        <v>269</v>
      </c>
      <c r="J72" s="9">
        <f>IFERROR(I72/H72,0)</f>
        <v>0.13199214916584887</v>
      </c>
      <c r="K72" s="26">
        <f>+SUM(K13:K70)</f>
        <v>477</v>
      </c>
      <c r="L72" s="9">
        <f>IFERROR(K72/H72,0)</f>
        <v>0.23405299313052011</v>
      </c>
      <c r="O72"/>
      <c r="Q72"/>
    </row>
    <row r="73" spans="2:17" s="5" customFormat="1" x14ac:dyDescent="0.35">
      <c r="B73" s="4"/>
      <c r="C73" s="4"/>
      <c r="I73" s="15"/>
      <c r="J73" s="16"/>
      <c r="K73" s="17"/>
      <c r="L73" s="16"/>
      <c r="O73"/>
      <c r="Q73"/>
    </row>
    <row r="74" spans="2:17" s="5" customFormat="1" x14ac:dyDescent="0.35">
      <c r="B74" s="4"/>
      <c r="C74" s="4"/>
      <c r="I74" s="15"/>
      <c r="J74" s="16"/>
      <c r="K74" s="17"/>
      <c r="L74" s="16"/>
      <c r="O74"/>
      <c r="Q74"/>
    </row>
    <row r="75" spans="2:17" s="29" customFormat="1" ht="24" customHeight="1" x14ac:dyDescent="0.35">
      <c r="B75" s="138" t="s">
        <v>133</v>
      </c>
      <c r="C75" s="139"/>
      <c r="D75" s="128" t="s">
        <v>142</v>
      </c>
      <c r="E75" s="129"/>
      <c r="F75" s="129"/>
      <c r="G75" s="129"/>
      <c r="H75" s="129"/>
      <c r="I75" s="129"/>
      <c r="J75" s="129"/>
      <c r="K75" s="129"/>
      <c r="L75" s="130"/>
      <c r="O75" s="28"/>
      <c r="Q75" s="28"/>
    </row>
    <row r="76" spans="2:17" s="29" customFormat="1" ht="51" customHeight="1" x14ac:dyDescent="0.35">
      <c r="B76" s="140"/>
      <c r="C76" s="141"/>
      <c r="D76" s="128" t="s">
        <v>145</v>
      </c>
      <c r="E76" s="129"/>
      <c r="F76" s="129"/>
      <c r="G76" s="129"/>
      <c r="H76" s="129"/>
      <c r="I76" s="129"/>
      <c r="J76" s="129"/>
      <c r="K76" s="129"/>
      <c r="L76" s="130"/>
      <c r="O76" s="28"/>
      <c r="Q76" s="28"/>
    </row>
    <row r="77" spans="2:17" s="30" customFormat="1" ht="16.25" customHeight="1" x14ac:dyDescent="0.35">
      <c r="B77" s="142"/>
      <c r="C77" s="143"/>
      <c r="D77" s="128" t="s">
        <v>146</v>
      </c>
      <c r="E77" s="129"/>
      <c r="F77" s="129"/>
      <c r="G77" s="129"/>
      <c r="H77" s="129"/>
      <c r="I77" s="129"/>
      <c r="J77" s="129"/>
      <c r="K77" s="129"/>
      <c r="L77" s="130"/>
      <c r="O77" s="31"/>
      <c r="Q77" s="31"/>
    </row>
    <row r="78" spans="2:17" x14ac:dyDescent="0.35">
      <c r="B78" s="131" t="s">
        <v>34</v>
      </c>
      <c r="C78" s="132"/>
      <c r="D78" s="132"/>
      <c r="E78" s="132"/>
      <c r="F78" s="132"/>
      <c r="G78" s="132"/>
      <c r="H78" s="132"/>
      <c r="I78" s="132"/>
      <c r="J78" s="132"/>
      <c r="K78" s="132"/>
      <c r="L78" s="133"/>
    </row>
    <row r="79" spans="2:17" x14ac:dyDescent="0.35">
      <c r="B79" s="134"/>
      <c r="C79" s="135"/>
      <c r="D79" s="135"/>
      <c r="E79" s="135"/>
      <c r="F79" s="135"/>
      <c r="G79" s="135"/>
      <c r="H79" s="135"/>
      <c r="I79" s="135"/>
      <c r="J79" s="135"/>
      <c r="K79" s="135"/>
      <c r="L79" s="136"/>
    </row>
    <row r="80" spans="2:17" x14ac:dyDescent="0.35">
      <c r="B80" s="10" t="s">
        <v>35</v>
      </c>
      <c r="C80" s="11"/>
      <c r="D80" s="11"/>
      <c r="E80" s="11"/>
      <c r="F80" s="11"/>
      <c r="G80" s="11"/>
      <c r="H80" s="11"/>
      <c r="I80" s="11"/>
      <c r="J80" s="11"/>
      <c r="K80" s="11"/>
      <c r="L80" s="12"/>
    </row>
    <row r="81" spans="2:12" ht="24.5" x14ac:dyDescent="0.45">
      <c r="B81" s="13" t="s">
        <v>36</v>
      </c>
      <c r="C81" s="14"/>
      <c r="D81" s="137" t="s">
        <v>33</v>
      </c>
      <c r="E81" s="137"/>
      <c r="F81" s="137"/>
      <c r="G81" s="137"/>
      <c r="H81" s="137"/>
      <c r="I81" s="137"/>
      <c r="J81" s="137"/>
      <c r="K81" s="137"/>
      <c r="L81" s="137"/>
    </row>
    <row r="82" spans="2:12" ht="24.5" x14ac:dyDescent="0.45">
      <c r="B82" s="13" t="s">
        <v>37</v>
      </c>
      <c r="C82" s="14"/>
      <c r="D82" s="137"/>
      <c r="E82" s="137"/>
      <c r="F82" s="137"/>
      <c r="G82" s="137"/>
      <c r="H82" s="137"/>
      <c r="I82" s="137"/>
      <c r="J82" s="137"/>
      <c r="K82" s="137"/>
      <c r="L82" s="137"/>
    </row>
    <row r="83" spans="2:12" x14ac:dyDescent="0.35">
      <c r="B83" s="122" t="s">
        <v>34</v>
      </c>
      <c r="C83" s="123"/>
      <c r="D83" s="123"/>
      <c r="E83" s="123"/>
      <c r="F83" s="123"/>
      <c r="G83" s="123"/>
      <c r="H83" s="123"/>
      <c r="I83" s="123"/>
      <c r="J83" s="123"/>
      <c r="K83" s="123"/>
      <c r="L83" s="124"/>
    </row>
    <row r="84" spans="2:12" x14ac:dyDescent="0.35">
      <c r="B84" s="125"/>
      <c r="C84" s="126"/>
      <c r="D84" s="126"/>
      <c r="E84" s="126"/>
      <c r="F84" s="126"/>
      <c r="G84" s="126"/>
      <c r="H84" s="126"/>
      <c r="I84" s="126"/>
      <c r="J84" s="126"/>
      <c r="K84" s="126"/>
      <c r="L84" s="127"/>
    </row>
    <row r="85" spans="2:12" x14ac:dyDescent="0.35">
      <c r="B85" s="10" t="s">
        <v>38</v>
      </c>
      <c r="C85" s="11"/>
      <c r="D85" s="11"/>
      <c r="E85" s="11"/>
      <c r="F85" s="11"/>
      <c r="G85" s="11"/>
      <c r="H85" s="11"/>
      <c r="I85" s="11"/>
      <c r="J85" s="11"/>
      <c r="K85" s="11"/>
      <c r="L85" s="12"/>
    </row>
    <row r="86" spans="2:12" ht="24.5" x14ac:dyDescent="0.45">
      <c r="B86" s="13" t="s">
        <v>36</v>
      </c>
      <c r="C86" s="14"/>
      <c r="D86" s="137" t="s">
        <v>33</v>
      </c>
      <c r="E86" s="137"/>
      <c r="F86" s="137"/>
      <c r="G86" s="137"/>
      <c r="H86" s="137"/>
      <c r="I86" s="137"/>
      <c r="J86" s="137"/>
      <c r="K86" s="137"/>
      <c r="L86" s="137"/>
    </row>
    <row r="87" spans="2:12" ht="24.5" x14ac:dyDescent="0.45">
      <c r="B87" s="13" t="s">
        <v>37</v>
      </c>
      <c r="C87" s="14"/>
      <c r="D87" s="137"/>
      <c r="E87" s="137"/>
      <c r="F87" s="137"/>
      <c r="G87" s="137"/>
      <c r="H87" s="137"/>
      <c r="I87" s="137"/>
      <c r="J87" s="137"/>
      <c r="K87" s="137"/>
      <c r="L87" s="137"/>
    </row>
    <row r="90" spans="2:12" x14ac:dyDescent="0.35">
      <c r="B90" s="144"/>
      <c r="C90" s="144"/>
      <c r="D90" s="144"/>
      <c r="E90" s="82"/>
      <c r="I90" s="144"/>
      <c r="J90" s="144"/>
      <c r="K90" s="144"/>
    </row>
    <row r="91" spans="2:12" ht="19.25" customHeight="1" x14ac:dyDescent="0.35">
      <c r="B91" s="4" t="s">
        <v>39</v>
      </c>
      <c r="C91" s="120"/>
      <c r="D91" s="120"/>
      <c r="E91" s="72"/>
      <c r="I91" s="121" t="s">
        <v>150</v>
      </c>
      <c r="J91" s="121"/>
      <c r="K91" s="121"/>
    </row>
    <row r="118" spans="1:18" s="1" customFormat="1" x14ac:dyDescent="0.35">
      <c r="A118" t="s">
        <v>0</v>
      </c>
      <c r="M118" s="2"/>
      <c r="N118" s="2"/>
      <c r="O118"/>
      <c r="P118" s="2"/>
      <c r="Q118"/>
      <c r="R118" s="2"/>
    </row>
    <row r="119" spans="1:18" s="1" customFormat="1" x14ac:dyDescent="0.35">
      <c r="A119" t="s">
        <v>2</v>
      </c>
      <c r="M119" s="2"/>
      <c r="N119" s="2"/>
      <c r="O119"/>
      <c r="P119" s="2"/>
      <c r="Q119"/>
      <c r="R119" s="2"/>
    </row>
    <row r="120" spans="1:18" s="1" customFormat="1" x14ac:dyDescent="0.35">
      <c r="A120" t="s">
        <v>6</v>
      </c>
      <c r="M120" s="2"/>
      <c r="N120" s="2"/>
      <c r="O120"/>
      <c r="P120" s="2"/>
      <c r="Q120"/>
      <c r="R120" s="2"/>
    </row>
    <row r="121" spans="1:18" s="1" customFormat="1" x14ac:dyDescent="0.35">
      <c r="A121" t="s">
        <v>8</v>
      </c>
      <c r="M121" s="2"/>
      <c r="N121" s="2"/>
      <c r="O121"/>
      <c r="P121" s="2"/>
      <c r="Q121"/>
      <c r="R121" s="2"/>
    </row>
    <row r="122" spans="1:18" s="1" customFormat="1" x14ac:dyDescent="0.35">
      <c r="A122" t="s">
        <v>9</v>
      </c>
      <c r="M122" s="2"/>
      <c r="N122" s="2"/>
      <c r="O122"/>
      <c r="P122" s="2"/>
      <c r="Q122"/>
      <c r="R122" s="2"/>
    </row>
    <row r="123" spans="1:18" s="1" customFormat="1" x14ac:dyDescent="0.35">
      <c r="A123" t="s">
        <v>10</v>
      </c>
      <c r="B123" s="2"/>
      <c r="M123" s="2"/>
      <c r="N123" s="2"/>
      <c r="O123"/>
      <c r="P123" s="2"/>
      <c r="Q123"/>
      <c r="R123" s="2"/>
    </row>
    <row r="124" spans="1:18" s="1" customFormat="1" x14ac:dyDescent="0.35">
      <c r="A124" t="s">
        <v>11</v>
      </c>
      <c r="B124" s="2"/>
      <c r="M124" s="2"/>
      <c r="N124" s="2"/>
      <c r="O124"/>
      <c r="P124" s="2"/>
      <c r="Q124"/>
      <c r="R124" s="2"/>
    </row>
    <row r="125" spans="1:18" s="1" customFormat="1" x14ac:dyDescent="0.35">
      <c r="A125" t="s">
        <v>13</v>
      </c>
      <c r="B125" s="2"/>
      <c r="M125" s="2"/>
      <c r="N125" s="2"/>
      <c r="O125"/>
      <c r="P125" s="2"/>
      <c r="Q125"/>
      <c r="R125" s="2"/>
    </row>
    <row r="126" spans="1:18" s="1" customFormat="1" x14ac:dyDescent="0.35">
      <c r="A126" t="s">
        <v>14</v>
      </c>
      <c r="B126" s="5"/>
      <c r="M126" s="2"/>
      <c r="N126" s="2"/>
      <c r="O126"/>
      <c r="P126" s="2"/>
      <c r="Q126"/>
      <c r="R126" s="2"/>
    </row>
    <row r="127" spans="1:18" s="1" customFormat="1" x14ac:dyDescent="0.35">
      <c r="A127" t="s">
        <v>16</v>
      </c>
      <c r="B127" s="2"/>
      <c r="M127" s="2"/>
      <c r="N127" s="2"/>
      <c r="O127"/>
      <c r="P127" s="2"/>
      <c r="Q127"/>
      <c r="R127" s="2"/>
    </row>
    <row r="128" spans="1:18" s="1" customFormat="1" x14ac:dyDescent="0.35">
      <c r="A128" t="s">
        <v>17</v>
      </c>
      <c r="B128" s="5"/>
      <c r="M128" s="2"/>
      <c r="N128" s="2"/>
      <c r="O128"/>
      <c r="P128" s="2"/>
      <c r="Q128"/>
      <c r="R128" s="2"/>
    </row>
    <row r="129" spans="1:18" s="1" customFormat="1" x14ac:dyDescent="0.35">
      <c r="A129" t="s">
        <v>21</v>
      </c>
      <c r="B129" s="5"/>
      <c r="M129" s="2"/>
      <c r="N129" s="2"/>
      <c r="O129"/>
      <c r="P129" s="2"/>
      <c r="Q129"/>
      <c r="R129" s="2"/>
    </row>
    <row r="130" spans="1:18" s="1" customFormat="1" x14ac:dyDescent="0.35">
      <c r="A130" t="s">
        <v>30</v>
      </c>
      <c r="B130" s="5"/>
      <c r="M130" s="2"/>
      <c r="N130" s="2"/>
      <c r="O130"/>
      <c r="P130" s="2"/>
      <c r="Q130"/>
      <c r="R130" s="2"/>
    </row>
    <row r="131" spans="1:18" x14ac:dyDescent="0.35">
      <c r="B131" s="5"/>
    </row>
    <row r="132" spans="1:18" x14ac:dyDescent="0.35">
      <c r="B132" s="5"/>
    </row>
    <row r="133" spans="1:18" s="1" customFormat="1" x14ac:dyDescent="0.35">
      <c r="B133" s="2"/>
      <c r="M133" s="2"/>
      <c r="N133" s="2"/>
      <c r="O133"/>
      <c r="P133" s="2"/>
      <c r="Q133"/>
    </row>
    <row r="134" spans="1:18" s="1" customFormat="1" x14ac:dyDescent="0.35">
      <c r="B134" s="2"/>
      <c r="M134" s="2"/>
      <c r="N134" s="2"/>
      <c r="O134"/>
      <c r="P134" s="2"/>
      <c r="Q134"/>
    </row>
    <row r="135" spans="1:18" s="1" customFormat="1" x14ac:dyDescent="0.35">
      <c r="B135" s="2"/>
      <c r="M135" s="2"/>
      <c r="N135" s="2"/>
      <c r="O135"/>
      <c r="P135" s="2"/>
      <c r="Q135"/>
    </row>
  </sheetData>
  <sheetProtection formatCells="0" formatColumns="0" formatRows="0" insertColumns="0" insertRows="0" insertHyperlinks="0" deleteColumns="0" deleteRows="0" sort="0" autoFilter="0" pivotTables="0"/>
  <autoFilter ref="B12:L72"/>
  <mergeCells count="31">
    <mergeCell ref="C91:D91"/>
    <mergeCell ref="I91:K91"/>
    <mergeCell ref="H71:L71"/>
    <mergeCell ref="B75:C77"/>
    <mergeCell ref="D75:L75"/>
    <mergeCell ref="D76:L76"/>
    <mergeCell ref="D77:L77"/>
    <mergeCell ref="B78:L79"/>
    <mergeCell ref="D81:L82"/>
    <mergeCell ref="B83:L84"/>
    <mergeCell ref="D86:L87"/>
    <mergeCell ref="B90:D90"/>
    <mergeCell ref="I90:K90"/>
    <mergeCell ref="E63:E69"/>
    <mergeCell ref="B9:C9"/>
    <mergeCell ref="B11:H11"/>
    <mergeCell ref="I11:J11"/>
    <mergeCell ref="K11:L11"/>
    <mergeCell ref="E13:E20"/>
    <mergeCell ref="E21:E28"/>
    <mergeCell ref="E29:E36"/>
    <mergeCell ref="E37:E42"/>
    <mergeCell ref="E43:E50"/>
    <mergeCell ref="E51:E54"/>
    <mergeCell ref="E55:E62"/>
    <mergeCell ref="B7:C7"/>
    <mergeCell ref="B2:L2"/>
    <mergeCell ref="B3:D3"/>
    <mergeCell ref="F3:I3"/>
    <mergeCell ref="J3:L3"/>
    <mergeCell ref="B5:C5"/>
  </mergeCells>
  <conditionalFormatting sqref="L13:L70">
    <cfRule type="cellIs" dxfId="1" priority="1" operator="equal">
      <formula>1</formula>
    </cfRule>
    <cfRule type="cellIs" dxfId="0" priority="2" operator="greaterThan">
      <formula>1</formula>
    </cfRule>
  </conditionalFormatting>
  <dataValidations count="3">
    <dataValidation type="whole" allowBlank="1" showInputMessage="1" showErrorMessage="1" errorTitle="¡Error!" error="Introduzca un número válido." promptTitle="¡Atención!" prompt="Introduzca un número entre 0 y 366" sqref="I18:I20 I13:I16 H63:I70 I29:I59 H13:H62">
      <formula1>0</formula1>
      <formula2>366</formula2>
    </dataValidation>
    <dataValidation type="list" allowBlank="1" showInputMessage="1" showErrorMessage="1" sqref="D7">
      <formula1>$A$119:$A$130</formula1>
    </dataValidation>
    <dataValidation type="whole" allowBlank="1" showInputMessage="1" showErrorMessage="1" errorTitle="¡Error!" error="Introduzca un número válido." promptTitle="¡Atención!" prompt="Introduzca un número entre 0 y 30" sqref="I17 I60:I62 I21:I28">
      <formula1>0</formula1>
      <formula2>30</formula2>
    </dataValidation>
  </dataValidations>
  <pageMargins left="0.7" right="0.7" top="0.75" bottom="0.75" header="0.3" footer="0.3"/>
  <pageSetup scale="10"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ENERO 2026</vt:lpstr>
      <vt:lpstr>FEBRERO 2026</vt:lpstr>
      <vt:lpstr>'ENERO 2026'!Área_de_impresión</vt:lpstr>
      <vt:lpstr>'FEBRERO 2026'!Área_de_impresión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Meridian 0873</dc:creator>
  <cp:lastModifiedBy>Jose Mateo Lopez Cifuentes</cp:lastModifiedBy>
  <dcterms:created xsi:type="dcterms:W3CDTF">2024-01-10T22:00:55Z</dcterms:created>
  <dcterms:modified xsi:type="dcterms:W3CDTF">2026-03-06T19:59:55Z</dcterms:modified>
</cp:coreProperties>
</file>