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firstSheet="3" activeTab="10"/>
  </bookViews>
  <sheets>
    <sheet name="ABRIL" sheetId="26" r:id="rId1"/>
    <sheet name="MAYO" sheetId="27" r:id="rId2"/>
    <sheet name="JUNIO" sheetId="28" r:id="rId3"/>
    <sheet name="JULIO" sheetId="29" r:id="rId4"/>
    <sheet name="AGOSTO" sheetId="30" r:id="rId5"/>
    <sheet name="SEPTIEMBRE" sheetId="31" r:id="rId6"/>
    <sheet name="OCTUBRE" sheetId="32" r:id="rId7"/>
    <sheet name="NOVIEMBRE" sheetId="33" r:id="rId8"/>
    <sheet name="DICIEMBRE" sheetId="34" r:id="rId9"/>
    <sheet name="ENERO" sheetId="35" r:id="rId10"/>
    <sheet name="FEBRERO" sheetId="37" r:id="rId11"/>
  </sheets>
  <definedNames>
    <definedName name="_xlnm.Print_Area" localSheetId="8">DICIEMBRE!$A$1:$L$48</definedName>
    <definedName name="_xlnm.Print_Area" localSheetId="9">ENERO!$A$1:$L$48</definedName>
    <definedName name="_xlnm.Print_Area" localSheetId="10">FEBRERO!$A$1:$L$48</definedName>
    <definedName name="_xlnm.Print_Area" localSheetId="7">NOVIEMBRE!$A$1:$L$48</definedName>
    <definedName name="_xlnm.Print_Area" localSheetId="6">OCTUBRE!$A$1:$L$48</definedName>
    <definedName name="_xlnm.Print_Area" localSheetId="5">SEPTIEMBRE!$A$1:$L$48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37" l="1"/>
  <c r="H32" i="37"/>
  <c r="G32" i="37"/>
  <c r="J15" i="37" l="1"/>
  <c r="J16" i="37"/>
  <c r="J20" i="37"/>
  <c r="J21" i="37"/>
  <c r="J23" i="37"/>
  <c r="J24" i="37"/>
  <c r="J28" i="37"/>
  <c r="J29" i="37"/>
  <c r="J14" i="37"/>
  <c r="J13" i="37"/>
  <c r="H32" i="35"/>
  <c r="G32" i="35"/>
  <c r="J15" i="35"/>
  <c r="J16" i="35"/>
  <c r="J17" i="35"/>
  <c r="J17" i="37" s="1"/>
  <c r="J18" i="35"/>
  <c r="J18" i="37" s="1"/>
  <c r="J19" i="35"/>
  <c r="J19" i="37" s="1"/>
  <c r="J20" i="35"/>
  <c r="J21" i="35"/>
  <c r="J22" i="35"/>
  <c r="J22" i="37" s="1"/>
  <c r="J23" i="35"/>
  <c r="J24" i="35"/>
  <c r="J25" i="35"/>
  <c r="J25" i="37" s="1"/>
  <c r="J26" i="35"/>
  <c r="J26" i="37" s="1"/>
  <c r="J27" i="35"/>
  <c r="J27" i="37" s="1"/>
  <c r="J28" i="35"/>
  <c r="J29" i="35"/>
  <c r="J30" i="35"/>
  <c r="J30" i="37" s="1"/>
  <c r="J14" i="35"/>
  <c r="J13" i="35"/>
  <c r="J32" i="35" s="1"/>
  <c r="G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32" i="37" l="1"/>
  <c r="I32" i="35"/>
  <c r="G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H32" i="34" l="1"/>
  <c r="I32" i="34" s="1"/>
  <c r="G32" i="34"/>
  <c r="G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H32" i="33" l="1"/>
  <c r="I32" i="33" s="1"/>
  <c r="G32" i="33"/>
  <c r="G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H32" i="32"/>
  <c r="I32" i="32" s="1"/>
  <c r="G32" i="32"/>
  <c r="G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H32" i="31" l="1"/>
  <c r="I32" i="31" s="1"/>
  <c r="G32" i="31"/>
  <c r="G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H32" i="30" l="1"/>
  <c r="G32" i="30"/>
  <c r="G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32" i="30" l="1"/>
  <c r="G32" i="29"/>
  <c r="H32" i="29"/>
  <c r="I32" i="29" l="1"/>
  <c r="G31" i="29" l="1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H32" i="28" l="1"/>
  <c r="G32" i="28"/>
  <c r="G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32" i="28" l="1"/>
  <c r="H32" i="27" l="1"/>
  <c r="G32" i="27"/>
  <c r="G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32" i="27" l="1"/>
  <c r="J22" i="26"/>
  <c r="J22" i="27" s="1"/>
  <c r="J24" i="26"/>
  <c r="J24" i="27" s="1"/>
  <c r="J25" i="26"/>
  <c r="J25" i="27" s="1"/>
  <c r="J26" i="26"/>
  <c r="J26" i="27" s="1"/>
  <c r="J27" i="26"/>
  <c r="J27" i="27" s="1"/>
  <c r="J28" i="26"/>
  <c r="J28" i="27" s="1"/>
  <c r="J29" i="26"/>
  <c r="J29" i="27" s="1"/>
  <c r="J30" i="26"/>
  <c r="J30" i="27" s="1"/>
  <c r="G32" i="26"/>
  <c r="H32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14" i="26"/>
  <c r="I13" i="26"/>
  <c r="K24" i="26"/>
  <c r="K28" i="26"/>
  <c r="J15" i="26"/>
  <c r="J16" i="26"/>
  <c r="J16" i="27" s="1"/>
  <c r="J17" i="26"/>
  <c r="J18" i="26"/>
  <c r="J18" i="27" s="1"/>
  <c r="J19" i="26"/>
  <c r="J19" i="27" s="1"/>
  <c r="J20" i="26"/>
  <c r="J21" i="26"/>
  <c r="J23" i="26"/>
  <c r="K29" i="26"/>
  <c r="K30" i="26"/>
  <c r="J14" i="26"/>
  <c r="J14" i="27" s="1"/>
  <c r="J13" i="26"/>
  <c r="J13" i="27" s="1"/>
  <c r="J13" i="28" s="1"/>
  <c r="K14" i="26" l="1"/>
  <c r="I32" i="26"/>
  <c r="K27" i="26"/>
  <c r="J26" i="28"/>
  <c r="K26" i="27"/>
  <c r="J24" i="28"/>
  <c r="K24" i="27"/>
  <c r="J22" i="28"/>
  <c r="K22" i="27"/>
  <c r="J25" i="28"/>
  <c r="K25" i="27"/>
  <c r="J19" i="28"/>
  <c r="K19" i="27"/>
  <c r="K22" i="26"/>
  <c r="J30" i="28"/>
  <c r="K30" i="27"/>
  <c r="J18" i="28"/>
  <c r="K18" i="27"/>
  <c r="K17" i="26"/>
  <c r="J17" i="27"/>
  <c r="K18" i="26"/>
  <c r="J29" i="28"/>
  <c r="K29" i="27"/>
  <c r="K13" i="27"/>
  <c r="K23" i="26"/>
  <c r="J23" i="27"/>
  <c r="K21" i="26"/>
  <c r="J21" i="27"/>
  <c r="J14" i="28"/>
  <c r="K14" i="27"/>
  <c r="K20" i="26"/>
  <c r="J20" i="27"/>
  <c r="K19" i="26"/>
  <c r="K26" i="26"/>
  <c r="K16" i="26"/>
  <c r="J28" i="28"/>
  <c r="K28" i="27"/>
  <c r="J13" i="29"/>
  <c r="K13" i="28"/>
  <c r="J32" i="26"/>
  <c r="K32" i="26" s="1"/>
  <c r="J16" i="28"/>
  <c r="K16" i="27"/>
  <c r="K25" i="26"/>
  <c r="K15" i="26"/>
  <c r="J15" i="27"/>
  <c r="J32" i="27" s="1"/>
  <c r="K32" i="27" s="1"/>
  <c r="J27" i="28"/>
  <c r="K27" i="27"/>
  <c r="K13" i="26"/>
  <c r="J18" i="29" l="1"/>
  <c r="K18" i="28"/>
  <c r="J23" i="28"/>
  <c r="K23" i="27"/>
  <c r="J25" i="29"/>
  <c r="K25" i="28"/>
  <c r="J20" i="28"/>
  <c r="K20" i="27"/>
  <c r="K22" i="28"/>
  <c r="J22" i="29"/>
  <c r="J15" i="28"/>
  <c r="K15" i="27"/>
  <c r="K30" i="28"/>
  <c r="J30" i="29"/>
  <c r="J16" i="29"/>
  <c r="K16" i="28"/>
  <c r="K27" i="28"/>
  <c r="J27" i="29"/>
  <c r="J13" i="30"/>
  <c r="K13" i="29"/>
  <c r="J29" i="29"/>
  <c r="K29" i="28"/>
  <c r="J24" i="29"/>
  <c r="K24" i="28"/>
  <c r="J14" i="29"/>
  <c r="K14" i="28"/>
  <c r="K28" i="28"/>
  <c r="J28" i="29"/>
  <c r="J21" i="28"/>
  <c r="K21" i="27"/>
  <c r="J17" i="28"/>
  <c r="K17" i="27"/>
  <c r="K19" i="28"/>
  <c r="J19" i="29"/>
  <c r="K26" i="28"/>
  <c r="J26" i="29"/>
  <c r="G31" i="26"/>
  <c r="J29" i="30" l="1"/>
  <c r="K29" i="29"/>
  <c r="K30" i="29"/>
  <c r="J30" i="30"/>
  <c r="J21" i="29"/>
  <c r="K21" i="28"/>
  <c r="K28" i="29"/>
  <c r="J28" i="30"/>
  <c r="J25" i="30"/>
  <c r="K25" i="29"/>
  <c r="K17" i="28"/>
  <c r="J17" i="29"/>
  <c r="J24" i="30"/>
  <c r="K24" i="29"/>
  <c r="K13" i="30"/>
  <c r="J13" i="31"/>
  <c r="K15" i="28"/>
  <c r="J15" i="29"/>
  <c r="J32" i="28"/>
  <c r="K32" i="28" s="1"/>
  <c r="K23" i="28"/>
  <c r="J23" i="29"/>
  <c r="K26" i="29"/>
  <c r="J26" i="30"/>
  <c r="K19" i="29"/>
  <c r="J19" i="30"/>
  <c r="K27" i="29"/>
  <c r="J27" i="30"/>
  <c r="K22" i="29"/>
  <c r="J22" i="30"/>
  <c r="J16" i="30"/>
  <c r="K16" i="29"/>
  <c r="K20" i="28"/>
  <c r="J20" i="29"/>
  <c r="J14" i="30"/>
  <c r="K14" i="29"/>
  <c r="K18" i="29"/>
  <c r="J18" i="30"/>
  <c r="K16" i="30" l="1"/>
  <c r="J16" i="31"/>
  <c r="K26" i="30"/>
  <c r="J26" i="31"/>
  <c r="J13" i="32"/>
  <c r="J13" i="33" s="1"/>
  <c r="K13" i="31"/>
  <c r="K28" i="30"/>
  <c r="J28" i="31"/>
  <c r="K24" i="30"/>
  <c r="J24" i="31"/>
  <c r="J21" i="30"/>
  <c r="K21" i="29"/>
  <c r="J23" i="30"/>
  <c r="K23" i="29"/>
  <c r="K27" i="30"/>
  <c r="J27" i="31"/>
  <c r="J17" i="30"/>
  <c r="K17" i="29"/>
  <c r="J30" i="31"/>
  <c r="K30" i="30"/>
  <c r="K18" i="30"/>
  <c r="J18" i="31"/>
  <c r="K14" i="30"/>
  <c r="J14" i="31"/>
  <c r="J15" i="30"/>
  <c r="K15" i="29"/>
  <c r="J32" i="29"/>
  <c r="K32" i="29" s="1"/>
  <c r="K19" i="30"/>
  <c r="J19" i="31"/>
  <c r="K22" i="30"/>
  <c r="J22" i="31"/>
  <c r="K20" i="29"/>
  <c r="J20" i="30"/>
  <c r="K25" i="30"/>
  <c r="J25" i="31"/>
  <c r="J29" i="31"/>
  <c r="K29" i="30"/>
  <c r="J13" i="34" l="1"/>
  <c r="K13" i="33"/>
  <c r="K19" i="31"/>
  <c r="J19" i="32"/>
  <c r="K22" i="31"/>
  <c r="J22" i="32"/>
  <c r="K13" i="32"/>
  <c r="K18" i="31"/>
  <c r="J18" i="32"/>
  <c r="J30" i="32"/>
  <c r="K30" i="31"/>
  <c r="K21" i="30"/>
  <c r="J21" i="31"/>
  <c r="K26" i="31"/>
  <c r="J26" i="32"/>
  <c r="K29" i="31"/>
  <c r="J29" i="32"/>
  <c r="K23" i="30"/>
  <c r="J23" i="31"/>
  <c r="J32" i="30"/>
  <c r="K32" i="30" s="1"/>
  <c r="K24" i="31"/>
  <c r="J24" i="32"/>
  <c r="K25" i="31"/>
  <c r="J25" i="32"/>
  <c r="K20" i="30"/>
  <c r="J20" i="31"/>
  <c r="K15" i="30"/>
  <c r="J15" i="31"/>
  <c r="K17" i="30"/>
  <c r="J17" i="31"/>
  <c r="K16" i="31"/>
  <c r="J16" i="32"/>
  <c r="K14" i="31"/>
  <c r="J14" i="32"/>
  <c r="K27" i="31"/>
  <c r="J27" i="32"/>
  <c r="K28" i="31"/>
  <c r="J28" i="32"/>
  <c r="K27" i="32" l="1"/>
  <c r="J27" i="33"/>
  <c r="K19" i="32"/>
  <c r="J19" i="33"/>
  <c r="K29" i="32"/>
  <c r="J29" i="33"/>
  <c r="K18" i="32"/>
  <c r="J18" i="33"/>
  <c r="K26" i="32"/>
  <c r="J26" i="33"/>
  <c r="K14" i="32"/>
  <c r="J14" i="33"/>
  <c r="K30" i="32"/>
  <c r="J30" i="33"/>
  <c r="K16" i="32"/>
  <c r="J16" i="33"/>
  <c r="K25" i="32"/>
  <c r="J25" i="33"/>
  <c r="K13" i="34"/>
  <c r="K13" i="35"/>
  <c r="K28" i="32"/>
  <c r="J28" i="33"/>
  <c r="K24" i="32"/>
  <c r="J24" i="33"/>
  <c r="K22" i="32"/>
  <c r="J22" i="33"/>
  <c r="K13" i="37"/>
  <c r="K21" i="31"/>
  <c r="J21" i="32"/>
  <c r="K15" i="31"/>
  <c r="J15" i="32"/>
  <c r="J15" i="33" s="1"/>
  <c r="J32" i="31"/>
  <c r="K32" i="31" s="1"/>
  <c r="K17" i="31"/>
  <c r="J17" i="32"/>
  <c r="K23" i="31"/>
  <c r="J23" i="32"/>
  <c r="K20" i="31"/>
  <c r="J20" i="32"/>
  <c r="K28" i="37" l="1"/>
  <c r="K28" i="35"/>
  <c r="J28" i="34"/>
  <c r="K28" i="34" s="1"/>
  <c r="K28" i="33"/>
  <c r="K16" i="37"/>
  <c r="K16" i="35"/>
  <c r="J16" i="34"/>
  <c r="K16" i="34" s="1"/>
  <c r="K16" i="33"/>
  <c r="K18" i="37"/>
  <c r="K18" i="35"/>
  <c r="J18" i="34"/>
  <c r="K18" i="34" s="1"/>
  <c r="K18" i="33"/>
  <c r="K23" i="32"/>
  <c r="J23" i="33"/>
  <c r="K22" i="37"/>
  <c r="K22" i="35"/>
  <c r="J22" i="34"/>
  <c r="K22" i="34" s="1"/>
  <c r="K22" i="33"/>
  <c r="J14" i="34"/>
  <c r="K14" i="33"/>
  <c r="K19" i="37"/>
  <c r="K19" i="35"/>
  <c r="J19" i="34"/>
  <c r="K19" i="34" s="1"/>
  <c r="K19" i="33"/>
  <c r="K30" i="37"/>
  <c r="K30" i="35"/>
  <c r="J30" i="34"/>
  <c r="K30" i="34" s="1"/>
  <c r="K30" i="33"/>
  <c r="K29" i="37"/>
  <c r="K29" i="35"/>
  <c r="J29" i="34"/>
  <c r="K29" i="34" s="1"/>
  <c r="K29" i="33"/>
  <c r="K15" i="37"/>
  <c r="K15" i="35"/>
  <c r="J15" i="34"/>
  <c r="K15" i="34" s="1"/>
  <c r="K15" i="33"/>
  <c r="K24" i="37"/>
  <c r="K24" i="35"/>
  <c r="J24" i="34"/>
  <c r="K24" i="34" s="1"/>
  <c r="K24" i="33"/>
  <c r="K21" i="32"/>
  <c r="J21" i="33"/>
  <c r="K17" i="32"/>
  <c r="J17" i="33"/>
  <c r="J32" i="33" s="1"/>
  <c r="K32" i="33" s="1"/>
  <c r="K25" i="37"/>
  <c r="K25" i="35"/>
  <c r="J25" i="34"/>
  <c r="K25" i="34" s="1"/>
  <c r="K25" i="33"/>
  <c r="K26" i="37"/>
  <c r="K26" i="35"/>
  <c r="J26" i="34"/>
  <c r="K26" i="34" s="1"/>
  <c r="K26" i="33"/>
  <c r="K27" i="37"/>
  <c r="K27" i="35"/>
  <c r="J27" i="34"/>
  <c r="K27" i="34" s="1"/>
  <c r="K27" i="33"/>
  <c r="K20" i="32"/>
  <c r="J20" i="33"/>
  <c r="K15" i="32"/>
  <c r="J32" i="32"/>
  <c r="K32" i="32" s="1"/>
  <c r="K23" i="37" l="1"/>
  <c r="K23" i="35"/>
  <c r="J23" i="34"/>
  <c r="K23" i="34" s="1"/>
  <c r="K23" i="33"/>
  <c r="K20" i="37"/>
  <c r="K20" i="35"/>
  <c r="J20" i="34"/>
  <c r="K20" i="34" s="1"/>
  <c r="K20" i="33"/>
  <c r="K21" i="37"/>
  <c r="K21" i="35"/>
  <c r="J21" i="34"/>
  <c r="K21" i="34" s="1"/>
  <c r="K21" i="33"/>
  <c r="K14" i="34"/>
  <c r="K17" i="37"/>
  <c r="K17" i="35"/>
  <c r="J17" i="34"/>
  <c r="K17" i="34" s="1"/>
  <c r="K17" i="33"/>
  <c r="K14" i="37"/>
  <c r="K32" i="37"/>
  <c r="K14" i="35"/>
  <c r="K32" i="35" l="1"/>
  <c r="J32" i="34"/>
  <c r="K32" i="34" s="1"/>
</calcChain>
</file>

<file path=xl/comments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<sst xmlns="http://schemas.openxmlformats.org/spreadsheetml/2006/main" count="1463" uniqueCount="90">
  <si>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</si>
  <si>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</si>
  <si>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</si>
  <si>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</si>
  <si>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</si>
  <si>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</si>
  <si>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</si>
  <si>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</si>
  <si>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</si>
  <si>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</si>
  <si>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</si>
  <si>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</si>
  <si>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</si>
  <si>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</si>
  <si>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</si>
  <si>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</si>
  <si>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</si>
  <si>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</si>
  <si>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</si>
  <si>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</si>
  <si>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</si>
  <si>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</si>
  <si>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</si>
  <si>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</si>
  <si>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</si>
  <si>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</si>
  <si>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</si>
  <si>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</si>
  <si>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</si>
  <si>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</si>
  <si>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</si>
  <si>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</si>
  <si>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</si>
  <si>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</si>
  <si>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</si>
  <si>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</si>
  <si>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</si>
  <si>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</si>
  <si>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</si>
  <si>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</si>
  <si>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</si>
  <si>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</si>
  <si>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</si>
  <si>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-</t>
  </si>
  <si>
    <t>3.6</t>
  </si>
  <si>
    <t>3.11</t>
  </si>
  <si>
    <t>3.13</t>
  </si>
  <si>
    <t>3.14</t>
  </si>
  <si>
    <t>3.15</t>
  </si>
  <si>
    <t>3.16</t>
  </si>
  <si>
    <t>3.17</t>
  </si>
  <si>
    <t>3.18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</si>
  <si>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</si>
  <si>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</si>
  <si>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</si>
  <si>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</si>
  <si>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</si>
  <si>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</si>
  <si>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</si>
  <si>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</si>
  <si>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</si>
  <si>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</si>
  <si>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Generar Modelo analítico del yacimiento integrando la información disponible en un software específico</t>
  </si>
  <si>
    <t>Análisis e interpretación de datos de pruebas de presión-producción (DSTs, PBU, Pruebas Extendidas Producción, Gradientes Estáticos-Dinámicos PT, etc.) o de presión inyección (Inyectividad, SRT, FOT) aplicadas ya sea en tiempo real, memorizadas o con sarta temporal DST. Integración Probador Formación – Registros Open Hole.</t>
  </si>
  <si>
    <t>Generar base de datos de producción (OFM o la que se requiera)</t>
  </si>
  <si>
    <t>Generar Distribución de Producción por sub- unidades (allocation)</t>
  </si>
  <si>
    <t>Generar Balance de Materia por campo y/o por subunidad y/o por compartimiento</t>
  </si>
  <si>
    <t>Análisis de Declinaciones por pozo y/o subunidad</t>
  </si>
  <si>
    <t>Analizar data histórica de producción, productividad y daño por pozo</t>
  </si>
  <si>
    <t>Generar perfiles de Producción por pozos para pozos existente en escenarios Bajo, Medio y Alto.</t>
  </si>
  <si>
    <t>Generación de oportunidades de intervención a Pozos</t>
  </si>
  <si>
    <t>Estimar restricciones de Presión y tasas para la generación de perfiles de producción</t>
  </si>
  <si>
    <t>Generar modelo de Pozos</t>
  </si>
  <si>
    <t>Adelantar la evaluación e interpretación de datos enfocada a candidatización de actividades de reacondicionamiento y optimización de productividad en los activos</t>
  </si>
  <si>
    <t>Generar los análisis asociados a candidatización de pozos para optimización de la producción empleando simulación numérica (análisis nodal) de productividad de pozos</t>
  </si>
  <si>
    <t>Generar reportes de soporte en la ejecución de trabajos ejecutados, tales como estimulaciones, fracturamientos hidráulicos, recañoneos, entre otros.</t>
  </si>
  <si>
    <t>Generar reportes de evaluación de los tratamientos de estimulación y optimización de producción implementados en la vigencia respectiva</t>
  </si>
  <si>
    <t>Realizar el seguimiento de producción/inyección de pozos intervenidos con base en los comportamientos de producción previo y posterior a la intervención</t>
  </si>
  <si>
    <t>Adelantar en análisis y evaluación de datos enfocada a la ejecución de estudios de daño de formación</t>
  </si>
  <si>
    <t>Generar los análisis asociados a la ejecución de estudios de daño de formación empleando simulación numérica (análisis nodal y single well model, análisis de aguas, análisis de crudos, entre otros)</t>
  </si>
  <si>
    <t>Base de Datos – Perfiles Generados – Informe del análisis</t>
  </si>
  <si>
    <t>Base de Datos - Informe de la Evaluación</t>
  </si>
  <si>
    <t>Base de Datos – Informe de la Evaluación</t>
  </si>
  <si>
    <t>En el formato GP-F-25 se detallan las actividades realizadas y los enlaces a los sitios/archivos donde se ha cargado la información.
https://ecopetrol.sharepoint.com/:x:/r/sites/OptimizacinInyeccin-ProduccinSanFrancisco/Documentos compartidos/Optimizaci%C3%B3n proceso de Inyecci%C3%B3n - Producci%C3%B3n/Inyecci%C3%B3n/RWA SF Ene-Feb_2025.xlsx?d=w35503fe905534d0aaae8e60e91bf1271&amp;csf=1&amp;web=1&amp;e=0S7rIt
https://ecopetrol.sharepoint.com/:x:/r/sites/OptimizacinInyeccin-ProduccinSanFrancisco/Documentos compartidos/Optimizaci%C3%B3n proceso de Inyecci%C3%B3n - Producci%C3%B3n/Actas Well Meeting/Notas de Reuni%C3%B3n para Wellmeeting San Francisco.xlsx?d=we77180250ac949cca611943521a15487&amp;csf=1&amp;web=1&amp;e=YoV2Bj</t>
  </si>
  <si>
    <t>Luisa Margarita Uribe</t>
  </si>
  <si>
    <t>En el formato GP-F-25 se detallan las actividades realizadas y los enlaces a los sitios/archivos donde se ha cargado la información.</t>
  </si>
  <si>
    <t>Base de Datos</t>
  </si>
  <si>
    <t>Modelo Analítico – Perfiles de Producción – Informe del modelo</t>
  </si>
  <si>
    <t>Informe del análisis por pozo o prueba</t>
  </si>
  <si>
    <t>Base de Datos - Modelo de Balance - Informe del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</si>
</sst>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9" fontId="2" fillId="0" borderId="14" xfId="1" applyFont="1" applyBorder="1" applyAlignment="1" applyProtection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4" fontId="4" fillId="0" borderId="8" xfId="1" applyNumberFormat="1" applyFont="1" applyBorder="1" applyAlignment="1" applyProtection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9" fontId="2" fillId="0" borderId="15" xfId="1" applyFont="1" applyBorder="1" applyAlignment="1" applyProtection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/>
    </xf>
    <xf numFmtId="1" fontId="2" fillId="3" borderId="17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5" borderId="14" xfId="1" applyFont="1" applyFill="1" applyBorder="1" applyAlignment="1" applyProtection="1">
      <alignment horizontal="center" vertical="center" wrapText="1"/>
    </xf>
    <xf numFmtId="9" fontId="2" fillId="5" borderId="15" xfId="1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9" fontId="2" fillId="0" borderId="14" xfId="1" applyFont="1" applyFill="1" applyBorder="1" applyAlignment="1" applyProtection="1">
      <alignment horizontal="center" vertical="center" wrapText="1"/>
    </xf>
    <xf numFmtId="9" fontId="2" fillId="0" borderId="15" xfId="1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14DAF3D4-6A9A-4FED-8A70-BAC29A74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D741AED8-DA83-4235-BCF8-3AD75850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32E745B-2752-4176-AD1A-57284B9D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40F1F41B-3C2A-480D-A947-3B911FDA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31" y="240507"/>
          <a:ext cx="239648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32E745B-2752-4176-AD1A-57284B9D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2352674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40F1F41B-3C2A-480D-A947-3B911FDA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2352674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732E745B-2752-4176-AD1A-57284B9D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2352674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40F1F41B-3C2A-480D-A947-3B911FDA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2352674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topLeftCell="A35" zoomScaleNormal="100" zoomScaleSheetLayoutView="100" workbookViewId="0">
      <selection activeCell="D7" sqref="D7"/>
    </sheetView>
  </sheetViews>
  <sheetFormatPr baseColWidth="10" defaultColWidth="8.6328125" defaultRowHeight="14.5" x14ac:dyDescent="0.35"/>
  <cols>
    <col min="1" max="1" width="4.453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6.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9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45777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34.5" x14ac:dyDescent="0.35">
      <c r="B13" s="5">
        <v>3</v>
      </c>
      <c r="C13" s="6" t="s">
        <v>44</v>
      </c>
      <c r="D13" s="7" t="s">
        <v>62</v>
      </c>
      <c r="E13" s="8" t="s">
        <v>43</v>
      </c>
      <c r="F13" s="9" t="s">
        <v>43</v>
      </c>
      <c r="G13" s="48">
        <v>10</v>
      </c>
      <c r="H13" s="10">
        <v>0</v>
      </c>
      <c r="I13" s="1">
        <f>IFERROR(H13/G13,0)</f>
        <v>0</v>
      </c>
      <c r="J13" s="11">
        <f>+H13</f>
        <v>0</v>
      </c>
      <c r="K13" s="1">
        <f>IFERROR(J13/G13,0)</f>
        <v>0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43</v>
      </c>
      <c r="F14" s="9" t="s">
        <v>43</v>
      </c>
      <c r="G14" s="48">
        <v>5</v>
      </c>
      <c r="H14" s="10">
        <v>0</v>
      </c>
      <c r="I14" s="1">
        <f>IFERROR(H14/G14,0)</f>
        <v>0</v>
      </c>
      <c r="J14" s="11">
        <f>+H14</f>
        <v>0</v>
      </c>
      <c r="K14" s="1">
        <f>IFERROR(J14/G14,0)</f>
        <v>0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43</v>
      </c>
      <c r="F15" s="9" t="s">
        <v>43</v>
      </c>
      <c r="G15" s="48">
        <v>13</v>
      </c>
      <c r="H15" s="10">
        <v>0</v>
      </c>
      <c r="I15" s="1">
        <f t="shared" ref="I15:I30" si="0">IFERROR(H15/G15,0)</f>
        <v>0</v>
      </c>
      <c r="J15" s="11">
        <f t="shared" ref="J15:J23" si="1">+H15</f>
        <v>0</v>
      </c>
      <c r="K15" s="1">
        <f t="shared" ref="K15:K30" si="2">IFERROR(J15/G15,0)</f>
        <v>0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43</v>
      </c>
      <c r="F16" s="9" t="s">
        <v>43</v>
      </c>
      <c r="G16" s="48">
        <v>20</v>
      </c>
      <c r="H16" s="10">
        <v>0</v>
      </c>
      <c r="I16" s="1">
        <f t="shared" si="0"/>
        <v>0</v>
      </c>
      <c r="J16" s="11">
        <f t="shared" si="1"/>
        <v>0</v>
      </c>
      <c r="K16" s="1">
        <f t="shared" si="2"/>
        <v>0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43</v>
      </c>
      <c r="F17" s="9" t="s">
        <v>43</v>
      </c>
      <c r="G17" s="48">
        <v>10</v>
      </c>
      <c r="H17" s="10">
        <v>0</v>
      </c>
      <c r="I17" s="1">
        <f t="shared" si="0"/>
        <v>0</v>
      </c>
      <c r="J17" s="11">
        <f t="shared" si="1"/>
        <v>0</v>
      </c>
      <c r="K17" s="1">
        <f t="shared" si="2"/>
        <v>0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>
        <v>3</v>
      </c>
      <c r="I18" s="1">
        <f t="shared" si="0"/>
        <v>0.15</v>
      </c>
      <c r="J18" s="11">
        <f t="shared" si="1"/>
        <v>3</v>
      </c>
      <c r="K18" s="1">
        <f t="shared" si="2"/>
        <v>0.15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>
        <v>3</v>
      </c>
      <c r="I19" s="1">
        <f t="shared" si="0"/>
        <v>0.15</v>
      </c>
      <c r="J19" s="11">
        <f t="shared" si="1"/>
        <v>3</v>
      </c>
      <c r="K19" s="1">
        <f t="shared" si="2"/>
        <v>0.15</v>
      </c>
    </row>
    <row r="20" spans="2:16" ht="23" x14ac:dyDescent="0.35">
      <c r="B20" s="12">
        <v>3</v>
      </c>
      <c r="C20" s="9" t="s">
        <v>51</v>
      </c>
      <c r="D20" s="7" t="s">
        <v>69</v>
      </c>
      <c r="E20" s="8" t="s">
        <v>43</v>
      </c>
      <c r="F20" s="9" t="s">
        <v>43</v>
      </c>
      <c r="G20" s="48">
        <v>20</v>
      </c>
      <c r="H20" s="10">
        <v>0</v>
      </c>
      <c r="I20" s="1">
        <f t="shared" si="0"/>
        <v>0</v>
      </c>
      <c r="J20" s="11">
        <f t="shared" si="1"/>
        <v>0</v>
      </c>
      <c r="K20" s="1">
        <f t="shared" si="2"/>
        <v>0</v>
      </c>
    </row>
    <row r="21" spans="2:16" ht="23" x14ac:dyDescent="0.35">
      <c r="B21" s="13">
        <v>5</v>
      </c>
      <c r="C21" s="9" t="s">
        <v>52</v>
      </c>
      <c r="D21" s="7" t="s">
        <v>70</v>
      </c>
      <c r="E21" s="8" t="s">
        <v>43</v>
      </c>
      <c r="F21" s="9" t="s">
        <v>43</v>
      </c>
      <c r="G21" s="48">
        <v>13</v>
      </c>
      <c r="H21" s="10">
        <v>0</v>
      </c>
      <c r="I21" s="1">
        <f t="shared" si="0"/>
        <v>0</v>
      </c>
      <c r="J21" s="11">
        <f t="shared" si="1"/>
        <v>0</v>
      </c>
      <c r="K21" s="1">
        <f t="shared" si="2"/>
        <v>0</v>
      </c>
    </row>
    <row r="22" spans="2:16" ht="23" x14ac:dyDescent="0.35">
      <c r="B22" s="13">
        <v>5</v>
      </c>
      <c r="C22" s="50" t="s">
        <v>53</v>
      </c>
      <c r="D22" s="51" t="s">
        <v>71</v>
      </c>
      <c r="E22" s="52" t="s">
        <v>43</v>
      </c>
      <c r="F22" s="50" t="s">
        <v>43</v>
      </c>
      <c r="G22" s="53">
        <v>20</v>
      </c>
      <c r="H22" s="54">
        <v>0</v>
      </c>
      <c r="I22" s="1">
        <f t="shared" si="0"/>
        <v>0</v>
      </c>
      <c r="J22" s="11">
        <f>+H22</f>
        <v>0</v>
      </c>
      <c r="K22" s="1">
        <f t="shared" si="2"/>
        <v>0</v>
      </c>
    </row>
    <row r="23" spans="2:16" x14ac:dyDescent="0.35">
      <c r="B23" s="13">
        <v>5</v>
      </c>
      <c r="C23" s="50" t="s">
        <v>54</v>
      </c>
      <c r="D23" s="51" t="s">
        <v>72</v>
      </c>
      <c r="E23" s="52" t="s">
        <v>43</v>
      </c>
      <c r="F23" s="50" t="s">
        <v>43</v>
      </c>
      <c r="G23" s="53">
        <v>13</v>
      </c>
      <c r="H23" s="54">
        <v>0</v>
      </c>
      <c r="I23" s="1">
        <f t="shared" si="0"/>
        <v>0</v>
      </c>
      <c r="J23" s="11">
        <f t="shared" si="1"/>
        <v>0</v>
      </c>
      <c r="K23" s="1">
        <f t="shared" si="2"/>
        <v>0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43</v>
      </c>
      <c r="F24" s="50" t="s">
        <v>43</v>
      </c>
      <c r="G24" s="53">
        <v>13</v>
      </c>
      <c r="H24" s="54">
        <v>0</v>
      </c>
      <c r="I24" s="1">
        <f t="shared" si="0"/>
        <v>0</v>
      </c>
      <c r="J24" s="11">
        <f t="shared" ref="J24:J30" si="3">+H24</f>
        <v>0</v>
      </c>
      <c r="K24" s="1">
        <f t="shared" si="2"/>
        <v>0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43</v>
      </c>
      <c r="F25" s="50" t="s">
        <v>43</v>
      </c>
      <c r="G25" s="53">
        <v>13</v>
      </c>
      <c r="H25" s="54">
        <v>0</v>
      </c>
      <c r="I25" s="1">
        <f t="shared" si="0"/>
        <v>0</v>
      </c>
      <c r="J25" s="11">
        <f t="shared" si="3"/>
        <v>0</v>
      </c>
      <c r="K25" s="1">
        <f t="shared" si="2"/>
        <v>0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43</v>
      </c>
      <c r="F26" s="50" t="s">
        <v>43</v>
      </c>
      <c r="G26" s="53">
        <v>13</v>
      </c>
      <c r="H26" s="54">
        <v>0</v>
      </c>
      <c r="I26" s="1">
        <f t="shared" si="0"/>
        <v>0</v>
      </c>
      <c r="J26" s="11">
        <f t="shared" si="3"/>
        <v>0</v>
      </c>
      <c r="K26" s="1">
        <f t="shared" si="2"/>
        <v>0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43</v>
      </c>
      <c r="F27" s="50" t="s">
        <v>43</v>
      </c>
      <c r="G27" s="53">
        <v>10</v>
      </c>
      <c r="H27" s="54">
        <v>0</v>
      </c>
      <c r="I27" s="1">
        <f t="shared" si="0"/>
        <v>0</v>
      </c>
      <c r="J27" s="11">
        <f t="shared" si="3"/>
        <v>0</v>
      </c>
      <c r="K27" s="1">
        <f t="shared" si="2"/>
        <v>0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3</v>
      </c>
      <c r="I28" s="1">
        <f t="shared" si="0"/>
        <v>0.15</v>
      </c>
      <c r="J28" s="11">
        <f t="shared" si="3"/>
        <v>3</v>
      </c>
      <c r="K28" s="1">
        <f t="shared" si="2"/>
        <v>0.15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43</v>
      </c>
      <c r="F29" s="50" t="s">
        <v>43</v>
      </c>
      <c r="G29" s="53">
        <v>8</v>
      </c>
      <c r="H29" s="54">
        <v>0</v>
      </c>
      <c r="I29" s="1">
        <f t="shared" si="0"/>
        <v>0</v>
      </c>
      <c r="J29" s="11">
        <f t="shared" si="3"/>
        <v>0</v>
      </c>
      <c r="K29" s="1">
        <f t="shared" si="2"/>
        <v>0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43</v>
      </c>
      <c r="F30" s="15" t="s">
        <v>43</v>
      </c>
      <c r="G30" s="49">
        <v>8</v>
      </c>
      <c r="H30" s="21">
        <v>0</v>
      </c>
      <c r="I30" s="22">
        <f t="shared" si="0"/>
        <v>0</v>
      </c>
      <c r="J30" s="23">
        <f t="shared" si="3"/>
        <v>0</v>
      </c>
      <c r="K30" s="22">
        <f t="shared" si="2"/>
        <v>0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ABRIL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9</v>
      </c>
      <c r="I32" s="17">
        <f>IFERROR(H32/G32,0)</f>
        <v>3.614457831325301E-2</v>
      </c>
      <c r="J32" s="18">
        <f>+SUM(J13:J30)</f>
        <v>9</v>
      </c>
      <c r="K32" s="17">
        <f>IFERROR(J32/G32,0)</f>
        <v>3.614457831325301E-2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83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10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topLeftCell="A29" zoomScaleNormal="100" zoomScaleSheetLayoutView="100" workbookViewId="0">
      <selection activeCell="D13" sqref="D13:D30"/>
    </sheetView>
  </sheetViews>
  <sheetFormatPr baseColWidth="10" defaultColWidth="8.6328125" defaultRowHeight="14.5" x14ac:dyDescent="0.35"/>
  <cols>
    <col min="1" max="1" width="4.453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6.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10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45808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34.5" x14ac:dyDescent="0.35">
      <c r="B13" s="5">
        <v>3</v>
      </c>
      <c r="C13" s="6" t="s">
        <v>44</v>
      </c>
      <c r="D13" s="7" t="s">
        <v>62</v>
      </c>
      <c r="E13" s="8" t="s">
        <v>43</v>
      </c>
      <c r="F13" s="9" t="s">
        <v>43</v>
      </c>
      <c r="G13" s="48">
        <v>10</v>
      </c>
      <c r="H13" s="10">
        <v>0</v>
      </c>
      <c r="I13" s="1">
        <f>IFERROR(H13/G13,0)</f>
        <v>0</v>
      </c>
      <c r="J13" s="11">
        <f>+H13+ABRIL!J13</f>
        <v>0</v>
      </c>
      <c r="K13" s="1">
        <f>IFERROR(J13/G13,0)</f>
        <v>0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43</v>
      </c>
      <c r="F14" s="9" t="s">
        <v>43</v>
      </c>
      <c r="G14" s="48">
        <v>5</v>
      </c>
      <c r="H14" s="10">
        <v>0</v>
      </c>
      <c r="I14" s="1">
        <f>IFERROR(H14/G14,0)</f>
        <v>0</v>
      </c>
      <c r="J14" s="11">
        <f>+H14+ABRIL!J14</f>
        <v>0</v>
      </c>
      <c r="K14" s="1">
        <f>IFERROR(J14/G14,0)</f>
        <v>0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2</v>
      </c>
      <c r="I15" s="1">
        <f t="shared" ref="I15:I30" si="0">IFERROR(H15/G15,0)</f>
        <v>0.15384615384615385</v>
      </c>
      <c r="J15" s="11">
        <f>+H15+ABRIL!J15</f>
        <v>2</v>
      </c>
      <c r="K15" s="1">
        <f t="shared" ref="K15:K30" si="1">IFERROR(J15/G15,0)</f>
        <v>0.15384615384615385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43</v>
      </c>
      <c r="F16" s="9" t="s">
        <v>43</v>
      </c>
      <c r="G16" s="48">
        <v>20</v>
      </c>
      <c r="H16" s="10">
        <v>0</v>
      </c>
      <c r="I16" s="1">
        <f t="shared" si="0"/>
        <v>0</v>
      </c>
      <c r="J16" s="11">
        <f>+H16+ABRIL!J16</f>
        <v>0</v>
      </c>
      <c r="K16" s="1">
        <f t="shared" si="1"/>
        <v>0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43</v>
      </c>
      <c r="F17" s="9" t="s">
        <v>43</v>
      </c>
      <c r="G17" s="48">
        <v>10</v>
      </c>
      <c r="H17" s="10">
        <v>0</v>
      </c>
      <c r="I17" s="1">
        <f t="shared" si="0"/>
        <v>0</v>
      </c>
      <c r="J17" s="11">
        <f>+H17+ABRIL!J17</f>
        <v>0</v>
      </c>
      <c r="K17" s="1">
        <f t="shared" si="1"/>
        <v>0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>
        <v>6</v>
      </c>
      <c r="I18" s="1">
        <f t="shared" si="0"/>
        <v>0.3</v>
      </c>
      <c r="J18" s="11">
        <f>+H18+ABRIL!J18</f>
        <v>9</v>
      </c>
      <c r="K18" s="1">
        <f t="shared" si="1"/>
        <v>0.45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>
        <v>6</v>
      </c>
      <c r="I19" s="1">
        <f t="shared" si="0"/>
        <v>0.3</v>
      </c>
      <c r="J19" s="11">
        <f>+H19+ABRIL!J19</f>
        <v>9</v>
      </c>
      <c r="K19" s="1">
        <f t="shared" si="1"/>
        <v>0.45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6</v>
      </c>
      <c r="I20" s="1">
        <f t="shared" si="0"/>
        <v>0.3</v>
      </c>
      <c r="J20" s="11">
        <f>+H20+ABRIL!J20</f>
        <v>6</v>
      </c>
      <c r="K20" s="1">
        <f t="shared" si="1"/>
        <v>0.3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2</v>
      </c>
      <c r="I21" s="1">
        <f t="shared" si="0"/>
        <v>0.15384615384615385</v>
      </c>
      <c r="J21" s="11">
        <f>+H21+ABRIL!J21</f>
        <v>2</v>
      </c>
      <c r="K21" s="1">
        <f t="shared" si="1"/>
        <v>0.15384615384615385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2</v>
      </c>
      <c r="I22" s="1">
        <f t="shared" si="0"/>
        <v>0.1</v>
      </c>
      <c r="J22" s="11">
        <f>+H22+ABRIL!J22</f>
        <v>2</v>
      </c>
      <c r="K22" s="1">
        <f t="shared" si="1"/>
        <v>0.1</v>
      </c>
    </row>
    <row r="23" spans="2:16" x14ac:dyDescent="0.35">
      <c r="B23" s="13">
        <v>5</v>
      </c>
      <c r="C23" s="50" t="s">
        <v>54</v>
      </c>
      <c r="D23" s="51" t="s">
        <v>72</v>
      </c>
      <c r="E23" s="52" t="s">
        <v>43</v>
      </c>
      <c r="F23" s="50" t="s">
        <v>43</v>
      </c>
      <c r="G23" s="53">
        <v>13</v>
      </c>
      <c r="H23" s="54">
        <v>0</v>
      </c>
      <c r="I23" s="1">
        <f t="shared" si="0"/>
        <v>0</v>
      </c>
      <c r="J23" s="11">
        <f>+H23+ABRIL!J23</f>
        <v>0</v>
      </c>
      <c r="K23" s="1">
        <f t="shared" si="1"/>
        <v>0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+H24+ABRIL!J24</f>
        <v>2</v>
      </c>
      <c r="K24" s="1">
        <f t="shared" si="1"/>
        <v>0.15384615384615385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43</v>
      </c>
      <c r="F25" s="50" t="s">
        <v>43</v>
      </c>
      <c r="G25" s="53">
        <v>13</v>
      </c>
      <c r="H25" s="54">
        <v>0</v>
      </c>
      <c r="I25" s="1">
        <f t="shared" si="0"/>
        <v>0</v>
      </c>
      <c r="J25" s="11">
        <f>+H25+ABRIL!J25</f>
        <v>0</v>
      </c>
      <c r="K25" s="1">
        <f t="shared" si="1"/>
        <v>0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43</v>
      </c>
      <c r="F26" s="50" t="s">
        <v>43</v>
      </c>
      <c r="G26" s="53">
        <v>13</v>
      </c>
      <c r="H26" s="54">
        <v>0</v>
      </c>
      <c r="I26" s="1">
        <f t="shared" si="0"/>
        <v>0</v>
      </c>
      <c r="J26" s="11">
        <f>+H26+ABRIL!J26</f>
        <v>0</v>
      </c>
      <c r="K26" s="1">
        <f t="shared" si="1"/>
        <v>0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43</v>
      </c>
      <c r="F27" s="50" t="s">
        <v>43</v>
      </c>
      <c r="G27" s="53">
        <v>10</v>
      </c>
      <c r="H27" s="54">
        <v>0</v>
      </c>
      <c r="I27" s="1">
        <f t="shared" si="0"/>
        <v>0</v>
      </c>
      <c r="J27" s="11">
        <f>+H27+ABRIL!J27</f>
        <v>0</v>
      </c>
      <c r="K27" s="1">
        <f t="shared" si="1"/>
        <v>0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3</v>
      </c>
      <c r="I28" s="1">
        <f t="shared" si="0"/>
        <v>0.15</v>
      </c>
      <c r="J28" s="11">
        <f>+H28+ABRIL!J28</f>
        <v>6</v>
      </c>
      <c r="K28" s="1">
        <f t="shared" si="1"/>
        <v>0.3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43</v>
      </c>
      <c r="F29" s="50" t="s">
        <v>43</v>
      </c>
      <c r="G29" s="53">
        <v>8</v>
      </c>
      <c r="H29" s="54">
        <v>0</v>
      </c>
      <c r="I29" s="1">
        <f t="shared" si="0"/>
        <v>0</v>
      </c>
      <c r="J29" s="11">
        <f>+H29+ABRIL!J29</f>
        <v>0</v>
      </c>
      <c r="K29" s="1">
        <f t="shared" si="1"/>
        <v>0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+H30+ABRIL!J30</f>
        <v>1</v>
      </c>
      <c r="K30" s="22">
        <f t="shared" si="1"/>
        <v>0.125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MAYO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39</v>
      </c>
      <c r="K32" s="17">
        <f>IFERROR(J32/G32,0)</f>
        <v>0.15662650602409639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9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4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topLeftCell="A8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6.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11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45838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2</v>
      </c>
      <c r="I13" s="1">
        <f>IFERROR(H13/G13,0)</f>
        <v>0.2</v>
      </c>
      <c r="J13" s="11">
        <f>+H13+MAYO!J13</f>
        <v>2</v>
      </c>
      <c r="K13" s="1">
        <f>IFERROR(J13/G13,0)</f>
        <v>0.2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88</v>
      </c>
      <c r="F14" s="9" t="s">
        <v>32</v>
      </c>
      <c r="G14" s="48">
        <v>5</v>
      </c>
      <c r="H14" s="10">
        <v>2</v>
      </c>
      <c r="I14" s="1">
        <f>IFERROR(H14/G14,0)</f>
        <v>0.4</v>
      </c>
      <c r="J14" s="11">
        <f>+H14+MAYO!J14</f>
        <v>2</v>
      </c>
      <c r="K14" s="1">
        <f>IFERROR(J14/G14,0)</f>
        <v>0.4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2</v>
      </c>
      <c r="I15" s="1">
        <f t="shared" ref="I15:I30" si="0">IFERROR(H15/G15,0)</f>
        <v>0.15384615384615385</v>
      </c>
      <c r="J15" s="11">
        <f>+H15+MAYO!J15</f>
        <v>4</v>
      </c>
      <c r="K15" s="1">
        <f t="shared" ref="K15:K30" si="1">IFERROR(J15/G15,0)</f>
        <v>0.30769230769230771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2</v>
      </c>
      <c r="I16" s="1">
        <f t="shared" si="0"/>
        <v>0.1</v>
      </c>
      <c r="J16" s="11">
        <f>+H16+MAYO!J16</f>
        <v>2</v>
      </c>
      <c r="K16" s="1">
        <f t="shared" si="1"/>
        <v>0.1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43</v>
      </c>
      <c r="F17" s="9" t="s">
        <v>43</v>
      </c>
      <c r="G17" s="48">
        <v>10</v>
      </c>
      <c r="H17" s="10">
        <v>0</v>
      </c>
      <c r="I17" s="1">
        <f t="shared" si="0"/>
        <v>0</v>
      </c>
      <c r="J17" s="11">
        <f>+H17+MAYO!J17</f>
        <v>0</v>
      </c>
      <c r="K17" s="1">
        <f t="shared" si="1"/>
        <v>0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>
        <v>4</v>
      </c>
      <c r="I18" s="1">
        <f t="shared" si="0"/>
        <v>0.2</v>
      </c>
      <c r="J18" s="11">
        <f>+H18+MAYO!J18</f>
        <v>13</v>
      </c>
      <c r="K18" s="1">
        <f t="shared" si="1"/>
        <v>0.65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>
        <v>3</v>
      </c>
      <c r="I19" s="1">
        <f t="shared" si="0"/>
        <v>0.15</v>
      </c>
      <c r="J19" s="11">
        <f>+H19+MAYO!J19</f>
        <v>12</v>
      </c>
      <c r="K19" s="1">
        <f t="shared" si="1"/>
        <v>0.6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4</v>
      </c>
      <c r="I20" s="1">
        <f t="shared" si="0"/>
        <v>0.2</v>
      </c>
      <c r="J20" s="11">
        <f>+H20+MAYO!J20</f>
        <v>10</v>
      </c>
      <c r="K20" s="1">
        <f t="shared" si="1"/>
        <v>0.5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2</v>
      </c>
      <c r="I21" s="1">
        <f t="shared" si="0"/>
        <v>0.15384615384615385</v>
      </c>
      <c r="J21" s="11">
        <f>+H21+MAYO!J21</f>
        <v>4</v>
      </c>
      <c r="K21" s="1">
        <f t="shared" si="1"/>
        <v>0.30769230769230771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2</v>
      </c>
      <c r="I22" s="1">
        <f t="shared" si="0"/>
        <v>0.1</v>
      </c>
      <c r="J22" s="11">
        <f>+H22+MAYO!J22</f>
        <v>4</v>
      </c>
      <c r="K22" s="1">
        <f t="shared" si="1"/>
        <v>0.2</v>
      </c>
    </row>
    <row r="23" spans="2:16" x14ac:dyDescent="0.35">
      <c r="B23" s="13">
        <v>5</v>
      </c>
      <c r="C23" s="50" t="s">
        <v>54</v>
      </c>
      <c r="D23" s="51" t="s">
        <v>72</v>
      </c>
      <c r="E23" s="52" t="s">
        <v>43</v>
      </c>
      <c r="F23" s="50" t="s">
        <v>43</v>
      </c>
      <c r="G23" s="53">
        <v>13</v>
      </c>
      <c r="H23" s="54">
        <v>0</v>
      </c>
      <c r="I23" s="1">
        <f t="shared" si="0"/>
        <v>0</v>
      </c>
      <c r="J23" s="11">
        <f>+H23+MAYO!J23</f>
        <v>0</v>
      </c>
      <c r="K23" s="1">
        <f t="shared" si="1"/>
        <v>0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+H24+MAYO!J24</f>
        <v>4</v>
      </c>
      <c r="K24" s="1">
        <f t="shared" si="1"/>
        <v>0.30769230769230771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+H25+MAYO!J25</f>
        <v>2</v>
      </c>
      <c r="K25" s="1">
        <f t="shared" si="1"/>
        <v>0.15384615384615385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43</v>
      </c>
      <c r="F26" s="50" t="s">
        <v>43</v>
      </c>
      <c r="G26" s="53">
        <v>13</v>
      </c>
      <c r="H26" s="54">
        <v>0</v>
      </c>
      <c r="I26" s="1">
        <f t="shared" si="0"/>
        <v>0</v>
      </c>
      <c r="J26" s="11">
        <f>+H26+MAYO!J26</f>
        <v>0</v>
      </c>
      <c r="K26" s="1">
        <f t="shared" si="1"/>
        <v>0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43</v>
      </c>
      <c r="F27" s="50" t="s">
        <v>43</v>
      </c>
      <c r="G27" s="53">
        <v>10</v>
      </c>
      <c r="H27" s="54">
        <v>0</v>
      </c>
      <c r="I27" s="1">
        <f t="shared" si="0"/>
        <v>0</v>
      </c>
      <c r="J27" s="11">
        <f>+H27+MAYO!J27</f>
        <v>0</v>
      </c>
      <c r="K27" s="1">
        <f t="shared" si="1"/>
        <v>0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1</v>
      </c>
      <c r="I28" s="1">
        <f t="shared" si="0"/>
        <v>0.05</v>
      </c>
      <c r="J28" s="11">
        <f>+H28+MAYO!J28</f>
        <v>7</v>
      </c>
      <c r="K28" s="1">
        <f t="shared" si="1"/>
        <v>0.35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+H29+MAYO!J29</f>
        <v>1</v>
      </c>
      <c r="K29" s="1">
        <f t="shared" si="1"/>
        <v>0.125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+H30+MAYO!J30</f>
        <v>2</v>
      </c>
      <c r="K30" s="22">
        <f t="shared" si="1"/>
        <v>0.25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JUNIO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69</v>
      </c>
      <c r="K32" s="17">
        <f>IFERROR(J32/G32,0)</f>
        <v>0.27710843373493976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31:I31"/>
    <mergeCell ref="J31:K31"/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</mergeCells>
  <conditionalFormatting sqref="K13:K30">
    <cfRule type="cellIs" dxfId="8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topLeftCell="A14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6.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13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45869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2</v>
      </c>
      <c r="I13" s="1">
        <f>IFERROR(H13/G13,0)</f>
        <v>0.2</v>
      </c>
      <c r="J13" s="11">
        <f>+H13+JUNIO!J13</f>
        <v>4</v>
      </c>
      <c r="K13" s="1">
        <f>IFERROR(J13/G13,0)</f>
        <v>0.4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88</v>
      </c>
      <c r="F14" s="9" t="s">
        <v>32</v>
      </c>
      <c r="G14" s="48">
        <v>5</v>
      </c>
      <c r="H14" s="10">
        <v>1</v>
      </c>
      <c r="I14" s="1">
        <f>IFERROR(H14/G14,0)</f>
        <v>0.2</v>
      </c>
      <c r="J14" s="11">
        <f>+H14+JUNIO!J14</f>
        <v>3</v>
      </c>
      <c r="K14" s="1">
        <f>IFERROR(J14/G14,0)</f>
        <v>0.6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2</v>
      </c>
      <c r="I15" s="1">
        <f t="shared" ref="I15:I30" si="0">IFERROR(H15/G15,0)</f>
        <v>0.15384615384615385</v>
      </c>
      <c r="J15" s="11">
        <f>+H15+JUNIO!J15</f>
        <v>6</v>
      </c>
      <c r="K15" s="1">
        <f t="shared" ref="K15:K30" si="1">IFERROR(J15/G15,0)</f>
        <v>0.46153846153846156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+H16+JUNIO!J16</f>
        <v>5</v>
      </c>
      <c r="K16" s="1">
        <f t="shared" si="1"/>
        <v>0.25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2</v>
      </c>
      <c r="I17" s="1">
        <f t="shared" si="0"/>
        <v>0.2</v>
      </c>
      <c r="J17" s="11">
        <f>+H17+JUNIO!J17</f>
        <v>2</v>
      </c>
      <c r="K17" s="1">
        <f t="shared" si="1"/>
        <v>0.2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/>
      <c r="I18" s="1">
        <f t="shared" si="0"/>
        <v>0</v>
      </c>
      <c r="J18" s="11">
        <f>+H18+JUNIO!J18</f>
        <v>13</v>
      </c>
      <c r="K18" s="1">
        <f t="shared" si="1"/>
        <v>0.65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/>
      <c r="I19" s="1">
        <f t="shared" si="0"/>
        <v>0</v>
      </c>
      <c r="J19" s="11">
        <f>+H19+JUNIO!J19</f>
        <v>12</v>
      </c>
      <c r="K19" s="1">
        <f t="shared" si="1"/>
        <v>0.6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2</v>
      </c>
      <c r="I20" s="1">
        <f t="shared" si="0"/>
        <v>0.1</v>
      </c>
      <c r="J20" s="11">
        <f>+H20+JUNIO!J20</f>
        <v>12</v>
      </c>
      <c r="K20" s="1">
        <f t="shared" si="1"/>
        <v>0.6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2</v>
      </c>
      <c r="I21" s="1">
        <f t="shared" si="0"/>
        <v>0.15384615384615385</v>
      </c>
      <c r="J21" s="11">
        <f>+H21+JUNIO!J21</f>
        <v>6</v>
      </c>
      <c r="K21" s="1">
        <f t="shared" si="1"/>
        <v>0.46153846153846156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2</v>
      </c>
      <c r="I22" s="1">
        <f t="shared" si="0"/>
        <v>0.1</v>
      </c>
      <c r="J22" s="11">
        <f>+H22+JUNIO!J22</f>
        <v>6</v>
      </c>
      <c r="K22" s="1">
        <f t="shared" si="1"/>
        <v>0.3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2</v>
      </c>
      <c r="I23" s="1">
        <f t="shared" si="0"/>
        <v>0.15384615384615385</v>
      </c>
      <c r="J23" s="11">
        <f>+H23+JUNIO!J23</f>
        <v>2</v>
      </c>
      <c r="K23" s="1">
        <f t="shared" si="1"/>
        <v>0.15384615384615385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+H24+JUNIO!J24</f>
        <v>6</v>
      </c>
      <c r="K24" s="1">
        <f t="shared" si="1"/>
        <v>0.46153846153846156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+H25+JUNIO!J25</f>
        <v>4</v>
      </c>
      <c r="K25" s="1">
        <f t="shared" si="1"/>
        <v>0.30769230769230771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3</v>
      </c>
      <c r="I26" s="1">
        <f t="shared" si="0"/>
        <v>0.23076923076923078</v>
      </c>
      <c r="J26" s="11">
        <f>+H26+JUNIO!J26</f>
        <v>3</v>
      </c>
      <c r="K26" s="1">
        <f t="shared" si="1"/>
        <v>0.23076923076923078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2</v>
      </c>
      <c r="I27" s="1">
        <f t="shared" si="0"/>
        <v>0.2</v>
      </c>
      <c r="J27" s="11">
        <f>+H27+JUNIO!J27</f>
        <v>2</v>
      </c>
      <c r="K27" s="1">
        <f t="shared" si="1"/>
        <v>0.2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1</v>
      </c>
      <c r="I28" s="1">
        <f t="shared" si="0"/>
        <v>0.05</v>
      </c>
      <c r="J28" s="11">
        <f>+H28+JUNIO!J28</f>
        <v>8</v>
      </c>
      <c r="K28" s="1">
        <f t="shared" si="1"/>
        <v>0.4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+H29+JUNIO!J29</f>
        <v>2</v>
      </c>
      <c r="K29" s="1">
        <f t="shared" si="1"/>
        <v>0.25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+H30+JUNIO!J30</f>
        <v>3</v>
      </c>
      <c r="K30" s="22">
        <f t="shared" si="1"/>
        <v>0.375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JULIO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99</v>
      </c>
      <c r="K32" s="17">
        <f>IFERROR(J32/G32,0)</f>
        <v>0.39759036144578314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algorithmName="SHA-512" hashValue="j7R2f05Y9V0fLEvUwnsC3UOkFuyr2PDhjWUFYfE7RZ2+SHTt+P34rqH2/xm1VS8rB5JHvtd7F2JYwsi8L4NYgA==" saltValue="qilBIbojFhUW4ZULL4S11w==" spinCount="100000" sheet="1" objects="1" scenarios="1"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31:I31"/>
    <mergeCell ref="J31:K31"/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</mergeCells>
  <conditionalFormatting sqref="K13:K30">
    <cfRule type="cellIs" dxfId="7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6.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14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45900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2</v>
      </c>
      <c r="I13" s="1">
        <f>IFERROR(H13/G13,0)</f>
        <v>0.2</v>
      </c>
      <c r="J13" s="11">
        <f>+H13+JULIO!J13</f>
        <v>6</v>
      </c>
      <c r="K13" s="1">
        <f>IFERROR(J13/G13,0)</f>
        <v>0.6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43</v>
      </c>
      <c r="F14" s="9" t="s">
        <v>43</v>
      </c>
      <c r="G14" s="48">
        <v>5</v>
      </c>
      <c r="H14" s="10">
        <v>0</v>
      </c>
      <c r="I14" s="1">
        <f>IFERROR(H14/G14,0)</f>
        <v>0</v>
      </c>
      <c r="J14" s="11">
        <f>+H14+JULIO!J14</f>
        <v>3</v>
      </c>
      <c r="K14" s="1">
        <f>IFERROR(J14/G14,0)</f>
        <v>0.6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2</v>
      </c>
      <c r="I15" s="1">
        <f t="shared" ref="I15:I30" si="0">IFERROR(H15/G15,0)</f>
        <v>0.15384615384615385</v>
      </c>
      <c r="J15" s="11">
        <f>+H15+JULIO!J15</f>
        <v>8</v>
      </c>
      <c r="K15" s="1">
        <f t="shared" ref="K15:K30" si="1">IFERROR(J15/G15,0)</f>
        <v>0.61538461538461542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+H16+JULIO!J16</f>
        <v>8</v>
      </c>
      <c r="K16" s="1">
        <f t="shared" si="1"/>
        <v>0.4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2</v>
      </c>
      <c r="I17" s="1">
        <f t="shared" si="0"/>
        <v>0.2</v>
      </c>
      <c r="J17" s="11">
        <f>+H17+JULIO!J17</f>
        <v>4</v>
      </c>
      <c r="K17" s="1">
        <f t="shared" si="1"/>
        <v>0.4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43</v>
      </c>
      <c r="F18" s="9" t="s">
        <v>43</v>
      </c>
      <c r="G18" s="48">
        <v>20</v>
      </c>
      <c r="H18" s="10">
        <v>0</v>
      </c>
      <c r="I18" s="1">
        <f t="shared" si="0"/>
        <v>0</v>
      </c>
      <c r="J18" s="11">
        <f>+H18+JULIO!J18</f>
        <v>13</v>
      </c>
      <c r="K18" s="1">
        <f t="shared" si="1"/>
        <v>0.65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43</v>
      </c>
      <c r="F19" s="9" t="s">
        <v>43</v>
      </c>
      <c r="G19" s="48">
        <v>20</v>
      </c>
      <c r="H19" s="10">
        <v>0</v>
      </c>
      <c r="I19" s="1">
        <f t="shared" si="0"/>
        <v>0</v>
      </c>
      <c r="J19" s="11">
        <f>+H19+JULIO!J19</f>
        <v>12</v>
      </c>
      <c r="K19" s="1">
        <f t="shared" si="1"/>
        <v>0.6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1</v>
      </c>
      <c r="I20" s="1">
        <f t="shared" si="0"/>
        <v>0.05</v>
      </c>
      <c r="J20" s="11">
        <f>+H20+JULIO!J20</f>
        <v>13</v>
      </c>
      <c r="K20" s="1">
        <f t="shared" si="1"/>
        <v>0.65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2</v>
      </c>
      <c r="I21" s="1">
        <f t="shared" si="0"/>
        <v>0.15384615384615385</v>
      </c>
      <c r="J21" s="11">
        <f>+H21+JULIO!J21</f>
        <v>8</v>
      </c>
      <c r="K21" s="1">
        <f t="shared" si="1"/>
        <v>0.61538461538461542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3</v>
      </c>
      <c r="I22" s="1">
        <f t="shared" si="0"/>
        <v>0.15</v>
      </c>
      <c r="J22" s="11">
        <f>+H22+JULIO!J22</f>
        <v>9</v>
      </c>
      <c r="K22" s="1">
        <f t="shared" si="1"/>
        <v>0.45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3</v>
      </c>
      <c r="I23" s="1">
        <f t="shared" si="0"/>
        <v>0.23076923076923078</v>
      </c>
      <c r="J23" s="11">
        <f>+H23+JULIO!J23</f>
        <v>5</v>
      </c>
      <c r="K23" s="1">
        <f t="shared" si="1"/>
        <v>0.38461538461538464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+H24+JULIO!J24</f>
        <v>8</v>
      </c>
      <c r="K24" s="1">
        <f t="shared" si="1"/>
        <v>0.61538461538461542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+H25+JULIO!J25</f>
        <v>6</v>
      </c>
      <c r="K25" s="1">
        <f t="shared" si="1"/>
        <v>0.46153846153846156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3</v>
      </c>
      <c r="I26" s="1">
        <f t="shared" si="0"/>
        <v>0.23076923076923078</v>
      </c>
      <c r="J26" s="11">
        <f>+H26+JULIO!J26</f>
        <v>6</v>
      </c>
      <c r="K26" s="1">
        <f t="shared" si="1"/>
        <v>0.46153846153846156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2</v>
      </c>
      <c r="I27" s="1">
        <f t="shared" si="0"/>
        <v>0.2</v>
      </c>
      <c r="J27" s="11">
        <f>+H27+JULIO!J27</f>
        <v>4</v>
      </c>
      <c r="K27" s="1">
        <f t="shared" si="1"/>
        <v>0.4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1</v>
      </c>
      <c r="I28" s="1">
        <f t="shared" si="0"/>
        <v>0.05</v>
      </c>
      <c r="J28" s="11">
        <f>+H28+JULIO!J28</f>
        <v>9</v>
      </c>
      <c r="K28" s="1">
        <f t="shared" si="1"/>
        <v>0.45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+H29+JULIO!J29</f>
        <v>3</v>
      </c>
      <c r="K29" s="1">
        <f t="shared" si="1"/>
        <v>0.375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+H30+JULIO!J30</f>
        <v>4</v>
      </c>
      <c r="K30" s="22">
        <f t="shared" si="1"/>
        <v>0.5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AGOSTO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129</v>
      </c>
      <c r="K32" s="17">
        <f>IFERROR(J32/G32,0)</f>
        <v>0.51807228915662651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6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topLeftCell="A28" zoomScaleNormal="100" zoomScaleSheetLayoutView="100" workbookViewId="0">
      <selection activeCell="J32" sqref="J32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16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45930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1</v>
      </c>
      <c r="I13" s="1">
        <f>IFERROR(H13/G13,0)</f>
        <v>0.1</v>
      </c>
      <c r="J13" s="11">
        <f>+H13+AGOSTO!J13</f>
        <v>7</v>
      </c>
      <c r="K13" s="1">
        <f>IFERROR(J13/G13,0)</f>
        <v>0.7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43</v>
      </c>
      <c r="F14" s="9" t="s">
        <v>43</v>
      </c>
      <c r="G14" s="48">
        <v>5</v>
      </c>
      <c r="H14" s="10">
        <v>0</v>
      </c>
      <c r="I14" s="1">
        <f>IFERROR(H14/G14,0)</f>
        <v>0</v>
      </c>
      <c r="J14" s="11">
        <f>+H14+AGOSTO!J14</f>
        <v>3</v>
      </c>
      <c r="K14" s="1">
        <f>IFERROR(J14/G14,0)</f>
        <v>0.6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2</v>
      </c>
      <c r="I15" s="1">
        <f t="shared" ref="I15:I30" si="0">IFERROR(H15/G15,0)</f>
        <v>0.15384615384615385</v>
      </c>
      <c r="J15" s="11">
        <f>+H15+AGOSTO!J15</f>
        <v>10</v>
      </c>
      <c r="K15" s="1">
        <f t="shared" ref="K15:K30" si="1">IFERROR(J15/G15,0)</f>
        <v>0.76923076923076927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+H16+AGOSTO!J16</f>
        <v>11</v>
      </c>
      <c r="K16" s="1">
        <f t="shared" si="1"/>
        <v>0.55000000000000004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2</v>
      </c>
      <c r="I17" s="1">
        <f t="shared" si="0"/>
        <v>0.2</v>
      </c>
      <c r="J17" s="11">
        <f>+H17+AGOSTO!J17</f>
        <v>6</v>
      </c>
      <c r="K17" s="1">
        <f t="shared" si="1"/>
        <v>0.6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43</v>
      </c>
      <c r="F18" s="9" t="s">
        <v>43</v>
      </c>
      <c r="G18" s="48">
        <v>20</v>
      </c>
      <c r="H18" s="10">
        <v>0</v>
      </c>
      <c r="I18" s="1">
        <f t="shared" si="0"/>
        <v>0</v>
      </c>
      <c r="J18" s="11">
        <f>+H18+AGOSTO!J18</f>
        <v>13</v>
      </c>
      <c r="K18" s="1">
        <f t="shared" si="1"/>
        <v>0.65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43</v>
      </c>
      <c r="F19" s="9" t="s">
        <v>43</v>
      </c>
      <c r="G19" s="48">
        <v>20</v>
      </c>
      <c r="H19" s="10">
        <v>0</v>
      </c>
      <c r="I19" s="1">
        <f t="shared" si="0"/>
        <v>0</v>
      </c>
      <c r="J19" s="11">
        <f>+H19+AGOSTO!J19</f>
        <v>12</v>
      </c>
      <c r="K19" s="1">
        <f t="shared" si="1"/>
        <v>0.6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1</v>
      </c>
      <c r="I20" s="1">
        <f t="shared" si="0"/>
        <v>0.05</v>
      </c>
      <c r="J20" s="11">
        <f>+H20+AGOSTO!J20</f>
        <v>14</v>
      </c>
      <c r="K20" s="1">
        <f t="shared" si="1"/>
        <v>0.7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2</v>
      </c>
      <c r="I21" s="1">
        <f t="shared" si="0"/>
        <v>0.15384615384615385</v>
      </c>
      <c r="J21" s="11">
        <f>+H21+AGOSTO!J21</f>
        <v>10</v>
      </c>
      <c r="K21" s="1">
        <f t="shared" si="1"/>
        <v>0.76923076923076927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3</v>
      </c>
      <c r="I22" s="1">
        <f t="shared" si="0"/>
        <v>0.15</v>
      </c>
      <c r="J22" s="11">
        <f>+H22+AGOSTO!J22</f>
        <v>12</v>
      </c>
      <c r="K22" s="1">
        <f t="shared" si="1"/>
        <v>0.6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3</v>
      </c>
      <c r="I23" s="1">
        <f t="shared" si="0"/>
        <v>0.23076923076923078</v>
      </c>
      <c r="J23" s="11">
        <f>+H23+AGOSTO!J23</f>
        <v>8</v>
      </c>
      <c r="K23" s="1">
        <f t="shared" si="1"/>
        <v>0.61538461538461542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+H24+AGOSTO!J24</f>
        <v>10</v>
      </c>
      <c r="K24" s="1">
        <f t="shared" si="1"/>
        <v>0.76923076923076927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+H25+AGOSTO!J25</f>
        <v>8</v>
      </c>
      <c r="K25" s="1">
        <f t="shared" si="1"/>
        <v>0.61538461538461542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3</v>
      </c>
      <c r="I26" s="1">
        <f t="shared" si="0"/>
        <v>0.23076923076923078</v>
      </c>
      <c r="J26" s="11">
        <f>+H26+AGOSTO!J26</f>
        <v>9</v>
      </c>
      <c r="K26" s="1">
        <f t="shared" si="1"/>
        <v>0.69230769230769229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2</v>
      </c>
      <c r="I27" s="1">
        <f t="shared" si="0"/>
        <v>0.2</v>
      </c>
      <c r="J27" s="11">
        <f>+H27+AGOSTO!J27</f>
        <v>6</v>
      </c>
      <c r="K27" s="1">
        <f t="shared" si="1"/>
        <v>0.6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2</v>
      </c>
      <c r="I28" s="1">
        <f t="shared" si="0"/>
        <v>0.1</v>
      </c>
      <c r="J28" s="11">
        <f>+H28+AGOSTO!J28</f>
        <v>11</v>
      </c>
      <c r="K28" s="1">
        <f t="shared" si="1"/>
        <v>0.55000000000000004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+H29+AGOSTO!J29</f>
        <v>4</v>
      </c>
      <c r="K29" s="1">
        <f t="shared" si="1"/>
        <v>0.5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+H30+AGOSTO!J30</f>
        <v>5</v>
      </c>
      <c r="K30" s="22">
        <f t="shared" si="1"/>
        <v>0.625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SEPTIEMBRE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159</v>
      </c>
      <c r="K32" s="17">
        <f>IFERROR(J32/G32,0)</f>
        <v>0.63855421686746983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31:I31"/>
    <mergeCell ref="J31:K31"/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</mergeCells>
  <conditionalFormatting sqref="K13:K30">
    <cfRule type="cellIs" dxfId="5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17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45961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1</v>
      </c>
      <c r="I13" s="1">
        <f>IFERROR(H13/G13,0)</f>
        <v>0.1</v>
      </c>
      <c r="J13" s="11">
        <f>+H13+SEPTIEMBRE!J13</f>
        <v>8</v>
      </c>
      <c r="K13" s="1">
        <f>IFERROR(J13/G13,0)</f>
        <v>0.8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43</v>
      </c>
      <c r="F14" s="9" t="s">
        <v>43</v>
      </c>
      <c r="G14" s="48">
        <v>5</v>
      </c>
      <c r="H14" s="10">
        <v>1</v>
      </c>
      <c r="I14" s="1">
        <f>IFERROR(H14/G14,0)</f>
        <v>0.2</v>
      </c>
      <c r="J14" s="11">
        <f>+H14+SEPTIEMBRE!J14</f>
        <v>4</v>
      </c>
      <c r="K14" s="1">
        <f>IFERROR(J14/G14,0)</f>
        <v>0.8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1</v>
      </c>
      <c r="I15" s="1">
        <f t="shared" ref="I15:I30" si="0">IFERROR(H15/G15,0)</f>
        <v>7.6923076923076927E-2</v>
      </c>
      <c r="J15" s="11">
        <f>+H15+SEPTIEMBRE!J15</f>
        <v>11</v>
      </c>
      <c r="K15" s="1">
        <f t="shared" ref="K15:K30" si="1">IFERROR(J15/G15,0)</f>
        <v>0.84615384615384615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+H16+SEPTIEMBRE!J16</f>
        <v>14</v>
      </c>
      <c r="K16" s="1">
        <f t="shared" si="1"/>
        <v>0.7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2</v>
      </c>
      <c r="I17" s="1">
        <f t="shared" si="0"/>
        <v>0.2</v>
      </c>
      <c r="J17" s="11">
        <f>+H17+SEPTIEMBRE!J17</f>
        <v>8</v>
      </c>
      <c r="K17" s="1">
        <f t="shared" si="1"/>
        <v>0.8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43</v>
      </c>
      <c r="F18" s="9" t="s">
        <v>43</v>
      </c>
      <c r="G18" s="48">
        <v>20</v>
      </c>
      <c r="H18" s="10">
        <v>1</v>
      </c>
      <c r="I18" s="1">
        <f t="shared" si="0"/>
        <v>0.05</v>
      </c>
      <c r="J18" s="11">
        <f>+H18+SEPTIEMBRE!J18</f>
        <v>14</v>
      </c>
      <c r="K18" s="1">
        <f t="shared" si="1"/>
        <v>0.7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43</v>
      </c>
      <c r="F19" s="9" t="s">
        <v>43</v>
      </c>
      <c r="G19" s="48">
        <v>20</v>
      </c>
      <c r="H19" s="10"/>
      <c r="I19" s="1">
        <f t="shared" si="0"/>
        <v>0</v>
      </c>
      <c r="J19" s="11">
        <f>+H19+SEPTIEMBRE!J19</f>
        <v>12</v>
      </c>
      <c r="K19" s="1">
        <f t="shared" si="1"/>
        <v>0.6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1</v>
      </c>
      <c r="I20" s="1">
        <f t="shared" si="0"/>
        <v>0.05</v>
      </c>
      <c r="J20" s="11">
        <f>+H20+SEPTIEMBRE!J20</f>
        <v>15</v>
      </c>
      <c r="K20" s="1">
        <f t="shared" si="1"/>
        <v>0.75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1</v>
      </c>
      <c r="I21" s="1">
        <f t="shared" si="0"/>
        <v>7.6923076923076927E-2</v>
      </c>
      <c r="J21" s="11">
        <f>+H21+SEPTIEMBRE!J21</f>
        <v>11</v>
      </c>
      <c r="K21" s="1">
        <f t="shared" si="1"/>
        <v>0.84615384615384615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3</v>
      </c>
      <c r="I22" s="1">
        <f t="shared" si="0"/>
        <v>0.15</v>
      </c>
      <c r="J22" s="11">
        <f>+H22+SEPTIEMBRE!J22</f>
        <v>15</v>
      </c>
      <c r="K22" s="1">
        <f t="shared" si="1"/>
        <v>0.75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3</v>
      </c>
      <c r="I23" s="1">
        <f t="shared" si="0"/>
        <v>0.23076923076923078</v>
      </c>
      <c r="J23" s="11">
        <f>+H23+SEPTIEMBRE!J23</f>
        <v>11</v>
      </c>
      <c r="K23" s="1">
        <f t="shared" si="1"/>
        <v>0.84615384615384615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2</v>
      </c>
      <c r="I24" s="1">
        <f t="shared" si="0"/>
        <v>0.15384615384615385</v>
      </c>
      <c r="J24" s="11">
        <f>+H24+SEPTIEMBRE!J24</f>
        <v>12</v>
      </c>
      <c r="K24" s="1">
        <f t="shared" si="1"/>
        <v>0.92307692307692313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+H25+SEPTIEMBRE!J25</f>
        <v>10</v>
      </c>
      <c r="K25" s="1">
        <f t="shared" si="1"/>
        <v>0.76923076923076927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3</v>
      </c>
      <c r="I26" s="1">
        <f t="shared" si="0"/>
        <v>0.23076923076923078</v>
      </c>
      <c r="J26" s="11">
        <f>+H26+SEPTIEMBRE!J26</f>
        <v>12</v>
      </c>
      <c r="K26" s="1">
        <f t="shared" si="1"/>
        <v>0.92307692307692313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2</v>
      </c>
      <c r="I27" s="1">
        <f t="shared" si="0"/>
        <v>0.2</v>
      </c>
      <c r="J27" s="11">
        <f>+H27+SEPTIEMBRE!J27</f>
        <v>8</v>
      </c>
      <c r="K27" s="1">
        <f t="shared" si="1"/>
        <v>0.8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2</v>
      </c>
      <c r="I28" s="1">
        <f t="shared" si="0"/>
        <v>0.1</v>
      </c>
      <c r="J28" s="11">
        <f>+H28+SEPTIEMBRE!J28</f>
        <v>13</v>
      </c>
      <c r="K28" s="1">
        <f t="shared" si="1"/>
        <v>0.65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+H29+SEPTIEMBRE!J29</f>
        <v>5</v>
      </c>
      <c r="K29" s="1">
        <f t="shared" si="1"/>
        <v>0.625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+H30+SEPTIEMBRE!J30</f>
        <v>6</v>
      </c>
      <c r="K30" s="22">
        <f t="shared" si="1"/>
        <v>0.75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OCTUBRE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189</v>
      </c>
      <c r="K32" s="17">
        <f>IFERROR(J32/G32,0)</f>
        <v>0.75903614457831325</v>
      </c>
    </row>
    <row r="33" spans="2:11" ht="15" customHeight="1" x14ac:dyDescent="0.35"/>
    <row r="34" spans="2:11" ht="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4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21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45991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1</v>
      </c>
      <c r="I13" s="1">
        <f>IFERROR(H13/G13,0)</f>
        <v>0.1</v>
      </c>
      <c r="J13" s="11">
        <f>+H13+OCTUBRE!J13</f>
        <v>9</v>
      </c>
      <c r="K13" s="1">
        <f>IFERROR(J13/G13,0)</f>
        <v>0.9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88</v>
      </c>
      <c r="F14" s="9" t="s">
        <v>32</v>
      </c>
      <c r="G14" s="48">
        <v>5</v>
      </c>
      <c r="H14" s="10">
        <v>1</v>
      </c>
      <c r="I14" s="1">
        <f>IFERROR(H14/G14,0)</f>
        <v>0.2</v>
      </c>
      <c r="J14" s="11">
        <f>+H14+OCTUBRE!J14</f>
        <v>5</v>
      </c>
      <c r="K14" s="55">
        <f>IFERROR(J14/G14,0)</f>
        <v>1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1</v>
      </c>
      <c r="I15" s="1">
        <f t="shared" ref="I15:I30" si="0">IFERROR(H15/G15,0)</f>
        <v>7.6923076923076927E-2</v>
      </c>
      <c r="J15" s="11">
        <f>+H15+OCTUBRE!J15</f>
        <v>12</v>
      </c>
      <c r="K15" s="1">
        <f t="shared" ref="K15:K30" si="1">IFERROR(J15/G15,0)</f>
        <v>0.92307692307692313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+H16+OCTUBRE!J16</f>
        <v>17</v>
      </c>
      <c r="K16" s="1">
        <f t="shared" si="1"/>
        <v>0.85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1</v>
      </c>
      <c r="I17" s="1">
        <f t="shared" si="0"/>
        <v>0.1</v>
      </c>
      <c r="J17" s="11">
        <f>+H17+OCTUBRE!J17</f>
        <v>9</v>
      </c>
      <c r="K17" s="1">
        <f t="shared" si="1"/>
        <v>0.9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>
        <v>2</v>
      </c>
      <c r="I18" s="1">
        <f t="shared" si="0"/>
        <v>0.1</v>
      </c>
      <c r="J18" s="11">
        <f>+H18+OCTUBRE!J18</f>
        <v>16</v>
      </c>
      <c r="K18" s="1">
        <f t="shared" si="1"/>
        <v>0.8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>
        <v>4</v>
      </c>
      <c r="I19" s="1">
        <f t="shared" si="0"/>
        <v>0.2</v>
      </c>
      <c r="J19" s="11">
        <f>+H19+OCTUBRE!J19</f>
        <v>16</v>
      </c>
      <c r="K19" s="1">
        <f t="shared" si="1"/>
        <v>0.8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2</v>
      </c>
      <c r="I20" s="1">
        <f t="shared" si="0"/>
        <v>0.1</v>
      </c>
      <c r="J20" s="11">
        <f>+H20+OCTUBRE!J20</f>
        <v>17</v>
      </c>
      <c r="K20" s="1">
        <f t="shared" si="1"/>
        <v>0.85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1</v>
      </c>
      <c r="I21" s="1">
        <f t="shared" si="0"/>
        <v>7.6923076923076927E-2</v>
      </c>
      <c r="J21" s="11">
        <f>+H21+OCTUBRE!J21</f>
        <v>12</v>
      </c>
      <c r="K21" s="1">
        <f t="shared" si="1"/>
        <v>0.92307692307692313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3</v>
      </c>
      <c r="I22" s="1">
        <f t="shared" si="0"/>
        <v>0.15</v>
      </c>
      <c r="J22" s="11">
        <f>+H22+OCTUBRE!J22</f>
        <v>18</v>
      </c>
      <c r="K22" s="1">
        <f t="shared" si="1"/>
        <v>0.9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1</v>
      </c>
      <c r="I23" s="1">
        <f t="shared" si="0"/>
        <v>7.6923076923076927E-2</v>
      </c>
      <c r="J23" s="11">
        <f>+H23+OCTUBRE!J23</f>
        <v>12</v>
      </c>
      <c r="K23" s="1">
        <f t="shared" si="1"/>
        <v>0.92307692307692313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1</v>
      </c>
      <c r="I24" s="1">
        <f t="shared" si="0"/>
        <v>7.6923076923076927E-2</v>
      </c>
      <c r="J24" s="11">
        <f>+H24+OCTUBRE!J24</f>
        <v>13</v>
      </c>
      <c r="K24" s="55">
        <f t="shared" si="1"/>
        <v>1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2</v>
      </c>
      <c r="I25" s="1">
        <f t="shared" si="0"/>
        <v>0.15384615384615385</v>
      </c>
      <c r="J25" s="11">
        <f>+H25+OCTUBRE!J25</f>
        <v>12</v>
      </c>
      <c r="K25" s="1">
        <f t="shared" si="1"/>
        <v>0.92307692307692313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1</v>
      </c>
      <c r="I26" s="1">
        <f t="shared" si="0"/>
        <v>7.6923076923076927E-2</v>
      </c>
      <c r="J26" s="11">
        <f>+H26+OCTUBRE!J26</f>
        <v>13</v>
      </c>
      <c r="K26" s="55">
        <f t="shared" si="1"/>
        <v>1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2</v>
      </c>
      <c r="I27" s="1">
        <f t="shared" si="0"/>
        <v>0.2</v>
      </c>
      <c r="J27" s="11">
        <f>+H27+OCTUBRE!J27</f>
        <v>10</v>
      </c>
      <c r="K27" s="55">
        <f t="shared" si="1"/>
        <v>1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2</v>
      </c>
      <c r="I28" s="1">
        <f t="shared" si="0"/>
        <v>0.1</v>
      </c>
      <c r="J28" s="11">
        <f>+H28+OCTUBRE!J28</f>
        <v>15</v>
      </c>
      <c r="K28" s="1">
        <f t="shared" si="1"/>
        <v>0.75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1</v>
      </c>
      <c r="I29" s="1">
        <f t="shared" si="0"/>
        <v>0.125</v>
      </c>
      <c r="J29" s="11">
        <f>+H29+OCTUBRE!J29</f>
        <v>6</v>
      </c>
      <c r="K29" s="1">
        <f t="shared" si="1"/>
        <v>0.75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+H30+OCTUBRE!J30</f>
        <v>7</v>
      </c>
      <c r="K30" s="22">
        <f t="shared" si="1"/>
        <v>0.875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NOVIEMBRE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219</v>
      </c>
      <c r="K32" s="17">
        <f>IFERROR(J32/G32,0)</f>
        <v>0.87951807228915657</v>
      </c>
    </row>
    <row r="33" spans="2:11" ht="15" customHeight="1" x14ac:dyDescent="0.35"/>
    <row r="34" spans="2:11" ht="17.3999999999999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3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zoomScaleNormal="100" zoomScaleSheetLayoutView="100" workbookViewId="0">
      <selection activeCell="D14" sqref="D14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31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46022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ht="57.5" x14ac:dyDescent="0.35">
      <c r="B13" s="5">
        <v>3</v>
      </c>
      <c r="C13" s="6" t="s">
        <v>44</v>
      </c>
      <c r="D13" s="7" t="s">
        <v>62</v>
      </c>
      <c r="E13" s="8" t="s">
        <v>87</v>
      </c>
      <c r="F13" s="9" t="s">
        <v>32</v>
      </c>
      <c r="G13" s="48">
        <v>10</v>
      </c>
      <c r="H13" s="10">
        <v>1</v>
      </c>
      <c r="I13" s="1">
        <f>IFERROR(H13/G13,0)</f>
        <v>0.1</v>
      </c>
      <c r="J13" s="11">
        <f>+H13+NOVIEMBRE!J13</f>
        <v>10</v>
      </c>
      <c r="K13" s="55">
        <f>IFERROR(J13/G13,0)</f>
        <v>1</v>
      </c>
    </row>
    <row r="14" spans="2:16" ht="96" customHeight="1" x14ac:dyDescent="0.35">
      <c r="B14" s="12">
        <v>3</v>
      </c>
      <c r="C14" s="9" t="s">
        <v>45</v>
      </c>
      <c r="D14" s="7" t="s">
        <v>63</v>
      </c>
      <c r="E14" s="8" t="s">
        <v>88</v>
      </c>
      <c r="F14" s="9" t="s">
        <v>32</v>
      </c>
      <c r="G14" s="48">
        <v>5</v>
      </c>
      <c r="H14" s="10">
        <v>0</v>
      </c>
      <c r="I14" s="1">
        <f>IFERROR(H14/G14,0)</f>
        <v>0</v>
      </c>
      <c r="J14" s="11">
        <f>+H14+NOVIEMBRE!J14</f>
        <v>5</v>
      </c>
      <c r="K14" s="55">
        <f>IFERROR(J14/G14,0)</f>
        <v>1</v>
      </c>
    </row>
    <row r="15" spans="2:16" ht="28.25" customHeight="1" x14ac:dyDescent="0.35">
      <c r="B15" s="12">
        <v>3</v>
      </c>
      <c r="C15" s="9" t="s">
        <v>46</v>
      </c>
      <c r="D15" s="7" t="s">
        <v>64</v>
      </c>
      <c r="E15" s="8" t="s">
        <v>86</v>
      </c>
      <c r="F15" s="9" t="s">
        <v>32</v>
      </c>
      <c r="G15" s="48">
        <v>13</v>
      </c>
      <c r="H15" s="10">
        <v>1</v>
      </c>
      <c r="I15" s="1">
        <f t="shared" ref="I15:I30" si="0">IFERROR(H15/G15,0)</f>
        <v>7.6923076923076927E-2</v>
      </c>
      <c r="J15" s="11">
        <f>+H15+NOVIEMBRE!J15</f>
        <v>13</v>
      </c>
      <c r="K15" s="55">
        <f t="shared" ref="K15:K30" si="1">IFERROR(J15/G15,0)</f>
        <v>1</v>
      </c>
    </row>
    <row r="16" spans="2:16" ht="27" customHeight="1" x14ac:dyDescent="0.35">
      <c r="B16" s="12">
        <v>3</v>
      </c>
      <c r="C16" s="9" t="s">
        <v>47</v>
      </c>
      <c r="D16" s="7" t="s">
        <v>65</v>
      </c>
      <c r="E16" s="8" t="s">
        <v>86</v>
      </c>
      <c r="F16" s="9" t="s">
        <v>32</v>
      </c>
      <c r="G16" s="48">
        <v>20</v>
      </c>
      <c r="H16" s="10">
        <v>3</v>
      </c>
      <c r="I16" s="1">
        <f t="shared" si="0"/>
        <v>0.15</v>
      </c>
      <c r="J16" s="11">
        <f>+H16+NOVIEMBRE!J16</f>
        <v>20</v>
      </c>
      <c r="K16" s="55">
        <f t="shared" si="1"/>
        <v>1</v>
      </c>
    </row>
    <row r="17" spans="2:16" s="32" customFormat="1" ht="29.4" customHeight="1" x14ac:dyDescent="0.35">
      <c r="B17" s="12">
        <v>3</v>
      </c>
      <c r="C17" s="9" t="s">
        <v>48</v>
      </c>
      <c r="D17" s="7" t="s">
        <v>66</v>
      </c>
      <c r="E17" s="8" t="s">
        <v>89</v>
      </c>
      <c r="F17" s="9" t="s">
        <v>32</v>
      </c>
      <c r="G17" s="48">
        <v>10</v>
      </c>
      <c r="H17" s="10">
        <v>1</v>
      </c>
      <c r="I17" s="1">
        <f t="shared" si="0"/>
        <v>0.1</v>
      </c>
      <c r="J17" s="11">
        <f>+H17+NOVIEMBRE!J17</f>
        <v>10</v>
      </c>
      <c r="K17" s="55">
        <f t="shared" si="1"/>
        <v>1</v>
      </c>
      <c r="N17" s="41"/>
      <c r="P17" s="41"/>
    </row>
    <row r="18" spans="2:16" ht="21.65" customHeight="1" x14ac:dyDescent="0.35">
      <c r="B18" s="12">
        <v>3</v>
      </c>
      <c r="C18" s="9" t="s">
        <v>49</v>
      </c>
      <c r="D18" s="7" t="s">
        <v>67</v>
      </c>
      <c r="E18" s="8" t="s">
        <v>80</v>
      </c>
      <c r="F18" s="9" t="s">
        <v>32</v>
      </c>
      <c r="G18" s="48">
        <v>20</v>
      </c>
      <c r="H18" s="10">
        <v>4</v>
      </c>
      <c r="I18" s="1">
        <f t="shared" si="0"/>
        <v>0.2</v>
      </c>
      <c r="J18" s="11">
        <f>+H18+NOVIEMBRE!J18</f>
        <v>20</v>
      </c>
      <c r="K18" s="55">
        <f t="shared" si="1"/>
        <v>1</v>
      </c>
    </row>
    <row r="19" spans="2:16" ht="28.25" customHeight="1" x14ac:dyDescent="0.35">
      <c r="B19" s="12">
        <v>3</v>
      </c>
      <c r="C19" s="9" t="s">
        <v>50</v>
      </c>
      <c r="D19" s="7" t="s">
        <v>68</v>
      </c>
      <c r="E19" s="8" t="s">
        <v>81</v>
      </c>
      <c r="F19" s="9" t="s">
        <v>32</v>
      </c>
      <c r="G19" s="48">
        <v>20</v>
      </c>
      <c r="H19" s="10">
        <v>4</v>
      </c>
      <c r="I19" s="1">
        <f t="shared" si="0"/>
        <v>0.2</v>
      </c>
      <c r="J19" s="11">
        <f>+H19+NOVIEMBRE!J19</f>
        <v>20</v>
      </c>
      <c r="K19" s="55">
        <f t="shared" si="1"/>
        <v>1</v>
      </c>
    </row>
    <row r="20" spans="2:16" ht="34.5" x14ac:dyDescent="0.35">
      <c r="B20" s="12">
        <v>3</v>
      </c>
      <c r="C20" s="9" t="s">
        <v>51</v>
      </c>
      <c r="D20" s="7" t="s">
        <v>69</v>
      </c>
      <c r="E20" s="8" t="s">
        <v>82</v>
      </c>
      <c r="F20" s="9" t="s">
        <v>32</v>
      </c>
      <c r="G20" s="48">
        <v>20</v>
      </c>
      <c r="H20" s="10">
        <v>3</v>
      </c>
      <c r="I20" s="1">
        <f t="shared" si="0"/>
        <v>0.15</v>
      </c>
      <c r="J20" s="11">
        <f>+H20+NOVIEMBRE!J20</f>
        <v>20</v>
      </c>
      <c r="K20" s="55">
        <f t="shared" si="1"/>
        <v>1</v>
      </c>
    </row>
    <row r="21" spans="2:16" ht="34.5" x14ac:dyDescent="0.35">
      <c r="B21" s="13">
        <v>5</v>
      </c>
      <c r="C21" s="9" t="s">
        <v>52</v>
      </c>
      <c r="D21" s="7" t="s">
        <v>70</v>
      </c>
      <c r="E21" s="8" t="s">
        <v>81</v>
      </c>
      <c r="F21" s="9" t="s">
        <v>32</v>
      </c>
      <c r="G21" s="48">
        <v>13</v>
      </c>
      <c r="H21" s="10">
        <v>1</v>
      </c>
      <c r="I21" s="1">
        <f t="shared" si="0"/>
        <v>7.6923076923076927E-2</v>
      </c>
      <c r="J21" s="11">
        <f>+H21+NOVIEMBRE!J21</f>
        <v>13</v>
      </c>
      <c r="K21" s="55">
        <f t="shared" si="1"/>
        <v>1</v>
      </c>
    </row>
    <row r="22" spans="2:16" ht="34.5" x14ac:dyDescent="0.35">
      <c r="B22" s="13">
        <v>5</v>
      </c>
      <c r="C22" s="50" t="s">
        <v>53</v>
      </c>
      <c r="D22" s="51" t="s">
        <v>71</v>
      </c>
      <c r="E22" s="52" t="s">
        <v>82</v>
      </c>
      <c r="F22" s="50" t="s">
        <v>32</v>
      </c>
      <c r="G22" s="53">
        <v>20</v>
      </c>
      <c r="H22" s="54">
        <v>2</v>
      </c>
      <c r="I22" s="1">
        <f t="shared" si="0"/>
        <v>0.1</v>
      </c>
      <c r="J22" s="11">
        <f>+H22+NOVIEMBRE!J22</f>
        <v>20</v>
      </c>
      <c r="K22" s="55">
        <f t="shared" si="1"/>
        <v>1</v>
      </c>
    </row>
    <row r="23" spans="2:16" ht="34.5" x14ac:dyDescent="0.35">
      <c r="B23" s="13">
        <v>5</v>
      </c>
      <c r="C23" s="50" t="s">
        <v>54</v>
      </c>
      <c r="D23" s="51" t="s">
        <v>72</v>
      </c>
      <c r="E23" s="52" t="s">
        <v>82</v>
      </c>
      <c r="F23" s="50" t="s">
        <v>32</v>
      </c>
      <c r="G23" s="53">
        <v>13</v>
      </c>
      <c r="H23" s="54">
        <v>1</v>
      </c>
      <c r="I23" s="1">
        <f t="shared" si="0"/>
        <v>7.6923076923076927E-2</v>
      </c>
      <c r="J23" s="11">
        <f>+H23+NOVIEMBRE!J23</f>
        <v>13</v>
      </c>
      <c r="K23" s="55">
        <f t="shared" si="1"/>
        <v>1</v>
      </c>
    </row>
    <row r="24" spans="2:16" s="32" customFormat="1" ht="51" customHeight="1" x14ac:dyDescent="0.35">
      <c r="B24" s="13">
        <v>5</v>
      </c>
      <c r="C24" s="50" t="s">
        <v>55</v>
      </c>
      <c r="D24" s="51" t="s">
        <v>73</v>
      </c>
      <c r="E24" s="52" t="s">
        <v>82</v>
      </c>
      <c r="F24" s="50" t="s">
        <v>32</v>
      </c>
      <c r="G24" s="53">
        <v>13</v>
      </c>
      <c r="H24" s="54">
        <v>0</v>
      </c>
      <c r="I24" s="1">
        <f t="shared" si="0"/>
        <v>0</v>
      </c>
      <c r="J24" s="11">
        <f>+H24+NOVIEMBRE!J24</f>
        <v>13</v>
      </c>
      <c r="K24" s="55">
        <f t="shared" si="1"/>
        <v>1</v>
      </c>
      <c r="N24"/>
      <c r="P24"/>
    </row>
    <row r="25" spans="2:16" ht="51" customHeight="1" x14ac:dyDescent="0.35">
      <c r="B25" s="13">
        <v>5</v>
      </c>
      <c r="C25" s="50" t="s">
        <v>56</v>
      </c>
      <c r="D25" s="51" t="s">
        <v>74</v>
      </c>
      <c r="E25" s="52" t="s">
        <v>82</v>
      </c>
      <c r="F25" s="50" t="s">
        <v>32</v>
      </c>
      <c r="G25" s="53">
        <v>13</v>
      </c>
      <c r="H25" s="54">
        <v>1</v>
      </c>
      <c r="I25" s="1">
        <f t="shared" si="0"/>
        <v>7.6923076923076927E-2</v>
      </c>
      <c r="J25" s="11">
        <f>+H25+NOVIEMBRE!J25</f>
        <v>13</v>
      </c>
      <c r="K25" s="55">
        <f t="shared" si="1"/>
        <v>1</v>
      </c>
    </row>
    <row r="26" spans="2:16" ht="50.4" customHeight="1" x14ac:dyDescent="0.35">
      <c r="B26" s="13">
        <v>5</v>
      </c>
      <c r="C26" s="50" t="s">
        <v>57</v>
      </c>
      <c r="D26" s="51" t="s">
        <v>75</v>
      </c>
      <c r="E26" s="52" t="s">
        <v>82</v>
      </c>
      <c r="F26" s="50" t="s">
        <v>32</v>
      </c>
      <c r="G26" s="53">
        <v>13</v>
      </c>
      <c r="H26" s="54">
        <v>0</v>
      </c>
      <c r="I26" s="1">
        <f t="shared" si="0"/>
        <v>0</v>
      </c>
      <c r="J26" s="11">
        <f>+H26+NOVIEMBRE!J26</f>
        <v>13</v>
      </c>
      <c r="K26" s="55">
        <f t="shared" si="1"/>
        <v>1</v>
      </c>
    </row>
    <row r="27" spans="2:16" ht="51.65" customHeight="1" x14ac:dyDescent="0.35">
      <c r="B27" s="13">
        <v>5</v>
      </c>
      <c r="C27" s="50" t="s">
        <v>58</v>
      </c>
      <c r="D27" s="51" t="s">
        <v>76</v>
      </c>
      <c r="E27" s="52" t="s">
        <v>82</v>
      </c>
      <c r="F27" s="50" t="s">
        <v>32</v>
      </c>
      <c r="G27" s="53">
        <v>10</v>
      </c>
      <c r="H27" s="54">
        <v>0</v>
      </c>
      <c r="I27" s="1">
        <f t="shared" si="0"/>
        <v>0</v>
      </c>
      <c r="J27" s="11">
        <f>+H27+NOVIEMBRE!J27</f>
        <v>10</v>
      </c>
      <c r="K27" s="55">
        <f t="shared" si="1"/>
        <v>1</v>
      </c>
    </row>
    <row r="28" spans="2:16" ht="50.4" customHeight="1" x14ac:dyDescent="0.35">
      <c r="B28" s="13">
        <v>5</v>
      </c>
      <c r="C28" s="50" t="s">
        <v>59</v>
      </c>
      <c r="D28" s="51" t="s">
        <v>77</v>
      </c>
      <c r="E28" s="52" t="s">
        <v>82</v>
      </c>
      <c r="F28" s="50" t="s">
        <v>32</v>
      </c>
      <c r="G28" s="53">
        <v>20</v>
      </c>
      <c r="H28" s="54">
        <v>5</v>
      </c>
      <c r="I28" s="1">
        <f t="shared" si="0"/>
        <v>0.25</v>
      </c>
      <c r="J28" s="11">
        <f>+H28+NOVIEMBRE!J28</f>
        <v>20</v>
      </c>
      <c r="K28" s="55">
        <f t="shared" si="1"/>
        <v>1</v>
      </c>
    </row>
    <row r="29" spans="2:16" ht="39" customHeight="1" x14ac:dyDescent="0.35">
      <c r="B29" s="13">
        <v>5</v>
      </c>
      <c r="C29" s="50" t="s">
        <v>60</v>
      </c>
      <c r="D29" s="51" t="s">
        <v>78</v>
      </c>
      <c r="E29" s="52" t="s">
        <v>82</v>
      </c>
      <c r="F29" s="50" t="s">
        <v>32</v>
      </c>
      <c r="G29" s="53">
        <v>8</v>
      </c>
      <c r="H29" s="54">
        <v>2</v>
      </c>
      <c r="I29" s="1">
        <f t="shared" si="0"/>
        <v>0.25</v>
      </c>
      <c r="J29" s="11">
        <f>+H29+NOVIEMBRE!J29</f>
        <v>8</v>
      </c>
      <c r="K29" s="55">
        <f t="shared" si="1"/>
        <v>1</v>
      </c>
    </row>
    <row r="30" spans="2:16" ht="61.25" customHeight="1" x14ac:dyDescent="0.35">
      <c r="B30" s="14">
        <v>5</v>
      </c>
      <c r="C30" s="15" t="s">
        <v>61</v>
      </c>
      <c r="D30" s="19" t="s">
        <v>79</v>
      </c>
      <c r="E30" s="20" t="s">
        <v>82</v>
      </c>
      <c r="F30" s="15" t="s">
        <v>32</v>
      </c>
      <c r="G30" s="49">
        <v>8</v>
      </c>
      <c r="H30" s="21">
        <v>1</v>
      </c>
      <c r="I30" s="22">
        <f t="shared" si="0"/>
        <v>0.125</v>
      </c>
      <c r="J30" s="23">
        <f>+H30+NOVIEMBRE!J30</f>
        <v>8</v>
      </c>
      <c r="K30" s="56">
        <f t="shared" si="1"/>
        <v>1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DICIEMBRE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249</v>
      </c>
      <c r="H32" s="16">
        <f>+SUM(H13:H30)</f>
        <v>30</v>
      </c>
      <c r="I32" s="17">
        <f>IFERROR(H32/G32,0)</f>
        <v>0.12048192771084337</v>
      </c>
      <c r="J32" s="18">
        <f>+SUM(J13:J30)</f>
        <v>249</v>
      </c>
      <c r="K32" s="17">
        <f>IFERROR(J32/G32,0)</f>
        <v>1</v>
      </c>
    </row>
    <row r="33" spans="2:11" ht="15" customHeight="1" x14ac:dyDescent="0.35"/>
    <row r="34" spans="2:11" ht="17.3999999999999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31:I31"/>
    <mergeCell ref="J31:K31"/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</mergeCells>
  <conditionalFormatting sqref="K13:K30">
    <cfRule type="cellIs" dxfId="2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2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46053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x14ac:dyDescent="0.35">
      <c r="B13" s="5">
        <v>3</v>
      </c>
      <c r="C13" s="6" t="s">
        <v>44</v>
      </c>
      <c r="D13" s="57" t="s">
        <v>62</v>
      </c>
      <c r="E13" s="60" t="s">
        <v>87</v>
      </c>
      <c r="F13" s="7" t="s">
        <v>32</v>
      </c>
      <c r="G13" s="48">
        <v>14</v>
      </c>
      <c r="H13" s="10">
        <v>1</v>
      </c>
      <c r="I13" s="1">
        <f>IFERROR(H13/G13,0)</f>
        <v>7.1428571428571425E-2</v>
      </c>
      <c r="J13" s="11">
        <f>+H13+DICIEMBRE!J13</f>
        <v>11</v>
      </c>
      <c r="K13" s="63">
        <f>IFERROR(J13/G13,0)</f>
        <v>0.7857142857142857</v>
      </c>
    </row>
    <row r="14" spans="2:16" x14ac:dyDescent="0.35">
      <c r="B14" s="12">
        <v>3</v>
      </c>
      <c r="C14" s="9" t="s">
        <v>45</v>
      </c>
      <c r="D14" s="57" t="s">
        <v>63</v>
      </c>
      <c r="E14" s="60" t="s">
        <v>88</v>
      </c>
      <c r="F14" s="7" t="s">
        <v>32</v>
      </c>
      <c r="G14" s="48">
        <v>7</v>
      </c>
      <c r="H14" s="10">
        <v>1</v>
      </c>
      <c r="I14" s="1">
        <f>IFERROR(H14/G14,0)</f>
        <v>0.14285714285714285</v>
      </c>
      <c r="J14" s="11">
        <f>+H14+DICIEMBRE!J14</f>
        <v>6</v>
      </c>
      <c r="K14" s="63">
        <f>IFERROR(J14/G14,0)</f>
        <v>0.8571428571428571</v>
      </c>
    </row>
    <row r="15" spans="2:16" x14ac:dyDescent="0.35">
      <c r="B15" s="12">
        <v>3</v>
      </c>
      <c r="C15" s="9" t="s">
        <v>46</v>
      </c>
      <c r="D15" s="57" t="s">
        <v>64</v>
      </c>
      <c r="E15" s="60" t="s">
        <v>86</v>
      </c>
      <c r="F15" s="7" t="s">
        <v>32</v>
      </c>
      <c r="G15" s="48">
        <v>18</v>
      </c>
      <c r="H15" s="10">
        <v>1</v>
      </c>
      <c r="I15" s="1">
        <f t="shared" ref="I15:I30" si="0">IFERROR(H15/G15,0)</f>
        <v>5.5555555555555552E-2</v>
      </c>
      <c r="J15" s="11">
        <f>+H15+DICIEMBRE!J15</f>
        <v>14</v>
      </c>
      <c r="K15" s="63">
        <f t="shared" ref="K15:K30" si="1">IFERROR(J15/G15,0)</f>
        <v>0.77777777777777779</v>
      </c>
    </row>
    <row r="16" spans="2:16" x14ac:dyDescent="0.35">
      <c r="B16" s="12">
        <v>3</v>
      </c>
      <c r="C16" s="9" t="s">
        <v>47</v>
      </c>
      <c r="D16" s="57" t="s">
        <v>65</v>
      </c>
      <c r="E16" s="60" t="s">
        <v>86</v>
      </c>
      <c r="F16" s="7" t="s">
        <v>32</v>
      </c>
      <c r="G16" s="48">
        <v>26</v>
      </c>
      <c r="H16" s="10">
        <v>3</v>
      </c>
      <c r="I16" s="1">
        <f t="shared" si="0"/>
        <v>0.11538461538461539</v>
      </c>
      <c r="J16" s="11">
        <f>+H16+DICIEMBRE!J16</f>
        <v>23</v>
      </c>
      <c r="K16" s="63">
        <f t="shared" si="1"/>
        <v>0.88461538461538458</v>
      </c>
    </row>
    <row r="17" spans="2:16" s="32" customFormat="1" x14ac:dyDescent="0.35">
      <c r="B17" s="12">
        <v>3</v>
      </c>
      <c r="C17" s="9" t="s">
        <v>48</v>
      </c>
      <c r="D17" s="57" t="s">
        <v>66</v>
      </c>
      <c r="E17" s="60" t="s">
        <v>89</v>
      </c>
      <c r="F17" s="7" t="s">
        <v>32</v>
      </c>
      <c r="G17" s="48">
        <v>14</v>
      </c>
      <c r="H17" s="10">
        <v>1</v>
      </c>
      <c r="I17" s="1">
        <f t="shared" si="0"/>
        <v>7.1428571428571425E-2</v>
      </c>
      <c r="J17" s="11">
        <f>+H17+DICIEMBRE!J17</f>
        <v>11</v>
      </c>
      <c r="K17" s="63">
        <f t="shared" si="1"/>
        <v>0.7857142857142857</v>
      </c>
      <c r="N17" s="41"/>
      <c r="P17" s="41"/>
    </row>
    <row r="18" spans="2:16" x14ac:dyDescent="0.35">
      <c r="B18" s="12">
        <v>3</v>
      </c>
      <c r="C18" s="9" t="s">
        <v>49</v>
      </c>
      <c r="D18" s="57" t="s">
        <v>67</v>
      </c>
      <c r="E18" s="60" t="s">
        <v>80</v>
      </c>
      <c r="F18" s="7" t="s">
        <v>32</v>
      </c>
      <c r="G18" s="48">
        <v>27</v>
      </c>
      <c r="H18" s="10">
        <v>4</v>
      </c>
      <c r="I18" s="1">
        <f t="shared" si="0"/>
        <v>0.14814814814814814</v>
      </c>
      <c r="J18" s="11">
        <f>+H18+DICIEMBRE!J18</f>
        <v>24</v>
      </c>
      <c r="K18" s="63">
        <f t="shared" si="1"/>
        <v>0.88888888888888884</v>
      </c>
    </row>
    <row r="19" spans="2:16" x14ac:dyDescent="0.35">
      <c r="B19" s="12">
        <v>3</v>
      </c>
      <c r="C19" s="9" t="s">
        <v>50</v>
      </c>
      <c r="D19" s="57" t="s">
        <v>68</v>
      </c>
      <c r="E19" s="60" t="s">
        <v>81</v>
      </c>
      <c r="F19" s="7" t="s">
        <v>32</v>
      </c>
      <c r="G19" s="48">
        <v>26</v>
      </c>
      <c r="H19" s="10">
        <v>3</v>
      </c>
      <c r="I19" s="1">
        <f t="shared" si="0"/>
        <v>0.11538461538461539</v>
      </c>
      <c r="J19" s="11">
        <f>+H19+DICIEMBRE!J19</f>
        <v>23</v>
      </c>
      <c r="K19" s="63">
        <f t="shared" si="1"/>
        <v>0.88461538461538458</v>
      </c>
    </row>
    <row r="20" spans="2:16" x14ac:dyDescent="0.35">
      <c r="B20" s="12">
        <v>3</v>
      </c>
      <c r="C20" s="9" t="s">
        <v>51</v>
      </c>
      <c r="D20" s="57" t="s">
        <v>69</v>
      </c>
      <c r="E20" s="60" t="s">
        <v>82</v>
      </c>
      <c r="F20" s="7" t="s">
        <v>32</v>
      </c>
      <c r="G20" s="48">
        <v>27</v>
      </c>
      <c r="H20" s="10">
        <v>3</v>
      </c>
      <c r="I20" s="1">
        <f t="shared" si="0"/>
        <v>0.1111111111111111</v>
      </c>
      <c r="J20" s="11">
        <f>+H20+DICIEMBRE!J20</f>
        <v>23</v>
      </c>
      <c r="K20" s="63">
        <f t="shared" si="1"/>
        <v>0.85185185185185186</v>
      </c>
    </row>
    <row r="21" spans="2:16" x14ac:dyDescent="0.35">
      <c r="B21" s="13">
        <v>5</v>
      </c>
      <c r="C21" s="9" t="s">
        <v>52</v>
      </c>
      <c r="D21" s="57" t="s">
        <v>70</v>
      </c>
      <c r="E21" s="60" t="s">
        <v>81</v>
      </c>
      <c r="F21" s="7" t="s">
        <v>32</v>
      </c>
      <c r="G21" s="48">
        <v>18</v>
      </c>
      <c r="H21" s="10">
        <v>1</v>
      </c>
      <c r="I21" s="1">
        <f t="shared" si="0"/>
        <v>5.5555555555555552E-2</v>
      </c>
      <c r="J21" s="11">
        <f>+H21+DICIEMBRE!J21</f>
        <v>14</v>
      </c>
      <c r="K21" s="63">
        <f t="shared" si="1"/>
        <v>0.77777777777777779</v>
      </c>
    </row>
    <row r="22" spans="2:16" x14ac:dyDescent="0.35">
      <c r="B22" s="13">
        <v>5</v>
      </c>
      <c r="C22" s="50" t="s">
        <v>53</v>
      </c>
      <c r="D22" s="58" t="s">
        <v>71</v>
      </c>
      <c r="E22" s="61" t="s">
        <v>82</v>
      </c>
      <c r="F22" s="51" t="s">
        <v>32</v>
      </c>
      <c r="G22" s="53">
        <v>27</v>
      </c>
      <c r="H22" s="54">
        <v>2</v>
      </c>
      <c r="I22" s="1">
        <f t="shared" si="0"/>
        <v>7.407407407407407E-2</v>
      </c>
      <c r="J22" s="11">
        <f>+H22+DICIEMBRE!J22</f>
        <v>22</v>
      </c>
      <c r="K22" s="63">
        <f t="shared" si="1"/>
        <v>0.81481481481481477</v>
      </c>
    </row>
    <row r="23" spans="2:16" x14ac:dyDescent="0.35">
      <c r="B23" s="13">
        <v>5</v>
      </c>
      <c r="C23" s="50" t="s">
        <v>54</v>
      </c>
      <c r="D23" s="58" t="s">
        <v>72</v>
      </c>
      <c r="E23" s="61" t="s">
        <v>82</v>
      </c>
      <c r="F23" s="51" t="s">
        <v>32</v>
      </c>
      <c r="G23" s="53">
        <v>18</v>
      </c>
      <c r="H23" s="54">
        <v>1</v>
      </c>
      <c r="I23" s="1">
        <f t="shared" si="0"/>
        <v>5.5555555555555552E-2</v>
      </c>
      <c r="J23" s="11">
        <f>+H23+DICIEMBRE!J23</f>
        <v>14</v>
      </c>
      <c r="K23" s="63">
        <f t="shared" si="1"/>
        <v>0.77777777777777779</v>
      </c>
    </row>
    <row r="24" spans="2:16" s="32" customFormat="1" x14ac:dyDescent="0.35">
      <c r="B24" s="13">
        <v>5</v>
      </c>
      <c r="C24" s="50" t="s">
        <v>55</v>
      </c>
      <c r="D24" s="58" t="s">
        <v>73</v>
      </c>
      <c r="E24" s="61" t="s">
        <v>82</v>
      </c>
      <c r="F24" s="51" t="s">
        <v>32</v>
      </c>
      <c r="G24" s="53">
        <v>18</v>
      </c>
      <c r="H24" s="54">
        <v>0</v>
      </c>
      <c r="I24" s="1">
        <f t="shared" si="0"/>
        <v>0</v>
      </c>
      <c r="J24" s="11">
        <f>+H24+DICIEMBRE!J24</f>
        <v>13</v>
      </c>
      <c r="K24" s="63">
        <f t="shared" si="1"/>
        <v>0.72222222222222221</v>
      </c>
      <c r="N24"/>
      <c r="P24"/>
    </row>
    <row r="25" spans="2:16" x14ac:dyDescent="0.35">
      <c r="B25" s="13">
        <v>5</v>
      </c>
      <c r="C25" s="50" t="s">
        <v>56</v>
      </c>
      <c r="D25" s="58" t="s">
        <v>74</v>
      </c>
      <c r="E25" s="61" t="s">
        <v>82</v>
      </c>
      <c r="F25" s="51" t="s">
        <v>32</v>
      </c>
      <c r="G25" s="53">
        <v>18</v>
      </c>
      <c r="H25" s="54">
        <v>1</v>
      </c>
      <c r="I25" s="1">
        <f t="shared" si="0"/>
        <v>5.5555555555555552E-2</v>
      </c>
      <c r="J25" s="11">
        <f>+H25+DICIEMBRE!J25</f>
        <v>14</v>
      </c>
      <c r="K25" s="63">
        <f t="shared" si="1"/>
        <v>0.77777777777777779</v>
      </c>
    </row>
    <row r="26" spans="2:16" x14ac:dyDescent="0.35">
      <c r="B26" s="13">
        <v>5</v>
      </c>
      <c r="C26" s="50" t="s">
        <v>57</v>
      </c>
      <c r="D26" s="58" t="s">
        <v>75</v>
      </c>
      <c r="E26" s="61" t="s">
        <v>82</v>
      </c>
      <c r="F26" s="51" t="s">
        <v>32</v>
      </c>
      <c r="G26" s="53">
        <v>18</v>
      </c>
      <c r="H26" s="54">
        <v>2</v>
      </c>
      <c r="I26" s="1">
        <f t="shared" si="0"/>
        <v>0.1111111111111111</v>
      </c>
      <c r="J26" s="11">
        <f>+H26+DICIEMBRE!J26</f>
        <v>15</v>
      </c>
      <c r="K26" s="63">
        <f t="shared" si="1"/>
        <v>0.83333333333333337</v>
      </c>
    </row>
    <row r="27" spans="2:16" x14ac:dyDescent="0.35">
      <c r="B27" s="13">
        <v>5</v>
      </c>
      <c r="C27" s="50" t="s">
        <v>58</v>
      </c>
      <c r="D27" s="58" t="s">
        <v>76</v>
      </c>
      <c r="E27" s="61" t="s">
        <v>82</v>
      </c>
      <c r="F27" s="51" t="s">
        <v>32</v>
      </c>
      <c r="G27" s="53">
        <v>14</v>
      </c>
      <c r="H27" s="54">
        <v>1</v>
      </c>
      <c r="I27" s="1">
        <f t="shared" si="0"/>
        <v>7.1428571428571425E-2</v>
      </c>
      <c r="J27" s="11">
        <f>+H27+DICIEMBRE!J27</f>
        <v>11</v>
      </c>
      <c r="K27" s="63">
        <f t="shared" si="1"/>
        <v>0.7857142857142857</v>
      </c>
    </row>
    <row r="28" spans="2:16" x14ac:dyDescent="0.35">
      <c r="B28" s="13">
        <v>5</v>
      </c>
      <c r="C28" s="50" t="s">
        <v>59</v>
      </c>
      <c r="D28" s="58" t="s">
        <v>77</v>
      </c>
      <c r="E28" s="61" t="s">
        <v>82</v>
      </c>
      <c r="F28" s="51" t="s">
        <v>32</v>
      </c>
      <c r="G28" s="53">
        <v>27</v>
      </c>
      <c r="H28" s="54">
        <v>3</v>
      </c>
      <c r="I28" s="1">
        <f t="shared" si="0"/>
        <v>0.1111111111111111</v>
      </c>
      <c r="J28" s="11">
        <f>+H28+DICIEMBRE!J28</f>
        <v>23</v>
      </c>
      <c r="K28" s="63">
        <f t="shared" si="1"/>
        <v>0.85185185185185186</v>
      </c>
    </row>
    <row r="29" spans="2:16" x14ac:dyDescent="0.35">
      <c r="B29" s="13">
        <v>5</v>
      </c>
      <c r="C29" s="50" t="s">
        <v>60</v>
      </c>
      <c r="D29" s="58" t="s">
        <v>78</v>
      </c>
      <c r="E29" s="61" t="s">
        <v>82</v>
      </c>
      <c r="F29" s="51" t="s">
        <v>32</v>
      </c>
      <c r="G29" s="53">
        <v>11</v>
      </c>
      <c r="H29" s="54">
        <v>1</v>
      </c>
      <c r="I29" s="1">
        <f t="shared" si="0"/>
        <v>9.0909090909090912E-2</v>
      </c>
      <c r="J29" s="11">
        <f>+H29+DICIEMBRE!J29</f>
        <v>9</v>
      </c>
      <c r="K29" s="63">
        <f t="shared" si="1"/>
        <v>0.81818181818181823</v>
      </c>
    </row>
    <row r="30" spans="2:16" x14ac:dyDescent="0.35">
      <c r="B30" s="14">
        <v>5</v>
      </c>
      <c r="C30" s="15" t="s">
        <v>61</v>
      </c>
      <c r="D30" s="59" t="s">
        <v>79</v>
      </c>
      <c r="E30" s="62" t="s">
        <v>82</v>
      </c>
      <c r="F30" s="19" t="s">
        <v>32</v>
      </c>
      <c r="G30" s="49">
        <v>11</v>
      </c>
      <c r="H30" s="21">
        <v>1</v>
      </c>
      <c r="I30" s="22">
        <f t="shared" si="0"/>
        <v>9.0909090909090912E-2</v>
      </c>
      <c r="J30" s="23">
        <f>+H30+DICIEMBRE!J30</f>
        <v>9</v>
      </c>
      <c r="K30" s="64">
        <f t="shared" si="1"/>
        <v>0.81818181818181823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ENERO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339</v>
      </c>
      <c r="H32" s="16">
        <f>+SUM(H13:H30)</f>
        <v>30</v>
      </c>
      <c r="I32" s="17">
        <f>IFERROR(H32/G32,0)</f>
        <v>8.8495575221238937E-2</v>
      </c>
      <c r="J32" s="18">
        <f>+SUM(J13:J30)</f>
        <v>279</v>
      </c>
      <c r="K32" s="17">
        <f>IFERROR(J32/G32,0)</f>
        <v>0.82300884955752207</v>
      </c>
    </row>
    <row r="33" spans="2:11" ht="15" customHeight="1" x14ac:dyDescent="0.35"/>
    <row r="34" spans="2:11" ht="17.3999999999999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1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2"/>
  <sheetViews>
    <sheetView showGridLines="0" tabSelected="1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36328125" style="25" customWidth="1"/>
    <col min="2" max="2" width="15.6328125" style="24" customWidth="1"/>
    <col min="3" max="3" width="7.36328125" style="24" customWidth="1"/>
    <col min="4" max="4" width="43.36328125" style="24" customWidth="1"/>
    <col min="5" max="5" width="14.08984375" style="24" bestFit="1" customWidth="1"/>
    <col min="6" max="6" width="13.453125" style="24" customWidth="1"/>
    <col min="7" max="7" width="13.6328125" style="24" customWidth="1"/>
    <col min="8" max="8" width="13.453125" style="24" customWidth="1"/>
    <col min="9" max="9" width="10.453125" style="24" customWidth="1"/>
    <col min="10" max="10" width="12.453125" style="24" customWidth="1"/>
    <col min="11" max="11" width="12.36328125" style="24" customWidth="1"/>
    <col min="12" max="12" width="3.36328125" style="25" customWidth="1"/>
    <col min="13" max="13" width="16.453125" style="25" customWidth="1"/>
    <col min="15" max="15" width="16.453125" style="25" customWidth="1"/>
    <col min="16" max="16" width="0" hidden="1" customWidth="1"/>
    <col min="17" max="17" width="16.453125" style="25" customWidth="1"/>
    <col min="18" max="16384" width="8.6328125" style="25"/>
  </cols>
  <sheetData>
    <row r="1" spans="2:16" ht="18" customHeight="1" x14ac:dyDescent="0.35">
      <c r="P1" t="s">
        <v>0</v>
      </c>
    </row>
    <row r="2" spans="2:16" ht="49.5" customHeight="1" x14ac:dyDescent="0.3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P2" t="s">
        <v>2</v>
      </c>
    </row>
    <row r="3" spans="2:16" ht="18.75" customHeight="1" x14ac:dyDescent="0.35">
      <c r="B3" s="67" t="s">
        <v>3</v>
      </c>
      <c r="C3" s="68"/>
      <c r="D3" s="68"/>
      <c r="E3" s="68" t="s">
        <v>4</v>
      </c>
      <c r="F3" s="68"/>
      <c r="G3" s="68"/>
      <c r="H3" s="68"/>
      <c r="I3" s="68" t="s">
        <v>5</v>
      </c>
      <c r="J3" s="68"/>
      <c r="K3" s="69"/>
    </row>
    <row r="4" spans="2:16" x14ac:dyDescent="0.35">
      <c r="B4" s="26"/>
      <c r="C4" s="27"/>
      <c r="K4" s="28"/>
      <c r="P4" t="s">
        <v>6</v>
      </c>
    </row>
    <row r="5" spans="2:16" s="32" customFormat="1" ht="27.65" customHeight="1" x14ac:dyDescent="0.35">
      <c r="B5" s="65" t="s">
        <v>7</v>
      </c>
      <c r="C5" s="65"/>
      <c r="D5" s="2">
        <v>90172266</v>
      </c>
      <c r="E5" s="29"/>
      <c r="F5" s="29"/>
      <c r="G5" s="30"/>
      <c r="H5" s="30"/>
      <c r="I5" s="30"/>
      <c r="J5" s="30"/>
      <c r="K5" s="31"/>
      <c r="N5"/>
      <c r="P5" t="s">
        <v>8</v>
      </c>
    </row>
    <row r="6" spans="2:16" s="32" customFormat="1" x14ac:dyDescent="0.35">
      <c r="B6" s="33"/>
      <c r="C6" s="30"/>
      <c r="D6" s="30"/>
      <c r="E6" s="30"/>
      <c r="F6" s="30"/>
      <c r="G6" s="30"/>
      <c r="H6" s="30"/>
      <c r="I6" s="30"/>
      <c r="J6" s="30"/>
      <c r="K6" s="31"/>
      <c r="N6"/>
      <c r="P6" t="s">
        <v>11</v>
      </c>
    </row>
    <row r="7" spans="2:16" s="32" customFormat="1" x14ac:dyDescent="0.35">
      <c r="B7" s="65" t="s">
        <v>12</v>
      </c>
      <c r="C7" s="65"/>
      <c r="D7" s="3" t="s">
        <v>6</v>
      </c>
      <c r="E7" s="34"/>
      <c r="F7" s="34"/>
      <c r="G7" s="30"/>
      <c r="H7" s="30"/>
      <c r="I7" s="30"/>
      <c r="J7" s="30"/>
      <c r="K7" s="31"/>
      <c r="N7"/>
      <c r="P7" t="s">
        <v>13</v>
      </c>
    </row>
    <row r="8" spans="2:16" s="32" customFormat="1" x14ac:dyDescent="0.35">
      <c r="B8" s="35"/>
      <c r="C8" s="36"/>
      <c r="D8" s="34"/>
      <c r="E8" s="34"/>
      <c r="F8" s="34"/>
      <c r="G8" s="30"/>
      <c r="H8" s="30"/>
      <c r="I8" s="30"/>
      <c r="J8" s="30"/>
      <c r="K8" s="31"/>
      <c r="N8"/>
      <c r="P8" t="s">
        <v>14</v>
      </c>
    </row>
    <row r="9" spans="2:16" s="32" customFormat="1" x14ac:dyDescent="0.35">
      <c r="B9" s="65" t="s">
        <v>15</v>
      </c>
      <c r="C9" s="65"/>
      <c r="D9" s="4">
        <v>46081</v>
      </c>
      <c r="E9" s="37"/>
      <c r="F9" s="37"/>
      <c r="G9" s="30"/>
      <c r="H9" s="30"/>
      <c r="I9" s="30"/>
      <c r="J9" s="30"/>
      <c r="K9" s="31"/>
      <c r="N9"/>
      <c r="P9" t="s">
        <v>16</v>
      </c>
    </row>
    <row r="10" spans="2:16" x14ac:dyDescent="0.35">
      <c r="B10" s="38"/>
      <c r="C10" s="39"/>
      <c r="K10" s="40"/>
      <c r="P10" t="s">
        <v>17</v>
      </c>
    </row>
    <row r="11" spans="2:16" ht="26.9" customHeight="1" x14ac:dyDescent="0.35">
      <c r="B11" s="70" t="s">
        <v>18</v>
      </c>
      <c r="C11" s="70"/>
      <c r="D11" s="70"/>
      <c r="E11" s="70"/>
      <c r="F11" s="70"/>
      <c r="G11" s="70"/>
      <c r="H11" s="65" t="s">
        <v>19</v>
      </c>
      <c r="I11" s="65"/>
      <c r="J11" s="65" t="s">
        <v>20</v>
      </c>
      <c r="K11" s="65"/>
      <c r="P11" t="s">
        <v>21</v>
      </c>
    </row>
    <row r="12" spans="2:16" ht="57.65" customHeight="1" x14ac:dyDescent="0.35">
      <c r="B12" s="47" t="s">
        <v>22</v>
      </c>
      <c r="C12" s="47" t="s">
        <v>23</v>
      </c>
      <c r="D12" s="47" t="s">
        <v>24</v>
      </c>
      <c r="E12" s="47" t="s">
        <v>25</v>
      </c>
      <c r="F12" s="47" t="s">
        <v>26</v>
      </c>
      <c r="G12" s="47" t="s">
        <v>27</v>
      </c>
      <c r="H12" s="47" t="s">
        <v>28</v>
      </c>
      <c r="I12" s="47" t="s">
        <v>29</v>
      </c>
      <c r="J12" s="47" t="s">
        <v>30</v>
      </c>
      <c r="K12" s="47" t="s">
        <v>29</v>
      </c>
      <c r="P12" t="s">
        <v>31</v>
      </c>
    </row>
    <row r="13" spans="2:16" x14ac:dyDescent="0.35">
      <c r="B13" s="5">
        <v>3</v>
      </c>
      <c r="C13" s="6" t="s">
        <v>44</v>
      </c>
      <c r="D13" s="57" t="s">
        <v>62</v>
      </c>
      <c r="E13" s="60" t="s">
        <v>87</v>
      </c>
      <c r="F13" s="7" t="s">
        <v>32</v>
      </c>
      <c r="G13" s="48">
        <v>14</v>
      </c>
      <c r="H13" s="10">
        <v>1</v>
      </c>
      <c r="I13" s="1">
        <f>IFERROR(H13/G13,0)</f>
        <v>7.1428571428571425E-2</v>
      </c>
      <c r="J13" s="11">
        <f>+H13+ENERO!J13</f>
        <v>12</v>
      </c>
      <c r="K13" s="63">
        <f>IFERROR(J13/G13,0)</f>
        <v>0.8571428571428571</v>
      </c>
    </row>
    <row r="14" spans="2:16" x14ac:dyDescent="0.35">
      <c r="B14" s="12">
        <v>3</v>
      </c>
      <c r="C14" s="9" t="s">
        <v>45</v>
      </c>
      <c r="D14" s="57" t="s">
        <v>63</v>
      </c>
      <c r="E14" s="60" t="s">
        <v>88</v>
      </c>
      <c r="F14" s="7" t="s">
        <v>32</v>
      </c>
      <c r="G14" s="48">
        <v>7</v>
      </c>
      <c r="H14" s="10">
        <v>0</v>
      </c>
      <c r="I14" s="1">
        <f>IFERROR(H14/G14,0)</f>
        <v>0</v>
      </c>
      <c r="J14" s="11">
        <f>+H14+ENERO!J14</f>
        <v>6</v>
      </c>
      <c r="K14" s="63">
        <f>IFERROR(J14/G14,0)</f>
        <v>0.8571428571428571</v>
      </c>
    </row>
    <row r="15" spans="2:16" x14ac:dyDescent="0.35">
      <c r="B15" s="12">
        <v>3</v>
      </c>
      <c r="C15" s="9" t="s">
        <v>46</v>
      </c>
      <c r="D15" s="57" t="s">
        <v>64</v>
      </c>
      <c r="E15" s="60" t="s">
        <v>86</v>
      </c>
      <c r="F15" s="7" t="s">
        <v>32</v>
      </c>
      <c r="G15" s="48">
        <v>18</v>
      </c>
      <c r="H15" s="10">
        <v>2</v>
      </c>
      <c r="I15" s="1">
        <f t="shared" ref="I15:I30" si="0">IFERROR(H15/G15,0)</f>
        <v>0.1111111111111111</v>
      </c>
      <c r="J15" s="11">
        <f>+H15+ENERO!J15</f>
        <v>16</v>
      </c>
      <c r="K15" s="63">
        <f t="shared" ref="K15:K30" si="1">IFERROR(J15/G15,0)</f>
        <v>0.88888888888888884</v>
      </c>
    </row>
    <row r="16" spans="2:16" x14ac:dyDescent="0.35">
      <c r="B16" s="12">
        <v>3</v>
      </c>
      <c r="C16" s="9" t="s">
        <v>47</v>
      </c>
      <c r="D16" s="57" t="s">
        <v>65</v>
      </c>
      <c r="E16" s="60" t="s">
        <v>86</v>
      </c>
      <c r="F16" s="7" t="s">
        <v>32</v>
      </c>
      <c r="G16" s="48">
        <v>26</v>
      </c>
      <c r="H16" s="10">
        <v>2</v>
      </c>
      <c r="I16" s="1">
        <f t="shared" si="0"/>
        <v>7.6923076923076927E-2</v>
      </c>
      <c r="J16" s="11">
        <f>+H16+ENERO!J16</f>
        <v>25</v>
      </c>
      <c r="K16" s="63">
        <f t="shared" si="1"/>
        <v>0.96153846153846156</v>
      </c>
    </row>
    <row r="17" spans="2:16" s="32" customFormat="1" x14ac:dyDescent="0.35">
      <c r="B17" s="12">
        <v>3</v>
      </c>
      <c r="C17" s="9" t="s">
        <v>48</v>
      </c>
      <c r="D17" s="57" t="s">
        <v>66</v>
      </c>
      <c r="E17" s="60" t="s">
        <v>89</v>
      </c>
      <c r="F17" s="7" t="s">
        <v>32</v>
      </c>
      <c r="G17" s="48">
        <v>14</v>
      </c>
      <c r="H17" s="10">
        <v>1</v>
      </c>
      <c r="I17" s="1">
        <f t="shared" si="0"/>
        <v>7.1428571428571425E-2</v>
      </c>
      <c r="J17" s="11">
        <f>+H17+ENERO!J17</f>
        <v>12</v>
      </c>
      <c r="K17" s="63">
        <f t="shared" si="1"/>
        <v>0.8571428571428571</v>
      </c>
      <c r="N17" s="41"/>
      <c r="P17" s="41"/>
    </row>
    <row r="18" spans="2:16" x14ac:dyDescent="0.35">
      <c r="B18" s="12">
        <v>3</v>
      </c>
      <c r="C18" s="9" t="s">
        <v>49</v>
      </c>
      <c r="D18" s="57" t="s">
        <v>67</v>
      </c>
      <c r="E18" s="60" t="s">
        <v>80</v>
      </c>
      <c r="F18" s="7" t="s">
        <v>32</v>
      </c>
      <c r="G18" s="48">
        <v>27</v>
      </c>
      <c r="H18" s="10">
        <v>2</v>
      </c>
      <c r="I18" s="1">
        <f t="shared" si="0"/>
        <v>7.407407407407407E-2</v>
      </c>
      <c r="J18" s="11">
        <f>+H18+ENERO!J18</f>
        <v>26</v>
      </c>
      <c r="K18" s="63">
        <f t="shared" si="1"/>
        <v>0.96296296296296291</v>
      </c>
    </row>
    <row r="19" spans="2:16" x14ac:dyDescent="0.35">
      <c r="B19" s="12">
        <v>3</v>
      </c>
      <c r="C19" s="9" t="s">
        <v>50</v>
      </c>
      <c r="D19" s="57" t="s">
        <v>68</v>
      </c>
      <c r="E19" s="60" t="s">
        <v>81</v>
      </c>
      <c r="F19" s="7" t="s">
        <v>32</v>
      </c>
      <c r="G19" s="48">
        <v>26</v>
      </c>
      <c r="H19" s="10">
        <v>2</v>
      </c>
      <c r="I19" s="1">
        <f t="shared" si="0"/>
        <v>7.6923076923076927E-2</v>
      </c>
      <c r="J19" s="11">
        <f>+H19+ENERO!J19</f>
        <v>25</v>
      </c>
      <c r="K19" s="63">
        <f t="shared" si="1"/>
        <v>0.96153846153846156</v>
      </c>
    </row>
    <row r="20" spans="2:16" x14ac:dyDescent="0.35">
      <c r="B20" s="12">
        <v>3</v>
      </c>
      <c r="C20" s="9" t="s">
        <v>51</v>
      </c>
      <c r="D20" s="57" t="s">
        <v>69</v>
      </c>
      <c r="E20" s="60" t="s">
        <v>82</v>
      </c>
      <c r="F20" s="7" t="s">
        <v>32</v>
      </c>
      <c r="G20" s="48">
        <v>27</v>
      </c>
      <c r="H20" s="10">
        <v>3</v>
      </c>
      <c r="I20" s="1">
        <f t="shared" si="0"/>
        <v>0.1111111111111111</v>
      </c>
      <c r="J20" s="11">
        <f>+H20+ENERO!J20</f>
        <v>26</v>
      </c>
      <c r="K20" s="63">
        <f t="shared" si="1"/>
        <v>0.96296296296296291</v>
      </c>
    </row>
    <row r="21" spans="2:16" x14ac:dyDescent="0.35">
      <c r="B21" s="13">
        <v>5</v>
      </c>
      <c r="C21" s="9" t="s">
        <v>52</v>
      </c>
      <c r="D21" s="57" t="s">
        <v>70</v>
      </c>
      <c r="E21" s="60" t="s">
        <v>81</v>
      </c>
      <c r="F21" s="7" t="s">
        <v>32</v>
      </c>
      <c r="G21" s="48">
        <v>18</v>
      </c>
      <c r="H21" s="10">
        <v>2</v>
      </c>
      <c r="I21" s="1">
        <f t="shared" si="0"/>
        <v>0.1111111111111111</v>
      </c>
      <c r="J21" s="11">
        <f>+H21+ENERO!J21</f>
        <v>16</v>
      </c>
      <c r="K21" s="63">
        <f t="shared" si="1"/>
        <v>0.88888888888888884</v>
      </c>
    </row>
    <row r="22" spans="2:16" x14ac:dyDescent="0.35">
      <c r="B22" s="13">
        <v>5</v>
      </c>
      <c r="C22" s="50" t="s">
        <v>53</v>
      </c>
      <c r="D22" s="58" t="s">
        <v>71</v>
      </c>
      <c r="E22" s="61" t="s">
        <v>82</v>
      </c>
      <c r="F22" s="51" t="s">
        <v>32</v>
      </c>
      <c r="G22" s="53">
        <v>27</v>
      </c>
      <c r="H22" s="54">
        <v>2</v>
      </c>
      <c r="I22" s="1">
        <f t="shared" si="0"/>
        <v>7.407407407407407E-2</v>
      </c>
      <c r="J22" s="11">
        <f>+H22+ENERO!J22</f>
        <v>24</v>
      </c>
      <c r="K22" s="63">
        <f t="shared" si="1"/>
        <v>0.88888888888888884</v>
      </c>
    </row>
    <row r="23" spans="2:16" x14ac:dyDescent="0.35">
      <c r="B23" s="13">
        <v>5</v>
      </c>
      <c r="C23" s="50" t="s">
        <v>54</v>
      </c>
      <c r="D23" s="58" t="s">
        <v>72</v>
      </c>
      <c r="E23" s="61" t="s">
        <v>82</v>
      </c>
      <c r="F23" s="51" t="s">
        <v>32</v>
      </c>
      <c r="G23" s="53">
        <v>18</v>
      </c>
      <c r="H23" s="54">
        <v>1</v>
      </c>
      <c r="I23" s="1">
        <f t="shared" si="0"/>
        <v>5.5555555555555552E-2</v>
      </c>
      <c r="J23" s="11">
        <f>+H23+ENERO!J23</f>
        <v>15</v>
      </c>
      <c r="K23" s="63">
        <f t="shared" si="1"/>
        <v>0.83333333333333337</v>
      </c>
    </row>
    <row r="24" spans="2:16" s="32" customFormat="1" x14ac:dyDescent="0.35">
      <c r="B24" s="13">
        <v>5</v>
      </c>
      <c r="C24" s="50" t="s">
        <v>55</v>
      </c>
      <c r="D24" s="58" t="s">
        <v>73</v>
      </c>
      <c r="E24" s="61" t="s">
        <v>82</v>
      </c>
      <c r="F24" s="51" t="s">
        <v>32</v>
      </c>
      <c r="G24" s="53">
        <v>18</v>
      </c>
      <c r="H24" s="54">
        <v>2</v>
      </c>
      <c r="I24" s="1">
        <f t="shared" si="0"/>
        <v>0.1111111111111111</v>
      </c>
      <c r="J24" s="11">
        <f>+H24+ENERO!J24</f>
        <v>15</v>
      </c>
      <c r="K24" s="63">
        <f t="shared" si="1"/>
        <v>0.83333333333333337</v>
      </c>
      <c r="N24"/>
      <c r="P24"/>
    </row>
    <row r="25" spans="2:16" x14ac:dyDescent="0.35">
      <c r="B25" s="13">
        <v>5</v>
      </c>
      <c r="C25" s="50" t="s">
        <v>56</v>
      </c>
      <c r="D25" s="58" t="s">
        <v>74</v>
      </c>
      <c r="E25" s="61" t="s">
        <v>82</v>
      </c>
      <c r="F25" s="51" t="s">
        <v>32</v>
      </c>
      <c r="G25" s="53">
        <v>18</v>
      </c>
      <c r="H25" s="54">
        <v>2</v>
      </c>
      <c r="I25" s="1">
        <f t="shared" si="0"/>
        <v>0.1111111111111111</v>
      </c>
      <c r="J25" s="11">
        <f>+H25+ENERO!J25</f>
        <v>16</v>
      </c>
      <c r="K25" s="63">
        <f t="shared" si="1"/>
        <v>0.88888888888888884</v>
      </c>
    </row>
    <row r="26" spans="2:16" x14ac:dyDescent="0.35">
      <c r="B26" s="13">
        <v>5</v>
      </c>
      <c r="C26" s="50" t="s">
        <v>57</v>
      </c>
      <c r="D26" s="58" t="s">
        <v>75</v>
      </c>
      <c r="E26" s="61" t="s">
        <v>82</v>
      </c>
      <c r="F26" s="51" t="s">
        <v>32</v>
      </c>
      <c r="G26" s="53">
        <v>18</v>
      </c>
      <c r="H26" s="54">
        <v>2</v>
      </c>
      <c r="I26" s="1">
        <f t="shared" si="0"/>
        <v>0.1111111111111111</v>
      </c>
      <c r="J26" s="11">
        <f>+H26+ENERO!J26</f>
        <v>17</v>
      </c>
      <c r="K26" s="63">
        <f t="shared" si="1"/>
        <v>0.94444444444444442</v>
      </c>
    </row>
    <row r="27" spans="2:16" x14ac:dyDescent="0.35">
      <c r="B27" s="13">
        <v>5</v>
      </c>
      <c r="C27" s="50" t="s">
        <v>58</v>
      </c>
      <c r="D27" s="58" t="s">
        <v>76</v>
      </c>
      <c r="E27" s="61" t="s">
        <v>82</v>
      </c>
      <c r="F27" s="51" t="s">
        <v>32</v>
      </c>
      <c r="G27" s="53">
        <v>14</v>
      </c>
      <c r="H27" s="54">
        <v>1</v>
      </c>
      <c r="I27" s="1">
        <f t="shared" si="0"/>
        <v>7.1428571428571425E-2</v>
      </c>
      <c r="J27" s="11">
        <f>+H27+ENERO!J27</f>
        <v>12</v>
      </c>
      <c r="K27" s="63">
        <f t="shared" si="1"/>
        <v>0.8571428571428571</v>
      </c>
    </row>
    <row r="28" spans="2:16" x14ac:dyDescent="0.35">
      <c r="B28" s="13">
        <v>5</v>
      </c>
      <c r="C28" s="50" t="s">
        <v>59</v>
      </c>
      <c r="D28" s="58" t="s">
        <v>77</v>
      </c>
      <c r="E28" s="61" t="s">
        <v>82</v>
      </c>
      <c r="F28" s="51" t="s">
        <v>32</v>
      </c>
      <c r="G28" s="53">
        <v>27</v>
      </c>
      <c r="H28" s="54">
        <v>3</v>
      </c>
      <c r="I28" s="1">
        <f t="shared" si="0"/>
        <v>0.1111111111111111</v>
      </c>
      <c r="J28" s="11">
        <f>+H28+ENERO!J28</f>
        <v>26</v>
      </c>
      <c r="K28" s="63">
        <f t="shared" si="1"/>
        <v>0.96296296296296291</v>
      </c>
    </row>
    <row r="29" spans="2:16" x14ac:dyDescent="0.35">
      <c r="B29" s="13">
        <v>5</v>
      </c>
      <c r="C29" s="50" t="s">
        <v>60</v>
      </c>
      <c r="D29" s="58" t="s">
        <v>78</v>
      </c>
      <c r="E29" s="61" t="s">
        <v>82</v>
      </c>
      <c r="F29" s="51" t="s">
        <v>32</v>
      </c>
      <c r="G29" s="53">
        <v>11</v>
      </c>
      <c r="H29" s="54">
        <v>1</v>
      </c>
      <c r="I29" s="1">
        <f t="shared" si="0"/>
        <v>9.0909090909090912E-2</v>
      </c>
      <c r="J29" s="11">
        <f>+H29+ENERO!J29</f>
        <v>10</v>
      </c>
      <c r="K29" s="63">
        <f t="shared" si="1"/>
        <v>0.90909090909090906</v>
      </c>
    </row>
    <row r="30" spans="2:16" x14ac:dyDescent="0.35">
      <c r="B30" s="14">
        <v>5</v>
      </c>
      <c r="C30" s="15" t="s">
        <v>61</v>
      </c>
      <c r="D30" s="59" t="s">
        <v>79</v>
      </c>
      <c r="E30" s="62" t="s">
        <v>82</v>
      </c>
      <c r="F30" s="19" t="s">
        <v>32</v>
      </c>
      <c r="G30" s="49">
        <v>11</v>
      </c>
      <c r="H30" s="21">
        <v>1</v>
      </c>
      <c r="I30" s="22">
        <f t="shared" si="0"/>
        <v>9.0909090909090912E-2</v>
      </c>
      <c r="J30" s="23">
        <f>+H30+ENERO!J30</f>
        <v>10</v>
      </c>
      <c r="K30" s="64">
        <f t="shared" si="1"/>
        <v>0.90909090909090906</v>
      </c>
    </row>
    <row r="31" spans="2:16" ht="20.149999999999999" customHeight="1" x14ac:dyDescent="0.35">
      <c r="B31" s="30"/>
      <c r="C31" s="30"/>
      <c r="D31" s="30"/>
      <c r="E31" s="30"/>
      <c r="F31" s="36"/>
      <c r="G31" s="71" t="str">
        <f>+CONCATENATE("TOTAL A ",D7)</f>
        <v>TOTAL A FEBRERO</v>
      </c>
      <c r="H31" s="71"/>
      <c r="I31" s="71"/>
      <c r="J31" s="71" t="s">
        <v>33</v>
      </c>
      <c r="K31" s="71"/>
    </row>
    <row r="32" spans="2:16" x14ac:dyDescent="0.35">
      <c r="B32" s="30"/>
      <c r="C32" s="30"/>
      <c r="D32" s="32"/>
      <c r="E32" s="32"/>
      <c r="F32" s="32"/>
      <c r="G32" s="18">
        <f>+SUM(G13:G30)</f>
        <v>339</v>
      </c>
      <c r="H32" s="16">
        <f>+SUM(H13:H30)</f>
        <v>30</v>
      </c>
      <c r="I32" s="17">
        <f>IFERROR(H32/G32,0)</f>
        <v>8.8495575221238937E-2</v>
      </c>
      <c r="J32" s="18">
        <f>+SUM(J13:J30)</f>
        <v>309</v>
      </c>
      <c r="K32" s="17">
        <f>IFERROR(J32/G32,0)</f>
        <v>0.91150442477876104</v>
      </c>
    </row>
    <row r="33" spans="2:11" ht="15" customHeight="1" x14ac:dyDescent="0.35"/>
    <row r="34" spans="2:11" ht="17.399999999999999" customHeight="1" x14ac:dyDescent="0.35">
      <c r="B34" s="70" t="s">
        <v>34</v>
      </c>
      <c r="C34" s="70"/>
      <c r="D34" s="75" t="s">
        <v>85</v>
      </c>
      <c r="E34" s="76"/>
      <c r="F34" s="76"/>
      <c r="G34" s="76"/>
      <c r="H34" s="76"/>
      <c r="I34" s="76"/>
      <c r="J34" s="76"/>
      <c r="K34" s="76"/>
    </row>
    <row r="35" spans="2:11" ht="20.149999999999999" customHeight="1" x14ac:dyDescent="0.35">
      <c r="B35" s="77" t="s">
        <v>36</v>
      </c>
      <c r="C35" s="77"/>
      <c r="D35" s="77"/>
      <c r="E35" s="77"/>
      <c r="F35" s="77"/>
      <c r="G35" s="77"/>
      <c r="H35" s="77"/>
      <c r="I35" s="77"/>
      <c r="J35" s="77"/>
      <c r="K35" s="77"/>
    </row>
    <row r="36" spans="2:11" ht="20.149999999999999" customHeight="1" x14ac:dyDescent="0.35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x14ac:dyDescent="0.35">
      <c r="B37" s="42" t="s">
        <v>37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1" ht="24.5" x14ac:dyDescent="0.45">
      <c r="B38" s="45" t="s">
        <v>38</v>
      </c>
      <c r="C38" s="46"/>
      <c r="D38" s="78" t="s">
        <v>35</v>
      </c>
      <c r="E38" s="78"/>
      <c r="F38" s="78"/>
      <c r="G38" s="78"/>
      <c r="H38" s="78"/>
      <c r="I38" s="78"/>
      <c r="J38" s="78"/>
      <c r="K38" s="78"/>
    </row>
    <row r="39" spans="2:11" ht="19.5" customHeight="1" x14ac:dyDescent="0.45">
      <c r="B39" s="45" t="s">
        <v>39</v>
      </c>
      <c r="C39" s="46"/>
      <c r="D39" s="78"/>
      <c r="E39" s="78"/>
      <c r="F39" s="78"/>
      <c r="G39" s="78"/>
      <c r="H39" s="78"/>
      <c r="I39" s="78"/>
      <c r="J39" s="78"/>
      <c r="K39" s="78"/>
    </row>
    <row r="40" spans="2:11" ht="23.9" customHeight="1" x14ac:dyDescent="0.35">
      <c r="B40" s="79" t="s">
        <v>36</v>
      </c>
      <c r="C40" s="79"/>
      <c r="D40" s="79"/>
      <c r="E40" s="79"/>
      <c r="F40" s="79"/>
      <c r="G40" s="79"/>
      <c r="H40" s="79"/>
      <c r="I40" s="79"/>
      <c r="J40" s="79"/>
      <c r="K40" s="79"/>
    </row>
    <row r="41" spans="2:11" x14ac:dyDescent="0.35">
      <c r="B41" s="79"/>
      <c r="C41" s="79"/>
      <c r="D41" s="79"/>
      <c r="E41" s="79"/>
      <c r="F41" s="79"/>
      <c r="G41" s="79"/>
      <c r="H41" s="79"/>
      <c r="I41" s="79"/>
      <c r="J41" s="79"/>
      <c r="K41" s="79"/>
    </row>
    <row r="42" spans="2:11" x14ac:dyDescent="0.35">
      <c r="B42" s="42" t="s">
        <v>40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1" ht="24.5" x14ac:dyDescent="0.45">
      <c r="B43" s="45" t="s">
        <v>38</v>
      </c>
      <c r="C43" s="46"/>
      <c r="D43" s="78" t="s">
        <v>35</v>
      </c>
      <c r="E43" s="78"/>
      <c r="F43" s="78"/>
      <c r="G43" s="78"/>
      <c r="H43" s="78"/>
      <c r="I43" s="78"/>
      <c r="J43" s="78"/>
      <c r="K43" s="78"/>
    </row>
    <row r="44" spans="2:11" ht="24.5" x14ac:dyDescent="0.45">
      <c r="B44" s="45" t="s">
        <v>39</v>
      </c>
      <c r="C44" s="46"/>
      <c r="D44" s="78"/>
      <c r="E44" s="78"/>
      <c r="F44" s="78"/>
      <c r="G44" s="78"/>
      <c r="H44" s="78"/>
      <c r="I44" s="78"/>
      <c r="J44" s="78"/>
      <c r="K44" s="78"/>
    </row>
    <row r="47" spans="2:11" x14ac:dyDescent="0.35">
      <c r="B47" s="72"/>
      <c r="C47" s="72"/>
      <c r="D47" s="72"/>
      <c r="G47" s="72"/>
      <c r="H47" s="72"/>
      <c r="I47" s="72"/>
      <c r="J47" s="72"/>
    </row>
    <row r="48" spans="2:11" ht="18" customHeight="1" x14ac:dyDescent="0.35">
      <c r="B48" s="30" t="s">
        <v>41</v>
      </c>
      <c r="C48" s="73"/>
      <c r="D48" s="73"/>
      <c r="G48" s="30" t="s">
        <v>42</v>
      </c>
      <c r="H48" s="74" t="s">
        <v>84</v>
      </c>
      <c r="I48" s="74"/>
      <c r="J48" s="74"/>
    </row>
    <row r="72" spans="1:17" s="24" customFormat="1" hidden="1" x14ac:dyDescent="0.35">
      <c r="A72" t="s">
        <v>0</v>
      </c>
      <c r="L72" s="25"/>
      <c r="M72" s="25"/>
      <c r="N72"/>
      <c r="O72" s="25"/>
      <c r="P72"/>
      <c r="Q72" s="25"/>
    </row>
    <row r="73" spans="1:17" s="24" customFormat="1" hidden="1" x14ac:dyDescent="0.35">
      <c r="A73" t="s">
        <v>2</v>
      </c>
      <c r="L73" s="25"/>
      <c r="M73" s="25"/>
      <c r="N73"/>
      <c r="O73" s="25"/>
      <c r="P73"/>
      <c r="Q73" s="25"/>
    </row>
    <row r="74" spans="1:17" s="24" customFormat="1" hidden="1" x14ac:dyDescent="0.35">
      <c r="A74" t="s">
        <v>6</v>
      </c>
      <c r="L74" s="25"/>
      <c r="M74" s="25"/>
      <c r="N74"/>
      <c r="O74" s="25"/>
      <c r="P74"/>
      <c r="Q74" s="25"/>
    </row>
    <row r="75" spans="1:17" s="24" customFormat="1" hidden="1" x14ac:dyDescent="0.35">
      <c r="A75" t="s">
        <v>8</v>
      </c>
      <c r="L75" s="25"/>
      <c r="M75" s="25"/>
      <c r="N75"/>
      <c r="O75" s="25"/>
      <c r="P75"/>
      <c r="Q75" s="25"/>
    </row>
    <row r="76" spans="1:17" s="24" customFormat="1" hidden="1" x14ac:dyDescent="0.35">
      <c r="A76" t="s">
        <v>9</v>
      </c>
      <c r="L76" s="25"/>
      <c r="M76" s="25"/>
      <c r="N76"/>
      <c r="O76" s="25"/>
      <c r="P76"/>
      <c r="Q76" s="25"/>
    </row>
    <row r="77" spans="1:17" s="24" customFormat="1" hidden="1" x14ac:dyDescent="0.35">
      <c r="A77" t="s">
        <v>10</v>
      </c>
      <c r="L77" s="25"/>
      <c r="M77" s="25"/>
      <c r="N77"/>
      <c r="O77" s="25"/>
      <c r="P77"/>
      <c r="Q77" s="25"/>
    </row>
    <row r="78" spans="1:17" s="24" customFormat="1" hidden="1" x14ac:dyDescent="0.35">
      <c r="A78" t="s">
        <v>11</v>
      </c>
      <c r="L78" s="25"/>
      <c r="M78" s="25"/>
      <c r="N78"/>
      <c r="O78" s="25"/>
      <c r="P78"/>
      <c r="Q78" s="25"/>
    </row>
    <row r="79" spans="1:17" s="24" customFormat="1" hidden="1" x14ac:dyDescent="0.35">
      <c r="A79" t="s">
        <v>13</v>
      </c>
      <c r="L79" s="25"/>
      <c r="M79" s="25"/>
      <c r="N79"/>
      <c r="O79" s="25"/>
      <c r="P79"/>
      <c r="Q79" s="25"/>
    </row>
    <row r="80" spans="1:17" s="24" customFormat="1" hidden="1" x14ac:dyDescent="0.35">
      <c r="A80" t="s">
        <v>14</v>
      </c>
      <c r="B80" s="25"/>
      <c r="L80" s="25"/>
      <c r="M80" s="25"/>
      <c r="N80"/>
      <c r="O80" s="25"/>
      <c r="P80"/>
      <c r="Q80" s="25"/>
    </row>
    <row r="81" spans="1:17" s="24" customFormat="1" hidden="1" x14ac:dyDescent="0.35">
      <c r="A81" t="s">
        <v>16</v>
      </c>
      <c r="B81" s="25"/>
      <c r="L81" s="25"/>
      <c r="M81" s="25"/>
      <c r="N81"/>
      <c r="O81" s="25"/>
      <c r="P81"/>
      <c r="Q81" s="25"/>
    </row>
    <row r="82" spans="1:17" s="24" customFormat="1" hidden="1" x14ac:dyDescent="0.35">
      <c r="A82" t="s">
        <v>17</v>
      </c>
      <c r="B82" s="25"/>
      <c r="L82" s="25"/>
      <c r="M82" s="25"/>
      <c r="N82"/>
      <c r="O82" s="25"/>
      <c r="P82"/>
      <c r="Q82" s="25"/>
    </row>
    <row r="83" spans="1:17" s="24" customFormat="1" hidden="1" x14ac:dyDescent="0.35">
      <c r="A83" t="s">
        <v>21</v>
      </c>
      <c r="B83" s="32"/>
      <c r="L83" s="25"/>
      <c r="M83" s="25"/>
      <c r="N83"/>
      <c r="O83" s="25"/>
      <c r="P83"/>
      <c r="Q83" s="25"/>
    </row>
    <row r="84" spans="1:17" s="24" customFormat="1" hidden="1" x14ac:dyDescent="0.35">
      <c r="A84" t="s">
        <v>31</v>
      </c>
      <c r="B84" s="25"/>
      <c r="L84" s="25"/>
      <c r="M84" s="25"/>
      <c r="N84"/>
      <c r="O84" s="25"/>
      <c r="P84"/>
      <c r="Q84" s="25"/>
    </row>
    <row r="85" spans="1:17" x14ac:dyDescent="0.35">
      <c r="B85" s="32"/>
    </row>
    <row r="86" spans="1:17" x14ac:dyDescent="0.35">
      <c r="B86" s="32"/>
    </row>
    <row r="87" spans="1:17" x14ac:dyDescent="0.35">
      <c r="B87" s="32"/>
    </row>
    <row r="88" spans="1:17" x14ac:dyDescent="0.35">
      <c r="B88" s="32"/>
    </row>
    <row r="89" spans="1:17" x14ac:dyDescent="0.35">
      <c r="B89" s="32"/>
    </row>
    <row r="90" spans="1:17" x14ac:dyDescent="0.35">
      <c r="B90" s="25"/>
    </row>
    <row r="91" spans="1:17" x14ac:dyDescent="0.35">
      <c r="B91" s="25"/>
    </row>
    <row r="92" spans="1:17" x14ac:dyDescent="0.35">
      <c r="B92" s="25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K13:K30">
    <cfRule type="cellIs" dxfId="0" priority="1" operator="greaterThan">
      <formula>1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H13:H29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</vt:i4>
      </vt:variant>
    </vt:vector>
  </HeadingPairs>
  <TitlesOfParts>
    <vt:vector size="17" baseType="lpstr"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</vt:lpstr>
      <vt:lpstr>FEBRERO</vt:lpstr>
      <vt:lpstr>DICIEMBRE!Área_de_impresión</vt:lpstr>
      <vt:lpstr>ENERO!Área_de_impresión</vt:lpstr>
      <vt:lpstr>FEBRERO!Área_de_impresión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2026-03-06T19:58:46Z</dcterms:modified>
</cp:coreProperties>
</file>