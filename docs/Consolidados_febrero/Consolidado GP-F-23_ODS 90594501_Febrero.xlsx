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40_GES_PROY\48_PROYECTOS\ECOPETROL 3037132\2_EJECUCION\9_ODS\2026\8_90594501\1_Entregables\2_Febrero\"/>
    </mc:Choice>
  </mc:AlternateContent>
  <xr:revisionPtr revIDLastSave="0" documentId="14_{5169A291-DB2B-4D8C-B25D-1A373B0F52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ERO" sheetId="24" r:id="rId1"/>
    <sheet name="FEBRERO" sheetId="25" r:id="rId2"/>
  </sheets>
  <definedNames>
    <definedName name="_xlnm.Print_Area" localSheetId="0">ENERO!$A$1:$L$46</definedName>
    <definedName name="_xlnm.Print_Area" localSheetId="1">FEBRERO!$A$1:$L$46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5" l="1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H30" i="25"/>
  <c r="I30" i="25" s="1"/>
  <c r="G30" i="25"/>
  <c r="G29" i="25"/>
  <c r="K19" i="24" l="1"/>
  <c r="K17" i="24"/>
  <c r="K16" i="24"/>
  <c r="J28" i="24"/>
  <c r="J27" i="24"/>
  <c r="J26" i="24"/>
  <c r="J25" i="24"/>
  <c r="J25" i="25" s="1"/>
  <c r="K25" i="25" s="1"/>
  <c r="J24" i="24"/>
  <c r="J24" i="25" s="1"/>
  <c r="K24" i="25" s="1"/>
  <c r="J23" i="24"/>
  <c r="J23" i="25" s="1"/>
  <c r="K23" i="25" s="1"/>
  <c r="J22" i="24"/>
  <c r="J21" i="24"/>
  <c r="J21" i="25" s="1"/>
  <c r="K21" i="25" s="1"/>
  <c r="J20" i="24"/>
  <c r="J19" i="24"/>
  <c r="J19" i="25" s="1"/>
  <c r="K19" i="25" s="1"/>
  <c r="J18" i="24"/>
  <c r="J17" i="24"/>
  <c r="J17" i="25" s="1"/>
  <c r="K17" i="25" s="1"/>
  <c r="J16" i="24"/>
  <c r="J16" i="25" s="1"/>
  <c r="K16" i="25" s="1"/>
  <c r="J15" i="24"/>
  <c r="J15" i="25" s="1"/>
  <c r="K15" i="25" s="1"/>
  <c r="J14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J13" i="24"/>
  <c r="G29" i="24"/>
  <c r="G30" i="24"/>
  <c r="H30" i="24"/>
  <c r="K14" i="24" l="1"/>
  <c r="J14" i="25"/>
  <c r="K14" i="25" s="1"/>
  <c r="K22" i="24"/>
  <c r="J22" i="25"/>
  <c r="K22" i="25" s="1"/>
  <c r="K21" i="24"/>
  <c r="K18" i="24"/>
  <c r="J18" i="25"/>
  <c r="K18" i="25" s="1"/>
  <c r="K26" i="24"/>
  <c r="J26" i="25"/>
  <c r="K26" i="25" s="1"/>
  <c r="K23" i="24"/>
  <c r="K27" i="24"/>
  <c r="J27" i="25"/>
  <c r="K27" i="25" s="1"/>
  <c r="K24" i="24"/>
  <c r="K20" i="24"/>
  <c r="J20" i="25"/>
  <c r="K20" i="25" s="1"/>
  <c r="K28" i="24"/>
  <c r="J28" i="25"/>
  <c r="K28" i="25" s="1"/>
  <c r="K25" i="24"/>
  <c r="K13" i="24"/>
  <c r="J13" i="25"/>
  <c r="K15" i="24"/>
  <c r="I30" i="24"/>
  <c r="J30" i="24"/>
  <c r="K30" i="24" s="1"/>
  <c r="K13" i="25" l="1"/>
  <c r="J30" i="25"/>
  <c r="K30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J12" authorId="0" shapeId="0" xr:uid="{00000000-0006-0000-0000-000001000000}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5" authorId="0" shapeId="0" xr:uid="{00000000-0006-0000-0000-000002000000}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5" authorId="0" shapeId="0" xr:uid="{00000000-0006-0000-0000-000003000000}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6" authorId="0" shapeId="0" xr:uid="{00000000-0006-0000-0000-000004000000}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6" authorId="0" shapeId="0" xr:uid="{B37015A5-0DD6-4731-B30E-430820391351}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J12" authorId="0" shapeId="0" xr:uid="{00000000-0006-0000-0100-000001000000}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5" authorId="0" shapeId="0" xr:uid="{00000000-0006-0000-0100-000002000000}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5" authorId="0" shapeId="0" xr:uid="{00000000-0006-0000-0100-000003000000}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6" authorId="0" shapeId="0" xr:uid="{00000000-0006-0000-0100-000004000000}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6" authorId="0" shapeId="0" xr:uid="{00000000-0006-0000-0100-000005000000}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sharedStrings.xml><?xml version="1.0" encoding="utf-8"?>
<sst xmlns="http://schemas.openxmlformats.org/spreadsheetml/2006/main" count="250" uniqueCount="106">
  <si>
    <t>MES</t>
  </si>
  <si>
    <t>REPORTE DE AVANCE</t>
  </si>
  <si>
    <t>ENERO</t>
  </si>
  <si>
    <t>Fecha: 29/06/2022</t>
  </si>
  <si>
    <t>Version: 01</t>
  </si>
  <si>
    <t>GP-F-23</t>
  </si>
  <si>
    <t>FEBRERO</t>
  </si>
  <si>
    <t>Código Orden de servicio</t>
  </si>
  <si>
    <t>MARZO</t>
  </si>
  <si>
    <t>ABRIL</t>
  </si>
  <si>
    <t>MAYO</t>
  </si>
  <si>
    <t>JUNIO</t>
  </si>
  <si>
    <t>Mes a reportar</t>
  </si>
  <si>
    <t>JULIO</t>
  </si>
  <si>
    <t>AGOSTO</t>
  </si>
  <si>
    <t>Fecha reporte</t>
  </si>
  <si>
    <t>SEPTIEMBRE</t>
  </si>
  <si>
    <t>OCTUBRE</t>
  </si>
  <si>
    <t>Clasificación del servicio</t>
  </si>
  <si>
    <t>Reporte mes por servicio</t>
  </si>
  <si>
    <t>Reporte acumulado por servicio</t>
  </si>
  <si>
    <t>NOVIEMBRE</t>
  </si>
  <si>
    <t>Ítem general</t>
  </si>
  <si>
    <t>ítem actividad</t>
  </si>
  <si>
    <t>Descripción de la actividad</t>
  </si>
  <si>
    <t>Soporte</t>
  </si>
  <si>
    <t>Medio de entrega</t>
  </si>
  <si>
    <t>Días contratados</t>
  </si>
  <si>
    <t>Días</t>
  </si>
  <si>
    <t>% avance</t>
  </si>
  <si>
    <t xml:space="preserve">Días </t>
  </si>
  <si>
    <t>DICIEMBRE</t>
  </si>
  <si>
    <t>TOTAL ACUMULADO</t>
  </si>
  <si>
    <t>Observaciones:</t>
  </si>
  <si>
    <t>Describa en este espacio su observación</t>
  </si>
  <si>
    <r>
      <t>¿Se presentó algún aspecto o situación que afecte la ejecución y calidad de los entregables? (</t>
    </r>
    <r>
      <rPr>
        <b/>
        <i/>
        <sz val="9"/>
        <color theme="1"/>
        <rFont val="Verdana"/>
        <family val="2"/>
      </rPr>
      <t>Marque con una X</t>
    </r>
    <r>
      <rPr>
        <b/>
        <sz val="9"/>
        <color theme="1"/>
        <rFont val="Verdana"/>
        <family val="2"/>
      </rPr>
      <t>)</t>
    </r>
  </si>
  <si>
    <t>PROFESIONAL</t>
  </si>
  <si>
    <t>SI</t>
  </si>
  <si>
    <t>NO</t>
  </si>
  <si>
    <t>INTERVENTOR O LIDER</t>
  </si>
  <si>
    <t>Revisa:</t>
  </si>
  <si>
    <t>Interventor:</t>
  </si>
  <si>
    <t>Realice el plan de desarrollo de campo y los pronósticos: realizando todos los pronósticos de escenarios de simulación para llevar a cabo la planificación del desarrollo de campo, esto incluye investigar y realizar análisis de sensibilidad e incertidumbre de los principales parámetros coincidentes de la historia y las incógnitas y su efecto en el pronóstico.</t>
  </si>
  <si>
    <t>Crear un modelo de simulación dinámica cuando esté disponible el modelo estático: identificación, organización, revisión y análisis del modelo estático, fluido, roca, producción, terminación y datos de laboratorio que sean válidos y representativos del reservorio que se está investigando. Realice el QA/QC del modelo estático y defina la incertidumbre principal en los parámetros de comparación de modelo e parámetros de ajuste histórico, trabaje en estrecha colaboración con el geomodelador para el upscaling del modelo estático al modelo de simulación, ajustar el modelo con los datos de producción e inyección y realizar el ajuste histórico. Realizar previsión y construir plan de desarrollo de campo</t>
  </si>
  <si>
    <t>Realizar el ajuste histórico del modelo de simulación: realizar actividades de ajuste histórico con diferentes variables según la disponibilidad y la calidad de los datos. Llevar a cabo flujos de trabajo iterativos en los que los primeros esfuerzos de ajuste histórico sean
con iteraciones con el modelo estático, la reconstrucción y el refinamiento del modelo, en lugar de simplemente realizar arreglos (multiplicadores de porosidad y permeabilidad) dentro del modelo a escala de simulación. El ajuste incluye, perfiles de producción e inyección, presiones totales inferiores, presión estática y perfiles de registro de inyección</t>
  </si>
  <si>
    <t>Inventario y acceso a raw data de puntos de presión (Pre-Test) tomados con probadores de formación (RDT (Halliburton), MDT (Schlumberger), MFT (Weatherford), etc.). La raw data debe contener por profundidad probada: valores de presión, temperatura, caudales inducidos (cc/seg) y volúmenes asociados de cámara pre-test (cc).</t>
  </si>
  <si>
    <t>Análisis de interpretación de datos de pruebas de presión - producción (DSTs, PBU, Pruebas Extendidas Producción, Gradientes Estáticos - Dinámicos PT, etc.) o de presión inyección (Inyectividad, SRT, FOT) aplicadas ya sea en tiempo real, memorizadas o con sarta temporal DST. Integración Probador Formación - registros Open Hole.</t>
  </si>
  <si>
    <t>Generar base de datos de producción (OFM o la que se requiera)</t>
  </si>
  <si>
    <t>Actualización periódica (diaria) tablero de seguimiento Power BI con el comportamiento y producción de los pozos Capachos &amp; Andina y Arauca (diaria)</t>
  </si>
  <si>
    <t>En ruta: VAS\31. GAN_ARAUCA\13. Arauca 2025\Seguimiento Desempeño Pozos y VAS\23. GAN_CAPACHOS-ANDINA\00. 2025\01 Seguimiento de Producción\02 Seguimiento desempeño pozos</t>
  </si>
  <si>
    <t>Generar Balance de Materia por campo y/o por subunidad y/o por compartimiento</t>
  </si>
  <si>
    <t>Análisis de Declinaciones por pozo y/o subunidad</t>
  </si>
  <si>
    <t>Revisión de volúmenes VT Plan 3 para el activo Arauca y Capachos, dichos volúmenes fueron migrados a Planning Space para corrida financiera de flujos de caja.</t>
  </si>
  <si>
    <t>Revisado en software ValNav y enviado correo a alejandro.lopezru@ecopetrol.com.co el 13 de enero y de Capachos a leydy.jerez@ecopetrol.com.co el 16 de enero</t>
  </si>
  <si>
    <t>Analizar data histórica de producción, productividad y daño por pozo</t>
  </si>
  <si>
    <t>Revisión preliminar  y final de flujos de caja corridos para los activos Capachos y Arauca, validando volúmenes de aceite y blancos (líquidos) y gas (ventas y consumos) para todas las categorías (Probadas, probables y posibles).</t>
  </si>
  <si>
    <t>Cargado en rutas: VAS\23. GAN_CAPACHOS-ANDINA\00. 2025\03 Auditoria IRR 2024 IMR 2025\07 Flujos de Caja auditoira 2025 y VAS\31. GAN_ARAUCA\13. Arauca 2025\Auditoria 2025\Flujos de caja 2025</t>
  </si>
  <si>
    <t>Generar perfiles de Producción por pozos para pozos existente en escenarios Bajo, Medio y Alto</t>
  </si>
  <si>
    <t>Trabajado en ppt Teams directamente en grupo de trabajo: Andina Limon GET</t>
  </si>
  <si>
    <t xml:space="preserve">Generar bases de datos de Eventos de pozos </t>
  </si>
  <si>
    <t>Estimar restricciones de Presión y tasas para la generación de perfiles de producción</t>
  </si>
  <si>
    <t>Generación de declaratoria de gas preliminar para los activos Capachos y Arauca visión Ecopetrol.</t>
  </si>
  <si>
    <t>Enviado a mail Alba.Calderon@ecopetrol.com.co el 19 de enero</t>
  </si>
  <si>
    <t>Generar modelo de Pozos</t>
  </si>
  <si>
    <t>Generar los análisis asociados a candidatización de pozos para optimización de la producción empleando simulación numérica (análisis nodal) de productividad de pozos</t>
  </si>
  <si>
    <t>Revisión status pozo Andina Norte-2 con especialistas de daño de Ecopetrol y equipo técnico de Parex definiendo el plan de mejora de producción del pozo.</t>
  </si>
  <si>
    <t>Revisado en Power BI, ruta: VAS\31. GAN_ARAUCA\13. Arauca 2025\Seguimiento Desempeño Pozos</t>
  </si>
  <si>
    <t>Realizar el seguimiento de producción / inyección de pozos intervenidos con base en los comportamientos de producción previo y posterior a la intervención</t>
  </si>
  <si>
    <t>Adelantar en análisis y evaluación de datos enfocada a la ejecución de estudios de daño de formación</t>
  </si>
  <si>
    <t>-</t>
  </si>
  <si>
    <t xml:space="preserve">* Actualización periódica (diaria) tablero de seguimiento Power BI con el comportamiento y producción de los pozos Capachos &amp; Andina y Arauca (diaria)
* Revisión de volúmenes VT Plan 3 para el activo Arauca y Capachos, dichos volúmenes fueron migrados a Planning Space para corrida financiera de flujos de caja.
* Revisión preliminar  y final de flujos de caja corridos para los activos Capachos y Arauca, validando volúmenes de aceite y blancos (líquidos) y gas (ventas y consumos) para todas las categorías (Probadas, probables y posibles).
* Generar perfiles de Producción por pozos para pozos existente en escenarios Bajo, Medio y Alto
* Generación de declaratoria de gas preliminar para los activos Capachos y Arauca visión Ecopetrol.
* Revisión status pozo Andina Norte-2 con especialistas de daño de Ecopetrol y equipo técnico de Parex definiendo el plan de mejora de producción del pozo.
</t>
  </si>
  <si>
    <t>Mauricio Casanova Angarita</t>
  </si>
  <si>
    <t>3.1</t>
  </si>
  <si>
    <t>3.2</t>
  </si>
  <si>
    <t>3.3</t>
  </si>
  <si>
    <t>3.7</t>
  </si>
  <si>
    <t>3.11</t>
  </si>
  <si>
    <t>3.13</t>
  </si>
  <si>
    <t>3.15</t>
  </si>
  <si>
    <t>3.16</t>
  </si>
  <si>
    <t>3.17</t>
  </si>
  <si>
    <t>3.18</t>
  </si>
  <si>
    <t>5.1</t>
  </si>
  <si>
    <t>5.3</t>
  </si>
  <si>
    <t>5.4</t>
  </si>
  <si>
    <t>5.6</t>
  </si>
  <si>
    <t>5.9</t>
  </si>
  <si>
    <t>5.10</t>
  </si>
  <si>
    <t xml:space="preserve">Construcción del modelo dinámico de Andina y Capachos, para este mes se recopiló información de petrofísica validando los modelos utilizados en el modelo estático, además de información PVT para la construcción del modelo de fluidos. </t>
  </si>
  <si>
    <t>Cargado en sharepoint ruta: https://ecopetrol.sharepoint.com/sites/GerenciadeDesarrollo/PIDs/Forms/AllItems.aspx?e=5%3A5ef524e97cf54db4b669f603c52f1be8&amp;sharingv2=true&amp;fromShare=true&amp;at=9&amp;CT=1770823340471&amp;OR=OWA%2DNT%2DMail&amp;CID=0d13fa69%2Dd771%2D98ab%2De9e8%2D3e9adb96ab41&amp;FolderCTID=0x0120006131DF9D7F194942ABC8C695DEB8E61A&amp;id=%2Fsites%2FGerenciadeDesarrollo%2FPIDs%2FAndina%20%2D%20Capachos%202026&amp;xsdata=MDV8MDJ8fDVkNWU5MmNkY2FjMjQzYTEyMTI1MDhkZTc2MTExZTAxfGE0MzA1OTg3Y2Y3ODRmOTM5ZDY0YmYxOGFmNjUzOTdifDB8MHw2MzkwNzgwMTMwMjMxMDEyMjF8VW5rbm93bnxWR1ZoYlhOVFpXTjFjbWwwZVZObGNuWnBZMlY4ZXlKRFFTSTZJbFJsWVcxelgwRlVVRk5sY25acFkyVmZVMUJQVEU5R0lpd2lWaUk2SWpBdU1DNHdNREF3SWl3aVVDSTZJbGRwYmpNeUlpd2lRVTRpT2lKUGRHaGxjaUlzSWxkVUlqb3hNWDA9fDF8TDJOb1lYUnpMekU1T20xbFpYUnBibWRmVDBSRmVFNXFiR2hhYW1kMFRUSk9hVTE1TURCYWFsSnRURlJvYlUxNlozUk9hbFY1VFhwVmVrNXFaM2hQVjBVMVFIUm9jbVZoWkM1Mk1pOXRaWE56WVdkbGN5OHhOemN5TWpBME5UQXdNekE1fGIxMWY1ODhkNDkxMDQxYTk4NDkyMDhkZTc2MTExZTAwfDRkNjgwZmQ5ZTFiYTRjNzc5MDJhZGU1MDFiZGE4OTQ1&amp;sdata=ZG05N3VGa0VVeGkyY3BRY0wvM01UckdhNitVUjhXbDdIUEpQSEZFQVFFUT0%3D&amp;ovuser=a4305987-cf78-4f93-9d64-bf18af65397b%2Cdiego.castilloba%40ecopetrol.com.co</t>
  </si>
  <si>
    <t>Revisión de ecuación de estado para el activo Capachos generado por equipo encargado de caracterización de fluidos del departamento de servicios petrotécnicos, el cual es input del modelo dinámico a construir.</t>
  </si>
  <si>
    <t>Entendimiento de los activos recibidos Aguas Blancas y Boranda, se agendaron sesiones para la entrega formal de los activos y entendimiento y estatus de cada activo.</t>
  </si>
  <si>
    <t>En ruta: VA\32. GAN_BORANDA\4. ING YTOS Y PRODUCCIÓN\RESERVAS Y RECURSOS\2025 y VAS\15. GAN_AGUAS BLANCAS\5. ING DE YTOS Y PROD\1. RESERVAS Y RECURSOS\2025</t>
  </si>
  <si>
    <t>Análisis y justificación de volúmenes en Ecovol de los Campos Capachos, Capachos Sur y Arauca para reservas y recursos contingentes en aceite, gas y blancos.</t>
  </si>
  <si>
    <t>Cargado directamente en software interno Ecovol</t>
  </si>
  <si>
    <t>Generación de nuevo perfil Arauca-8 de acuerdo con el comportamiento de presión en cabeza del pozo, además del incremento de corte de agua y revisión conjunta con el equipo Parex.</t>
  </si>
  <si>
    <t>Enviado a correo al mail: Edwin.Loaiza@ecopetrol.com.co el 17 de febrero de 2026</t>
  </si>
  <si>
    <t>Revisión final declaratorias de gas de los activos Capachos, Arauca, Boranda y aguas Blancas compartidos por Parex posterior a los ajustes solicitados.</t>
  </si>
  <si>
    <t>En ruta: VAS\23. GAN_CAPACHOS-ANDINA\00. 2025\17. Declaratoria de gas\2026 y VAS:\31. GAN_ARAUCA\13. Arauca 2025\Declaratoria de gas\2026</t>
  </si>
  <si>
    <t>Revisión preliminar de volúmenes técnicos de auditoría de reservas enviados por parte de Parex para los campos Arauca, Capachos y Andina.</t>
  </si>
  <si>
    <t>Enviado a correo al mail: camilo.moreno@parexresources.com, manuel.gutierrez@parexresources.com, paola.garzon@parexresources.com por parte de Parex y a carlos.monzon@ecopetrol.com.co, gustavo.cardona@ecopetrol.com.co por parte de ECP.</t>
  </si>
  <si>
    <t>Análisis de perfil de Andina-4, comparando 3 perfiles para evaluación financiera: i) Perfil inicial de AR (Fm Barco+Guad+ALS), ii) Perfil ajustado con entrada de pozo (Fm Mir + ALS) y iii) Perfil final posterior a instalación de BES (Fm Mir+Bar+Guad+ALS).</t>
  </si>
  <si>
    <t>Enviado via correo al mail: Dora.Restrepo@ecopetrol.com.co en fecha 11 de febrero de 2026</t>
  </si>
  <si>
    <t>Comparativo de declaratoria de gas equipos técnicos ECP – PRX que permitieron identificar diferencias en el Activo Arauca y en los Campos Capachos y Capachos Sur, los cuales fueron ajustados y enviados posteriormente por Parex.</t>
  </si>
  <si>
    <t>Enviado a correo al mail: manuel.gutierrez@parexresources.com, Santiago.olivos@parexresources.com, Jose.Redondo@parexresources.com por parte de Parex con copia a carlos.monzon@ecopetrol.com.co, Dora.Restrepo@ecopetrol.com.co por parte de ECP</t>
  </si>
  <si>
    <t>* Construcción del modelo dinámico de Andina y Capachos, para este mes se recopiló información de petrofísica validando los modelos utilizados en el modelo estático, además de información PVT para la construcción del modelo de fluidos.
* Revisión de ecuación de estado para el activo Capachos generado por equipo encargado de caracterización de fluidos del departamento de servicios petrotécnicos, el cual es input del modelo dinámico a construir.
* Entendimiento de los activos recibidos Aguas Blancas y Boranda, se agendaron sesiones para la entrega formal de los activos y entendimiento y estatus de cada activo.
* Actualización periódica (diaria) tablero de seguimiento Power BI con el comportamiento y producción de los pozos Capachos &amp; Andina y Arauca (diaria)
* Análisis y justificación de volúmenes en Ecovol de los Campos Capachos, Capachos Sur y Arauca para reservas y recursos contingentes en aceite, gas y blancos.
* Generación de nuevo perfil Arauca-8 de acuerdo con el comportamiento de presión en cabeza del pozo, además del incremento de corte de agua y revisión conjunta con el equipo Parex.
* Revisión final declaratorias de gas de los activos Capachos, Arauca, Boranda y aguas Blancas compartidos por Parex posterior a los ajustes solicitados.
* Revisión preliminar de volúmenes técnicos de auditoría de reservas enviados por parte de Parex para los campos Arauca, Capachos y Andina.
* Análisis de perfil de Andina-4, comparando 3 perfiles para evaluación financiera: i) Perfil inicial de AR (Fm Barco+Guad+ALS), ii) Perfil ajustado con entrada de pozo (Fm Mir + ALS) y iii) Perfil final posterior a instalación de BES (Fm Mir+Bar+Guad+ALS).
* Comparativo de declaratoria de gas equipos técnicos ECP – PRX que permitieron identificar diferencias en el Activo Arauca y en los Campos Capachos y Capachos Sur, los cuales fueron ajustados y enviados posteriormente por Parex.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</si>
</sst>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sz val="20"/>
      <color theme="1"/>
      <name val="Verdana"/>
      <family val="2"/>
    </font>
    <font>
      <sz val="9"/>
      <color theme="0" tint="-0.499984740745262"/>
      <name val="Verdan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4" fillId="0" borderId="8" xfId="0" applyFont="1" applyBorder="1" applyAlignment="1">
      <alignment horizontal="center" vertical="center"/>
    </xf>
    <xf numFmtId="164" fontId="4" fillId="0" borderId="8" xfId="1" applyNumberFormat="1" applyFont="1" applyBorder="1" applyAlignment="1" applyProtection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4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3" fillId="0" borderId="12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14" xfId="0" applyFont="1" applyBorder="1" applyAlignment="1" applyProtection="1">
      <alignment horizontal="center" vertical="center"/>
      <protection locked="0"/>
    </xf>
    <xf numFmtId="9" fontId="10" fillId="0" borderId="16" xfId="1" applyFont="1" applyBorder="1" applyAlignment="1" applyProtection="1">
      <alignment horizontal="center" vertical="center"/>
      <protection locked="0"/>
    </xf>
    <xf numFmtId="9" fontId="10" fillId="0" borderId="14" xfId="1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4" xfId="0" applyFont="1" applyBorder="1" applyAlignment="1" applyProtection="1">
      <alignment horizontal="left" vertical="center"/>
      <protection locked="0"/>
    </xf>
    <xf numFmtId="0" fontId="2" fillId="2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 applyAlignment="1" applyProtection="1">
      <alignment horizontal="left" vertical="top" wrapText="1"/>
      <protection locked="0"/>
    </xf>
    <xf numFmtId="0" fontId="2" fillId="2" borderId="8" xfId="0" applyFont="1" applyFill="1" applyBorder="1" applyAlignment="1" applyProtection="1">
      <alignment horizontal="left" vertical="top"/>
      <protection locked="0"/>
    </xf>
    <xf numFmtId="0" fontId="4" fillId="3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4" fillId="3" borderId="13" xfId="0" applyFont="1" applyFill="1" applyBorder="1" applyAlignment="1">
      <alignment horizontal="center" vertical="top" wrapText="1"/>
    </xf>
    <xf numFmtId="0" fontId="7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showGridLines="0" view="pageBreakPreview" zoomScaleNormal="100" zoomScaleSheetLayoutView="100" workbookViewId="0">
      <selection activeCell="B2" sqref="B2:K2"/>
    </sheetView>
  </sheetViews>
  <sheetFormatPr baseColWidth="10" defaultColWidth="8.6640625" defaultRowHeight="14.4" x14ac:dyDescent="0.3"/>
  <cols>
    <col min="1" max="1" width="4.44140625" style="2" customWidth="1"/>
    <col min="2" max="2" width="15.6640625" style="1" customWidth="1"/>
    <col min="3" max="3" width="8.5546875" style="1" bestFit="1" customWidth="1"/>
    <col min="4" max="4" width="43.33203125" style="1" customWidth="1"/>
    <col min="5" max="5" width="14.109375" style="1" bestFit="1" customWidth="1"/>
    <col min="6" max="6" width="13.44140625" style="1" customWidth="1"/>
    <col min="7" max="7" width="13.6640625" style="1" customWidth="1"/>
    <col min="8" max="8" width="13.44140625" style="1" customWidth="1"/>
    <col min="9" max="9" width="10.44140625" style="1" customWidth="1"/>
    <col min="10" max="10" width="12.44140625" style="1" customWidth="1"/>
    <col min="11" max="11" width="12.33203125" style="1" customWidth="1"/>
    <col min="12" max="12" width="6.6640625" style="2" customWidth="1"/>
    <col min="13" max="13" width="16.44140625" style="2" customWidth="1"/>
    <col min="15" max="15" width="16.44140625" style="2" customWidth="1"/>
    <col min="16" max="16" width="0" hidden="1" customWidth="1"/>
    <col min="17" max="17" width="16.44140625" style="2" customWidth="1"/>
    <col min="18" max="16384" width="8.6640625" style="2"/>
  </cols>
  <sheetData>
    <row r="1" spans="2:16" x14ac:dyDescent="0.3">
      <c r="P1" t="s">
        <v>0</v>
      </c>
    </row>
    <row r="2" spans="2:16" ht="49.5" customHeight="1" x14ac:dyDescent="0.3">
      <c r="B2" s="38" t="s">
        <v>1</v>
      </c>
      <c r="C2" s="38"/>
      <c r="D2" s="38"/>
      <c r="E2" s="38"/>
      <c r="F2" s="38"/>
      <c r="G2" s="38"/>
      <c r="H2" s="38"/>
      <c r="I2" s="38"/>
      <c r="J2" s="38"/>
      <c r="K2" s="38"/>
      <c r="P2" t="s">
        <v>2</v>
      </c>
    </row>
    <row r="3" spans="2:16" ht="18.75" customHeight="1" x14ac:dyDescent="0.3">
      <c r="B3" s="39" t="s">
        <v>3</v>
      </c>
      <c r="C3" s="40"/>
      <c r="D3" s="40"/>
      <c r="E3" s="40" t="s">
        <v>4</v>
      </c>
      <c r="F3" s="40"/>
      <c r="G3" s="40"/>
      <c r="H3" s="40"/>
      <c r="I3" s="40" t="s">
        <v>5</v>
      </c>
      <c r="J3" s="40"/>
      <c r="K3" s="41"/>
    </row>
    <row r="4" spans="2:16" x14ac:dyDescent="0.3">
      <c r="B4" s="3"/>
      <c r="C4" s="4"/>
      <c r="K4" s="5"/>
      <c r="P4" t="s">
        <v>6</v>
      </c>
    </row>
    <row r="5" spans="2:16" s="9" customFormat="1" ht="27.6" customHeight="1" x14ac:dyDescent="0.3">
      <c r="B5" s="37" t="s">
        <v>7</v>
      </c>
      <c r="C5" s="37"/>
      <c r="D5" s="30">
        <v>90594501</v>
      </c>
      <c r="E5" s="6"/>
      <c r="F5" s="6"/>
      <c r="G5" s="7"/>
      <c r="H5" s="7"/>
      <c r="I5" s="7"/>
      <c r="J5" s="7"/>
      <c r="K5" s="8"/>
      <c r="N5"/>
      <c r="P5" t="s">
        <v>8</v>
      </c>
    </row>
    <row r="6" spans="2:16" s="9" customFormat="1" x14ac:dyDescent="0.3">
      <c r="B6" s="10"/>
      <c r="C6" s="7"/>
      <c r="D6" s="7"/>
      <c r="E6" s="7"/>
      <c r="F6" s="7"/>
      <c r="G6" s="7"/>
      <c r="H6" s="7"/>
      <c r="I6" s="7"/>
      <c r="J6" s="7"/>
      <c r="K6" s="8"/>
      <c r="N6"/>
      <c r="P6" t="s">
        <v>11</v>
      </c>
    </row>
    <row r="7" spans="2:16" s="9" customFormat="1" x14ac:dyDescent="0.3">
      <c r="B7" s="37" t="s">
        <v>12</v>
      </c>
      <c r="C7" s="37"/>
      <c r="D7" s="11" t="s">
        <v>2</v>
      </c>
      <c r="E7" s="12"/>
      <c r="F7" s="12"/>
      <c r="G7" s="7"/>
      <c r="H7" s="7"/>
      <c r="I7" s="7"/>
      <c r="J7" s="7"/>
      <c r="K7" s="8"/>
      <c r="N7"/>
      <c r="P7" t="s">
        <v>13</v>
      </c>
    </row>
    <row r="8" spans="2:16" s="9" customFormat="1" x14ac:dyDescent="0.3">
      <c r="B8" s="13"/>
      <c r="C8" s="14"/>
      <c r="D8" s="12"/>
      <c r="E8" s="12"/>
      <c r="F8" s="12"/>
      <c r="G8" s="7"/>
      <c r="H8" s="7"/>
      <c r="I8" s="7"/>
      <c r="J8" s="7"/>
      <c r="K8" s="8"/>
      <c r="N8"/>
      <c r="P8" t="s">
        <v>14</v>
      </c>
    </row>
    <row r="9" spans="2:16" s="9" customFormat="1" x14ac:dyDescent="0.3">
      <c r="B9" s="37" t="s">
        <v>15</v>
      </c>
      <c r="C9" s="37"/>
      <c r="D9" s="15">
        <v>46053</v>
      </c>
      <c r="E9" s="16"/>
      <c r="F9" s="16"/>
      <c r="G9" s="7"/>
      <c r="H9" s="7"/>
      <c r="I9" s="7"/>
      <c r="J9" s="7"/>
      <c r="K9" s="8"/>
      <c r="N9"/>
      <c r="P9" t="s">
        <v>16</v>
      </c>
    </row>
    <row r="10" spans="2:16" x14ac:dyDescent="0.3">
      <c r="B10" s="17"/>
      <c r="C10" s="18"/>
      <c r="K10" s="19"/>
      <c r="P10" t="s">
        <v>17</v>
      </c>
    </row>
    <row r="11" spans="2:16" ht="26.85" customHeight="1" x14ac:dyDescent="0.3">
      <c r="B11" s="42" t="s">
        <v>18</v>
      </c>
      <c r="C11" s="42"/>
      <c r="D11" s="42"/>
      <c r="E11" s="42"/>
      <c r="F11" s="42"/>
      <c r="G11" s="42"/>
      <c r="H11" s="37" t="s">
        <v>19</v>
      </c>
      <c r="I11" s="37"/>
      <c r="J11" s="37" t="s">
        <v>20</v>
      </c>
      <c r="K11" s="37"/>
      <c r="P11" t="s">
        <v>21</v>
      </c>
    </row>
    <row r="12" spans="2:16" ht="57.6" customHeight="1" x14ac:dyDescent="0.3">
      <c r="B12" s="29" t="s">
        <v>22</v>
      </c>
      <c r="C12" s="29" t="s">
        <v>23</v>
      </c>
      <c r="D12" s="29" t="s">
        <v>24</v>
      </c>
      <c r="E12" s="29" t="s">
        <v>25</v>
      </c>
      <c r="F12" s="29" t="s">
        <v>26</v>
      </c>
      <c r="G12" s="29" t="s">
        <v>27</v>
      </c>
      <c r="H12" s="29" t="s">
        <v>28</v>
      </c>
      <c r="I12" s="29" t="s">
        <v>29</v>
      </c>
      <c r="J12" s="29" t="s">
        <v>30</v>
      </c>
      <c r="K12" s="29" t="s">
        <v>29</v>
      </c>
      <c r="P12" t="s">
        <v>31</v>
      </c>
    </row>
    <row r="13" spans="2:16" x14ac:dyDescent="0.3">
      <c r="B13" s="31">
        <v>3</v>
      </c>
      <c r="C13" s="31" t="s">
        <v>72</v>
      </c>
      <c r="D13" s="35" t="s">
        <v>43</v>
      </c>
      <c r="E13" s="35" t="s">
        <v>69</v>
      </c>
      <c r="F13" s="35" t="s">
        <v>69</v>
      </c>
      <c r="G13" s="31">
        <v>32</v>
      </c>
      <c r="H13" s="31">
        <v>0</v>
      </c>
      <c r="I13" s="31">
        <f>IFERROR(H13/G13,0)</f>
        <v>0</v>
      </c>
      <c r="J13" s="31">
        <f>+H13</f>
        <v>0</v>
      </c>
      <c r="K13" s="33">
        <f>IFERROR(J13/G13,0)</f>
        <v>0</v>
      </c>
    </row>
    <row r="14" spans="2:16" x14ac:dyDescent="0.3">
      <c r="B14" s="31">
        <v>3</v>
      </c>
      <c r="C14" s="31" t="s">
        <v>73</v>
      </c>
      <c r="D14" s="35" t="s">
        <v>44</v>
      </c>
      <c r="E14" s="35" t="s">
        <v>69</v>
      </c>
      <c r="F14" s="35" t="s">
        <v>69</v>
      </c>
      <c r="G14" s="31">
        <v>20</v>
      </c>
      <c r="H14" s="31">
        <v>0</v>
      </c>
      <c r="I14" s="33">
        <f t="shared" ref="I14:I28" si="0">IFERROR(H14/G14,0)</f>
        <v>0</v>
      </c>
      <c r="J14" s="31">
        <f t="shared" ref="J14:J28" si="1">+H14</f>
        <v>0</v>
      </c>
      <c r="K14" s="33">
        <f t="shared" ref="K14:K28" si="2">IFERROR(J14/G14,0)</f>
        <v>0</v>
      </c>
    </row>
    <row r="15" spans="2:16" x14ac:dyDescent="0.3">
      <c r="B15" s="31">
        <v>3</v>
      </c>
      <c r="C15" s="31" t="s">
        <v>74</v>
      </c>
      <c r="D15" s="35" t="s">
        <v>42</v>
      </c>
      <c r="E15" s="35" t="s">
        <v>69</v>
      </c>
      <c r="F15" s="35" t="s">
        <v>69</v>
      </c>
      <c r="G15" s="31">
        <v>15</v>
      </c>
      <c r="H15" s="31">
        <v>0</v>
      </c>
      <c r="I15" s="33">
        <f t="shared" si="0"/>
        <v>0</v>
      </c>
      <c r="J15" s="31">
        <f t="shared" si="1"/>
        <v>0</v>
      </c>
      <c r="K15" s="33">
        <f t="shared" si="2"/>
        <v>0</v>
      </c>
    </row>
    <row r="16" spans="2:16" x14ac:dyDescent="0.3">
      <c r="B16" s="31">
        <v>3</v>
      </c>
      <c r="C16" s="31" t="s">
        <v>75</v>
      </c>
      <c r="D16" s="35" t="s">
        <v>45</v>
      </c>
      <c r="E16" s="35" t="s">
        <v>69</v>
      </c>
      <c r="F16" s="35" t="s">
        <v>69</v>
      </c>
      <c r="G16" s="31">
        <v>8</v>
      </c>
      <c r="H16" s="31">
        <v>0</v>
      </c>
      <c r="I16" s="33">
        <f t="shared" si="0"/>
        <v>0</v>
      </c>
      <c r="J16" s="31">
        <f t="shared" si="1"/>
        <v>0</v>
      </c>
      <c r="K16" s="33">
        <f t="shared" si="2"/>
        <v>0</v>
      </c>
    </row>
    <row r="17" spans="2:16" x14ac:dyDescent="0.3">
      <c r="B17" s="31">
        <v>3</v>
      </c>
      <c r="C17" s="31" t="s">
        <v>76</v>
      </c>
      <c r="D17" s="35" t="s">
        <v>46</v>
      </c>
      <c r="E17" s="35" t="s">
        <v>69</v>
      </c>
      <c r="F17" s="35" t="s">
        <v>69</v>
      </c>
      <c r="G17" s="31">
        <v>8</v>
      </c>
      <c r="H17" s="31">
        <v>0</v>
      </c>
      <c r="I17" s="33">
        <f t="shared" si="0"/>
        <v>0</v>
      </c>
      <c r="J17" s="31">
        <f t="shared" si="1"/>
        <v>0</v>
      </c>
      <c r="K17" s="33">
        <f t="shared" si="2"/>
        <v>0</v>
      </c>
    </row>
    <row r="18" spans="2:16" x14ac:dyDescent="0.3">
      <c r="B18" s="31">
        <v>3</v>
      </c>
      <c r="C18" s="31" t="s">
        <v>77</v>
      </c>
      <c r="D18" s="35" t="s">
        <v>47</v>
      </c>
      <c r="E18" s="35" t="s">
        <v>48</v>
      </c>
      <c r="F18" s="35" t="s">
        <v>49</v>
      </c>
      <c r="G18" s="31">
        <v>32</v>
      </c>
      <c r="H18" s="31">
        <v>4</v>
      </c>
      <c r="I18" s="33">
        <f t="shared" si="0"/>
        <v>0.125</v>
      </c>
      <c r="J18" s="31">
        <f t="shared" si="1"/>
        <v>4</v>
      </c>
      <c r="K18" s="33">
        <f t="shared" si="2"/>
        <v>0.125</v>
      </c>
    </row>
    <row r="19" spans="2:16" x14ac:dyDescent="0.3">
      <c r="B19" s="31">
        <v>3</v>
      </c>
      <c r="C19" s="31" t="s">
        <v>78</v>
      </c>
      <c r="D19" s="35" t="s">
        <v>50</v>
      </c>
      <c r="E19" s="35" t="s">
        <v>69</v>
      </c>
      <c r="F19" s="35" t="s">
        <v>69</v>
      </c>
      <c r="G19" s="31">
        <v>10</v>
      </c>
      <c r="H19" s="31">
        <v>0</v>
      </c>
      <c r="I19" s="33">
        <f t="shared" si="0"/>
        <v>0</v>
      </c>
      <c r="J19" s="31">
        <f t="shared" si="1"/>
        <v>0</v>
      </c>
      <c r="K19" s="33">
        <f t="shared" si="2"/>
        <v>0</v>
      </c>
    </row>
    <row r="20" spans="2:16" x14ac:dyDescent="0.3">
      <c r="B20" s="31">
        <v>3</v>
      </c>
      <c r="C20" s="31" t="s">
        <v>79</v>
      </c>
      <c r="D20" s="35" t="s">
        <v>51</v>
      </c>
      <c r="E20" s="35" t="s">
        <v>52</v>
      </c>
      <c r="F20" s="35" t="s">
        <v>53</v>
      </c>
      <c r="G20" s="31">
        <v>20</v>
      </c>
      <c r="H20" s="31">
        <v>6</v>
      </c>
      <c r="I20" s="33">
        <f t="shared" si="0"/>
        <v>0.3</v>
      </c>
      <c r="J20" s="31">
        <f t="shared" si="1"/>
        <v>6</v>
      </c>
      <c r="K20" s="33">
        <f t="shared" si="2"/>
        <v>0.3</v>
      </c>
    </row>
    <row r="21" spans="2:16" x14ac:dyDescent="0.3">
      <c r="B21" s="31">
        <v>3</v>
      </c>
      <c r="C21" s="31" t="s">
        <v>80</v>
      </c>
      <c r="D21" s="35" t="s">
        <v>54</v>
      </c>
      <c r="E21" s="35" t="s">
        <v>55</v>
      </c>
      <c r="F21" s="35" t="s">
        <v>56</v>
      </c>
      <c r="G21" s="31">
        <v>18</v>
      </c>
      <c r="H21" s="31">
        <v>6</v>
      </c>
      <c r="I21" s="33">
        <f t="shared" si="0"/>
        <v>0.33333333333333331</v>
      </c>
      <c r="J21" s="31">
        <f t="shared" si="1"/>
        <v>6</v>
      </c>
      <c r="K21" s="33">
        <f t="shared" si="2"/>
        <v>0.33333333333333331</v>
      </c>
    </row>
    <row r="22" spans="2:16" x14ac:dyDescent="0.3">
      <c r="B22" s="31">
        <v>3</v>
      </c>
      <c r="C22" s="31" t="s">
        <v>81</v>
      </c>
      <c r="D22" s="35" t="s">
        <v>57</v>
      </c>
      <c r="E22" s="35" t="s">
        <v>57</v>
      </c>
      <c r="F22" s="35" t="s">
        <v>58</v>
      </c>
      <c r="G22" s="31">
        <v>10</v>
      </c>
      <c r="H22" s="31">
        <v>2</v>
      </c>
      <c r="I22" s="33">
        <f t="shared" si="0"/>
        <v>0.2</v>
      </c>
      <c r="J22" s="31">
        <f t="shared" si="1"/>
        <v>2</v>
      </c>
      <c r="K22" s="33">
        <f t="shared" si="2"/>
        <v>0.2</v>
      </c>
    </row>
    <row r="23" spans="2:16" x14ac:dyDescent="0.3">
      <c r="B23" s="31">
        <v>5</v>
      </c>
      <c r="C23" s="31" t="s">
        <v>82</v>
      </c>
      <c r="D23" s="35" t="s">
        <v>59</v>
      </c>
      <c r="E23" s="35" t="s">
        <v>69</v>
      </c>
      <c r="F23" s="35" t="s">
        <v>69</v>
      </c>
      <c r="G23" s="31">
        <v>10</v>
      </c>
      <c r="H23" s="31">
        <v>0</v>
      </c>
      <c r="I23" s="33">
        <f t="shared" si="0"/>
        <v>0</v>
      </c>
      <c r="J23" s="31">
        <f t="shared" si="1"/>
        <v>0</v>
      </c>
      <c r="K23" s="33">
        <f t="shared" si="2"/>
        <v>0</v>
      </c>
    </row>
    <row r="24" spans="2:16" x14ac:dyDescent="0.3">
      <c r="B24" s="31">
        <v>5</v>
      </c>
      <c r="C24" s="31" t="s">
        <v>83</v>
      </c>
      <c r="D24" s="35" t="s">
        <v>60</v>
      </c>
      <c r="E24" s="35" t="s">
        <v>61</v>
      </c>
      <c r="F24" s="35" t="s">
        <v>62</v>
      </c>
      <c r="G24" s="31">
        <v>10</v>
      </c>
      <c r="H24" s="31">
        <v>2</v>
      </c>
      <c r="I24" s="33">
        <f t="shared" si="0"/>
        <v>0.2</v>
      </c>
      <c r="J24" s="31">
        <f t="shared" si="1"/>
        <v>2</v>
      </c>
      <c r="K24" s="33">
        <f t="shared" si="2"/>
        <v>0.2</v>
      </c>
    </row>
    <row r="25" spans="2:16" x14ac:dyDescent="0.3">
      <c r="B25" s="31">
        <v>5</v>
      </c>
      <c r="C25" s="31" t="s">
        <v>84</v>
      </c>
      <c r="D25" s="35" t="s">
        <v>63</v>
      </c>
      <c r="E25" s="35" t="s">
        <v>69</v>
      </c>
      <c r="F25" s="35" t="s">
        <v>69</v>
      </c>
      <c r="G25" s="31">
        <v>10</v>
      </c>
      <c r="H25" s="31">
        <v>0</v>
      </c>
      <c r="I25" s="33">
        <f t="shared" si="0"/>
        <v>0</v>
      </c>
      <c r="J25" s="31">
        <f t="shared" si="1"/>
        <v>0</v>
      </c>
      <c r="K25" s="33">
        <f t="shared" si="2"/>
        <v>0</v>
      </c>
    </row>
    <row r="26" spans="2:16" x14ac:dyDescent="0.3">
      <c r="B26" s="31">
        <v>5</v>
      </c>
      <c r="C26" s="31" t="s">
        <v>85</v>
      </c>
      <c r="D26" s="35" t="s">
        <v>64</v>
      </c>
      <c r="E26" s="35" t="s">
        <v>65</v>
      </c>
      <c r="F26" s="35" t="s">
        <v>66</v>
      </c>
      <c r="G26" s="31">
        <v>10</v>
      </c>
      <c r="H26" s="31">
        <v>3</v>
      </c>
      <c r="I26" s="33">
        <f t="shared" si="0"/>
        <v>0.3</v>
      </c>
      <c r="J26" s="31">
        <f t="shared" si="1"/>
        <v>3</v>
      </c>
      <c r="K26" s="33">
        <f t="shared" si="2"/>
        <v>0.3</v>
      </c>
    </row>
    <row r="27" spans="2:16" x14ac:dyDescent="0.3">
      <c r="B27" s="31">
        <v>5</v>
      </c>
      <c r="C27" s="31" t="s">
        <v>86</v>
      </c>
      <c r="D27" s="35" t="s">
        <v>67</v>
      </c>
      <c r="E27" s="35" t="s">
        <v>69</v>
      </c>
      <c r="F27" s="35" t="s">
        <v>69</v>
      </c>
      <c r="G27" s="31">
        <v>10</v>
      </c>
      <c r="H27" s="31">
        <v>0</v>
      </c>
      <c r="I27" s="33">
        <f t="shared" si="0"/>
        <v>0</v>
      </c>
      <c r="J27" s="31">
        <f t="shared" si="1"/>
        <v>0</v>
      </c>
      <c r="K27" s="33">
        <f t="shared" si="2"/>
        <v>0</v>
      </c>
    </row>
    <row r="28" spans="2:16" x14ac:dyDescent="0.3">
      <c r="B28" s="32">
        <v>5</v>
      </c>
      <c r="C28" s="32" t="s">
        <v>87</v>
      </c>
      <c r="D28" s="36" t="s">
        <v>68</v>
      </c>
      <c r="E28" s="36" t="s">
        <v>69</v>
      </c>
      <c r="F28" s="36" t="s">
        <v>69</v>
      </c>
      <c r="G28" s="32">
        <v>10</v>
      </c>
      <c r="H28" s="32">
        <v>0</v>
      </c>
      <c r="I28" s="34">
        <f t="shared" si="0"/>
        <v>0</v>
      </c>
      <c r="J28" s="32">
        <f t="shared" si="1"/>
        <v>0</v>
      </c>
      <c r="K28" s="34">
        <f t="shared" si="2"/>
        <v>0</v>
      </c>
    </row>
    <row r="29" spans="2:16" x14ac:dyDescent="0.3">
      <c r="B29" s="7"/>
      <c r="C29" s="7"/>
      <c r="D29" s="7"/>
      <c r="E29" s="7"/>
      <c r="F29" s="14"/>
      <c r="G29" s="43" t="str">
        <f>+CONCATENATE("TOTAL A ",D7)</f>
        <v>TOTAL A ENERO</v>
      </c>
      <c r="H29" s="43"/>
      <c r="I29" s="43"/>
      <c r="J29" s="43" t="s">
        <v>32</v>
      </c>
      <c r="K29" s="43"/>
    </row>
    <row r="30" spans="2:16" s="9" customFormat="1" ht="16.5" customHeight="1" x14ac:dyDescent="0.3">
      <c r="B30" s="7"/>
      <c r="C30" s="7"/>
      <c r="G30" s="20">
        <f>+SUM(G13:G28)</f>
        <v>233</v>
      </c>
      <c r="H30" s="20">
        <f>+SUM(H13:H28)</f>
        <v>23</v>
      </c>
      <c r="I30" s="21">
        <f>IFERROR(H30/G30,0)</f>
        <v>9.8712446351931327E-2</v>
      </c>
      <c r="J30" s="22">
        <f>+SUM(J13:J28)</f>
        <v>23</v>
      </c>
      <c r="K30" s="21">
        <f>IFERROR(J30/G30,0)</f>
        <v>9.8712446351931327E-2</v>
      </c>
      <c r="N30"/>
      <c r="P30"/>
    </row>
    <row r="32" spans="2:16" ht="93.6" customHeight="1" x14ac:dyDescent="0.3">
      <c r="B32" s="42" t="s">
        <v>33</v>
      </c>
      <c r="C32" s="42"/>
      <c r="D32" s="47" t="s">
        <v>70</v>
      </c>
      <c r="E32" s="48"/>
      <c r="F32" s="48"/>
      <c r="G32" s="48"/>
      <c r="H32" s="48"/>
      <c r="I32" s="48"/>
      <c r="J32" s="48"/>
      <c r="K32" s="48"/>
    </row>
    <row r="33" spans="1:11" customFormat="1" ht="14.4" customHeight="1" x14ac:dyDescent="0.3">
      <c r="A33" s="28"/>
      <c r="B33" s="49" t="s">
        <v>35</v>
      </c>
      <c r="C33" s="50"/>
      <c r="D33" s="50"/>
      <c r="E33" s="50"/>
      <c r="F33" s="50"/>
      <c r="G33" s="50"/>
      <c r="H33" s="50"/>
      <c r="I33" s="50"/>
      <c r="J33" s="50"/>
      <c r="K33" s="51"/>
    </row>
    <row r="34" spans="1:11" customFormat="1" ht="19.95" customHeight="1" x14ac:dyDescent="0.3">
      <c r="A34" s="2"/>
      <c r="B34" s="52"/>
      <c r="C34" s="53"/>
      <c r="D34" s="53"/>
      <c r="E34" s="53"/>
      <c r="F34" s="53"/>
      <c r="G34" s="53"/>
      <c r="H34" s="53"/>
      <c r="I34" s="53"/>
      <c r="J34" s="53"/>
      <c r="K34" s="54"/>
    </row>
    <row r="35" spans="1:11" ht="19.350000000000001" customHeight="1" x14ac:dyDescent="0.3">
      <c r="B35" s="23" t="s">
        <v>36</v>
      </c>
      <c r="C35" s="24"/>
      <c r="D35" s="24"/>
      <c r="E35" s="24"/>
      <c r="F35" s="24"/>
      <c r="G35" s="24"/>
      <c r="H35" s="24"/>
      <c r="I35" s="24"/>
      <c r="J35" s="24"/>
      <c r="K35" s="25"/>
    </row>
    <row r="36" spans="1:11" ht="20.100000000000001" customHeight="1" x14ac:dyDescent="0.4">
      <c r="B36" s="26" t="s">
        <v>37</v>
      </c>
      <c r="C36" s="27"/>
      <c r="D36" s="55" t="s">
        <v>34</v>
      </c>
      <c r="E36" s="55"/>
      <c r="F36" s="55"/>
      <c r="G36" s="55"/>
      <c r="H36" s="55"/>
      <c r="I36" s="55"/>
      <c r="J36" s="55"/>
      <c r="K36" s="55"/>
    </row>
    <row r="37" spans="1:11" ht="20.100000000000001" customHeight="1" x14ac:dyDescent="0.4">
      <c r="B37" s="26" t="s">
        <v>38</v>
      </c>
      <c r="C37" s="27"/>
      <c r="D37" s="55"/>
      <c r="E37" s="55"/>
      <c r="F37" s="55"/>
      <c r="G37" s="55"/>
      <c r="H37" s="55"/>
      <c r="I37" s="55"/>
      <c r="J37" s="55"/>
      <c r="K37" s="55"/>
    </row>
    <row r="38" spans="1:11" x14ac:dyDescent="0.3">
      <c r="B38" s="56" t="s">
        <v>35</v>
      </c>
      <c r="C38" s="56"/>
      <c r="D38" s="56"/>
      <c r="E38" s="56"/>
      <c r="F38" s="56"/>
      <c r="G38" s="56"/>
      <c r="H38" s="56"/>
      <c r="I38" s="56"/>
      <c r="J38" s="56"/>
      <c r="K38" s="56"/>
    </row>
    <row r="39" spans="1:11" ht="15" customHeight="1" x14ac:dyDescent="0.3">
      <c r="B39" s="56"/>
      <c r="C39" s="56"/>
      <c r="D39" s="56"/>
      <c r="E39" s="56"/>
      <c r="F39" s="56"/>
      <c r="G39" s="56"/>
      <c r="H39" s="56"/>
      <c r="I39" s="56"/>
      <c r="J39" s="56"/>
      <c r="K39" s="56"/>
    </row>
    <row r="40" spans="1:11" x14ac:dyDescent="0.3">
      <c r="B40" s="23" t="s">
        <v>39</v>
      </c>
      <c r="C40" s="24"/>
      <c r="D40" s="24"/>
      <c r="E40" s="24"/>
      <c r="F40" s="24"/>
      <c r="G40" s="24"/>
      <c r="H40" s="24"/>
      <c r="I40" s="24"/>
      <c r="J40" s="24"/>
      <c r="K40" s="25"/>
    </row>
    <row r="41" spans="1:11" ht="20.100000000000001" customHeight="1" x14ac:dyDescent="0.4">
      <c r="B41" s="26" t="s">
        <v>37</v>
      </c>
      <c r="C41" s="27"/>
      <c r="D41" s="55" t="s">
        <v>34</v>
      </c>
      <c r="E41" s="55"/>
      <c r="F41" s="55"/>
      <c r="G41" s="55"/>
      <c r="H41" s="55"/>
      <c r="I41" s="55"/>
      <c r="J41" s="55"/>
      <c r="K41" s="55"/>
    </row>
    <row r="42" spans="1:11" ht="20.100000000000001" customHeight="1" x14ac:dyDescent="0.4">
      <c r="B42" s="26" t="s">
        <v>38</v>
      </c>
      <c r="C42" s="27"/>
      <c r="D42" s="55"/>
      <c r="E42" s="55"/>
      <c r="F42" s="55"/>
      <c r="G42" s="55"/>
      <c r="H42" s="55"/>
      <c r="I42" s="55"/>
      <c r="J42" s="55"/>
      <c r="K42" s="55"/>
    </row>
    <row r="45" spans="1:11" ht="19.5" customHeight="1" x14ac:dyDescent="0.3">
      <c r="B45" s="44"/>
      <c r="C45" s="44"/>
      <c r="D45" s="44"/>
      <c r="G45" s="44"/>
      <c r="H45" s="44"/>
      <c r="I45" s="44"/>
      <c r="J45" s="44"/>
    </row>
    <row r="46" spans="1:11" ht="23.85" customHeight="1" x14ac:dyDescent="0.3">
      <c r="B46" s="7" t="s">
        <v>40</v>
      </c>
      <c r="C46" s="45"/>
      <c r="D46" s="45"/>
      <c r="G46" s="7" t="s">
        <v>41</v>
      </c>
      <c r="H46" s="46" t="s">
        <v>71</v>
      </c>
      <c r="I46" s="46"/>
      <c r="J46" s="46"/>
    </row>
    <row r="78" spans="1:17" s="1" customFormat="1" hidden="1" x14ac:dyDescent="0.3">
      <c r="A78" t="s">
        <v>0</v>
      </c>
      <c r="B78" s="2"/>
      <c r="L78" s="2"/>
      <c r="M78" s="2"/>
      <c r="N78"/>
      <c r="O78" s="2"/>
      <c r="P78"/>
      <c r="Q78" s="2"/>
    </row>
    <row r="79" spans="1:17" s="1" customFormat="1" hidden="1" x14ac:dyDescent="0.3">
      <c r="A79" t="s">
        <v>2</v>
      </c>
      <c r="B79" s="2"/>
      <c r="L79" s="2"/>
      <c r="M79" s="2"/>
      <c r="N79"/>
      <c r="O79" s="2"/>
      <c r="P79"/>
      <c r="Q79" s="2"/>
    </row>
    <row r="80" spans="1:17" s="1" customFormat="1" hidden="1" x14ac:dyDescent="0.3">
      <c r="A80" t="s">
        <v>6</v>
      </c>
      <c r="B80" s="2"/>
      <c r="L80" s="2"/>
      <c r="M80" s="2"/>
      <c r="N80"/>
      <c r="O80" s="2"/>
      <c r="P80"/>
      <c r="Q80" s="2"/>
    </row>
    <row r="81" spans="1:17" s="1" customFormat="1" hidden="1" x14ac:dyDescent="0.3">
      <c r="A81" t="s">
        <v>8</v>
      </c>
      <c r="B81" s="9"/>
      <c r="L81" s="2"/>
      <c r="M81" s="2"/>
      <c r="N81"/>
      <c r="O81" s="2"/>
      <c r="P81"/>
      <c r="Q81" s="2"/>
    </row>
    <row r="82" spans="1:17" s="1" customFormat="1" hidden="1" x14ac:dyDescent="0.3">
      <c r="A82" t="s">
        <v>9</v>
      </c>
      <c r="B82" s="2"/>
      <c r="L82" s="2"/>
      <c r="M82" s="2"/>
      <c r="N82"/>
      <c r="O82" s="2"/>
      <c r="P82"/>
      <c r="Q82" s="2"/>
    </row>
    <row r="83" spans="1:17" s="1" customFormat="1" hidden="1" x14ac:dyDescent="0.3">
      <c r="A83" t="s">
        <v>10</v>
      </c>
      <c r="B83" s="9"/>
      <c r="L83" s="2"/>
      <c r="M83" s="2"/>
      <c r="N83"/>
      <c r="O83" s="2"/>
      <c r="P83"/>
      <c r="Q83" s="2"/>
    </row>
    <row r="84" spans="1:17" s="1" customFormat="1" hidden="1" x14ac:dyDescent="0.3">
      <c r="A84" t="s">
        <v>11</v>
      </c>
      <c r="B84" s="9"/>
      <c r="L84" s="2"/>
      <c r="M84" s="2"/>
      <c r="N84"/>
      <c r="O84" s="2"/>
      <c r="P84"/>
      <c r="Q84" s="2"/>
    </row>
    <row r="85" spans="1:17" s="1" customFormat="1" hidden="1" x14ac:dyDescent="0.3">
      <c r="A85" t="s">
        <v>13</v>
      </c>
      <c r="B85" s="9"/>
      <c r="L85" s="2"/>
      <c r="M85" s="2"/>
      <c r="N85"/>
      <c r="O85" s="2"/>
      <c r="P85"/>
      <c r="Q85" s="2"/>
    </row>
    <row r="86" spans="1:17" s="1" customFormat="1" hidden="1" x14ac:dyDescent="0.3">
      <c r="A86" t="s">
        <v>14</v>
      </c>
      <c r="B86" s="9"/>
      <c r="L86" s="2"/>
      <c r="M86" s="2"/>
      <c r="N86"/>
      <c r="O86" s="2"/>
      <c r="P86"/>
      <c r="Q86" s="2"/>
    </row>
    <row r="87" spans="1:17" s="1" customFormat="1" hidden="1" x14ac:dyDescent="0.3">
      <c r="A87" t="s">
        <v>16</v>
      </c>
      <c r="B87" s="9"/>
      <c r="L87" s="2"/>
      <c r="M87" s="2"/>
      <c r="N87"/>
      <c r="O87" s="2"/>
      <c r="P87"/>
      <c r="Q87" s="2"/>
    </row>
    <row r="88" spans="1:17" s="1" customFormat="1" hidden="1" x14ac:dyDescent="0.3">
      <c r="A88" t="s">
        <v>17</v>
      </c>
      <c r="B88" s="2"/>
      <c r="L88" s="2"/>
      <c r="M88" s="2"/>
      <c r="N88"/>
      <c r="O88" s="2"/>
      <c r="P88"/>
      <c r="Q88" s="2"/>
    </row>
    <row r="89" spans="1:17" s="1" customFormat="1" hidden="1" x14ac:dyDescent="0.3">
      <c r="A89" t="s">
        <v>21</v>
      </c>
      <c r="B89" s="2"/>
      <c r="L89" s="2"/>
      <c r="M89" s="2"/>
      <c r="N89"/>
      <c r="O89" s="2"/>
      <c r="P89"/>
      <c r="Q89" s="2"/>
    </row>
    <row r="90" spans="1:17" s="1" customFormat="1" hidden="1" x14ac:dyDescent="0.3">
      <c r="A90" t="s">
        <v>31</v>
      </c>
      <c r="B90" s="2"/>
      <c r="L90" s="2"/>
      <c r="M90" s="2"/>
      <c r="N90"/>
      <c r="O90" s="2"/>
      <c r="P90"/>
      <c r="Q90" s="2"/>
    </row>
  </sheetData>
  <sheetProtection formatCells="0" formatColumns="0" formatRows="0" insertColumns="0" insertRows="0" insertHyperlinks="0" deleteColumns="0" deleteRows="0" sort="0" autoFilter="0" pivotTables="0"/>
  <mergeCells count="22">
    <mergeCell ref="B45:D45"/>
    <mergeCell ref="G45:J45"/>
    <mergeCell ref="C46:D46"/>
    <mergeCell ref="H46:J46"/>
    <mergeCell ref="B32:C32"/>
    <mergeCell ref="D32:K32"/>
    <mergeCell ref="B33:K34"/>
    <mergeCell ref="D36:K37"/>
    <mergeCell ref="B38:K39"/>
    <mergeCell ref="D41:K42"/>
    <mergeCell ref="B9:C9"/>
    <mergeCell ref="B11:G11"/>
    <mergeCell ref="H11:I11"/>
    <mergeCell ref="J11:K11"/>
    <mergeCell ref="G29:I29"/>
    <mergeCell ref="J29:K29"/>
    <mergeCell ref="B7:C7"/>
    <mergeCell ref="B2:K2"/>
    <mergeCell ref="B3:D3"/>
    <mergeCell ref="E3:H3"/>
    <mergeCell ref="I3:K3"/>
    <mergeCell ref="B5:C5"/>
  </mergeCells>
  <conditionalFormatting sqref="G30">
    <cfRule type="cellIs" dxfId="1" priority="2" operator="greaterThan">
      <formula>350</formula>
    </cfRule>
  </conditionalFormatting>
  <dataValidations disablePrompts="1" count="4">
    <dataValidation type="whole" allowBlank="1" showInputMessage="1" showErrorMessage="1" errorTitle="¡Error!" error="Introduzca un número válido." promptTitle="¡Atención!" prompt="Introduzca un número entre 0 y 30" sqref="H13:H28" xr:uid="{00000000-0002-0000-0000-000000000000}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G30 G13:G28" xr:uid="{00000000-0002-0000-0000-000001000000}">
      <formula1>0</formula1>
      <formula2>366</formula2>
    </dataValidation>
    <dataValidation type="list" allowBlank="1" showInputMessage="1" showErrorMessage="1" sqref="E7:F8 D8" xr:uid="{00000000-0002-0000-0000-000002000000}">
      <formula1>#REF!</formula1>
    </dataValidation>
    <dataValidation type="list" allowBlank="1" showInputMessage="1" showErrorMessage="1" sqref="D7" xr:uid="{00000000-0002-0000-0000-000003000000}">
      <formula1>$A$79:$A$90</formula1>
    </dataValidation>
  </dataValidations>
  <pageMargins left="0.7" right="0.7" top="0.75" bottom="0.75" header="0.3" footer="0.3"/>
  <pageSetup scale="38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0"/>
  <sheetViews>
    <sheetView showGridLines="0" tabSelected="1" view="pageBreakPreview" zoomScaleNormal="100" zoomScaleSheetLayoutView="100" workbookViewId="0">
      <selection activeCell="B2" sqref="B2:K2"/>
    </sheetView>
  </sheetViews>
  <sheetFormatPr baseColWidth="10" defaultColWidth="8.6640625" defaultRowHeight="14.4" x14ac:dyDescent="0.3"/>
  <cols>
    <col min="1" max="1" width="4.44140625" style="2" customWidth="1"/>
    <col min="2" max="2" width="15.6640625" style="1" customWidth="1"/>
    <col min="3" max="3" width="8.5546875" style="1" bestFit="1" customWidth="1"/>
    <col min="4" max="4" width="43.33203125" style="1" customWidth="1"/>
    <col min="5" max="5" width="14.109375" style="1" bestFit="1" customWidth="1"/>
    <col min="6" max="6" width="13.44140625" style="1" customWidth="1"/>
    <col min="7" max="7" width="13.6640625" style="1" customWidth="1"/>
    <col min="8" max="8" width="13.44140625" style="1" customWidth="1"/>
    <col min="9" max="9" width="10.44140625" style="1" customWidth="1"/>
    <col min="10" max="10" width="12.44140625" style="1" customWidth="1"/>
    <col min="11" max="11" width="12.33203125" style="1" customWidth="1"/>
    <col min="12" max="12" width="6.6640625" style="2" customWidth="1"/>
    <col min="13" max="13" width="16.44140625" style="2" customWidth="1"/>
    <col min="15" max="15" width="16.44140625" style="2" customWidth="1"/>
    <col min="16" max="16" width="0" hidden="1" customWidth="1"/>
    <col min="17" max="17" width="16.44140625" style="2" customWidth="1"/>
    <col min="18" max="16384" width="8.6640625" style="2"/>
  </cols>
  <sheetData>
    <row r="1" spans="2:16" x14ac:dyDescent="0.3">
      <c r="P1" t="s">
        <v>0</v>
      </c>
    </row>
    <row r="2" spans="2:16" ht="49.5" customHeight="1" x14ac:dyDescent="0.3">
      <c r="B2" s="38" t="s">
        <v>1</v>
      </c>
      <c r="C2" s="38"/>
      <c r="D2" s="38"/>
      <c r="E2" s="38"/>
      <c r="F2" s="38"/>
      <c r="G2" s="38"/>
      <c r="H2" s="38"/>
      <c r="I2" s="38"/>
      <c r="J2" s="38"/>
      <c r="K2" s="38"/>
      <c r="P2" t="s">
        <v>2</v>
      </c>
    </row>
    <row r="3" spans="2:16" ht="18.75" customHeight="1" x14ac:dyDescent="0.3">
      <c r="B3" s="39" t="s">
        <v>3</v>
      </c>
      <c r="C3" s="40"/>
      <c r="D3" s="40"/>
      <c r="E3" s="40" t="s">
        <v>4</v>
      </c>
      <c r="F3" s="40"/>
      <c r="G3" s="40"/>
      <c r="H3" s="40"/>
      <c r="I3" s="40" t="s">
        <v>5</v>
      </c>
      <c r="J3" s="40"/>
      <c r="K3" s="41"/>
    </row>
    <row r="4" spans="2:16" x14ac:dyDescent="0.3">
      <c r="B4" s="3"/>
      <c r="C4" s="4"/>
      <c r="K4" s="5"/>
      <c r="P4" t="s">
        <v>6</v>
      </c>
    </row>
    <row r="5" spans="2:16" s="9" customFormat="1" ht="27.6" customHeight="1" x14ac:dyDescent="0.3">
      <c r="B5" s="37" t="s">
        <v>7</v>
      </c>
      <c r="C5" s="37"/>
      <c r="D5" s="30">
        <v>90594501</v>
      </c>
      <c r="E5" s="6"/>
      <c r="F5" s="6"/>
      <c r="G5" s="7"/>
      <c r="H5" s="7"/>
      <c r="I5" s="7"/>
      <c r="J5" s="7"/>
      <c r="K5" s="8"/>
      <c r="N5"/>
      <c r="P5" t="s">
        <v>8</v>
      </c>
    </row>
    <row r="6" spans="2:16" s="9" customFormat="1" x14ac:dyDescent="0.3">
      <c r="B6" s="10"/>
      <c r="C6" s="7"/>
      <c r="D6" s="7"/>
      <c r="E6" s="7"/>
      <c r="F6" s="7"/>
      <c r="G6" s="7"/>
      <c r="H6" s="7"/>
      <c r="I6" s="7"/>
      <c r="J6" s="7"/>
      <c r="K6" s="8"/>
      <c r="N6"/>
      <c r="P6" t="s">
        <v>11</v>
      </c>
    </row>
    <row r="7" spans="2:16" s="9" customFormat="1" x14ac:dyDescent="0.3">
      <c r="B7" s="37" t="s">
        <v>12</v>
      </c>
      <c r="C7" s="37"/>
      <c r="D7" s="11" t="s">
        <v>6</v>
      </c>
      <c r="E7" s="12"/>
      <c r="F7" s="12"/>
      <c r="G7" s="7"/>
      <c r="H7" s="7"/>
      <c r="I7" s="7"/>
      <c r="J7" s="7"/>
      <c r="K7" s="8"/>
      <c r="N7"/>
      <c r="P7" t="s">
        <v>13</v>
      </c>
    </row>
    <row r="8" spans="2:16" s="9" customFormat="1" x14ac:dyDescent="0.3">
      <c r="B8" s="13"/>
      <c r="C8" s="14"/>
      <c r="D8" s="12"/>
      <c r="E8" s="12"/>
      <c r="F8" s="12"/>
      <c r="G8" s="7"/>
      <c r="H8" s="7"/>
      <c r="I8" s="7"/>
      <c r="J8" s="7"/>
      <c r="K8" s="8"/>
      <c r="N8"/>
      <c r="P8" t="s">
        <v>14</v>
      </c>
    </row>
    <row r="9" spans="2:16" s="9" customFormat="1" x14ac:dyDescent="0.3">
      <c r="B9" s="37" t="s">
        <v>15</v>
      </c>
      <c r="C9" s="37"/>
      <c r="D9" s="15">
        <v>46081</v>
      </c>
      <c r="E9" s="16"/>
      <c r="F9" s="16"/>
      <c r="G9" s="7"/>
      <c r="H9" s="7"/>
      <c r="I9" s="7"/>
      <c r="J9" s="7"/>
      <c r="K9" s="8"/>
      <c r="N9"/>
      <c r="P9" t="s">
        <v>16</v>
      </c>
    </row>
    <row r="10" spans="2:16" x14ac:dyDescent="0.3">
      <c r="B10" s="17"/>
      <c r="C10" s="18"/>
      <c r="K10" s="19"/>
      <c r="P10" t="s">
        <v>17</v>
      </c>
    </row>
    <row r="11" spans="2:16" ht="26.85" customHeight="1" x14ac:dyDescent="0.3">
      <c r="B11" s="42" t="s">
        <v>18</v>
      </c>
      <c r="C11" s="42"/>
      <c r="D11" s="42"/>
      <c r="E11" s="42"/>
      <c r="F11" s="42"/>
      <c r="G11" s="42"/>
      <c r="H11" s="37" t="s">
        <v>19</v>
      </c>
      <c r="I11" s="37"/>
      <c r="J11" s="37" t="s">
        <v>20</v>
      </c>
      <c r="K11" s="37"/>
      <c r="P11" t="s">
        <v>21</v>
      </c>
    </row>
    <row r="12" spans="2:16" ht="57.6" customHeight="1" x14ac:dyDescent="0.3">
      <c r="B12" s="29" t="s">
        <v>22</v>
      </c>
      <c r="C12" s="29" t="s">
        <v>23</v>
      </c>
      <c r="D12" s="29" t="s">
        <v>24</v>
      </c>
      <c r="E12" s="29" t="s">
        <v>25</v>
      </c>
      <c r="F12" s="29" t="s">
        <v>26</v>
      </c>
      <c r="G12" s="29" t="s">
        <v>27</v>
      </c>
      <c r="H12" s="29" t="s">
        <v>28</v>
      </c>
      <c r="I12" s="29" t="s">
        <v>29</v>
      </c>
      <c r="J12" s="29" t="s">
        <v>30</v>
      </c>
      <c r="K12" s="29" t="s">
        <v>29</v>
      </c>
      <c r="P12" t="s">
        <v>31</v>
      </c>
    </row>
    <row r="13" spans="2:16" x14ac:dyDescent="0.3">
      <c r="B13" s="31">
        <v>3</v>
      </c>
      <c r="C13" s="31" t="s">
        <v>72</v>
      </c>
      <c r="D13" s="35" t="s">
        <v>43</v>
      </c>
      <c r="E13" s="35" t="s">
        <v>88</v>
      </c>
      <c r="F13" s="35" t="s">
        <v>89</v>
      </c>
      <c r="G13" s="31">
        <v>32</v>
      </c>
      <c r="H13" s="31">
        <v>4</v>
      </c>
      <c r="I13" s="31">
        <f>IFERROR(H13/G13,0)</f>
        <v>0.125</v>
      </c>
      <c r="J13" s="31">
        <f>+H13+ENERO!J13</f>
        <v>4</v>
      </c>
      <c r="K13" s="33">
        <f>IFERROR(J13/G13,0)</f>
        <v>0.125</v>
      </c>
    </row>
    <row r="14" spans="2:16" x14ac:dyDescent="0.3">
      <c r="B14" s="31">
        <v>3</v>
      </c>
      <c r="C14" s="31" t="s">
        <v>73</v>
      </c>
      <c r="D14" s="35" t="s">
        <v>44</v>
      </c>
      <c r="E14" s="35" t="s">
        <v>69</v>
      </c>
      <c r="F14" s="35" t="s">
        <v>69</v>
      </c>
      <c r="G14" s="31">
        <v>20</v>
      </c>
      <c r="H14" s="31">
        <v>0</v>
      </c>
      <c r="I14" s="33">
        <f t="shared" ref="I14:I28" si="0">IFERROR(H14/G14,0)</f>
        <v>0</v>
      </c>
      <c r="J14" s="31">
        <f>+H14+ENERO!J14</f>
        <v>0</v>
      </c>
      <c r="K14" s="33">
        <f t="shared" ref="K14:K28" si="1">IFERROR(J14/G14,0)</f>
        <v>0</v>
      </c>
    </row>
    <row r="15" spans="2:16" x14ac:dyDescent="0.3">
      <c r="B15" s="31">
        <v>3</v>
      </c>
      <c r="C15" s="31" t="s">
        <v>74</v>
      </c>
      <c r="D15" s="35" t="s">
        <v>42</v>
      </c>
      <c r="E15" s="35" t="s">
        <v>69</v>
      </c>
      <c r="F15" s="35" t="s">
        <v>69</v>
      </c>
      <c r="G15" s="31">
        <v>15</v>
      </c>
      <c r="H15" s="31">
        <v>0</v>
      </c>
      <c r="I15" s="33">
        <f t="shared" si="0"/>
        <v>0</v>
      </c>
      <c r="J15" s="31">
        <f>+H15+ENERO!J15</f>
        <v>0</v>
      </c>
      <c r="K15" s="33">
        <f t="shared" si="1"/>
        <v>0</v>
      </c>
    </row>
    <row r="16" spans="2:16" x14ac:dyDescent="0.3">
      <c r="B16" s="31">
        <v>3</v>
      </c>
      <c r="C16" s="31" t="s">
        <v>75</v>
      </c>
      <c r="D16" s="35" t="s">
        <v>45</v>
      </c>
      <c r="E16" s="35" t="s">
        <v>90</v>
      </c>
      <c r="F16" s="35" t="s">
        <v>89</v>
      </c>
      <c r="G16" s="31">
        <v>8</v>
      </c>
      <c r="H16" s="31">
        <v>2</v>
      </c>
      <c r="I16" s="33">
        <f t="shared" si="0"/>
        <v>0.25</v>
      </c>
      <c r="J16" s="31">
        <f>+H16+ENERO!J16</f>
        <v>2</v>
      </c>
      <c r="K16" s="33">
        <f t="shared" si="1"/>
        <v>0.25</v>
      </c>
    </row>
    <row r="17" spans="2:16" x14ac:dyDescent="0.3">
      <c r="B17" s="31">
        <v>3</v>
      </c>
      <c r="C17" s="31" t="s">
        <v>76</v>
      </c>
      <c r="D17" s="35" t="s">
        <v>46</v>
      </c>
      <c r="E17" s="35" t="s">
        <v>91</v>
      </c>
      <c r="F17" s="35" t="s">
        <v>92</v>
      </c>
      <c r="G17" s="31">
        <v>8</v>
      </c>
      <c r="H17" s="31">
        <v>3</v>
      </c>
      <c r="I17" s="33">
        <f t="shared" si="0"/>
        <v>0.375</v>
      </c>
      <c r="J17" s="31">
        <f>+H17+ENERO!J17</f>
        <v>3</v>
      </c>
      <c r="K17" s="33">
        <f t="shared" si="1"/>
        <v>0.375</v>
      </c>
    </row>
    <row r="18" spans="2:16" x14ac:dyDescent="0.3">
      <c r="B18" s="31">
        <v>3</v>
      </c>
      <c r="C18" s="31" t="s">
        <v>77</v>
      </c>
      <c r="D18" s="35" t="s">
        <v>47</v>
      </c>
      <c r="E18" s="35" t="s">
        <v>48</v>
      </c>
      <c r="F18" s="35" t="s">
        <v>49</v>
      </c>
      <c r="G18" s="31">
        <v>32</v>
      </c>
      <c r="H18" s="31">
        <v>4</v>
      </c>
      <c r="I18" s="33">
        <f t="shared" si="0"/>
        <v>0.125</v>
      </c>
      <c r="J18" s="31">
        <f>+H18+ENERO!J18</f>
        <v>8</v>
      </c>
      <c r="K18" s="33">
        <f t="shared" si="1"/>
        <v>0.25</v>
      </c>
    </row>
    <row r="19" spans="2:16" x14ac:dyDescent="0.3">
      <c r="B19" s="31">
        <v>3</v>
      </c>
      <c r="C19" s="31" t="s">
        <v>78</v>
      </c>
      <c r="D19" s="35" t="s">
        <v>50</v>
      </c>
      <c r="E19" s="35" t="s">
        <v>93</v>
      </c>
      <c r="F19" s="35" t="s">
        <v>94</v>
      </c>
      <c r="G19" s="31">
        <v>10</v>
      </c>
      <c r="H19" s="31">
        <v>4</v>
      </c>
      <c r="I19" s="33">
        <f t="shared" si="0"/>
        <v>0.4</v>
      </c>
      <c r="J19" s="31">
        <f>+H19+ENERO!J19</f>
        <v>4</v>
      </c>
      <c r="K19" s="33">
        <f t="shared" si="1"/>
        <v>0.4</v>
      </c>
    </row>
    <row r="20" spans="2:16" x14ac:dyDescent="0.3">
      <c r="B20" s="31">
        <v>3</v>
      </c>
      <c r="C20" s="31" t="s">
        <v>79</v>
      </c>
      <c r="D20" s="35" t="s">
        <v>51</v>
      </c>
      <c r="E20" s="35" t="s">
        <v>69</v>
      </c>
      <c r="F20" s="35" t="s">
        <v>69</v>
      </c>
      <c r="G20" s="31">
        <v>20</v>
      </c>
      <c r="H20" s="31">
        <v>0</v>
      </c>
      <c r="I20" s="33">
        <f t="shared" si="0"/>
        <v>0</v>
      </c>
      <c r="J20" s="31">
        <f>+H20+ENERO!J20</f>
        <v>6</v>
      </c>
      <c r="K20" s="33">
        <f t="shared" si="1"/>
        <v>0.3</v>
      </c>
    </row>
    <row r="21" spans="2:16" x14ac:dyDescent="0.3">
      <c r="B21" s="31">
        <v>3</v>
      </c>
      <c r="C21" s="31" t="s">
        <v>80</v>
      </c>
      <c r="D21" s="35" t="s">
        <v>54</v>
      </c>
      <c r="E21" s="35" t="s">
        <v>69</v>
      </c>
      <c r="F21" s="35" t="s">
        <v>69</v>
      </c>
      <c r="G21" s="31">
        <v>18</v>
      </c>
      <c r="H21" s="31">
        <v>0</v>
      </c>
      <c r="I21" s="33">
        <f t="shared" si="0"/>
        <v>0</v>
      </c>
      <c r="J21" s="31">
        <f>+H21+ENERO!J21</f>
        <v>6</v>
      </c>
      <c r="K21" s="33">
        <f t="shared" si="1"/>
        <v>0.33333333333333331</v>
      </c>
    </row>
    <row r="22" spans="2:16" x14ac:dyDescent="0.3">
      <c r="B22" s="31">
        <v>3</v>
      </c>
      <c r="C22" s="31" t="s">
        <v>81</v>
      </c>
      <c r="D22" s="35" t="s">
        <v>57</v>
      </c>
      <c r="E22" s="35" t="s">
        <v>69</v>
      </c>
      <c r="F22" s="35" t="s">
        <v>69</v>
      </c>
      <c r="G22" s="31">
        <v>10</v>
      </c>
      <c r="H22" s="31">
        <v>0</v>
      </c>
      <c r="I22" s="33">
        <f t="shared" si="0"/>
        <v>0</v>
      </c>
      <c r="J22" s="31">
        <f>+H22+ENERO!J22</f>
        <v>2</v>
      </c>
      <c r="K22" s="33">
        <f t="shared" si="1"/>
        <v>0.2</v>
      </c>
    </row>
    <row r="23" spans="2:16" x14ac:dyDescent="0.3">
      <c r="B23" s="31">
        <v>5</v>
      </c>
      <c r="C23" s="31" t="s">
        <v>82</v>
      </c>
      <c r="D23" s="35" t="s">
        <v>59</v>
      </c>
      <c r="E23" s="35" t="s">
        <v>95</v>
      </c>
      <c r="F23" s="35" t="s">
        <v>96</v>
      </c>
      <c r="G23" s="31">
        <v>10</v>
      </c>
      <c r="H23" s="31">
        <v>2</v>
      </c>
      <c r="I23" s="33">
        <f t="shared" si="0"/>
        <v>0.2</v>
      </c>
      <c r="J23" s="31">
        <f>+H23+ENERO!J23</f>
        <v>2</v>
      </c>
      <c r="K23" s="33">
        <f t="shared" si="1"/>
        <v>0.2</v>
      </c>
    </row>
    <row r="24" spans="2:16" x14ac:dyDescent="0.3">
      <c r="B24" s="31">
        <v>5</v>
      </c>
      <c r="C24" s="31" t="s">
        <v>83</v>
      </c>
      <c r="D24" s="35" t="s">
        <v>60</v>
      </c>
      <c r="E24" s="35" t="s">
        <v>97</v>
      </c>
      <c r="F24" s="35" t="s">
        <v>98</v>
      </c>
      <c r="G24" s="31">
        <v>10</v>
      </c>
      <c r="H24" s="31">
        <v>3</v>
      </c>
      <c r="I24" s="33">
        <f t="shared" si="0"/>
        <v>0.3</v>
      </c>
      <c r="J24" s="31">
        <f>+H24+ENERO!J24</f>
        <v>5</v>
      </c>
      <c r="K24" s="33">
        <f t="shared" si="1"/>
        <v>0.5</v>
      </c>
    </row>
    <row r="25" spans="2:16" x14ac:dyDescent="0.3">
      <c r="B25" s="31">
        <v>5</v>
      </c>
      <c r="C25" s="31" t="s">
        <v>84</v>
      </c>
      <c r="D25" s="35" t="s">
        <v>63</v>
      </c>
      <c r="E25" s="35" t="s">
        <v>99</v>
      </c>
      <c r="F25" s="35" t="s">
        <v>100</v>
      </c>
      <c r="G25" s="31">
        <v>10</v>
      </c>
      <c r="H25" s="31">
        <v>3</v>
      </c>
      <c r="I25" s="33">
        <f t="shared" si="0"/>
        <v>0.3</v>
      </c>
      <c r="J25" s="31">
        <f>+H25+ENERO!J25</f>
        <v>3</v>
      </c>
      <c r="K25" s="33">
        <f t="shared" si="1"/>
        <v>0.3</v>
      </c>
    </row>
    <row r="26" spans="2:16" x14ac:dyDescent="0.3">
      <c r="B26" s="31">
        <v>5</v>
      </c>
      <c r="C26" s="31" t="s">
        <v>85</v>
      </c>
      <c r="D26" s="35" t="s">
        <v>64</v>
      </c>
      <c r="E26" s="35" t="s">
        <v>69</v>
      </c>
      <c r="F26" s="35" t="s">
        <v>69</v>
      </c>
      <c r="G26" s="31">
        <v>10</v>
      </c>
      <c r="H26" s="31">
        <v>0</v>
      </c>
      <c r="I26" s="33">
        <f t="shared" si="0"/>
        <v>0</v>
      </c>
      <c r="J26" s="31">
        <f>+H26+ENERO!J26</f>
        <v>3</v>
      </c>
      <c r="K26" s="33">
        <f t="shared" si="1"/>
        <v>0.3</v>
      </c>
    </row>
    <row r="27" spans="2:16" x14ac:dyDescent="0.3">
      <c r="B27" s="31">
        <v>5</v>
      </c>
      <c r="C27" s="31" t="s">
        <v>86</v>
      </c>
      <c r="D27" s="35" t="s">
        <v>67</v>
      </c>
      <c r="E27" s="35" t="s">
        <v>101</v>
      </c>
      <c r="F27" s="35" t="s">
        <v>102</v>
      </c>
      <c r="G27" s="31">
        <v>10</v>
      </c>
      <c r="H27" s="31">
        <v>2</v>
      </c>
      <c r="I27" s="33">
        <f t="shared" si="0"/>
        <v>0.2</v>
      </c>
      <c r="J27" s="31">
        <f>+H27+ENERO!J27</f>
        <v>2</v>
      </c>
      <c r="K27" s="33">
        <f t="shared" si="1"/>
        <v>0.2</v>
      </c>
    </row>
    <row r="28" spans="2:16" x14ac:dyDescent="0.3">
      <c r="B28" s="32">
        <v>5</v>
      </c>
      <c r="C28" s="32" t="s">
        <v>87</v>
      </c>
      <c r="D28" s="36" t="s">
        <v>68</v>
      </c>
      <c r="E28" s="36" t="s">
        <v>103</v>
      </c>
      <c r="F28" s="36" t="s">
        <v>104</v>
      </c>
      <c r="G28" s="32">
        <v>10</v>
      </c>
      <c r="H28" s="32">
        <v>3</v>
      </c>
      <c r="I28" s="34">
        <f t="shared" si="0"/>
        <v>0.3</v>
      </c>
      <c r="J28" s="32">
        <f>+H28+ENERO!J28</f>
        <v>3</v>
      </c>
      <c r="K28" s="34">
        <f t="shared" si="1"/>
        <v>0.3</v>
      </c>
    </row>
    <row r="29" spans="2:16" x14ac:dyDescent="0.3">
      <c r="B29" s="7"/>
      <c r="C29" s="7"/>
      <c r="D29" s="7"/>
      <c r="E29" s="7"/>
      <c r="F29" s="14"/>
      <c r="G29" s="43" t="str">
        <f>+CONCATENATE("TOTAL A ",D7)</f>
        <v>TOTAL A FEBRERO</v>
      </c>
      <c r="H29" s="43"/>
      <c r="I29" s="43"/>
      <c r="J29" s="43" t="s">
        <v>32</v>
      </c>
      <c r="K29" s="43"/>
    </row>
    <row r="30" spans="2:16" s="9" customFormat="1" ht="16.5" customHeight="1" x14ac:dyDescent="0.3">
      <c r="B30" s="7"/>
      <c r="C30" s="7"/>
      <c r="G30" s="20">
        <f>+SUM(G13:G28)</f>
        <v>233</v>
      </c>
      <c r="H30" s="20">
        <f>+SUM(H13:H28)</f>
        <v>30</v>
      </c>
      <c r="I30" s="21">
        <f>IFERROR(H30/G30,0)</f>
        <v>0.12875536480686695</v>
      </c>
      <c r="J30" s="22">
        <f>+SUM(J13:J28)</f>
        <v>53</v>
      </c>
      <c r="K30" s="21">
        <f>IFERROR(J30/G30,0)</f>
        <v>0.22746781115879827</v>
      </c>
      <c r="N30"/>
      <c r="P30"/>
    </row>
    <row r="32" spans="2:16" ht="198.6" customHeight="1" x14ac:dyDescent="0.3">
      <c r="B32" s="42" t="s">
        <v>33</v>
      </c>
      <c r="C32" s="42"/>
      <c r="D32" s="47" t="s">
        <v>105</v>
      </c>
      <c r="E32" s="48"/>
      <c r="F32" s="48"/>
      <c r="G32" s="48"/>
      <c r="H32" s="48"/>
      <c r="I32" s="48"/>
      <c r="J32" s="48"/>
      <c r="K32" s="48"/>
    </row>
    <row r="33" spans="1:11" customFormat="1" ht="14.4" customHeight="1" x14ac:dyDescent="0.3">
      <c r="A33" s="28"/>
      <c r="B33" s="49" t="s">
        <v>35</v>
      </c>
      <c r="C33" s="50"/>
      <c r="D33" s="50"/>
      <c r="E33" s="50"/>
      <c r="F33" s="50"/>
      <c r="G33" s="50"/>
      <c r="H33" s="50"/>
      <c r="I33" s="50"/>
      <c r="J33" s="50"/>
      <c r="K33" s="51"/>
    </row>
    <row r="34" spans="1:11" customFormat="1" ht="19.95" customHeight="1" x14ac:dyDescent="0.3">
      <c r="A34" s="2"/>
      <c r="B34" s="52"/>
      <c r="C34" s="53"/>
      <c r="D34" s="53"/>
      <c r="E34" s="53"/>
      <c r="F34" s="53"/>
      <c r="G34" s="53"/>
      <c r="H34" s="53"/>
      <c r="I34" s="53"/>
      <c r="J34" s="53"/>
      <c r="K34" s="54"/>
    </row>
    <row r="35" spans="1:11" ht="19.350000000000001" customHeight="1" x14ac:dyDescent="0.3">
      <c r="B35" s="23" t="s">
        <v>36</v>
      </c>
      <c r="C35" s="24"/>
      <c r="D35" s="24"/>
      <c r="E35" s="24"/>
      <c r="F35" s="24"/>
      <c r="G35" s="24"/>
      <c r="H35" s="24"/>
      <c r="I35" s="24"/>
      <c r="J35" s="24"/>
      <c r="K35" s="25"/>
    </row>
    <row r="36" spans="1:11" ht="20.100000000000001" customHeight="1" x14ac:dyDescent="0.4">
      <c r="B36" s="26" t="s">
        <v>37</v>
      </c>
      <c r="C36" s="27"/>
      <c r="D36" s="55" t="s">
        <v>34</v>
      </c>
      <c r="E36" s="55"/>
      <c r="F36" s="55"/>
      <c r="G36" s="55"/>
      <c r="H36" s="55"/>
      <c r="I36" s="55"/>
      <c r="J36" s="55"/>
      <c r="K36" s="55"/>
    </row>
    <row r="37" spans="1:11" ht="20.100000000000001" customHeight="1" x14ac:dyDescent="0.4">
      <c r="B37" s="26" t="s">
        <v>38</v>
      </c>
      <c r="C37" s="27"/>
      <c r="D37" s="55"/>
      <c r="E37" s="55"/>
      <c r="F37" s="55"/>
      <c r="G37" s="55"/>
      <c r="H37" s="55"/>
      <c r="I37" s="55"/>
      <c r="J37" s="55"/>
      <c r="K37" s="55"/>
    </row>
    <row r="38" spans="1:11" x14ac:dyDescent="0.3">
      <c r="B38" s="56" t="s">
        <v>35</v>
      </c>
      <c r="C38" s="56"/>
      <c r="D38" s="56"/>
      <c r="E38" s="56"/>
      <c r="F38" s="56"/>
      <c r="G38" s="56"/>
      <c r="H38" s="56"/>
      <c r="I38" s="56"/>
      <c r="J38" s="56"/>
      <c r="K38" s="56"/>
    </row>
    <row r="39" spans="1:11" ht="15" customHeight="1" x14ac:dyDescent="0.3">
      <c r="B39" s="56"/>
      <c r="C39" s="56"/>
      <c r="D39" s="56"/>
      <c r="E39" s="56"/>
      <c r="F39" s="56"/>
      <c r="G39" s="56"/>
      <c r="H39" s="56"/>
      <c r="I39" s="56"/>
      <c r="J39" s="56"/>
      <c r="K39" s="56"/>
    </row>
    <row r="40" spans="1:11" x14ac:dyDescent="0.3">
      <c r="B40" s="23" t="s">
        <v>39</v>
      </c>
      <c r="C40" s="24"/>
      <c r="D40" s="24"/>
      <c r="E40" s="24"/>
      <c r="F40" s="24"/>
      <c r="G40" s="24"/>
      <c r="H40" s="24"/>
      <c r="I40" s="24"/>
      <c r="J40" s="24"/>
      <c r="K40" s="25"/>
    </row>
    <row r="41" spans="1:11" ht="20.100000000000001" customHeight="1" x14ac:dyDescent="0.4">
      <c r="B41" s="26" t="s">
        <v>37</v>
      </c>
      <c r="C41" s="27"/>
      <c r="D41" s="55" t="s">
        <v>34</v>
      </c>
      <c r="E41" s="55"/>
      <c r="F41" s="55"/>
      <c r="G41" s="55"/>
      <c r="H41" s="55"/>
      <c r="I41" s="55"/>
      <c r="J41" s="55"/>
      <c r="K41" s="55"/>
    </row>
    <row r="42" spans="1:11" ht="20.100000000000001" customHeight="1" x14ac:dyDescent="0.4">
      <c r="B42" s="26" t="s">
        <v>38</v>
      </c>
      <c r="C42" s="27"/>
      <c r="D42" s="55"/>
      <c r="E42" s="55"/>
      <c r="F42" s="55"/>
      <c r="G42" s="55"/>
      <c r="H42" s="55"/>
      <c r="I42" s="55"/>
      <c r="J42" s="55"/>
      <c r="K42" s="55"/>
    </row>
    <row r="45" spans="1:11" ht="19.5" customHeight="1" x14ac:dyDescent="0.3">
      <c r="B45" s="44"/>
      <c r="C45" s="44"/>
      <c r="D45" s="44"/>
      <c r="G45" s="44"/>
      <c r="H45" s="44"/>
      <c r="I45" s="44"/>
      <c r="J45" s="44"/>
    </row>
    <row r="46" spans="1:11" ht="23.85" customHeight="1" x14ac:dyDescent="0.3">
      <c r="B46" s="7" t="s">
        <v>40</v>
      </c>
      <c r="C46" s="45"/>
      <c r="D46" s="45"/>
      <c r="G46" s="7" t="s">
        <v>41</v>
      </c>
      <c r="H46" s="46" t="s">
        <v>71</v>
      </c>
      <c r="I46" s="46"/>
      <c r="J46" s="46"/>
    </row>
    <row r="78" spans="1:17" s="1" customFormat="1" hidden="1" x14ac:dyDescent="0.3">
      <c r="A78" t="s">
        <v>0</v>
      </c>
      <c r="B78" s="2"/>
      <c r="L78" s="2"/>
      <c r="M78" s="2"/>
      <c r="N78"/>
      <c r="O78" s="2"/>
      <c r="P78"/>
      <c r="Q78" s="2"/>
    </row>
    <row r="79" spans="1:17" s="1" customFormat="1" hidden="1" x14ac:dyDescent="0.3">
      <c r="A79" t="s">
        <v>2</v>
      </c>
      <c r="B79" s="2"/>
      <c r="L79" s="2"/>
      <c r="M79" s="2"/>
      <c r="N79"/>
      <c r="O79" s="2"/>
      <c r="P79"/>
      <c r="Q79" s="2"/>
    </row>
    <row r="80" spans="1:17" s="1" customFormat="1" hidden="1" x14ac:dyDescent="0.3">
      <c r="A80" t="s">
        <v>6</v>
      </c>
      <c r="B80" s="2"/>
      <c r="L80" s="2"/>
      <c r="M80" s="2"/>
      <c r="N80"/>
      <c r="O80" s="2"/>
      <c r="P80"/>
      <c r="Q80" s="2"/>
    </row>
    <row r="81" spans="1:17" s="1" customFormat="1" hidden="1" x14ac:dyDescent="0.3">
      <c r="A81" t="s">
        <v>8</v>
      </c>
      <c r="B81" s="9"/>
      <c r="L81" s="2"/>
      <c r="M81" s="2"/>
      <c r="N81"/>
      <c r="O81" s="2"/>
      <c r="P81"/>
      <c r="Q81" s="2"/>
    </row>
    <row r="82" spans="1:17" s="1" customFormat="1" hidden="1" x14ac:dyDescent="0.3">
      <c r="A82" t="s">
        <v>9</v>
      </c>
      <c r="B82" s="2"/>
      <c r="L82" s="2"/>
      <c r="M82" s="2"/>
      <c r="N82"/>
      <c r="O82" s="2"/>
      <c r="P82"/>
      <c r="Q82" s="2"/>
    </row>
    <row r="83" spans="1:17" s="1" customFormat="1" hidden="1" x14ac:dyDescent="0.3">
      <c r="A83" t="s">
        <v>10</v>
      </c>
      <c r="B83" s="9"/>
      <c r="L83" s="2"/>
      <c r="M83" s="2"/>
      <c r="N83"/>
      <c r="O83" s="2"/>
      <c r="P83"/>
      <c r="Q83" s="2"/>
    </row>
    <row r="84" spans="1:17" s="1" customFormat="1" hidden="1" x14ac:dyDescent="0.3">
      <c r="A84" t="s">
        <v>11</v>
      </c>
      <c r="B84" s="9"/>
      <c r="L84" s="2"/>
      <c r="M84" s="2"/>
      <c r="N84"/>
      <c r="O84" s="2"/>
      <c r="P84"/>
      <c r="Q84" s="2"/>
    </row>
    <row r="85" spans="1:17" s="1" customFormat="1" hidden="1" x14ac:dyDescent="0.3">
      <c r="A85" t="s">
        <v>13</v>
      </c>
      <c r="B85" s="9"/>
      <c r="L85" s="2"/>
      <c r="M85" s="2"/>
      <c r="N85"/>
      <c r="O85" s="2"/>
      <c r="P85"/>
      <c r="Q85" s="2"/>
    </row>
    <row r="86" spans="1:17" s="1" customFormat="1" hidden="1" x14ac:dyDescent="0.3">
      <c r="A86" t="s">
        <v>14</v>
      </c>
      <c r="B86" s="9"/>
      <c r="L86" s="2"/>
      <c r="M86" s="2"/>
      <c r="N86"/>
      <c r="O86" s="2"/>
      <c r="P86"/>
      <c r="Q86" s="2"/>
    </row>
    <row r="87" spans="1:17" s="1" customFormat="1" hidden="1" x14ac:dyDescent="0.3">
      <c r="A87" t="s">
        <v>16</v>
      </c>
      <c r="B87" s="9"/>
      <c r="L87" s="2"/>
      <c r="M87" s="2"/>
      <c r="N87"/>
      <c r="O87" s="2"/>
      <c r="P87"/>
      <c r="Q87" s="2"/>
    </row>
    <row r="88" spans="1:17" s="1" customFormat="1" hidden="1" x14ac:dyDescent="0.3">
      <c r="A88" t="s">
        <v>17</v>
      </c>
      <c r="B88" s="2"/>
      <c r="L88" s="2"/>
      <c r="M88" s="2"/>
      <c r="N88"/>
      <c r="O88" s="2"/>
      <c r="P88"/>
      <c r="Q88" s="2"/>
    </row>
    <row r="89" spans="1:17" s="1" customFormat="1" hidden="1" x14ac:dyDescent="0.3">
      <c r="A89" t="s">
        <v>21</v>
      </c>
      <c r="B89" s="2"/>
      <c r="L89" s="2"/>
      <c r="M89" s="2"/>
      <c r="N89"/>
      <c r="O89" s="2"/>
      <c r="P89"/>
      <c r="Q89" s="2"/>
    </row>
    <row r="90" spans="1:17" s="1" customFormat="1" hidden="1" x14ac:dyDescent="0.3">
      <c r="A90" t="s">
        <v>31</v>
      </c>
      <c r="B90" s="2"/>
      <c r="L90" s="2"/>
      <c r="M90" s="2"/>
      <c r="N90"/>
      <c r="O90" s="2"/>
      <c r="P90"/>
      <c r="Q90" s="2"/>
    </row>
  </sheetData>
  <sheetProtection formatCells="0" formatColumns="0" formatRows="0" insertColumns="0" insertRows="0" insertHyperlinks="0" deleteColumns="0" deleteRows="0" sort="0" autoFilter="0" pivotTables="0"/>
  <mergeCells count="22">
    <mergeCell ref="B45:D45"/>
    <mergeCell ref="G45:J45"/>
    <mergeCell ref="C46:D46"/>
    <mergeCell ref="H46:J46"/>
    <mergeCell ref="B32:C32"/>
    <mergeCell ref="D32:K32"/>
    <mergeCell ref="B33:K34"/>
    <mergeCell ref="D36:K37"/>
    <mergeCell ref="B38:K39"/>
    <mergeCell ref="D41:K42"/>
    <mergeCell ref="B9:C9"/>
    <mergeCell ref="B11:G11"/>
    <mergeCell ref="H11:I11"/>
    <mergeCell ref="J11:K11"/>
    <mergeCell ref="G29:I29"/>
    <mergeCell ref="J29:K29"/>
    <mergeCell ref="B7:C7"/>
    <mergeCell ref="B2:K2"/>
    <mergeCell ref="B3:D3"/>
    <mergeCell ref="E3:H3"/>
    <mergeCell ref="I3:K3"/>
    <mergeCell ref="B5:C5"/>
  </mergeCells>
  <conditionalFormatting sqref="G30">
    <cfRule type="cellIs" dxfId="0" priority="1" operator="greaterThan">
      <formula>350</formula>
    </cfRule>
  </conditionalFormatting>
  <dataValidations count="4">
    <dataValidation type="list" allowBlank="1" showInputMessage="1" showErrorMessage="1" sqref="D7" xr:uid="{00000000-0002-0000-0100-000000000000}">
      <formula1>$A$79:$A$90</formula1>
    </dataValidation>
    <dataValidation type="list" allowBlank="1" showInputMessage="1" showErrorMessage="1" sqref="E7:F8 D8" xr:uid="{00000000-0002-0000-0100-000001000000}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30 G13:G28" xr:uid="{00000000-0002-0000-0100-000002000000}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3:H28" xr:uid="{00000000-0002-0000-0100-000003000000}">
      <formula1>0</formula1>
      <formula2>30</formula2>
    </dataValidation>
  </dataValidations>
  <pageMargins left="0.7" right="0.7" top="0.75" bottom="0.75" header="0.3" footer="0.3"/>
  <pageSetup scale="3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ENERO</vt:lpstr>
      <vt:lpstr>FEBRERO</vt:lpstr>
      <vt:lpstr>ENERO!Área_de_impresión</vt:lpstr>
      <vt:lpstr>FEBRERO!Área_de_impresión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0873</dc:creator>
  <cp:lastModifiedBy>Petroservicios Ocho</cp:lastModifiedBy>
  <dcterms:created xsi:type="dcterms:W3CDTF">2024-01-10T22:00:55Z</dcterms:created>
  <dcterms:modified xsi:type="dcterms:W3CDTF">2026-03-03T22:44:39Z</dcterms:modified>
</cp:coreProperties>
</file>