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A:\10_PROYECTOS\3_CONTRATOS\ECOPETROL 3037132\Documentos_a_envíar_por_ODS\2026\"/>
    </mc:Choice>
  </mc:AlternateContent>
  <bookViews>
    <workbookView xWindow="0" yWindow="0" windowWidth="20400" windowHeight="7830"/>
  </bookViews>
  <sheets>
    <sheet name="ENERO" sheetId="1" r:id="rId1"/>
    <sheet name="FEBRERO" sheetId="2" r:id="rId2"/>
    <sheet name="MARZO" sheetId="13" r:id="rId3"/>
    <sheet name="ABRIL" sheetId="14" r:id="rId4"/>
    <sheet name="MAYO" sheetId="15" r:id="rId5"/>
    <sheet name="JUNIO" sheetId="16" r:id="rId6"/>
    <sheet name="JULIO" sheetId="17" r:id="rId7"/>
    <sheet name="AGOSTO" sheetId="18" r:id="rId8"/>
    <sheet name="SEPTIEMBRE" sheetId="19" r:id="rId9"/>
    <sheet name="OCTUBRE" sheetId="20" r:id="rId10"/>
    <sheet name="NOVIEMBRE" sheetId="21" r:id="rId11"/>
    <sheet name="DICIEMBRE" sheetId="22" r:id="rId12"/>
  </sheets>
  <definedNames>
    <definedName name="_xlnm.Print_Area" localSheetId="3">ABRIL!$A$1:$L$51</definedName>
    <definedName name="_xlnm.Print_Area" localSheetId="7">AGOSTO!$A$1:$L$51</definedName>
    <definedName name="_xlnm.Print_Area" localSheetId="11">DICIEMBRE!$A$1:$L$51</definedName>
    <definedName name="_xlnm.Print_Area" localSheetId="0">ENERO!$A$1:$L$51</definedName>
    <definedName name="_xlnm.Print_Area" localSheetId="1">FEBRERO!$A$1:$L$51</definedName>
    <definedName name="_xlnm.Print_Area" localSheetId="6">JULIO!$A$1:$L$51</definedName>
    <definedName name="_xlnm.Print_Area" localSheetId="5">JUNIO!$A$1:$L$51</definedName>
    <definedName name="_xlnm.Print_Area" localSheetId="2">MARZO!$A$1:$L$51</definedName>
    <definedName name="_xlnm.Print_Area" localSheetId="4">MAYO!$A$1:$L$51</definedName>
    <definedName name="_xlnm.Print_Area" localSheetId="10">NOVIEMBRE!$A$1:$L$51</definedName>
    <definedName name="_xlnm.Print_Area" localSheetId="9">OCTUBRE!$A$1:$L$51</definedName>
    <definedName name="_xlnm.Print_Area" localSheetId="8">SEPTIEMBRE!$A$1:$L$51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3" i="22" l="1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33" i="18"/>
  <c r="G32" i="18"/>
  <c r="G31" i="18"/>
  <c r="G30" i="18"/>
  <c r="G29" i="18"/>
  <c r="G28" i="18"/>
  <c r="G27" i="18"/>
  <c r="G26" i="18"/>
  <c r="G25" i="18"/>
  <c r="G24" i="18"/>
  <c r="G23" i="18"/>
  <c r="G22" i="18"/>
  <c r="G21" i="18"/>
  <c r="G20" i="18"/>
  <c r="G19" i="18"/>
  <c r="G18" i="18"/>
  <c r="G17" i="18"/>
  <c r="G16" i="18"/>
  <c r="G15" i="18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35" i="22" l="1"/>
  <c r="G35" i="21"/>
  <c r="G35" i="20"/>
  <c r="G35" i="19"/>
  <c r="G35" i="18"/>
  <c r="G35" i="17"/>
  <c r="G35" i="16"/>
  <c r="G35" i="15"/>
  <c r="G35" i="14"/>
  <c r="G35" i="13"/>
  <c r="G35" i="2"/>
  <c r="G35" i="1"/>
  <c r="H35" i="1" l="1"/>
  <c r="H35" i="20"/>
  <c r="H35" i="19"/>
  <c r="H35" i="16"/>
  <c r="H35" i="18"/>
  <c r="H35" i="17"/>
  <c r="J26" i="14"/>
  <c r="I23" i="22"/>
  <c r="I24" i="22"/>
  <c r="I22" i="22"/>
  <c r="I21" i="22"/>
  <c r="I20" i="22"/>
  <c r="I19" i="22"/>
  <c r="I18" i="22"/>
  <c r="I17" i="22"/>
  <c r="I16" i="22"/>
  <c r="H35" i="22"/>
  <c r="I21" i="21"/>
  <c r="I24" i="21"/>
  <c r="I23" i="21"/>
  <c r="I22" i="21"/>
  <c r="I20" i="21"/>
  <c r="I19" i="21"/>
  <c r="I18" i="21"/>
  <c r="I17" i="21"/>
  <c r="I16" i="21"/>
  <c r="H35" i="21"/>
  <c r="I26" i="20"/>
  <c r="I23" i="20"/>
  <c r="I22" i="20"/>
  <c r="I21" i="20"/>
  <c r="I20" i="20"/>
  <c r="I19" i="20"/>
  <c r="I18" i="20"/>
  <c r="I17" i="20"/>
  <c r="I16" i="20"/>
  <c r="I26" i="19"/>
  <c r="I23" i="19"/>
  <c r="I22" i="19"/>
  <c r="I21" i="19"/>
  <c r="I20" i="19"/>
  <c r="I19" i="19"/>
  <c r="I18" i="19"/>
  <c r="I17" i="19"/>
  <c r="I16" i="19"/>
  <c r="I26" i="18"/>
  <c r="I23" i="18"/>
  <c r="I22" i="18"/>
  <c r="I21" i="18"/>
  <c r="I20" i="18"/>
  <c r="I19" i="18"/>
  <c r="I18" i="18"/>
  <c r="I17" i="18"/>
  <c r="I16" i="18"/>
  <c r="I27" i="17"/>
  <c r="I23" i="17"/>
  <c r="I22" i="17"/>
  <c r="I21" i="17"/>
  <c r="I20" i="17"/>
  <c r="I19" i="17"/>
  <c r="I18" i="17"/>
  <c r="I17" i="17"/>
  <c r="I16" i="17"/>
  <c r="I26" i="16"/>
  <c r="I23" i="16"/>
  <c r="I22" i="16"/>
  <c r="I21" i="16"/>
  <c r="I20" i="16"/>
  <c r="I19" i="16"/>
  <c r="I18" i="16"/>
  <c r="I17" i="16"/>
  <c r="I16" i="16"/>
  <c r="J28" i="13"/>
  <c r="J28" i="14" s="1"/>
  <c r="J27" i="13"/>
  <c r="J27" i="14" s="1"/>
  <c r="J26" i="13"/>
  <c r="J33" i="2"/>
  <c r="J33" i="13" s="1"/>
  <c r="J33" i="14" s="1"/>
  <c r="J32" i="2"/>
  <c r="J32" i="13" s="1"/>
  <c r="J32" i="14" s="1"/>
  <c r="J31" i="2"/>
  <c r="J31" i="13" s="1"/>
  <c r="J31" i="14" s="1"/>
  <c r="J30" i="2"/>
  <c r="J30" i="13" s="1"/>
  <c r="J30" i="14" s="1"/>
  <c r="J29" i="2"/>
  <c r="J29" i="13" s="1"/>
  <c r="J29" i="14" s="1"/>
  <c r="J28" i="2"/>
  <c r="J27" i="2"/>
  <c r="J26" i="2"/>
  <c r="J25" i="2"/>
  <c r="J25" i="13" s="1"/>
  <c r="J25" i="14" s="1"/>
  <c r="J24" i="2"/>
  <c r="J24" i="13" s="1"/>
  <c r="J24" i="14" s="1"/>
  <c r="J23" i="2"/>
  <c r="J23" i="13" s="1"/>
  <c r="J23" i="14" s="1"/>
  <c r="J22" i="2"/>
  <c r="J22" i="13" s="1"/>
  <c r="J22" i="14" s="1"/>
  <c r="J21" i="2"/>
  <c r="K21" i="2" s="1"/>
  <c r="J20" i="2"/>
  <c r="J20" i="13" s="1"/>
  <c r="J20" i="14" s="1"/>
  <c r="J19" i="2"/>
  <c r="K19" i="2" s="1"/>
  <c r="J18" i="2"/>
  <c r="J17" i="2"/>
  <c r="J17" i="13" s="1"/>
  <c r="J17" i="14" s="1"/>
  <c r="J16" i="2"/>
  <c r="K16" i="2" s="1"/>
  <c r="J15" i="2"/>
  <c r="H35" i="15"/>
  <c r="I26" i="15"/>
  <c r="I25" i="15"/>
  <c r="I24" i="15"/>
  <c r="I23" i="15"/>
  <c r="I22" i="15"/>
  <c r="I21" i="15"/>
  <c r="I20" i="15"/>
  <c r="I19" i="15"/>
  <c r="I18" i="15"/>
  <c r="I17" i="15"/>
  <c r="I16" i="15"/>
  <c r="H35" i="14"/>
  <c r="I26" i="14"/>
  <c r="I25" i="14"/>
  <c r="I24" i="14"/>
  <c r="I23" i="14"/>
  <c r="I22" i="14"/>
  <c r="I21" i="14"/>
  <c r="I20" i="14"/>
  <c r="I19" i="14"/>
  <c r="I18" i="14"/>
  <c r="I17" i="14"/>
  <c r="I16" i="14"/>
  <c r="H35" i="2"/>
  <c r="H35" i="13"/>
  <c r="I25" i="13"/>
  <c r="I24" i="13"/>
  <c r="I23" i="13"/>
  <c r="I26" i="13"/>
  <c r="I22" i="13"/>
  <c r="I21" i="13"/>
  <c r="I20" i="13"/>
  <c r="I19" i="13"/>
  <c r="I18" i="13"/>
  <c r="I17" i="13"/>
  <c r="I16" i="13"/>
  <c r="I25" i="2"/>
  <c r="K24" i="2"/>
  <c r="I24" i="2"/>
  <c r="K23" i="2"/>
  <c r="I23" i="2"/>
  <c r="I22" i="2"/>
  <c r="I21" i="2"/>
  <c r="I20" i="2"/>
  <c r="I19" i="2"/>
  <c r="I18" i="2"/>
  <c r="I17" i="2"/>
  <c r="I16" i="2"/>
  <c r="J35" i="1"/>
  <c r="J23" i="1"/>
  <c r="K23" i="1" s="1"/>
  <c r="I23" i="1"/>
  <c r="K22" i="1"/>
  <c r="J22" i="1"/>
  <c r="I22" i="1"/>
  <c r="K21" i="1"/>
  <c r="J21" i="1"/>
  <c r="I21" i="1"/>
  <c r="K20" i="1"/>
  <c r="J20" i="1"/>
  <c r="I20" i="1"/>
  <c r="J19" i="1"/>
  <c r="K19" i="1" s="1"/>
  <c r="I19" i="1"/>
  <c r="J18" i="1"/>
  <c r="K18" i="1" s="1"/>
  <c r="I18" i="1"/>
  <c r="J17" i="1"/>
  <c r="K17" i="1" s="1"/>
  <c r="I17" i="1"/>
  <c r="J16" i="1"/>
  <c r="K16" i="1" s="1"/>
  <c r="I16" i="1"/>
  <c r="J15" i="1"/>
  <c r="K15" i="1" s="1"/>
  <c r="I15" i="1"/>
  <c r="J16" i="13" l="1"/>
  <c r="J16" i="14" s="1"/>
  <c r="J18" i="13"/>
  <c r="J18" i="14" s="1"/>
  <c r="J19" i="13"/>
  <c r="J19" i="14" s="1"/>
  <c r="J21" i="13"/>
  <c r="J21" i="14" s="1"/>
  <c r="K21" i="13"/>
  <c r="K18" i="13"/>
  <c r="K22" i="13"/>
  <c r="K17" i="13"/>
  <c r="K24" i="13"/>
  <c r="K18" i="2"/>
  <c r="K23" i="13"/>
  <c r="K20" i="14"/>
  <c r="K19" i="13"/>
  <c r="K16" i="14"/>
  <c r="J35" i="2"/>
  <c r="K22" i="2"/>
  <c r="K22" i="14"/>
  <c r="J22" i="15"/>
  <c r="J22" i="16" s="1"/>
  <c r="J22" i="17" s="1"/>
  <c r="J22" i="18" s="1"/>
  <c r="J22" i="19" s="1"/>
  <c r="J22" i="20" s="1"/>
  <c r="J22" i="21" s="1"/>
  <c r="J22" i="22" s="1"/>
  <c r="K26" i="13"/>
  <c r="K20" i="2"/>
  <c r="K25" i="2"/>
  <c r="K25" i="13"/>
  <c r="K17" i="2"/>
  <c r="I35" i="22"/>
  <c r="G34" i="22"/>
  <c r="I33" i="22"/>
  <c r="I32" i="22"/>
  <c r="I31" i="22"/>
  <c r="I30" i="22"/>
  <c r="I29" i="22"/>
  <c r="I28" i="22"/>
  <c r="I27" i="22"/>
  <c r="I26" i="22"/>
  <c r="I25" i="22"/>
  <c r="I15" i="22"/>
  <c r="I35" i="21"/>
  <c r="G34" i="21"/>
  <c r="I33" i="21"/>
  <c r="I32" i="21"/>
  <c r="I31" i="21"/>
  <c r="I30" i="21"/>
  <c r="I29" i="21"/>
  <c r="I28" i="21"/>
  <c r="I27" i="21"/>
  <c r="I26" i="21"/>
  <c r="I25" i="21"/>
  <c r="I15" i="21"/>
  <c r="I35" i="20"/>
  <c r="G34" i="20"/>
  <c r="I33" i="20"/>
  <c r="I32" i="20"/>
  <c r="I31" i="20"/>
  <c r="I30" i="20"/>
  <c r="I29" i="20"/>
  <c r="I28" i="20"/>
  <c r="I27" i="20"/>
  <c r="I25" i="20"/>
  <c r="I24" i="20"/>
  <c r="I15" i="20"/>
  <c r="I35" i="19"/>
  <c r="G34" i="19"/>
  <c r="I33" i="19"/>
  <c r="I32" i="19"/>
  <c r="I31" i="19"/>
  <c r="I30" i="19"/>
  <c r="I29" i="19"/>
  <c r="I28" i="19"/>
  <c r="I27" i="19"/>
  <c r="I25" i="19"/>
  <c r="I24" i="19"/>
  <c r="I15" i="19"/>
  <c r="G34" i="18"/>
  <c r="I33" i="18"/>
  <c r="I32" i="18"/>
  <c r="I31" i="18"/>
  <c r="I30" i="18"/>
  <c r="I29" i="18"/>
  <c r="I28" i="18"/>
  <c r="I27" i="18"/>
  <c r="I25" i="18"/>
  <c r="I24" i="18"/>
  <c r="I15" i="18"/>
  <c r="K16" i="13" l="1"/>
  <c r="K22" i="15"/>
  <c r="I35" i="18"/>
  <c r="K21" i="14"/>
  <c r="K24" i="14"/>
  <c r="J16" i="15"/>
  <c r="J16" i="16" s="1"/>
  <c r="J16" i="17" s="1"/>
  <c r="J16" i="18" s="1"/>
  <c r="J16" i="19" s="1"/>
  <c r="J16" i="20" s="1"/>
  <c r="J16" i="21" s="1"/>
  <c r="J16" i="22" s="1"/>
  <c r="J20" i="15"/>
  <c r="J20" i="16" s="1"/>
  <c r="J20" i="17" s="1"/>
  <c r="J20" i="18" s="1"/>
  <c r="J20" i="19" s="1"/>
  <c r="J20" i="20" s="1"/>
  <c r="J20" i="21" s="1"/>
  <c r="J20" i="22" s="1"/>
  <c r="K20" i="13"/>
  <c r="K26" i="14"/>
  <c r="J26" i="15"/>
  <c r="J26" i="16" s="1"/>
  <c r="J26" i="17" s="1"/>
  <c r="J26" i="18" s="1"/>
  <c r="J26" i="19" s="1"/>
  <c r="J26" i="20" s="1"/>
  <c r="J26" i="21" s="1"/>
  <c r="J26" i="22" s="1"/>
  <c r="K25" i="14"/>
  <c r="J25" i="15"/>
  <c r="J25" i="16" s="1"/>
  <c r="J25" i="17" s="1"/>
  <c r="J25" i="18" s="1"/>
  <c r="J25" i="19" s="1"/>
  <c r="J25" i="20" s="1"/>
  <c r="J25" i="21" s="1"/>
  <c r="J25" i="22" s="1"/>
  <c r="K23" i="14"/>
  <c r="J23" i="15"/>
  <c r="J23" i="16" s="1"/>
  <c r="J23" i="17" s="1"/>
  <c r="J23" i="18" s="1"/>
  <c r="J23" i="19" s="1"/>
  <c r="J23" i="20" s="1"/>
  <c r="J23" i="21" s="1"/>
  <c r="J23" i="22" s="1"/>
  <c r="K18" i="14"/>
  <c r="J18" i="15"/>
  <c r="J18" i="16" s="1"/>
  <c r="J18" i="17" s="1"/>
  <c r="J18" i="18" s="1"/>
  <c r="J18" i="19" s="1"/>
  <c r="J18" i="20" s="1"/>
  <c r="J18" i="21" s="1"/>
  <c r="J18" i="22" s="1"/>
  <c r="K19" i="14"/>
  <c r="J19" i="15"/>
  <c r="J19" i="16" s="1"/>
  <c r="J19" i="17" s="1"/>
  <c r="J19" i="18" s="1"/>
  <c r="J19" i="19" s="1"/>
  <c r="J19" i="20" s="1"/>
  <c r="J19" i="21" s="1"/>
  <c r="J19" i="22" s="1"/>
  <c r="J21" i="15"/>
  <c r="J21" i="16" s="1"/>
  <c r="J21" i="17" s="1"/>
  <c r="J21" i="18" s="1"/>
  <c r="J21" i="19" s="1"/>
  <c r="J21" i="20" s="1"/>
  <c r="J21" i="21" s="1"/>
  <c r="J21" i="22" s="1"/>
  <c r="G34" i="17"/>
  <c r="I33" i="17"/>
  <c r="I32" i="17"/>
  <c r="I31" i="17"/>
  <c r="I30" i="17"/>
  <c r="I29" i="17"/>
  <c r="I28" i="17"/>
  <c r="I26" i="17"/>
  <c r="I25" i="17"/>
  <c r="I24" i="17"/>
  <c r="I15" i="17"/>
  <c r="G34" i="16"/>
  <c r="I33" i="16"/>
  <c r="I32" i="16"/>
  <c r="I31" i="16"/>
  <c r="I30" i="16"/>
  <c r="I29" i="16"/>
  <c r="I28" i="16"/>
  <c r="I27" i="16"/>
  <c r="I25" i="16"/>
  <c r="I24" i="16"/>
  <c r="I15" i="16"/>
  <c r="I35" i="15"/>
  <c r="G34" i="15"/>
  <c r="I33" i="15"/>
  <c r="I32" i="15"/>
  <c r="I31" i="15"/>
  <c r="I30" i="15"/>
  <c r="I29" i="15"/>
  <c r="I28" i="15"/>
  <c r="I27" i="15"/>
  <c r="I15" i="15"/>
  <c r="I35" i="14"/>
  <c r="G34" i="14"/>
  <c r="I33" i="14"/>
  <c r="I32" i="14"/>
  <c r="I31" i="14"/>
  <c r="I30" i="14"/>
  <c r="I29" i="14"/>
  <c r="I28" i="14"/>
  <c r="I27" i="14"/>
  <c r="I15" i="14"/>
  <c r="G34" i="13"/>
  <c r="I33" i="13"/>
  <c r="I32" i="13"/>
  <c r="I31" i="13"/>
  <c r="I30" i="13"/>
  <c r="I29" i="13"/>
  <c r="I28" i="13"/>
  <c r="I27" i="13"/>
  <c r="I15" i="13"/>
  <c r="I35" i="2"/>
  <c r="G34" i="2"/>
  <c r="I33" i="2"/>
  <c r="I32" i="2"/>
  <c r="I31" i="2"/>
  <c r="I30" i="2"/>
  <c r="I29" i="2"/>
  <c r="I28" i="2"/>
  <c r="I27" i="2"/>
  <c r="I26" i="2"/>
  <c r="I15" i="2"/>
  <c r="J24" i="1"/>
  <c r="I24" i="1"/>
  <c r="J25" i="1"/>
  <c r="K25" i="1" s="1"/>
  <c r="I25" i="1"/>
  <c r="G34" i="1"/>
  <c r="J33" i="1"/>
  <c r="K33" i="1" s="1"/>
  <c r="I33" i="1"/>
  <c r="J32" i="1"/>
  <c r="K32" i="1" s="1"/>
  <c r="I32" i="1"/>
  <c r="J31" i="1"/>
  <c r="K31" i="1" s="1"/>
  <c r="I31" i="1"/>
  <c r="J30" i="1"/>
  <c r="K30" i="1" s="1"/>
  <c r="I30" i="1"/>
  <c r="J29" i="1"/>
  <c r="K29" i="1" s="1"/>
  <c r="I29" i="1"/>
  <c r="J28" i="1"/>
  <c r="K28" i="1" s="1"/>
  <c r="I28" i="1"/>
  <c r="J27" i="1"/>
  <c r="K27" i="1" s="1"/>
  <c r="I27" i="1"/>
  <c r="J26" i="1"/>
  <c r="K27" i="2" s="1"/>
  <c r="I26" i="1"/>
  <c r="K22" i="16" l="1"/>
  <c r="K20" i="15"/>
  <c r="K16" i="15"/>
  <c r="K25" i="15"/>
  <c r="K23" i="15"/>
  <c r="K21" i="15"/>
  <c r="K19" i="15"/>
  <c r="K26" i="15"/>
  <c r="K18" i="15"/>
  <c r="J24" i="15"/>
  <c r="J24" i="16" s="1"/>
  <c r="J24" i="17" s="1"/>
  <c r="J24" i="18" s="1"/>
  <c r="J24" i="19" s="1"/>
  <c r="J24" i="20" s="1"/>
  <c r="J24" i="21" s="1"/>
  <c r="J24" i="22" s="1"/>
  <c r="K17" i="14"/>
  <c r="J17" i="15"/>
  <c r="J17" i="16" s="1"/>
  <c r="J17" i="17" s="1"/>
  <c r="J17" i="18" s="1"/>
  <c r="J17" i="19" s="1"/>
  <c r="J17" i="20" s="1"/>
  <c r="J17" i="21" s="1"/>
  <c r="J17" i="22" s="1"/>
  <c r="J15" i="13"/>
  <c r="I35" i="17"/>
  <c r="I35" i="16"/>
  <c r="I35" i="13"/>
  <c r="K32" i="2"/>
  <c r="K24" i="1"/>
  <c r="K15" i="2"/>
  <c r="K35" i="1"/>
  <c r="I35" i="1"/>
  <c r="K26" i="1"/>
  <c r="K22" i="17" l="1"/>
  <c r="K26" i="16"/>
  <c r="K17" i="15"/>
  <c r="K24" i="15"/>
  <c r="K21" i="16"/>
  <c r="K19" i="16"/>
  <c r="K16" i="16"/>
  <c r="K20" i="16"/>
  <c r="K18" i="16"/>
  <c r="K23" i="16"/>
  <c r="J15" i="14"/>
  <c r="K15" i="14" s="1"/>
  <c r="K15" i="13"/>
  <c r="J33" i="15"/>
  <c r="J33" i="16" s="1"/>
  <c r="J33" i="17" s="1"/>
  <c r="J33" i="18" s="1"/>
  <c r="J33" i="19" s="1"/>
  <c r="J33" i="20" s="1"/>
  <c r="J33" i="21" s="1"/>
  <c r="J33" i="22" s="1"/>
  <c r="K30" i="2"/>
  <c r="K28" i="13"/>
  <c r="J28" i="15"/>
  <c r="J28" i="16" s="1"/>
  <c r="J28" i="17" s="1"/>
  <c r="J28" i="18" s="1"/>
  <c r="J28" i="19" s="1"/>
  <c r="J28" i="20" s="1"/>
  <c r="J28" i="21" s="1"/>
  <c r="J28" i="22" s="1"/>
  <c r="K29" i="2"/>
  <c r="K28" i="2"/>
  <c r="K26" i="2"/>
  <c r="K35" i="2"/>
  <c r="K31" i="2"/>
  <c r="K33" i="2"/>
  <c r="K17" i="16" l="1"/>
  <c r="K23" i="17"/>
  <c r="K26" i="18"/>
  <c r="K16" i="17"/>
  <c r="K19" i="17"/>
  <c r="K18" i="17"/>
  <c r="K21" i="17"/>
  <c r="K22" i="18"/>
  <c r="K20" i="17"/>
  <c r="K24" i="21"/>
  <c r="K24" i="22"/>
  <c r="J35" i="13"/>
  <c r="K35" i="13" s="1"/>
  <c r="J15" i="15"/>
  <c r="K33" i="13"/>
  <c r="K32" i="13"/>
  <c r="J32" i="15"/>
  <c r="J32" i="16" s="1"/>
  <c r="J32" i="17" s="1"/>
  <c r="J32" i="18" s="1"/>
  <c r="J32" i="19" s="1"/>
  <c r="J32" i="20" s="1"/>
  <c r="J32" i="21" s="1"/>
  <c r="J32" i="22" s="1"/>
  <c r="K33" i="14"/>
  <c r="K29" i="13"/>
  <c r="J29" i="15"/>
  <c r="J29" i="16" s="1"/>
  <c r="J29" i="17" s="1"/>
  <c r="J29" i="18" s="1"/>
  <c r="J29" i="19" s="1"/>
  <c r="J29" i="20" s="1"/>
  <c r="J29" i="21" s="1"/>
  <c r="J29" i="22" s="1"/>
  <c r="K31" i="13"/>
  <c r="J31" i="15"/>
  <c r="J31" i="16" s="1"/>
  <c r="J31" i="17" s="1"/>
  <c r="J31" i="18" s="1"/>
  <c r="J31" i="19" s="1"/>
  <c r="J31" i="20" s="1"/>
  <c r="J31" i="21" s="1"/>
  <c r="J31" i="22" s="1"/>
  <c r="K27" i="13"/>
  <c r="J27" i="15"/>
  <c r="J27" i="16" s="1"/>
  <c r="J27" i="17" s="1"/>
  <c r="J27" i="18" s="1"/>
  <c r="J27" i="19" s="1"/>
  <c r="J27" i="20" s="1"/>
  <c r="J27" i="21" s="1"/>
  <c r="J27" i="22" s="1"/>
  <c r="K30" i="13"/>
  <c r="J30" i="15"/>
  <c r="J30" i="16" s="1"/>
  <c r="J30" i="17" s="1"/>
  <c r="J30" i="18" s="1"/>
  <c r="J30" i="19" s="1"/>
  <c r="J30" i="20" s="1"/>
  <c r="J30" i="21" s="1"/>
  <c r="J30" i="22" s="1"/>
  <c r="K28" i="14"/>
  <c r="K27" i="17" l="1"/>
  <c r="K21" i="18"/>
  <c r="K18" i="18"/>
  <c r="K22" i="19"/>
  <c r="K26" i="19"/>
  <c r="K17" i="17"/>
  <c r="K20" i="18"/>
  <c r="K23" i="18"/>
  <c r="K19" i="18"/>
  <c r="K16" i="18"/>
  <c r="J35" i="14"/>
  <c r="K35" i="14" s="1"/>
  <c r="J15" i="16"/>
  <c r="K15" i="15"/>
  <c r="K27" i="14"/>
  <c r="J35" i="15"/>
  <c r="K32" i="14"/>
  <c r="K28" i="15"/>
  <c r="K31" i="14"/>
  <c r="K29" i="14"/>
  <c r="K30" i="14"/>
  <c r="K33" i="15"/>
  <c r="K26" i="20" l="1"/>
  <c r="K23" i="19"/>
  <c r="K19" i="19"/>
  <c r="K18" i="19"/>
  <c r="K20" i="19"/>
  <c r="K22" i="20"/>
  <c r="K17" i="18"/>
  <c r="K16" i="19"/>
  <c r="K21" i="19"/>
  <c r="K15" i="16"/>
  <c r="J15" i="17"/>
  <c r="J35" i="17" s="1"/>
  <c r="K31" i="15"/>
  <c r="K32" i="15"/>
  <c r="K30" i="15"/>
  <c r="K25" i="16"/>
  <c r="K29" i="15"/>
  <c r="K31" i="16"/>
  <c r="K35" i="15"/>
  <c r="K27" i="15"/>
  <c r="K16" i="20" l="1"/>
  <c r="K17" i="19"/>
  <c r="K19" i="20"/>
  <c r="K20" i="20"/>
  <c r="K18" i="20"/>
  <c r="K22" i="21"/>
  <c r="K22" i="22"/>
  <c r="K23" i="20"/>
  <c r="K21" i="20"/>
  <c r="J15" i="18"/>
  <c r="K15" i="17"/>
  <c r="K31" i="17"/>
  <c r="K32" i="16"/>
  <c r="K28" i="16"/>
  <c r="K30" i="16"/>
  <c r="K27" i="16"/>
  <c r="K25" i="17"/>
  <c r="J35" i="16"/>
  <c r="K35" i="16" s="1"/>
  <c r="K24" i="16"/>
  <c r="K29" i="16"/>
  <c r="K33" i="16"/>
  <c r="K16" i="21" l="1"/>
  <c r="K16" i="22"/>
  <c r="K21" i="22"/>
  <c r="K21" i="21"/>
  <c r="K20" i="22"/>
  <c r="K20" i="21"/>
  <c r="K19" i="21"/>
  <c r="K19" i="22"/>
  <c r="K23" i="22"/>
  <c r="K23" i="21"/>
  <c r="K17" i="20"/>
  <c r="K18" i="21"/>
  <c r="K18" i="22"/>
  <c r="K15" i="18"/>
  <c r="J15" i="19"/>
  <c r="J35" i="19" s="1"/>
  <c r="K30" i="17"/>
  <c r="K31" i="18"/>
  <c r="K24" i="17"/>
  <c r="K35" i="17"/>
  <c r="K28" i="17"/>
  <c r="K25" i="18"/>
  <c r="K33" i="17"/>
  <c r="K26" i="17"/>
  <c r="K32" i="17"/>
  <c r="K29" i="17"/>
  <c r="K17" i="21" l="1"/>
  <c r="K17" i="22"/>
  <c r="K15" i="19"/>
  <c r="J15" i="20"/>
  <c r="J35" i="20" s="1"/>
  <c r="K33" i="18"/>
  <c r="K24" i="18"/>
  <c r="J35" i="18"/>
  <c r="K35" i="18" s="1"/>
  <c r="K31" i="19"/>
  <c r="K27" i="18"/>
  <c r="K29" i="18"/>
  <c r="K32" i="18"/>
  <c r="K25" i="19"/>
  <c r="K28" i="18"/>
  <c r="K30" i="18"/>
  <c r="K15" i="20" l="1"/>
  <c r="J15" i="21"/>
  <c r="K29" i="19"/>
  <c r="K30" i="19"/>
  <c r="K27" i="19"/>
  <c r="K32" i="19"/>
  <c r="K28" i="19"/>
  <c r="K24" i="19"/>
  <c r="K35" i="19"/>
  <c r="K25" i="20"/>
  <c r="K31" i="20"/>
  <c r="K33" i="19"/>
  <c r="J15" i="22" l="1"/>
  <c r="K15" i="21"/>
  <c r="K28" i="20"/>
  <c r="K26" i="22"/>
  <c r="K26" i="21"/>
  <c r="K32" i="20"/>
  <c r="K27" i="20"/>
  <c r="K29" i="20"/>
  <c r="K24" i="20"/>
  <c r="K35" i="20"/>
  <c r="K33" i="20"/>
  <c r="K30" i="20"/>
  <c r="K31" i="21"/>
  <c r="K31" i="22"/>
  <c r="K15" i="22" l="1"/>
  <c r="J35" i="22"/>
  <c r="J35" i="21"/>
  <c r="K35" i="21" s="1"/>
  <c r="K33" i="21"/>
  <c r="K33" i="22"/>
  <c r="K27" i="21"/>
  <c r="K27" i="22"/>
  <c r="K29" i="22"/>
  <c r="K29" i="21"/>
  <c r="K30" i="22"/>
  <c r="K30" i="21"/>
  <c r="K32" i="22"/>
  <c r="K32" i="21"/>
  <c r="K25" i="21"/>
  <c r="K28" i="21"/>
  <c r="K28" i="22"/>
  <c r="K25" i="22" l="1"/>
  <c r="K35" i="22"/>
</calcChain>
</file>

<file path=xl/comments1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4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5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6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7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8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9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10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11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12.xml><?xml version="1.0" encoding="utf-8"?>
<comments xmlns="http://schemas.openxmlformats.org/spreadsheetml/2006/main">
  <authors>
    <author>Autor</author>
  </authors>
  <commentList>
    <comment ref="J14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0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50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51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51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sharedStrings.xml><?xml version="1.0" encoding="utf-8"?>
<sst xmlns="http://schemas.openxmlformats.org/spreadsheetml/2006/main" count="984" uniqueCount="44">
  <si>
    <t>MES</t>
  </si>
  <si>
    <t>REPORTE DE AVANCE</t>
  </si>
  <si>
    <t>ENERO</t>
  </si>
  <si>
    <t>Fecha: 29/06/2022</t>
  </si>
  <si>
    <t>Version: 01</t>
  </si>
  <si>
    <t>GP-F-23</t>
  </si>
  <si>
    <t>FEBRERO</t>
  </si>
  <si>
    <t>Código Orden de servicio</t>
  </si>
  <si>
    <t>MARZO</t>
  </si>
  <si>
    <t>ABRIL</t>
  </si>
  <si>
    <t>Nombre del profesional (Reporta)</t>
  </si>
  <si>
    <t>MAYO</t>
  </si>
  <si>
    <t>JUNIO</t>
  </si>
  <si>
    <t>Mes a reportar</t>
  </si>
  <si>
    <t>JULIO</t>
  </si>
  <si>
    <t>AGOSTO</t>
  </si>
  <si>
    <t>Fecha reporte</t>
  </si>
  <si>
    <t>SEPTIEMBRE</t>
  </si>
  <si>
    <t>OCTUBRE</t>
  </si>
  <si>
    <t>Clasificación del servicio</t>
  </si>
  <si>
    <t>Reporte mes por servicio</t>
  </si>
  <si>
    <t>Reporte acumulado por servicio</t>
  </si>
  <si>
    <t>NOVIEMBRE</t>
  </si>
  <si>
    <t>Ítem general</t>
  </si>
  <si>
    <t>ítem actividad</t>
  </si>
  <si>
    <t>Descripción de la actividad</t>
  </si>
  <si>
    <t>Soporte</t>
  </si>
  <si>
    <t>Medio de entrega</t>
  </si>
  <si>
    <t>Días contratados</t>
  </si>
  <si>
    <t>Días</t>
  </si>
  <si>
    <t>% avance</t>
  </si>
  <si>
    <t xml:space="preserve">Días </t>
  </si>
  <si>
    <t>DICIEMBRE</t>
  </si>
  <si>
    <t>Digital</t>
  </si>
  <si>
    <t>TOTAL ACUMULADO</t>
  </si>
  <si>
    <t>Observaciones:</t>
  </si>
  <si>
    <t>Describa en este espacio su observación</t>
  </si>
  <si>
    <r>
      <t>¿Se presentó algún aspecto o situación que afecte la ejecución y calidad de los entregables? (</t>
    </r>
    <r>
      <rPr>
        <b/>
        <i/>
        <sz val="9"/>
        <color theme="1"/>
        <rFont val="Verdana"/>
        <family val="2"/>
      </rPr>
      <t>Marque con una X</t>
    </r>
    <r>
      <rPr>
        <b/>
        <sz val="9"/>
        <color theme="1"/>
        <rFont val="Verdana"/>
        <family val="2"/>
      </rPr>
      <t>)</t>
    </r>
  </si>
  <si>
    <t>PROFESIONAL</t>
  </si>
  <si>
    <t>SI</t>
  </si>
  <si>
    <t>NO</t>
  </si>
  <si>
    <t>INTERVENTOR O LIDER</t>
  </si>
  <si>
    <t>Revisa:</t>
  </si>
  <si>
    <t>Interventor: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</si>
</sst>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i/>
      <sz val="9"/>
      <color theme="1"/>
      <name val="Verdana"/>
      <family val="2"/>
    </font>
    <font>
      <sz val="20"/>
      <color theme="1"/>
      <name val="Verdana"/>
      <family val="2"/>
    </font>
    <font>
      <sz val="9"/>
      <color theme="0" tint="-0.499984740745262"/>
      <name val="Verdana"/>
      <family val="2"/>
    </font>
    <font>
      <sz val="9"/>
      <color indexed="81"/>
      <name val="Tahoma"/>
      <family val="2"/>
    </font>
    <font>
      <sz val="9"/>
      <color rgb="FF000000"/>
      <name val="Tahoma"/>
      <family val="2"/>
    </font>
    <font>
      <sz val="9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8">
    <xf numFmtId="0" fontId="0" fillId="0" borderId="0" xfId="0"/>
    <xf numFmtId="1" fontId="2" fillId="0" borderId="15" xfId="0" applyNumberFormat="1" applyFont="1" applyBorder="1" applyAlignment="1" applyProtection="1">
      <alignment horizontal="center" vertical="center" wrapText="1"/>
    </xf>
    <xf numFmtId="1" fontId="2" fillId="0" borderId="16" xfId="0" applyNumberFormat="1" applyFont="1" applyBorder="1" applyAlignment="1" applyProtection="1">
      <alignment horizontal="center" vertical="center" wrapText="1"/>
    </xf>
    <xf numFmtId="1" fontId="2" fillId="0" borderId="17" xfId="0" applyNumberFormat="1" applyFont="1" applyBorder="1" applyAlignment="1" applyProtection="1">
      <alignment horizontal="center" vertical="center" wrapText="1"/>
    </xf>
    <xf numFmtId="0" fontId="2" fillId="0" borderId="0" xfId="0" applyFont="1" applyProtection="1"/>
    <xf numFmtId="0" fontId="3" fillId="0" borderId="0" xfId="0" applyFont="1" applyProtection="1"/>
    <xf numFmtId="0" fontId="0" fillId="0" borderId="0" xfId="0" applyProtection="1"/>
    <xf numFmtId="0" fontId="2" fillId="0" borderId="5" xfId="0" applyFont="1" applyBorder="1" applyProtection="1"/>
    <xf numFmtId="0" fontId="2" fillId="0" borderId="6" xfId="0" applyFont="1" applyBorder="1" applyProtection="1"/>
    <xf numFmtId="0" fontId="2" fillId="0" borderId="7" xfId="0" applyFont="1" applyBorder="1" applyProtection="1"/>
    <xf numFmtId="0" fontId="4" fillId="2" borderId="8" xfId="0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vertical="center"/>
    </xf>
    <xf numFmtId="0" fontId="2" fillId="0" borderId="9" xfId="0" applyFont="1" applyBorder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2" fillId="0" borderId="10" xfId="0" applyFont="1" applyBorder="1" applyProtection="1"/>
    <xf numFmtId="0" fontId="2" fillId="0" borderId="9" xfId="0" applyFont="1" applyBorder="1" applyProtection="1"/>
    <xf numFmtId="0" fontId="2" fillId="0" borderId="10" xfId="0" applyFont="1" applyBorder="1" applyAlignment="1" applyProtection="1">
      <alignment vertical="center"/>
    </xf>
    <xf numFmtId="49" fontId="4" fillId="2" borderId="8" xfId="0" applyNumberFormat="1" applyFont="1" applyFill="1" applyBorder="1" applyAlignment="1" applyProtection="1">
      <alignment horizontal="center" vertical="center"/>
    </xf>
    <xf numFmtId="49" fontId="4" fillId="0" borderId="0" xfId="0" applyNumberFormat="1" applyFont="1" applyAlignment="1" applyProtection="1">
      <alignment horizontal="center" vertical="center"/>
    </xf>
    <xf numFmtId="0" fontId="2" fillId="0" borderId="10" xfId="0" applyFont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14" fontId="4" fillId="2" borderId="8" xfId="0" applyNumberFormat="1" applyFont="1" applyFill="1" applyBorder="1" applyAlignment="1" applyProtection="1">
      <alignment horizontal="center" vertical="center"/>
    </xf>
    <xf numFmtId="14" fontId="4" fillId="0" borderId="0" xfId="0" applyNumberFormat="1" applyFont="1" applyAlignment="1" applyProtection="1">
      <alignment horizontal="center" vertical="center"/>
    </xf>
    <xf numFmtId="0" fontId="2" fillId="0" borderId="11" xfId="0" applyFont="1" applyBorder="1" applyProtection="1"/>
    <xf numFmtId="0" fontId="2" fillId="0" borderId="12" xfId="0" applyFont="1" applyBorder="1" applyProtection="1"/>
    <xf numFmtId="0" fontId="2" fillId="0" borderId="13" xfId="0" applyFont="1" applyBorder="1" applyProtection="1"/>
    <xf numFmtId="0" fontId="2" fillId="2" borderId="8" xfId="0" applyFont="1" applyFill="1" applyBorder="1" applyAlignment="1" applyProtection="1">
      <alignment horizontal="center" vertical="center" wrapText="1"/>
    </xf>
    <xf numFmtId="0" fontId="2" fillId="0" borderId="14" xfId="0" applyFont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9" fontId="2" fillId="0" borderId="1" xfId="1" applyFont="1" applyBorder="1" applyAlignment="1" applyProtection="1">
      <alignment horizontal="center" vertical="center" wrapText="1"/>
    </xf>
    <xf numFmtId="1" fontId="2" fillId="0" borderId="14" xfId="0" applyNumberFormat="1" applyFont="1" applyBorder="1" applyAlignment="1" applyProtection="1">
      <alignment horizontal="center" vertical="center" wrapText="1"/>
    </xf>
    <xf numFmtId="0" fontId="2" fillId="0" borderId="20" xfId="0" applyFont="1" applyBorder="1" applyAlignment="1" applyProtection="1">
      <alignment horizontal="center" vertical="center" wrapText="1"/>
    </xf>
    <xf numFmtId="0" fontId="2" fillId="0" borderId="15" xfId="0" applyFont="1" applyBorder="1" applyAlignment="1" applyProtection="1">
      <alignment horizontal="center" vertical="center" wrapText="1"/>
    </xf>
    <xf numFmtId="0" fontId="2" fillId="3" borderId="15" xfId="0" applyFont="1" applyFill="1" applyBorder="1" applyAlignment="1" applyProtection="1">
      <alignment horizontal="center" vertical="center" wrapText="1"/>
    </xf>
    <xf numFmtId="9" fontId="2" fillId="0" borderId="15" xfId="1" applyFont="1" applyBorder="1" applyAlignment="1" applyProtection="1">
      <alignment horizontal="center" vertical="center" wrapText="1"/>
    </xf>
    <xf numFmtId="0" fontId="2" fillId="0" borderId="15" xfId="0" applyFont="1" applyBorder="1" applyAlignment="1" applyProtection="1">
      <alignment horizontal="left" vertical="center" wrapText="1"/>
    </xf>
    <xf numFmtId="0" fontId="2" fillId="3" borderId="20" xfId="0" applyFont="1" applyFill="1" applyBorder="1" applyAlignment="1" applyProtection="1">
      <alignment horizontal="center" vertical="center" wrapText="1"/>
    </xf>
    <xf numFmtId="9" fontId="2" fillId="0" borderId="20" xfId="1" applyFont="1" applyBorder="1" applyAlignment="1" applyProtection="1">
      <alignment horizontal="center" vertical="center" wrapText="1"/>
    </xf>
    <xf numFmtId="0" fontId="0" fillId="0" borderId="0" xfId="0" applyAlignment="1" applyProtection="1">
      <alignment vertical="center"/>
    </xf>
    <xf numFmtId="0" fontId="2" fillId="0" borderId="17" xfId="0" applyFont="1" applyBorder="1" applyAlignment="1" applyProtection="1">
      <alignment horizontal="center" vertical="center" wrapText="1"/>
    </xf>
    <xf numFmtId="0" fontId="2" fillId="0" borderId="17" xfId="0" applyFont="1" applyBorder="1" applyAlignment="1" applyProtection="1">
      <alignment horizontal="left" vertical="center" wrapText="1"/>
    </xf>
    <xf numFmtId="0" fontId="2" fillId="3" borderId="17" xfId="0" applyFont="1" applyFill="1" applyBorder="1" applyAlignment="1" applyProtection="1">
      <alignment horizontal="center" vertical="center" wrapText="1"/>
    </xf>
    <xf numFmtId="9" fontId="2" fillId="0" borderId="17" xfId="1" applyFont="1" applyBorder="1" applyAlignment="1" applyProtection="1">
      <alignment horizontal="center" vertical="center" wrapText="1"/>
    </xf>
    <xf numFmtId="0" fontId="4" fillId="0" borderId="8" xfId="0" applyFont="1" applyBorder="1" applyAlignment="1" applyProtection="1">
      <alignment horizontal="center" vertical="center"/>
    </xf>
    <xf numFmtId="164" fontId="4" fillId="0" borderId="8" xfId="1" applyNumberFormat="1" applyFont="1" applyBorder="1" applyAlignment="1" applyProtection="1">
      <alignment horizontal="center" vertical="center"/>
    </xf>
    <xf numFmtId="1" fontId="4" fillId="0" borderId="8" xfId="0" applyNumberFormat="1" applyFont="1" applyBorder="1" applyAlignment="1" applyProtection="1">
      <alignment horizontal="center" vertical="center"/>
    </xf>
    <xf numFmtId="0" fontId="4" fillId="4" borderId="2" xfId="0" applyFont="1" applyFill="1" applyBorder="1" applyAlignment="1" applyProtection="1">
      <alignment vertical="center"/>
    </xf>
    <xf numFmtId="0" fontId="4" fillId="4" borderId="0" xfId="0" applyFont="1" applyFill="1" applyAlignment="1" applyProtection="1">
      <alignment vertical="center"/>
    </xf>
    <xf numFmtId="0" fontId="4" fillId="4" borderId="4" xfId="0" applyFont="1" applyFill="1" applyBorder="1" applyAlignment="1" applyProtection="1">
      <alignment vertical="center"/>
    </xf>
    <xf numFmtId="0" fontId="2" fillId="0" borderId="8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/>
    </xf>
    <xf numFmtId="0" fontId="2" fillId="0" borderId="14" xfId="0" applyFont="1" applyBorder="1" applyAlignment="1" applyProtection="1">
      <alignment horizontal="left" vertical="center" wrapText="1"/>
    </xf>
    <xf numFmtId="9" fontId="2" fillId="0" borderId="14" xfId="1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16" xfId="0" applyFont="1" applyBorder="1" applyAlignment="1" applyProtection="1">
      <alignment horizontal="left" vertical="center" wrapText="1"/>
    </xf>
    <xf numFmtId="0" fontId="2" fillId="3" borderId="19" xfId="0" applyFont="1" applyFill="1" applyBorder="1" applyAlignment="1" applyProtection="1">
      <alignment horizontal="center" vertical="center" wrapText="1"/>
    </xf>
    <xf numFmtId="0" fontId="2" fillId="0" borderId="19" xfId="0" applyFont="1" applyBorder="1" applyAlignment="1" applyProtection="1">
      <alignment horizontal="center" vertical="center" wrapText="1"/>
    </xf>
    <xf numFmtId="1" fontId="2" fillId="0" borderId="20" xfId="0" applyNumberFormat="1" applyFont="1" applyBorder="1" applyAlignment="1" applyProtection="1">
      <alignment horizontal="center" vertical="center" wrapText="1"/>
    </xf>
    <xf numFmtId="0" fontId="2" fillId="0" borderId="16" xfId="0" applyFont="1" applyBorder="1" applyAlignment="1" applyProtection="1">
      <alignment horizontal="center" vertical="center" wrapText="1"/>
    </xf>
    <xf numFmtId="0" fontId="2" fillId="0" borderId="20" xfId="0" applyFont="1" applyBorder="1" applyAlignment="1" applyProtection="1">
      <alignment horizontal="left" vertical="center" wrapText="1"/>
    </xf>
    <xf numFmtId="0" fontId="2" fillId="3" borderId="16" xfId="0" applyFont="1" applyFill="1" applyBorder="1" applyAlignment="1" applyProtection="1">
      <alignment horizontal="center" vertical="center" wrapText="1"/>
    </xf>
    <xf numFmtId="0" fontId="10" fillId="0" borderId="14" xfId="0" applyFont="1" applyBorder="1" applyAlignment="1" applyProtection="1">
      <alignment horizontal="center" vertical="center" wrapText="1"/>
    </xf>
    <xf numFmtId="0" fontId="10" fillId="0" borderId="15" xfId="0" applyFont="1" applyBorder="1" applyAlignment="1" applyProtection="1">
      <alignment horizontal="center" vertical="center" wrapText="1"/>
    </xf>
    <xf numFmtId="0" fontId="10" fillId="0" borderId="20" xfId="0" applyFont="1" applyBorder="1" applyAlignment="1" applyProtection="1">
      <alignment horizontal="center" vertical="center" wrapText="1"/>
    </xf>
    <xf numFmtId="0" fontId="10" fillId="0" borderId="17" xfId="0" applyFont="1" applyBorder="1" applyAlignment="1" applyProtection="1">
      <alignment horizontal="center" vertical="center" wrapText="1"/>
    </xf>
    <xf numFmtId="0" fontId="10" fillId="0" borderId="16" xfId="0" applyFont="1" applyBorder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horizontal="center" vertical="center" wrapText="1"/>
    </xf>
    <xf numFmtId="0" fontId="4" fillId="2" borderId="8" xfId="0" applyFont="1" applyFill="1" applyBorder="1" applyAlignment="1" applyProtection="1">
      <alignment horizontal="center" vertical="center"/>
    </xf>
    <xf numFmtId="0" fontId="2" fillId="0" borderId="12" xfId="0" applyFont="1" applyBorder="1" applyAlignment="1" applyProtection="1">
      <alignment horizontal="center"/>
    </xf>
    <xf numFmtId="0" fontId="2" fillId="0" borderId="6" xfId="0" applyFont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</xf>
    <xf numFmtId="0" fontId="2" fillId="2" borderId="8" xfId="0" applyFont="1" applyFill="1" applyBorder="1" applyAlignment="1" applyProtection="1">
      <alignment horizontal="left" vertical="top" wrapText="1"/>
    </xf>
    <xf numFmtId="0" fontId="2" fillId="2" borderId="8" xfId="0" applyFont="1" applyFill="1" applyBorder="1" applyAlignment="1" applyProtection="1">
      <alignment horizontal="left" vertical="top"/>
    </xf>
    <xf numFmtId="0" fontId="4" fillId="3" borderId="8" xfId="0" applyFont="1" applyFill="1" applyBorder="1" applyAlignment="1" applyProtection="1">
      <alignment horizontal="center" vertical="center" wrapText="1"/>
    </xf>
    <xf numFmtId="0" fontId="7" fillId="0" borderId="8" xfId="0" applyFont="1" applyBorder="1" applyAlignment="1" applyProtection="1">
      <alignment horizontal="left" vertical="top" wrapText="1"/>
    </xf>
    <xf numFmtId="0" fontId="4" fillId="0" borderId="8" xfId="0" applyFont="1" applyBorder="1" applyAlignment="1" applyProtection="1">
      <alignment horizontal="center" vertical="center" wrapText="1"/>
    </xf>
    <xf numFmtId="0" fontId="4" fillId="2" borderId="18" xfId="0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8" xfId="0" applyFont="1" applyFill="1" applyBorder="1" applyAlignment="1" applyProtection="1">
      <alignment horizontal="center" vertical="center"/>
    </xf>
  </cellXfs>
  <cellStyles count="2">
    <cellStyle name="Normal" xfId="0" builtinId="0"/>
    <cellStyle name="Porcentaje" xfId="1" builtinId="5"/>
  </cellStyles>
  <dxfs count="8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="" xmlns:a16="http://schemas.microsoft.com/office/drawing/2014/main" id="{7F7A434D-152E-46E3-9DD7-BF131956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tabSelected="1" view="pageBreakPreview" topLeftCell="C1" zoomScaleNormal="100" zoomScaleSheetLayoutView="100" workbookViewId="0">
      <selection activeCell="F10" sqref="F10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9" t="s">
        <v>1</v>
      </c>
      <c r="C2" s="79"/>
      <c r="D2" s="79"/>
      <c r="E2" s="79"/>
      <c r="F2" s="79"/>
      <c r="G2" s="79"/>
      <c r="H2" s="79"/>
      <c r="I2" s="79"/>
      <c r="J2" s="79"/>
      <c r="K2" s="79"/>
      <c r="P2" s="6" t="s">
        <v>2</v>
      </c>
    </row>
    <row r="3" spans="2:16" ht="18.75" customHeight="1" x14ac:dyDescent="0.25">
      <c r="B3" s="80" t="s">
        <v>3</v>
      </c>
      <c r="C3" s="81"/>
      <c r="D3" s="81"/>
      <c r="E3" s="81" t="s">
        <v>4</v>
      </c>
      <c r="F3" s="81"/>
      <c r="G3" s="81"/>
      <c r="H3" s="81"/>
      <c r="I3" s="81" t="s">
        <v>5</v>
      </c>
      <c r="J3" s="81"/>
      <c r="K3" s="82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83" t="s">
        <v>7</v>
      </c>
      <c r="C5" s="83"/>
      <c r="D5" s="68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83" t="s">
        <v>10</v>
      </c>
      <c r="C7" s="83"/>
      <c r="D7" s="84"/>
      <c r="E7" s="85"/>
      <c r="F7" s="85"/>
      <c r="G7" s="85"/>
      <c r="H7" s="85"/>
      <c r="I7" s="86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83" t="s">
        <v>13</v>
      </c>
      <c r="C9" s="83"/>
      <c r="D9" s="18" t="s">
        <v>2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83" t="s">
        <v>16</v>
      </c>
      <c r="C11" s="83"/>
      <c r="D11" s="22">
        <v>46053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2" t="s">
        <v>19</v>
      </c>
      <c r="C13" s="72"/>
      <c r="D13" s="72"/>
      <c r="E13" s="72"/>
      <c r="F13" s="72"/>
      <c r="G13" s="72"/>
      <c r="H13" s="83" t="s">
        <v>20</v>
      </c>
      <c r="I13" s="83"/>
      <c r="J13" s="83" t="s">
        <v>21</v>
      </c>
      <c r="K13" s="83"/>
      <c r="P13" s="6" t="s">
        <v>22</v>
      </c>
    </row>
    <row r="14" spans="2:16" ht="57.6" customHeight="1" x14ac:dyDescent="0.25">
      <c r="B14" s="67" t="s">
        <v>23</v>
      </c>
      <c r="C14" s="67" t="s">
        <v>24</v>
      </c>
      <c r="D14" s="67" t="s">
        <v>25</v>
      </c>
      <c r="E14" s="67" t="s">
        <v>26</v>
      </c>
      <c r="F14" s="67" t="s">
        <v>27</v>
      </c>
      <c r="G14" s="67" t="s">
        <v>28</v>
      </c>
      <c r="H14" s="67" t="s">
        <v>29</v>
      </c>
      <c r="I14" s="67" t="s">
        <v>30</v>
      </c>
      <c r="J14" s="67" t="s">
        <v>31</v>
      </c>
      <c r="K14" s="6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54" t="s">
        <v>33</v>
      </c>
      <c r="G15" s="29">
        <v>0</v>
      </c>
      <c r="H15" s="29"/>
      <c r="I15" s="53">
        <f t="shared" ref="I15:I23" si="0">IFERROR(H15/G15,0)</f>
        <v>0</v>
      </c>
      <c r="J15" s="31">
        <f>H15</f>
        <v>0</v>
      </c>
      <c r="K15" s="53">
        <f>IFERROR(J15/G15,0)</f>
        <v>0</v>
      </c>
    </row>
    <row r="16" spans="2:16" x14ac:dyDescent="0.25">
      <c r="B16" s="57"/>
      <c r="C16" s="33"/>
      <c r="D16" s="55"/>
      <c r="E16" s="63"/>
      <c r="F16" s="57" t="s">
        <v>33</v>
      </c>
      <c r="G16" s="56">
        <v>0</v>
      </c>
      <c r="H16" s="34"/>
      <c r="I16" s="38">
        <f t="shared" si="0"/>
        <v>0</v>
      </c>
      <c r="J16" s="58">
        <f>H16</f>
        <v>0</v>
      </c>
      <c r="K16" s="38">
        <f>IFERROR(J16/G16,0)</f>
        <v>0</v>
      </c>
    </row>
    <row r="17" spans="2:16" x14ac:dyDescent="0.25">
      <c r="B17" s="33"/>
      <c r="C17" s="33"/>
      <c r="D17" s="36"/>
      <c r="E17" s="63"/>
      <c r="F17" s="33" t="s">
        <v>33</v>
      </c>
      <c r="G17" s="34">
        <v>0</v>
      </c>
      <c r="H17" s="37"/>
      <c r="I17" s="38">
        <f t="shared" si="0"/>
        <v>0</v>
      </c>
      <c r="J17" s="2">
        <f>H17</f>
        <v>0</v>
      </c>
      <c r="K17" s="38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v>0</v>
      </c>
      <c r="H18" s="34"/>
      <c r="I18" s="35">
        <f t="shared" si="0"/>
        <v>0</v>
      </c>
      <c r="J18" s="1">
        <f t="shared" ref="J18:J23" si="1">H18</f>
        <v>0</v>
      </c>
      <c r="K18" s="35">
        <f t="shared" ref="K18:K23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v>0</v>
      </c>
      <c r="H19" s="34"/>
      <c r="I19" s="35">
        <f t="shared" si="0"/>
        <v>0</v>
      </c>
      <c r="J19" s="1">
        <f t="shared" si="1"/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v>0</v>
      </c>
      <c r="H20" s="34"/>
      <c r="I20" s="35">
        <f t="shared" si="0"/>
        <v>0</v>
      </c>
      <c r="J20" s="1">
        <f t="shared" si="1"/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v>0</v>
      </c>
      <c r="H21" s="34"/>
      <c r="I21" s="35">
        <f t="shared" si="0"/>
        <v>0</v>
      </c>
      <c r="J21" s="1">
        <f t="shared" si="1"/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v>0</v>
      </c>
      <c r="H22" s="34"/>
      <c r="I22" s="35">
        <f t="shared" si="0"/>
        <v>0</v>
      </c>
      <c r="J22" s="1">
        <f t="shared" si="1"/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34">
        <v>0</v>
      </c>
      <c r="H23" s="34"/>
      <c r="I23" s="35">
        <f t="shared" si="0"/>
        <v>0</v>
      </c>
      <c r="J23" s="1">
        <f t="shared" si="1"/>
        <v>0</v>
      </c>
      <c r="K23" s="35">
        <f t="shared" si="2"/>
        <v>0</v>
      </c>
    </row>
    <row r="24" spans="2:16" x14ac:dyDescent="0.25">
      <c r="B24" s="59"/>
      <c r="C24" s="59"/>
      <c r="D24" s="60"/>
      <c r="E24" s="64"/>
      <c r="F24" s="59" t="s">
        <v>33</v>
      </c>
      <c r="G24" s="61">
        <v>0</v>
      </c>
      <c r="H24" s="61"/>
      <c r="I24" s="38">
        <f t="shared" ref="I24" si="3">IFERROR(H24/G24,0)</f>
        <v>0</v>
      </c>
      <c r="J24" s="58">
        <f>H24</f>
        <v>0</v>
      </c>
      <c r="K24" s="38">
        <f>IFERROR(J24/G24,0)</f>
        <v>0</v>
      </c>
    </row>
    <row r="25" spans="2:16" x14ac:dyDescent="0.25">
      <c r="B25" s="57"/>
      <c r="C25" s="33"/>
      <c r="D25" s="55"/>
      <c r="E25" s="63"/>
      <c r="F25" s="57" t="s">
        <v>33</v>
      </c>
      <c r="G25" s="56">
        <v>0</v>
      </c>
      <c r="H25" s="34"/>
      <c r="I25" s="38">
        <f t="shared" ref="I25" si="4">IFERROR(H25/G25,0)</f>
        <v>0</v>
      </c>
      <c r="J25" s="58">
        <f>H25</f>
        <v>0</v>
      </c>
      <c r="K25" s="38">
        <f>IFERROR(J25/G25,0)</f>
        <v>0</v>
      </c>
    </row>
    <row r="26" spans="2:16" x14ac:dyDescent="0.25">
      <c r="B26" s="33"/>
      <c r="C26" s="33"/>
      <c r="D26" s="36"/>
      <c r="E26" s="63"/>
      <c r="F26" s="33" t="s">
        <v>33</v>
      </c>
      <c r="G26" s="34">
        <v>0</v>
      </c>
      <c r="H26" s="37"/>
      <c r="I26" s="38">
        <f t="shared" ref="I26:I33" si="5">IFERROR(H26/G26,0)</f>
        <v>0</v>
      </c>
      <c r="J26" s="2">
        <f>H26</f>
        <v>0</v>
      </c>
      <c r="K26" s="38">
        <f>IFERROR(J26/G26,0)</f>
        <v>0</v>
      </c>
    </row>
    <row r="27" spans="2:16" x14ac:dyDescent="0.25">
      <c r="B27" s="33"/>
      <c r="C27" s="33"/>
      <c r="D27" s="36"/>
      <c r="E27" s="63"/>
      <c r="F27" s="33" t="s">
        <v>33</v>
      </c>
      <c r="G27" s="34">
        <v>0</v>
      </c>
      <c r="H27" s="34"/>
      <c r="I27" s="35">
        <f t="shared" si="5"/>
        <v>0</v>
      </c>
      <c r="J27" s="1">
        <f t="shared" ref="J27:J33" si="6">H27</f>
        <v>0</v>
      </c>
      <c r="K27" s="35">
        <f t="shared" ref="K27:K33" si="7">IFERROR(J27/G27,0)</f>
        <v>0</v>
      </c>
    </row>
    <row r="28" spans="2:16" s="14" customFormat="1" x14ac:dyDescent="0.25">
      <c r="B28" s="33"/>
      <c r="C28" s="33"/>
      <c r="D28" s="36"/>
      <c r="E28" s="63"/>
      <c r="F28" s="33" t="s">
        <v>33</v>
      </c>
      <c r="G28" s="34">
        <v>0</v>
      </c>
      <c r="H28" s="34"/>
      <c r="I28" s="35">
        <f t="shared" si="5"/>
        <v>0</v>
      </c>
      <c r="J28" s="1">
        <f t="shared" si="6"/>
        <v>0</v>
      </c>
      <c r="K28" s="35">
        <f t="shared" si="7"/>
        <v>0</v>
      </c>
      <c r="N28" s="39"/>
      <c r="P28" s="39"/>
    </row>
    <row r="29" spans="2:16" x14ac:dyDescent="0.25">
      <c r="B29" s="33"/>
      <c r="C29" s="33"/>
      <c r="D29" s="36"/>
      <c r="E29" s="63"/>
      <c r="F29" s="33" t="s">
        <v>33</v>
      </c>
      <c r="G29" s="34">
        <v>0</v>
      </c>
      <c r="H29" s="34"/>
      <c r="I29" s="35">
        <f t="shared" si="5"/>
        <v>0</v>
      </c>
      <c r="J29" s="1">
        <f t="shared" si="6"/>
        <v>0</v>
      </c>
      <c r="K29" s="35">
        <f t="shared" si="7"/>
        <v>0</v>
      </c>
    </row>
    <row r="30" spans="2:16" x14ac:dyDescent="0.25">
      <c r="B30" s="33"/>
      <c r="C30" s="33"/>
      <c r="D30" s="36"/>
      <c r="E30" s="63"/>
      <c r="F30" s="33" t="s">
        <v>33</v>
      </c>
      <c r="G30" s="34">
        <v>0</v>
      </c>
      <c r="H30" s="34"/>
      <c r="I30" s="35">
        <f t="shared" si="5"/>
        <v>0</v>
      </c>
      <c r="J30" s="1">
        <f t="shared" si="6"/>
        <v>0</v>
      </c>
      <c r="K30" s="35">
        <f t="shared" si="7"/>
        <v>0</v>
      </c>
    </row>
    <row r="31" spans="2:16" x14ac:dyDescent="0.25">
      <c r="B31" s="33"/>
      <c r="C31" s="33"/>
      <c r="D31" s="36"/>
      <c r="E31" s="63"/>
      <c r="F31" s="33" t="s">
        <v>33</v>
      </c>
      <c r="G31" s="34">
        <v>0</v>
      </c>
      <c r="H31" s="34"/>
      <c r="I31" s="35">
        <f t="shared" si="5"/>
        <v>0</v>
      </c>
      <c r="J31" s="1">
        <f t="shared" si="6"/>
        <v>0</v>
      </c>
      <c r="K31" s="35">
        <f t="shared" si="7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v>0</v>
      </c>
      <c r="H32" s="34"/>
      <c r="I32" s="35">
        <f t="shared" si="5"/>
        <v>0</v>
      </c>
      <c r="J32" s="2">
        <f t="shared" si="6"/>
        <v>0</v>
      </c>
      <c r="K32" s="35">
        <f t="shared" si="7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v>0</v>
      </c>
      <c r="H33" s="42"/>
      <c r="I33" s="43">
        <f t="shared" si="5"/>
        <v>0</v>
      </c>
      <c r="J33" s="3">
        <f t="shared" si="6"/>
        <v>0</v>
      </c>
      <c r="K33" s="43">
        <f t="shared" si="7"/>
        <v>0</v>
      </c>
    </row>
    <row r="34" spans="2:16" x14ac:dyDescent="0.25">
      <c r="B34" s="12"/>
      <c r="C34" s="12"/>
      <c r="D34" s="12"/>
      <c r="E34" s="12"/>
      <c r="F34" s="21"/>
      <c r="G34" s="78" t="str">
        <f>+CONCATENATE("TOTAL A ",D9)</f>
        <v>TOTAL A ENERO</v>
      </c>
      <c r="H34" s="78"/>
      <c r="I34" s="78"/>
      <c r="J34" s="78" t="s">
        <v>34</v>
      </c>
      <c r="K34" s="78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2" t="s">
        <v>35</v>
      </c>
      <c r="C37" s="72"/>
      <c r="D37" s="73" t="s">
        <v>36</v>
      </c>
      <c r="E37" s="74"/>
      <c r="F37" s="74"/>
      <c r="G37" s="74"/>
      <c r="H37" s="74"/>
      <c r="I37" s="74"/>
      <c r="J37" s="74"/>
      <c r="K37" s="74"/>
    </row>
    <row r="38" spans="2:16" x14ac:dyDescent="0.25">
      <c r="B38" s="75" t="s">
        <v>37</v>
      </c>
      <c r="C38" s="75"/>
      <c r="D38" s="75"/>
      <c r="E38" s="75"/>
      <c r="F38" s="75"/>
      <c r="G38" s="75"/>
      <c r="H38" s="75"/>
      <c r="I38" s="75"/>
      <c r="J38" s="75"/>
      <c r="K38" s="75"/>
    </row>
    <row r="39" spans="2:16" ht="20.100000000000001" customHeight="1" x14ac:dyDescent="0.25"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76" t="s">
        <v>36</v>
      </c>
      <c r="E41" s="76"/>
      <c r="F41" s="76"/>
      <c r="G41" s="76"/>
      <c r="H41" s="76"/>
      <c r="I41" s="76"/>
      <c r="J41" s="76"/>
      <c r="K41" s="76"/>
    </row>
    <row r="42" spans="2:16" ht="20.100000000000001" customHeight="1" x14ac:dyDescent="0.3">
      <c r="B42" s="50" t="s">
        <v>40</v>
      </c>
      <c r="C42" s="51"/>
      <c r="D42" s="76"/>
      <c r="E42" s="76"/>
      <c r="F42" s="76"/>
      <c r="G42" s="76"/>
      <c r="H42" s="76"/>
      <c r="I42" s="76"/>
      <c r="J42" s="76"/>
      <c r="K42" s="76"/>
    </row>
    <row r="43" spans="2:16" x14ac:dyDescent="0.25">
      <c r="B43" s="77" t="s">
        <v>37</v>
      </c>
      <c r="C43" s="77"/>
      <c r="D43" s="77"/>
      <c r="E43" s="77"/>
      <c r="F43" s="77"/>
      <c r="G43" s="77"/>
      <c r="H43" s="77"/>
      <c r="I43" s="77"/>
      <c r="J43" s="77"/>
      <c r="K43" s="77"/>
    </row>
    <row r="44" spans="2:16" ht="15" customHeight="1" x14ac:dyDescent="0.25">
      <c r="B44" s="77"/>
      <c r="C44" s="77"/>
      <c r="D44" s="77"/>
      <c r="E44" s="77"/>
      <c r="F44" s="77"/>
      <c r="G44" s="77"/>
      <c r="H44" s="77"/>
      <c r="I44" s="77"/>
      <c r="J44" s="77"/>
      <c r="K44" s="77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76" t="s">
        <v>36</v>
      </c>
      <c r="E46" s="76"/>
      <c r="F46" s="76"/>
      <c r="G46" s="76"/>
      <c r="H46" s="76"/>
      <c r="I46" s="76"/>
      <c r="J46" s="76"/>
      <c r="K46" s="76"/>
    </row>
    <row r="47" spans="2:16" ht="20.100000000000001" customHeight="1" x14ac:dyDescent="0.3">
      <c r="B47" s="50" t="s">
        <v>40</v>
      </c>
      <c r="C47" s="51"/>
      <c r="D47" s="76"/>
      <c r="E47" s="76"/>
      <c r="F47" s="76"/>
      <c r="G47" s="76"/>
      <c r="H47" s="76"/>
      <c r="I47" s="76"/>
      <c r="J47" s="76"/>
      <c r="K47" s="76"/>
    </row>
    <row r="50" spans="2:10" ht="19.5" customHeight="1" x14ac:dyDescent="0.25">
      <c r="B50" s="69"/>
      <c r="C50" s="69"/>
      <c r="D50" s="69"/>
      <c r="G50" s="69"/>
      <c r="H50" s="69"/>
      <c r="I50" s="69"/>
      <c r="J50" s="69"/>
    </row>
    <row r="51" spans="2:10" ht="18" customHeight="1" x14ac:dyDescent="0.25">
      <c r="B51" s="12" t="s">
        <v>42</v>
      </c>
      <c r="C51" s="70"/>
      <c r="D51" s="70"/>
      <c r="G51" s="12" t="s">
        <v>43</v>
      </c>
      <c r="H51" s="71"/>
      <c r="I51" s="71"/>
      <c r="J51" s="7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</mergeCells>
  <conditionalFormatting sqref="G35">
    <cfRule type="cellIs" dxfId="88" priority="7" operator="greaterThan">
      <formula>350</formula>
    </cfRule>
  </conditionalFormatting>
  <conditionalFormatting sqref="K26:K33">
    <cfRule type="cellIs" dxfId="87" priority="6" operator="greaterThan">
      <formula>1</formula>
    </cfRule>
  </conditionalFormatting>
  <conditionalFormatting sqref="K25">
    <cfRule type="cellIs" dxfId="86" priority="5" operator="greaterThan">
      <formula>1</formula>
    </cfRule>
  </conditionalFormatting>
  <conditionalFormatting sqref="K24">
    <cfRule type="cellIs" dxfId="85" priority="4" operator="greaterThan">
      <formula>1</formula>
    </cfRule>
  </conditionalFormatting>
  <conditionalFormatting sqref="K17:K23">
    <cfRule type="cellIs" dxfId="84" priority="3" operator="greaterThan">
      <formula>1</formula>
    </cfRule>
  </conditionalFormatting>
  <conditionalFormatting sqref="K16">
    <cfRule type="cellIs" dxfId="83" priority="2" operator="greaterThan">
      <formula>1</formula>
    </cfRule>
  </conditionalFormatting>
  <conditionalFormatting sqref="K15">
    <cfRule type="cellIs" dxfId="82" priority="1" operator="greaterThan">
      <formula>1</formula>
    </cfRule>
  </conditionalFormatting>
  <dataValidations count="3"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topLeftCell="A4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9" t="s">
        <v>1</v>
      </c>
      <c r="C2" s="79"/>
      <c r="D2" s="79"/>
      <c r="E2" s="79"/>
      <c r="F2" s="79"/>
      <c r="G2" s="79"/>
      <c r="H2" s="79"/>
      <c r="I2" s="79"/>
      <c r="J2" s="79"/>
      <c r="K2" s="79"/>
      <c r="P2" s="6" t="s">
        <v>2</v>
      </c>
    </row>
    <row r="3" spans="2:16" ht="18.75" customHeight="1" x14ac:dyDescent="0.25">
      <c r="B3" s="80" t="s">
        <v>3</v>
      </c>
      <c r="C3" s="81"/>
      <c r="D3" s="81"/>
      <c r="E3" s="81" t="s">
        <v>4</v>
      </c>
      <c r="F3" s="81"/>
      <c r="G3" s="81"/>
      <c r="H3" s="81"/>
      <c r="I3" s="81" t="s">
        <v>5</v>
      </c>
      <c r="J3" s="81"/>
      <c r="K3" s="82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83" t="s">
        <v>7</v>
      </c>
      <c r="C5" s="83"/>
      <c r="D5" s="68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83" t="s">
        <v>10</v>
      </c>
      <c r="C7" s="83"/>
      <c r="D7" s="84"/>
      <c r="E7" s="85"/>
      <c r="F7" s="85"/>
      <c r="G7" s="85"/>
      <c r="H7" s="85"/>
      <c r="I7" s="86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83" t="s">
        <v>13</v>
      </c>
      <c r="C9" s="83"/>
      <c r="D9" s="18" t="s">
        <v>6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83" t="s">
        <v>16</v>
      </c>
      <c r="C11" s="83"/>
      <c r="D11" s="22">
        <v>46081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2" t="s">
        <v>19</v>
      </c>
      <c r="C13" s="72"/>
      <c r="D13" s="72"/>
      <c r="E13" s="72"/>
      <c r="F13" s="72"/>
      <c r="G13" s="72"/>
      <c r="H13" s="83" t="s">
        <v>20</v>
      </c>
      <c r="I13" s="83"/>
      <c r="J13" s="83" t="s">
        <v>21</v>
      </c>
      <c r="K13" s="83"/>
      <c r="P13" s="6" t="s">
        <v>22</v>
      </c>
    </row>
    <row r="14" spans="2:16" ht="57.6" customHeight="1" x14ac:dyDescent="0.25">
      <c r="B14" s="67" t="s">
        <v>23</v>
      </c>
      <c r="C14" s="67" t="s">
        <v>24</v>
      </c>
      <c r="D14" s="67" t="s">
        <v>25</v>
      </c>
      <c r="E14" s="67" t="s">
        <v>26</v>
      </c>
      <c r="F14" s="67" t="s">
        <v>27</v>
      </c>
      <c r="G14" s="67" t="s">
        <v>28</v>
      </c>
      <c r="H14" s="67" t="s">
        <v>29</v>
      </c>
      <c r="I14" s="67" t="s">
        <v>30</v>
      </c>
      <c r="J14" s="67" t="s">
        <v>31</v>
      </c>
      <c r="K14" s="67" t="s">
        <v>30</v>
      </c>
      <c r="P14" s="6" t="s">
        <v>32</v>
      </c>
    </row>
    <row r="15" spans="2:16" x14ac:dyDescent="0.25">
      <c r="B15" s="54"/>
      <c r="C15" s="54"/>
      <c r="D15" s="52"/>
      <c r="E15" s="63"/>
      <c r="F15" s="28" t="s">
        <v>33</v>
      </c>
      <c r="G15" s="29">
        <f>ENERO!G15</f>
        <v>0</v>
      </c>
      <c r="H15" s="29"/>
      <c r="I15" s="30">
        <f t="shared" ref="I15:I33" si="0">IFERROR(H15/G15,0)</f>
        <v>0</v>
      </c>
      <c r="J15" s="31">
        <f>H15+ENERO!J15</f>
        <v>0</v>
      </c>
      <c r="K15" s="30">
        <f>IFERROR(J15/G15,0)</f>
        <v>0</v>
      </c>
    </row>
    <row r="16" spans="2:16" x14ac:dyDescent="0.25">
      <c r="B16" s="57"/>
      <c r="C16" s="33"/>
      <c r="D16" s="55"/>
      <c r="E16" s="63"/>
      <c r="F16" s="33" t="s">
        <v>33</v>
      </c>
      <c r="G16" s="56">
        <f>ENERO!G16</f>
        <v>0</v>
      </c>
      <c r="H16" s="34"/>
      <c r="I16" s="35">
        <f t="shared" ref="I16:I25" si="1">IFERROR(H16/G16,0)</f>
        <v>0</v>
      </c>
      <c r="J16" s="1">
        <f>H16+ENERO!J16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H17+ENERO!J17</f>
        <v>0</v>
      </c>
      <c r="K17" s="35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H18+ENERO!J18</f>
        <v>0</v>
      </c>
      <c r="K18" s="35">
        <f t="shared" ref="K18:K22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H19+ENERO!J19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H20+ENERO!J20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si="1"/>
        <v>0</v>
      </c>
      <c r="J21" s="1">
        <f>H21+ENERO!J21</f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H22+ENERO!J22</f>
        <v>0</v>
      </c>
      <c r="K22" s="35">
        <f t="shared" si="2"/>
        <v>0</v>
      </c>
    </row>
    <row r="23" spans="2:16" x14ac:dyDescent="0.25">
      <c r="B23" s="57"/>
      <c r="C23" s="33"/>
      <c r="D23" s="55"/>
      <c r="E23" s="63"/>
      <c r="F23" s="33" t="s">
        <v>33</v>
      </c>
      <c r="G23" s="56">
        <f>ENERO!G23</f>
        <v>0</v>
      </c>
      <c r="H23" s="34"/>
      <c r="I23" s="35">
        <f t="shared" si="1"/>
        <v>0</v>
      </c>
      <c r="J23" s="1">
        <f>H23+ENERO!J23</f>
        <v>0</v>
      </c>
      <c r="K23" s="35">
        <f>IFERROR(J23/G23,0)</f>
        <v>0</v>
      </c>
    </row>
    <row r="24" spans="2:16" x14ac:dyDescent="0.25">
      <c r="B24" s="33"/>
      <c r="C24" s="33"/>
      <c r="D24" s="36"/>
      <c r="E24" s="63"/>
      <c r="F24" s="32" t="s">
        <v>33</v>
      </c>
      <c r="G24" s="34">
        <f>ENERO!G24</f>
        <v>0</v>
      </c>
      <c r="H24" s="37"/>
      <c r="I24" s="38">
        <f t="shared" si="1"/>
        <v>0</v>
      </c>
      <c r="J24" s="2">
        <f>H24+ENERO!J24</f>
        <v>0</v>
      </c>
      <c r="K24" s="35">
        <f>IFERROR(J24/G24,0)</f>
        <v>0</v>
      </c>
    </row>
    <row r="25" spans="2:16" x14ac:dyDescent="0.25">
      <c r="B25" s="33"/>
      <c r="C25" s="33"/>
      <c r="D25" s="36"/>
      <c r="E25" s="63"/>
      <c r="F25" s="33" t="s">
        <v>33</v>
      </c>
      <c r="G25" s="34">
        <f>ENERO!G25</f>
        <v>0</v>
      </c>
      <c r="H25" s="34"/>
      <c r="I25" s="35">
        <f t="shared" si="1"/>
        <v>0</v>
      </c>
      <c r="J25" s="1">
        <f>H25+ENERO!J25</f>
        <v>0</v>
      </c>
      <c r="K25" s="35">
        <f t="shared" ref="K25" si="3">IFERROR(J25/G25,0)</f>
        <v>0</v>
      </c>
    </row>
    <row r="26" spans="2:16" x14ac:dyDescent="0.25">
      <c r="B26" s="57"/>
      <c r="C26" s="33"/>
      <c r="D26" s="55"/>
      <c r="E26" s="63"/>
      <c r="F26" s="33" t="s">
        <v>33</v>
      </c>
      <c r="G26" s="56">
        <f>ENERO!G26</f>
        <v>0</v>
      </c>
      <c r="H26" s="34"/>
      <c r="I26" s="35">
        <f t="shared" si="0"/>
        <v>0</v>
      </c>
      <c r="J26" s="1">
        <f>H26+ENERO!J26</f>
        <v>0</v>
      </c>
      <c r="K26" s="35">
        <f>IFERROR(J26/G26,0)</f>
        <v>0</v>
      </c>
    </row>
    <row r="27" spans="2:16" x14ac:dyDescent="0.25">
      <c r="B27" s="33"/>
      <c r="C27" s="33"/>
      <c r="D27" s="36"/>
      <c r="E27" s="63"/>
      <c r="F27" s="32" t="s">
        <v>33</v>
      </c>
      <c r="G27" s="34">
        <f>ENERO!G27</f>
        <v>0</v>
      </c>
      <c r="H27" s="37"/>
      <c r="I27" s="38">
        <f t="shared" si="0"/>
        <v>0</v>
      </c>
      <c r="J27" s="2">
        <f>H27+ENERO!J27</f>
        <v>0</v>
      </c>
      <c r="K27" s="35">
        <f>IFERROR(J27/G27,0)</f>
        <v>0</v>
      </c>
    </row>
    <row r="28" spans="2:16" x14ac:dyDescent="0.25">
      <c r="B28" s="33"/>
      <c r="C28" s="33"/>
      <c r="D28" s="36"/>
      <c r="E28" s="63"/>
      <c r="F28" s="33" t="s">
        <v>33</v>
      </c>
      <c r="G28" s="34">
        <f>ENERO!G28</f>
        <v>0</v>
      </c>
      <c r="H28" s="34"/>
      <c r="I28" s="35">
        <f t="shared" si="0"/>
        <v>0</v>
      </c>
      <c r="J28" s="1">
        <f>H28+ENERO!J28</f>
        <v>0</v>
      </c>
      <c r="K28" s="35">
        <f t="shared" ref="K28:K33" si="4">IFERROR(J28/G28,0)</f>
        <v>0</v>
      </c>
    </row>
    <row r="29" spans="2:16" s="14" customFormat="1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H29+ENERO!J29</f>
        <v>0</v>
      </c>
      <c r="K29" s="35">
        <f t="shared" si="4"/>
        <v>0</v>
      </c>
      <c r="N29" s="39"/>
      <c r="P29" s="39"/>
    </row>
    <row r="30" spans="2:16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H30+ENERO!J30</f>
        <v>0</v>
      </c>
      <c r="K30" s="35">
        <f t="shared" si="4"/>
        <v>0</v>
      </c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H31+ENERO!J31</f>
        <v>0</v>
      </c>
      <c r="K31" s="35">
        <f t="shared" si="4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1">
        <f>H32+ENERO!J32</f>
        <v>0</v>
      </c>
      <c r="K32" s="35">
        <f t="shared" si="4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H33+ENERO!J33</f>
        <v>0</v>
      </c>
      <c r="K33" s="43">
        <f t="shared" si="4"/>
        <v>0</v>
      </c>
    </row>
    <row r="34" spans="2:16" x14ac:dyDescent="0.25">
      <c r="B34" s="12"/>
      <c r="C34" s="12"/>
      <c r="D34" s="12"/>
      <c r="E34" s="12"/>
      <c r="F34" s="21"/>
      <c r="G34" s="78" t="str">
        <f>+CONCATENATE("TOTAL A ",D9)</f>
        <v>TOTAL A FEBRERO</v>
      </c>
      <c r="H34" s="78"/>
      <c r="I34" s="78"/>
      <c r="J34" s="78" t="s">
        <v>34</v>
      </c>
      <c r="K34" s="78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2" t="s">
        <v>35</v>
      </c>
      <c r="C37" s="72"/>
      <c r="D37" s="73" t="s">
        <v>36</v>
      </c>
      <c r="E37" s="74"/>
      <c r="F37" s="74"/>
      <c r="G37" s="74"/>
      <c r="H37" s="74"/>
      <c r="I37" s="74"/>
      <c r="J37" s="74"/>
      <c r="K37" s="74"/>
    </row>
    <row r="38" spans="2:16" x14ac:dyDescent="0.25">
      <c r="B38" s="75" t="s">
        <v>37</v>
      </c>
      <c r="C38" s="75"/>
      <c r="D38" s="75"/>
      <c r="E38" s="75"/>
      <c r="F38" s="75"/>
      <c r="G38" s="75"/>
      <c r="H38" s="75"/>
      <c r="I38" s="75"/>
      <c r="J38" s="75"/>
      <c r="K38" s="75"/>
    </row>
    <row r="39" spans="2:16" ht="20.100000000000001" customHeight="1" x14ac:dyDescent="0.25"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76" t="s">
        <v>36</v>
      </c>
      <c r="E41" s="76"/>
      <c r="F41" s="76"/>
      <c r="G41" s="76"/>
      <c r="H41" s="76"/>
      <c r="I41" s="76"/>
      <c r="J41" s="76"/>
      <c r="K41" s="76"/>
    </row>
    <row r="42" spans="2:16" ht="20.100000000000001" customHeight="1" x14ac:dyDescent="0.3">
      <c r="B42" s="50" t="s">
        <v>40</v>
      </c>
      <c r="C42" s="51"/>
      <c r="D42" s="76"/>
      <c r="E42" s="76"/>
      <c r="F42" s="76"/>
      <c r="G42" s="76"/>
      <c r="H42" s="76"/>
      <c r="I42" s="76"/>
      <c r="J42" s="76"/>
      <c r="K42" s="76"/>
    </row>
    <row r="43" spans="2:16" x14ac:dyDescent="0.25">
      <c r="B43" s="77" t="s">
        <v>37</v>
      </c>
      <c r="C43" s="77"/>
      <c r="D43" s="77"/>
      <c r="E43" s="77"/>
      <c r="F43" s="77"/>
      <c r="G43" s="77"/>
      <c r="H43" s="77"/>
      <c r="I43" s="77"/>
      <c r="J43" s="77"/>
      <c r="K43" s="77"/>
    </row>
    <row r="44" spans="2:16" ht="15" customHeight="1" x14ac:dyDescent="0.25">
      <c r="B44" s="77"/>
      <c r="C44" s="77"/>
      <c r="D44" s="77"/>
      <c r="E44" s="77"/>
      <c r="F44" s="77"/>
      <c r="G44" s="77"/>
      <c r="H44" s="77"/>
      <c r="I44" s="77"/>
      <c r="J44" s="77"/>
      <c r="K44" s="77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76" t="s">
        <v>36</v>
      </c>
      <c r="E46" s="76"/>
      <c r="F46" s="76"/>
      <c r="G46" s="76"/>
      <c r="H46" s="76"/>
      <c r="I46" s="76"/>
      <c r="J46" s="76"/>
      <c r="K46" s="76"/>
    </row>
    <row r="47" spans="2:16" ht="20.100000000000001" customHeight="1" x14ac:dyDescent="0.3">
      <c r="B47" s="50" t="s">
        <v>40</v>
      </c>
      <c r="C47" s="51"/>
      <c r="D47" s="76"/>
      <c r="E47" s="76"/>
      <c r="F47" s="76"/>
      <c r="G47" s="76"/>
      <c r="H47" s="76"/>
      <c r="I47" s="76"/>
      <c r="J47" s="76"/>
      <c r="K47" s="76"/>
    </row>
    <row r="50" spans="2:10" ht="19.5" customHeight="1" x14ac:dyDescent="0.25">
      <c r="B50" s="69"/>
      <c r="C50" s="69"/>
      <c r="D50" s="69"/>
      <c r="G50" s="69"/>
      <c r="H50" s="69"/>
      <c r="I50" s="69"/>
      <c r="J50" s="69"/>
    </row>
    <row r="51" spans="2:10" ht="18" customHeight="1" x14ac:dyDescent="0.25">
      <c r="B51" s="12" t="s">
        <v>42</v>
      </c>
      <c r="C51" s="70"/>
      <c r="D51" s="70"/>
      <c r="G51" s="12" t="s">
        <v>43</v>
      </c>
      <c r="H51" s="71"/>
      <c r="I51" s="71"/>
      <c r="J51" s="7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</mergeCells>
  <conditionalFormatting sqref="G35">
    <cfRule type="cellIs" dxfId="81" priority="8" operator="greaterThan">
      <formula>350</formula>
    </cfRule>
  </conditionalFormatting>
  <conditionalFormatting sqref="K27:K33">
    <cfRule type="cellIs" dxfId="80" priority="7" operator="greaterThan">
      <formula>1</formula>
    </cfRule>
  </conditionalFormatting>
  <conditionalFormatting sqref="K26">
    <cfRule type="cellIs" dxfId="79" priority="6" operator="greaterThan">
      <formula>1</formula>
    </cfRule>
  </conditionalFormatting>
  <conditionalFormatting sqref="K15">
    <cfRule type="cellIs" dxfId="78" priority="5" operator="greaterThan">
      <formula>1</formula>
    </cfRule>
  </conditionalFormatting>
  <conditionalFormatting sqref="K17:K22">
    <cfRule type="cellIs" dxfId="77" priority="4" operator="greaterThan">
      <formula>1</formula>
    </cfRule>
  </conditionalFormatting>
  <conditionalFormatting sqref="K16">
    <cfRule type="cellIs" dxfId="76" priority="3" operator="greaterThan">
      <formula>1</formula>
    </cfRule>
  </conditionalFormatting>
  <conditionalFormatting sqref="K24:K25">
    <cfRule type="cellIs" dxfId="75" priority="2" operator="greaterThan">
      <formula>1</formula>
    </cfRule>
  </conditionalFormatting>
  <conditionalFormatting sqref="K23">
    <cfRule type="cellIs" dxfId="74" priority="1" operator="greaterThan">
      <formula>1</formula>
    </cfRule>
  </conditionalFormatting>
  <dataValidations count="3"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topLeftCell="A7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9" t="s">
        <v>1</v>
      </c>
      <c r="C2" s="79"/>
      <c r="D2" s="79"/>
      <c r="E2" s="79"/>
      <c r="F2" s="79"/>
      <c r="G2" s="79"/>
      <c r="H2" s="79"/>
      <c r="I2" s="79"/>
      <c r="J2" s="79"/>
      <c r="K2" s="79"/>
      <c r="P2" s="6" t="s">
        <v>2</v>
      </c>
    </row>
    <row r="3" spans="2:16" ht="18.75" customHeight="1" x14ac:dyDescent="0.25">
      <c r="B3" s="80" t="s">
        <v>3</v>
      </c>
      <c r="C3" s="81"/>
      <c r="D3" s="81"/>
      <c r="E3" s="81" t="s">
        <v>4</v>
      </c>
      <c r="F3" s="81"/>
      <c r="G3" s="81"/>
      <c r="H3" s="81"/>
      <c r="I3" s="81" t="s">
        <v>5</v>
      </c>
      <c r="J3" s="81"/>
      <c r="K3" s="82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83" t="s">
        <v>7</v>
      </c>
      <c r="C5" s="83"/>
      <c r="D5" s="10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83" t="s">
        <v>10</v>
      </c>
      <c r="C7" s="83"/>
      <c r="D7" s="87"/>
      <c r="E7" s="87"/>
      <c r="F7" s="87"/>
      <c r="G7" s="87"/>
      <c r="H7" s="87"/>
      <c r="I7" s="8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83" t="s">
        <v>13</v>
      </c>
      <c r="C9" s="83"/>
      <c r="D9" s="18" t="s">
        <v>8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83" t="s">
        <v>16</v>
      </c>
      <c r="C11" s="83"/>
      <c r="D11" s="22">
        <v>46112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2" t="s">
        <v>19</v>
      </c>
      <c r="C13" s="72"/>
      <c r="D13" s="72"/>
      <c r="E13" s="72"/>
      <c r="F13" s="72"/>
      <c r="G13" s="72"/>
      <c r="H13" s="83" t="s">
        <v>20</v>
      </c>
      <c r="I13" s="83"/>
      <c r="J13" s="83" t="s">
        <v>21</v>
      </c>
      <c r="K13" s="83"/>
      <c r="P13" s="6" t="s">
        <v>22</v>
      </c>
    </row>
    <row r="14" spans="2:16" ht="57.6" customHeight="1" x14ac:dyDescent="0.25">
      <c r="B14" s="27" t="s">
        <v>23</v>
      </c>
      <c r="C14" s="27" t="s">
        <v>24</v>
      </c>
      <c r="D14" s="27" t="s">
        <v>25</v>
      </c>
      <c r="E14" s="27" t="s">
        <v>26</v>
      </c>
      <c r="F14" s="27" t="s">
        <v>27</v>
      </c>
      <c r="G14" s="27" t="s">
        <v>28</v>
      </c>
      <c r="H14" s="27" t="s">
        <v>29</v>
      </c>
      <c r="I14" s="27" t="s">
        <v>30</v>
      </c>
      <c r="J14" s="27" t="s">
        <v>31</v>
      </c>
      <c r="K14" s="2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28" t="s">
        <v>33</v>
      </c>
      <c r="G15" s="29">
        <f>ENERO!G15</f>
        <v>0</v>
      </c>
      <c r="H15" s="29"/>
      <c r="I15" s="30">
        <f t="shared" ref="I15:I33" si="0">IFERROR(H15/G15,0)</f>
        <v>0</v>
      </c>
      <c r="J15" s="31">
        <f>H15+FEBRERO!J15</f>
        <v>0</v>
      </c>
      <c r="K15" s="30">
        <f>IFERROR(J15/G15,0)</f>
        <v>0</v>
      </c>
    </row>
    <row r="16" spans="2:16" x14ac:dyDescent="0.25">
      <c r="B16" s="57"/>
      <c r="C16" s="33"/>
      <c r="D16" s="55"/>
      <c r="E16" s="63"/>
      <c r="F16" s="33" t="s">
        <v>33</v>
      </c>
      <c r="G16" s="56">
        <f>ENERO!G16</f>
        <v>0</v>
      </c>
      <c r="H16" s="34"/>
      <c r="I16" s="35">
        <f t="shared" ref="I16:I26" si="1">IFERROR(H16/G16,0)</f>
        <v>0</v>
      </c>
      <c r="J16" s="1">
        <f>H16+FEBRERO!J16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H17+FEBRERO!J17</f>
        <v>0</v>
      </c>
      <c r="K17" s="35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H18+FEBRERO!J18</f>
        <v>0</v>
      </c>
      <c r="K18" s="35">
        <f t="shared" ref="K18:K26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H19+FEBRERO!J19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H20+FEBRERO!J20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si="1"/>
        <v>0</v>
      </c>
      <c r="J21" s="1">
        <f>H21+FEBRERO!J21</f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H22+FEBRERO!J22</f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56">
        <f>ENERO!G23</f>
        <v>0</v>
      </c>
      <c r="H23" s="34"/>
      <c r="I23" s="35">
        <f t="shared" ref="I23:I25" si="3">IFERROR(H23/G23,0)</f>
        <v>0</v>
      </c>
      <c r="J23" s="2">
        <f>H23+FEBRERO!J23</f>
        <v>0</v>
      </c>
      <c r="K23" s="35">
        <f t="shared" ref="K23" si="4">IFERROR(J23/G23,0)</f>
        <v>0</v>
      </c>
    </row>
    <row r="24" spans="2:16" x14ac:dyDescent="0.25">
      <c r="B24" s="57"/>
      <c r="C24" s="33"/>
      <c r="D24" s="55"/>
      <c r="E24" s="63"/>
      <c r="F24" s="33" t="s">
        <v>33</v>
      </c>
      <c r="G24" s="34">
        <f>ENERO!G24</f>
        <v>0</v>
      </c>
      <c r="H24" s="34"/>
      <c r="I24" s="35">
        <f t="shared" si="3"/>
        <v>0</v>
      </c>
      <c r="J24" s="1">
        <f>H24+FEBRERO!J24</f>
        <v>0</v>
      </c>
      <c r="K24" s="35">
        <f>IFERROR(J24/G24,0)</f>
        <v>0</v>
      </c>
    </row>
    <row r="25" spans="2:16" x14ac:dyDescent="0.25">
      <c r="B25" s="33"/>
      <c r="C25" s="33"/>
      <c r="D25" s="36"/>
      <c r="E25" s="63"/>
      <c r="F25" s="32" t="s">
        <v>33</v>
      </c>
      <c r="G25" s="34">
        <f>ENERO!G25</f>
        <v>0</v>
      </c>
      <c r="H25" s="37"/>
      <c r="I25" s="38">
        <f t="shared" si="3"/>
        <v>0</v>
      </c>
      <c r="J25" s="1">
        <f>H25+FEBRERO!J25</f>
        <v>0</v>
      </c>
      <c r="K25" s="35">
        <f>IFERROR(J25/G25,0)</f>
        <v>0</v>
      </c>
    </row>
    <row r="26" spans="2:16" x14ac:dyDescent="0.25">
      <c r="B26" s="33"/>
      <c r="C26" s="33"/>
      <c r="D26" s="36"/>
      <c r="E26" s="63"/>
      <c r="F26" s="33" t="s">
        <v>33</v>
      </c>
      <c r="G26" s="56">
        <f>ENERO!G26</f>
        <v>0</v>
      </c>
      <c r="H26" s="34"/>
      <c r="I26" s="35">
        <f t="shared" si="1"/>
        <v>0</v>
      </c>
      <c r="J26" s="1">
        <f>H26+FEBRERO!J26</f>
        <v>0</v>
      </c>
      <c r="K26" s="35">
        <f t="shared" si="2"/>
        <v>0</v>
      </c>
    </row>
    <row r="27" spans="2:16" x14ac:dyDescent="0.25">
      <c r="B27" s="57"/>
      <c r="C27" s="33"/>
      <c r="D27" s="55"/>
      <c r="E27" s="63"/>
      <c r="F27" s="33" t="s">
        <v>33</v>
      </c>
      <c r="G27" s="34">
        <f>ENERO!G27</f>
        <v>0</v>
      </c>
      <c r="H27" s="34"/>
      <c r="I27" s="35">
        <f t="shared" si="0"/>
        <v>0</v>
      </c>
      <c r="J27" s="1">
        <f>H27+FEBRERO!J27</f>
        <v>0</v>
      </c>
      <c r="K27" s="35">
        <f>IFERROR(J27/G27,0)</f>
        <v>0</v>
      </c>
    </row>
    <row r="28" spans="2:16" x14ac:dyDescent="0.25">
      <c r="B28" s="33"/>
      <c r="C28" s="33"/>
      <c r="D28" s="36"/>
      <c r="E28" s="63"/>
      <c r="F28" s="32" t="s">
        <v>33</v>
      </c>
      <c r="G28" s="34">
        <f>ENERO!G28</f>
        <v>0</v>
      </c>
      <c r="H28" s="37"/>
      <c r="I28" s="38">
        <f t="shared" si="0"/>
        <v>0</v>
      </c>
      <c r="J28" s="2">
        <f>H28+FEBRERO!J28</f>
        <v>0</v>
      </c>
      <c r="K28" s="35">
        <f>IFERROR(J28/G28,0)</f>
        <v>0</v>
      </c>
    </row>
    <row r="29" spans="2:16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H29+FEBRERO!J29</f>
        <v>0</v>
      </c>
      <c r="K29" s="35">
        <f t="shared" ref="K29:K33" si="5">IFERROR(J29/G29,0)</f>
        <v>0</v>
      </c>
    </row>
    <row r="30" spans="2:16" s="14" customFormat="1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H30+FEBRERO!J30</f>
        <v>0</v>
      </c>
      <c r="K30" s="35">
        <f t="shared" si="5"/>
        <v>0</v>
      </c>
      <c r="N30" s="39"/>
      <c r="P30" s="39"/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H31+FEBRERO!J31</f>
        <v>0</v>
      </c>
      <c r="K31" s="35">
        <f t="shared" si="5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1">
        <f>H32+FEBRERO!J32</f>
        <v>0</v>
      </c>
      <c r="K32" s="35">
        <f t="shared" si="5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H33+FEBRERO!J33</f>
        <v>0</v>
      </c>
      <c r="K33" s="43">
        <f t="shared" si="5"/>
        <v>0</v>
      </c>
    </row>
    <row r="34" spans="2:16" x14ac:dyDescent="0.25">
      <c r="B34" s="12"/>
      <c r="C34" s="12"/>
      <c r="D34" s="12"/>
      <c r="E34" s="12"/>
      <c r="F34" s="21"/>
      <c r="G34" s="78" t="str">
        <f>+CONCATENATE("TOTAL A ",D9)</f>
        <v>TOTAL A MARZO</v>
      </c>
      <c r="H34" s="78"/>
      <c r="I34" s="78"/>
      <c r="J34" s="78" t="s">
        <v>34</v>
      </c>
      <c r="K34" s="78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2" t="s">
        <v>35</v>
      </c>
      <c r="C37" s="72"/>
      <c r="D37" s="73" t="s">
        <v>36</v>
      </c>
      <c r="E37" s="74"/>
      <c r="F37" s="74"/>
      <c r="G37" s="74"/>
      <c r="H37" s="74"/>
      <c r="I37" s="74"/>
      <c r="J37" s="74"/>
      <c r="K37" s="74"/>
    </row>
    <row r="38" spans="2:16" x14ac:dyDescent="0.25">
      <c r="B38" s="75" t="s">
        <v>37</v>
      </c>
      <c r="C38" s="75"/>
      <c r="D38" s="75"/>
      <c r="E38" s="75"/>
      <c r="F38" s="75"/>
      <c r="G38" s="75"/>
      <c r="H38" s="75"/>
      <c r="I38" s="75"/>
      <c r="J38" s="75"/>
      <c r="K38" s="75"/>
    </row>
    <row r="39" spans="2:16" ht="20.100000000000001" customHeight="1" x14ac:dyDescent="0.25"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76" t="s">
        <v>36</v>
      </c>
      <c r="E41" s="76"/>
      <c r="F41" s="76"/>
      <c r="G41" s="76"/>
      <c r="H41" s="76"/>
      <c r="I41" s="76"/>
      <c r="J41" s="76"/>
      <c r="K41" s="76"/>
    </row>
    <row r="42" spans="2:16" ht="20.100000000000001" customHeight="1" x14ac:dyDescent="0.3">
      <c r="B42" s="50" t="s">
        <v>40</v>
      </c>
      <c r="C42" s="51"/>
      <c r="D42" s="76"/>
      <c r="E42" s="76"/>
      <c r="F42" s="76"/>
      <c r="G42" s="76"/>
      <c r="H42" s="76"/>
      <c r="I42" s="76"/>
      <c r="J42" s="76"/>
      <c r="K42" s="76"/>
    </row>
    <row r="43" spans="2:16" x14ac:dyDescent="0.25">
      <c r="B43" s="77" t="s">
        <v>37</v>
      </c>
      <c r="C43" s="77"/>
      <c r="D43" s="77"/>
      <c r="E43" s="77"/>
      <c r="F43" s="77"/>
      <c r="G43" s="77"/>
      <c r="H43" s="77"/>
      <c r="I43" s="77"/>
      <c r="J43" s="77"/>
      <c r="K43" s="77"/>
    </row>
    <row r="44" spans="2:16" ht="15" customHeight="1" x14ac:dyDescent="0.25">
      <c r="B44" s="77"/>
      <c r="C44" s="77"/>
      <c r="D44" s="77"/>
      <c r="E44" s="77"/>
      <c r="F44" s="77"/>
      <c r="G44" s="77"/>
      <c r="H44" s="77"/>
      <c r="I44" s="77"/>
      <c r="J44" s="77"/>
      <c r="K44" s="77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76" t="s">
        <v>36</v>
      </c>
      <c r="E46" s="76"/>
      <c r="F46" s="76"/>
      <c r="G46" s="76"/>
      <c r="H46" s="76"/>
      <c r="I46" s="76"/>
      <c r="J46" s="76"/>
      <c r="K46" s="76"/>
    </row>
    <row r="47" spans="2:16" ht="20.100000000000001" customHeight="1" x14ac:dyDescent="0.3">
      <c r="B47" s="50" t="s">
        <v>40</v>
      </c>
      <c r="C47" s="51"/>
      <c r="D47" s="76"/>
      <c r="E47" s="76"/>
      <c r="F47" s="76"/>
      <c r="G47" s="76"/>
      <c r="H47" s="76"/>
      <c r="I47" s="76"/>
      <c r="J47" s="76"/>
      <c r="K47" s="76"/>
    </row>
    <row r="50" spans="2:10" ht="19.5" customHeight="1" x14ac:dyDescent="0.25">
      <c r="B50" s="69"/>
      <c r="C50" s="69"/>
      <c r="D50" s="69"/>
      <c r="G50" s="69"/>
      <c r="H50" s="69"/>
      <c r="I50" s="69"/>
      <c r="J50" s="69"/>
    </row>
    <row r="51" spans="2:10" ht="18" customHeight="1" x14ac:dyDescent="0.25">
      <c r="B51" s="12" t="s">
        <v>42</v>
      </c>
      <c r="C51" s="70"/>
      <c r="D51" s="70"/>
      <c r="G51" s="12" t="s">
        <v>43</v>
      </c>
      <c r="H51" s="71"/>
      <c r="I51" s="71"/>
      <c r="J51" s="7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</mergeCells>
  <conditionalFormatting sqref="G35">
    <cfRule type="cellIs" dxfId="73" priority="9" operator="greaterThan">
      <formula>350</formula>
    </cfRule>
  </conditionalFormatting>
  <conditionalFormatting sqref="K28:K33">
    <cfRule type="cellIs" dxfId="72" priority="8" operator="greaterThan">
      <formula>1</formula>
    </cfRule>
  </conditionalFormatting>
  <conditionalFormatting sqref="K27">
    <cfRule type="cellIs" dxfId="71" priority="7" operator="greaterThan">
      <formula>1</formula>
    </cfRule>
  </conditionalFormatting>
  <conditionalFormatting sqref="K15">
    <cfRule type="cellIs" dxfId="70" priority="6" operator="greaterThan">
      <formula>1</formula>
    </cfRule>
  </conditionalFormatting>
  <conditionalFormatting sqref="K17:K22 K26">
    <cfRule type="cellIs" dxfId="69" priority="5" operator="greaterThan">
      <formula>1</formula>
    </cfRule>
  </conditionalFormatting>
  <conditionalFormatting sqref="K16">
    <cfRule type="cellIs" dxfId="68" priority="4" operator="greaterThan">
      <formula>1</formula>
    </cfRule>
  </conditionalFormatting>
  <conditionalFormatting sqref="K25">
    <cfRule type="cellIs" dxfId="67" priority="3" operator="greaterThan">
      <formula>1</formula>
    </cfRule>
  </conditionalFormatting>
  <conditionalFormatting sqref="K24">
    <cfRule type="cellIs" dxfId="66" priority="2" operator="greaterThan">
      <formula>1</formula>
    </cfRule>
  </conditionalFormatting>
  <conditionalFormatting sqref="K23">
    <cfRule type="cellIs" dxfId="65" priority="1" operator="greaterThan">
      <formula>1</formula>
    </cfRule>
  </conditionalFormatting>
  <dataValidations xWindow="783" yWindow="670" count="3"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topLeftCell="A9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9" t="s">
        <v>1</v>
      </c>
      <c r="C2" s="79"/>
      <c r="D2" s="79"/>
      <c r="E2" s="79"/>
      <c r="F2" s="79"/>
      <c r="G2" s="79"/>
      <c r="H2" s="79"/>
      <c r="I2" s="79"/>
      <c r="J2" s="79"/>
      <c r="K2" s="79"/>
      <c r="P2" s="6" t="s">
        <v>2</v>
      </c>
    </row>
    <row r="3" spans="2:16" ht="18.75" customHeight="1" x14ac:dyDescent="0.25">
      <c r="B3" s="80" t="s">
        <v>3</v>
      </c>
      <c r="C3" s="81"/>
      <c r="D3" s="81"/>
      <c r="E3" s="81" t="s">
        <v>4</v>
      </c>
      <c r="F3" s="81"/>
      <c r="G3" s="81"/>
      <c r="H3" s="81"/>
      <c r="I3" s="81" t="s">
        <v>5</v>
      </c>
      <c r="J3" s="81"/>
      <c r="K3" s="82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83" t="s">
        <v>7</v>
      </c>
      <c r="C5" s="83"/>
      <c r="D5" s="10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83" t="s">
        <v>10</v>
      </c>
      <c r="C7" s="83"/>
      <c r="D7" s="87"/>
      <c r="E7" s="87"/>
      <c r="F7" s="87"/>
      <c r="G7" s="87"/>
      <c r="H7" s="87"/>
      <c r="I7" s="8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83" t="s">
        <v>13</v>
      </c>
      <c r="C9" s="83"/>
      <c r="D9" s="18" t="s">
        <v>9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83" t="s">
        <v>16</v>
      </c>
      <c r="C11" s="83"/>
      <c r="D11" s="22">
        <v>46142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2" t="s">
        <v>19</v>
      </c>
      <c r="C13" s="72"/>
      <c r="D13" s="72"/>
      <c r="E13" s="72"/>
      <c r="F13" s="72"/>
      <c r="G13" s="72"/>
      <c r="H13" s="83" t="s">
        <v>20</v>
      </c>
      <c r="I13" s="83"/>
      <c r="J13" s="83" t="s">
        <v>21</v>
      </c>
      <c r="K13" s="83"/>
      <c r="P13" s="6" t="s">
        <v>22</v>
      </c>
    </row>
    <row r="14" spans="2:16" ht="57.6" customHeight="1" x14ac:dyDescent="0.25">
      <c r="B14" s="27" t="s">
        <v>23</v>
      </c>
      <c r="C14" s="27" t="s">
        <v>24</v>
      </c>
      <c r="D14" s="27" t="s">
        <v>25</v>
      </c>
      <c r="E14" s="27" t="s">
        <v>26</v>
      </c>
      <c r="F14" s="27" t="s">
        <v>27</v>
      </c>
      <c r="G14" s="27" t="s">
        <v>28</v>
      </c>
      <c r="H14" s="27" t="s">
        <v>29</v>
      </c>
      <c r="I14" s="27" t="s">
        <v>30</v>
      </c>
      <c r="J14" s="27" t="s">
        <v>31</v>
      </c>
      <c r="K14" s="2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28" t="s">
        <v>33</v>
      </c>
      <c r="G15" s="29">
        <f>ENERO!G15</f>
        <v>0</v>
      </c>
      <c r="H15" s="29"/>
      <c r="I15" s="30">
        <f t="shared" ref="I15:I33" si="0">IFERROR(H15/G15,0)</f>
        <v>0</v>
      </c>
      <c r="J15" s="31">
        <f>H15+MARZO!J15</f>
        <v>0</v>
      </c>
      <c r="K15" s="30">
        <f>IFERROR(J15/G15,0)</f>
        <v>0</v>
      </c>
    </row>
    <row r="16" spans="2:16" x14ac:dyDescent="0.25">
      <c r="B16" s="57"/>
      <c r="C16" s="33"/>
      <c r="D16" s="55"/>
      <c r="E16" s="63"/>
      <c r="F16" s="33" t="s">
        <v>33</v>
      </c>
      <c r="G16" s="56">
        <f>ENERO!G16</f>
        <v>0</v>
      </c>
      <c r="H16" s="34"/>
      <c r="I16" s="35">
        <f t="shared" ref="I16:I26" si="1">IFERROR(H16/G16,0)</f>
        <v>0</v>
      </c>
      <c r="J16" s="1">
        <f>H16+MARZO!J16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H17+MARZO!J17</f>
        <v>0</v>
      </c>
      <c r="K17" s="35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H18+MARZO!J18</f>
        <v>0</v>
      </c>
      <c r="K18" s="35">
        <f t="shared" ref="K18:K23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H19+MARZO!J19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H20+MARZO!J20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si="1"/>
        <v>0</v>
      </c>
      <c r="J21" s="1">
        <f>H21+MARZO!J21</f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H22+MARZO!J22</f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56">
        <f>ENERO!G23</f>
        <v>0</v>
      </c>
      <c r="H23" s="34"/>
      <c r="I23" s="35">
        <f t="shared" si="1"/>
        <v>0</v>
      </c>
      <c r="J23" s="2">
        <f>H23+MARZO!J23</f>
        <v>0</v>
      </c>
      <c r="K23" s="35">
        <f t="shared" si="2"/>
        <v>0</v>
      </c>
    </row>
    <row r="24" spans="2:16" x14ac:dyDescent="0.25">
      <c r="B24" s="57"/>
      <c r="C24" s="33"/>
      <c r="D24" s="55"/>
      <c r="E24" s="63"/>
      <c r="F24" s="33" t="s">
        <v>33</v>
      </c>
      <c r="G24" s="34">
        <f>ENERO!G24</f>
        <v>0</v>
      </c>
      <c r="H24" s="34"/>
      <c r="I24" s="35">
        <f t="shared" si="1"/>
        <v>0</v>
      </c>
      <c r="J24" s="1">
        <f>H24+MARZO!J24</f>
        <v>0</v>
      </c>
      <c r="K24" s="35">
        <f>IFERROR(J24/G24,0)</f>
        <v>0</v>
      </c>
    </row>
    <row r="25" spans="2:16" x14ac:dyDescent="0.25">
      <c r="B25" s="33"/>
      <c r="C25" s="33"/>
      <c r="D25" s="36"/>
      <c r="E25" s="63"/>
      <c r="F25" s="32" t="s">
        <v>33</v>
      </c>
      <c r="G25" s="34">
        <f>ENERO!G25</f>
        <v>0</v>
      </c>
      <c r="H25" s="37"/>
      <c r="I25" s="38">
        <f t="shared" si="1"/>
        <v>0</v>
      </c>
      <c r="J25" s="2">
        <f>H25+MARZO!J25</f>
        <v>0</v>
      </c>
      <c r="K25" s="35">
        <f>IFERROR(J25/G25,0)</f>
        <v>0</v>
      </c>
    </row>
    <row r="26" spans="2:16" x14ac:dyDescent="0.25">
      <c r="B26" s="33"/>
      <c r="C26" s="33"/>
      <c r="D26" s="36"/>
      <c r="E26" s="63"/>
      <c r="F26" s="33" t="s">
        <v>33</v>
      </c>
      <c r="G26" s="56">
        <f>ENERO!G26</f>
        <v>0</v>
      </c>
      <c r="H26" s="34"/>
      <c r="I26" s="35">
        <f t="shared" si="1"/>
        <v>0</v>
      </c>
      <c r="J26" s="1">
        <f>H26+MARZO!J26</f>
        <v>0</v>
      </c>
      <c r="K26" s="35">
        <f t="shared" ref="K26" si="3">IFERROR(J26/G26,0)</f>
        <v>0</v>
      </c>
    </row>
    <row r="27" spans="2:16" x14ac:dyDescent="0.25">
      <c r="B27" s="57"/>
      <c r="C27" s="33"/>
      <c r="D27" s="55"/>
      <c r="E27" s="63"/>
      <c r="F27" s="33" t="s">
        <v>33</v>
      </c>
      <c r="G27" s="34">
        <f>ENERO!G27</f>
        <v>0</v>
      </c>
      <c r="H27" s="34"/>
      <c r="I27" s="35">
        <f t="shared" si="0"/>
        <v>0</v>
      </c>
      <c r="J27" s="1">
        <f>H27+MARZO!J27</f>
        <v>0</v>
      </c>
      <c r="K27" s="35">
        <f>IFERROR(J27/G27,0)</f>
        <v>0</v>
      </c>
    </row>
    <row r="28" spans="2:16" x14ac:dyDescent="0.25">
      <c r="B28" s="33"/>
      <c r="C28" s="33"/>
      <c r="D28" s="36"/>
      <c r="E28" s="63"/>
      <c r="F28" s="32" t="s">
        <v>33</v>
      </c>
      <c r="G28" s="34">
        <f>ENERO!G28</f>
        <v>0</v>
      </c>
      <c r="H28" s="37"/>
      <c r="I28" s="38">
        <f t="shared" si="0"/>
        <v>0</v>
      </c>
      <c r="J28" s="2">
        <f>H28+MARZO!J28</f>
        <v>0</v>
      </c>
      <c r="K28" s="35">
        <f>IFERROR(J28/G28,0)</f>
        <v>0</v>
      </c>
    </row>
    <row r="29" spans="2:16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H29+MARZO!J29</f>
        <v>0</v>
      </c>
      <c r="K29" s="35">
        <f t="shared" ref="K29:K33" si="4">IFERROR(J29/G29,0)</f>
        <v>0</v>
      </c>
    </row>
    <row r="30" spans="2:16" s="14" customFormat="1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H30+MARZO!J30</f>
        <v>0</v>
      </c>
      <c r="K30" s="35">
        <f t="shared" si="4"/>
        <v>0</v>
      </c>
      <c r="N30" s="39"/>
      <c r="P30" s="39"/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H31+MARZO!J31</f>
        <v>0</v>
      </c>
      <c r="K31" s="35">
        <f t="shared" si="4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1">
        <f>H32+MARZO!J32</f>
        <v>0</v>
      </c>
      <c r="K32" s="35">
        <f t="shared" si="4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H33+MARZO!J33</f>
        <v>0</v>
      </c>
      <c r="K33" s="43">
        <f t="shared" si="4"/>
        <v>0</v>
      </c>
    </row>
    <row r="34" spans="2:16" x14ac:dyDescent="0.25">
      <c r="B34" s="12"/>
      <c r="C34" s="12"/>
      <c r="D34" s="12"/>
      <c r="E34" s="12"/>
      <c r="F34" s="21"/>
      <c r="G34" s="78" t="str">
        <f>+CONCATENATE("TOTAL A ",D9)</f>
        <v>TOTAL A ABRIL</v>
      </c>
      <c r="H34" s="78"/>
      <c r="I34" s="78"/>
      <c r="J34" s="78" t="s">
        <v>34</v>
      </c>
      <c r="K34" s="78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2" t="s">
        <v>35</v>
      </c>
      <c r="C37" s="72"/>
      <c r="D37" s="73" t="s">
        <v>36</v>
      </c>
      <c r="E37" s="74"/>
      <c r="F37" s="74"/>
      <c r="G37" s="74"/>
      <c r="H37" s="74"/>
      <c r="I37" s="74"/>
      <c r="J37" s="74"/>
      <c r="K37" s="74"/>
    </row>
    <row r="38" spans="2:16" x14ac:dyDescent="0.25">
      <c r="B38" s="75" t="s">
        <v>37</v>
      </c>
      <c r="C38" s="75"/>
      <c r="D38" s="75"/>
      <c r="E38" s="75"/>
      <c r="F38" s="75"/>
      <c r="G38" s="75"/>
      <c r="H38" s="75"/>
      <c r="I38" s="75"/>
      <c r="J38" s="75"/>
      <c r="K38" s="75"/>
    </row>
    <row r="39" spans="2:16" ht="20.100000000000001" customHeight="1" x14ac:dyDescent="0.25"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76" t="s">
        <v>36</v>
      </c>
      <c r="E41" s="76"/>
      <c r="F41" s="76"/>
      <c r="G41" s="76"/>
      <c r="H41" s="76"/>
      <c r="I41" s="76"/>
      <c r="J41" s="76"/>
      <c r="K41" s="76"/>
    </row>
    <row r="42" spans="2:16" ht="20.100000000000001" customHeight="1" x14ac:dyDescent="0.3">
      <c r="B42" s="50" t="s">
        <v>40</v>
      </c>
      <c r="C42" s="51"/>
      <c r="D42" s="76"/>
      <c r="E42" s="76"/>
      <c r="F42" s="76"/>
      <c r="G42" s="76"/>
      <c r="H42" s="76"/>
      <c r="I42" s="76"/>
      <c r="J42" s="76"/>
      <c r="K42" s="76"/>
    </row>
    <row r="43" spans="2:16" x14ac:dyDescent="0.25">
      <c r="B43" s="77" t="s">
        <v>37</v>
      </c>
      <c r="C43" s="77"/>
      <c r="D43" s="77"/>
      <c r="E43" s="77"/>
      <c r="F43" s="77"/>
      <c r="G43" s="77"/>
      <c r="H43" s="77"/>
      <c r="I43" s="77"/>
      <c r="J43" s="77"/>
      <c r="K43" s="77"/>
    </row>
    <row r="44" spans="2:16" ht="15" customHeight="1" x14ac:dyDescent="0.25">
      <c r="B44" s="77"/>
      <c r="C44" s="77"/>
      <c r="D44" s="77"/>
      <c r="E44" s="77"/>
      <c r="F44" s="77"/>
      <c r="G44" s="77"/>
      <c r="H44" s="77"/>
      <c r="I44" s="77"/>
      <c r="J44" s="77"/>
      <c r="K44" s="77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76" t="s">
        <v>36</v>
      </c>
      <c r="E46" s="76"/>
      <c r="F46" s="76"/>
      <c r="G46" s="76"/>
      <c r="H46" s="76"/>
      <c r="I46" s="76"/>
      <c r="J46" s="76"/>
      <c r="K46" s="76"/>
    </row>
    <row r="47" spans="2:16" ht="20.100000000000001" customHeight="1" x14ac:dyDescent="0.3">
      <c r="B47" s="50" t="s">
        <v>40</v>
      </c>
      <c r="C47" s="51"/>
      <c r="D47" s="76"/>
      <c r="E47" s="76"/>
      <c r="F47" s="76"/>
      <c r="G47" s="76"/>
      <c r="H47" s="76"/>
      <c r="I47" s="76"/>
      <c r="J47" s="76"/>
      <c r="K47" s="76"/>
    </row>
    <row r="50" spans="2:10" ht="19.5" customHeight="1" x14ac:dyDescent="0.25">
      <c r="B50" s="69"/>
      <c r="C50" s="69"/>
      <c r="D50" s="69"/>
      <c r="G50" s="69"/>
      <c r="H50" s="69"/>
      <c r="I50" s="69"/>
      <c r="J50" s="69"/>
    </row>
    <row r="51" spans="2:10" ht="18" customHeight="1" x14ac:dyDescent="0.25">
      <c r="B51" s="12" t="s">
        <v>42</v>
      </c>
      <c r="C51" s="70"/>
      <c r="D51" s="70"/>
      <c r="G51" s="12" t="s">
        <v>43</v>
      </c>
      <c r="H51" s="71"/>
      <c r="I51" s="71"/>
      <c r="J51" s="7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</mergeCells>
  <conditionalFormatting sqref="G35">
    <cfRule type="cellIs" dxfId="64" priority="8" operator="greaterThan">
      <formula>350</formula>
    </cfRule>
  </conditionalFormatting>
  <conditionalFormatting sqref="K28:K33">
    <cfRule type="cellIs" dxfId="63" priority="7" operator="greaterThan">
      <formula>1</formula>
    </cfRule>
  </conditionalFormatting>
  <conditionalFormatting sqref="K27">
    <cfRule type="cellIs" dxfId="62" priority="6" operator="greaterThan">
      <formula>1</formula>
    </cfRule>
  </conditionalFormatting>
  <conditionalFormatting sqref="K15">
    <cfRule type="cellIs" dxfId="61" priority="5" operator="greaterThan">
      <formula>1</formula>
    </cfRule>
  </conditionalFormatting>
  <conditionalFormatting sqref="K17:K23">
    <cfRule type="cellIs" dxfId="60" priority="4" operator="greaterThan">
      <formula>1</formula>
    </cfRule>
  </conditionalFormatting>
  <conditionalFormatting sqref="K16">
    <cfRule type="cellIs" dxfId="59" priority="3" operator="greaterThan">
      <formula>1</formula>
    </cfRule>
  </conditionalFormatting>
  <conditionalFormatting sqref="K25:K26">
    <cfRule type="cellIs" dxfId="58" priority="2" operator="greaterThan">
      <formula>1</formula>
    </cfRule>
  </conditionalFormatting>
  <conditionalFormatting sqref="K24">
    <cfRule type="cellIs" dxfId="57" priority="1" operator="greaterThan">
      <formula>1</formula>
    </cfRule>
  </conditionalFormatting>
  <dataValidations count="3"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topLeftCell="A9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9" t="s">
        <v>1</v>
      </c>
      <c r="C2" s="79"/>
      <c r="D2" s="79"/>
      <c r="E2" s="79"/>
      <c r="F2" s="79"/>
      <c r="G2" s="79"/>
      <c r="H2" s="79"/>
      <c r="I2" s="79"/>
      <c r="J2" s="79"/>
      <c r="K2" s="79"/>
      <c r="P2" s="6" t="s">
        <v>2</v>
      </c>
    </row>
    <row r="3" spans="2:16" ht="18.75" customHeight="1" x14ac:dyDescent="0.25">
      <c r="B3" s="80" t="s">
        <v>3</v>
      </c>
      <c r="C3" s="81"/>
      <c r="D3" s="81"/>
      <c r="E3" s="81" t="s">
        <v>4</v>
      </c>
      <c r="F3" s="81"/>
      <c r="G3" s="81"/>
      <c r="H3" s="81"/>
      <c r="I3" s="81" t="s">
        <v>5</v>
      </c>
      <c r="J3" s="81"/>
      <c r="K3" s="82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83" t="s">
        <v>7</v>
      </c>
      <c r="C5" s="83"/>
      <c r="D5" s="10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83" t="s">
        <v>10</v>
      </c>
      <c r="C7" s="83"/>
      <c r="D7" s="87"/>
      <c r="E7" s="87"/>
      <c r="F7" s="87"/>
      <c r="G7" s="87"/>
      <c r="H7" s="87"/>
      <c r="I7" s="8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83" t="s">
        <v>13</v>
      </c>
      <c r="C9" s="83"/>
      <c r="D9" s="18" t="s">
        <v>11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83" t="s">
        <v>16</v>
      </c>
      <c r="C11" s="83"/>
      <c r="D11" s="22">
        <v>46173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2" t="s">
        <v>19</v>
      </c>
      <c r="C13" s="72"/>
      <c r="D13" s="72"/>
      <c r="E13" s="72"/>
      <c r="F13" s="72"/>
      <c r="G13" s="72"/>
      <c r="H13" s="83" t="s">
        <v>20</v>
      </c>
      <c r="I13" s="83"/>
      <c r="J13" s="83" t="s">
        <v>21</v>
      </c>
      <c r="K13" s="83"/>
      <c r="P13" s="6" t="s">
        <v>22</v>
      </c>
    </row>
    <row r="14" spans="2:16" ht="57.6" customHeight="1" x14ac:dyDescent="0.25">
      <c r="B14" s="27" t="s">
        <v>23</v>
      </c>
      <c r="C14" s="27" t="s">
        <v>24</v>
      </c>
      <c r="D14" s="27" t="s">
        <v>25</v>
      </c>
      <c r="E14" s="27" t="s">
        <v>26</v>
      </c>
      <c r="F14" s="27" t="s">
        <v>27</v>
      </c>
      <c r="G14" s="27" t="s">
        <v>28</v>
      </c>
      <c r="H14" s="27" t="s">
        <v>29</v>
      </c>
      <c r="I14" s="27" t="s">
        <v>30</v>
      </c>
      <c r="J14" s="27" t="s">
        <v>31</v>
      </c>
      <c r="K14" s="2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28" t="s">
        <v>33</v>
      </c>
      <c r="G15" s="29">
        <f>ENERO!G15</f>
        <v>0</v>
      </c>
      <c r="H15" s="29"/>
      <c r="I15" s="30">
        <f t="shared" ref="I15:I33" si="0">IFERROR(H15/G15,0)</f>
        <v>0</v>
      </c>
      <c r="J15" s="31">
        <f>H15+ABRIL!J15</f>
        <v>0</v>
      </c>
      <c r="K15" s="30">
        <f>IFERROR(J15/G15,0)</f>
        <v>0</v>
      </c>
    </row>
    <row r="16" spans="2:16" x14ac:dyDescent="0.25">
      <c r="B16" s="57"/>
      <c r="C16" s="33"/>
      <c r="D16" s="55"/>
      <c r="E16" s="63"/>
      <c r="F16" s="33" t="s">
        <v>33</v>
      </c>
      <c r="G16" s="56">
        <f>ENERO!G16</f>
        <v>0</v>
      </c>
      <c r="H16" s="34"/>
      <c r="I16" s="35">
        <f t="shared" ref="I16:I26" si="1">IFERROR(H16/G16,0)</f>
        <v>0</v>
      </c>
      <c r="J16" s="1">
        <f>H16+ABRIL!J16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H17+ABRIL!J17</f>
        <v>0</v>
      </c>
      <c r="K17" s="35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H18+ABRIL!J18</f>
        <v>0</v>
      </c>
      <c r="K18" s="35">
        <f t="shared" ref="K18:K23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H19+ABRIL!J19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H20+ABRIL!J20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si="1"/>
        <v>0</v>
      </c>
      <c r="J21" s="1">
        <f>H21+ABRIL!J21</f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H22+ABRIL!J22</f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56">
        <f>ENERO!G23</f>
        <v>0</v>
      </c>
      <c r="H23" s="34"/>
      <c r="I23" s="35">
        <f t="shared" si="1"/>
        <v>0</v>
      </c>
      <c r="J23" s="2">
        <f>H23+ABRIL!J23</f>
        <v>0</v>
      </c>
      <c r="K23" s="35">
        <f t="shared" si="2"/>
        <v>0</v>
      </c>
    </row>
    <row r="24" spans="2:16" x14ac:dyDescent="0.25">
      <c r="B24" s="57"/>
      <c r="C24" s="33"/>
      <c r="D24" s="55"/>
      <c r="E24" s="63"/>
      <c r="F24" s="33" t="s">
        <v>33</v>
      </c>
      <c r="G24" s="34">
        <f>ENERO!G24</f>
        <v>0</v>
      </c>
      <c r="H24" s="34"/>
      <c r="I24" s="35">
        <f t="shared" si="1"/>
        <v>0</v>
      </c>
      <c r="J24" s="1">
        <f>H24+ABRIL!J24</f>
        <v>0</v>
      </c>
      <c r="K24" s="35">
        <f>IFERROR(J24/G24,0)</f>
        <v>0</v>
      </c>
    </row>
    <row r="25" spans="2:16" x14ac:dyDescent="0.25">
      <c r="B25" s="33"/>
      <c r="C25" s="33"/>
      <c r="D25" s="36"/>
      <c r="E25" s="63"/>
      <c r="F25" s="32" t="s">
        <v>33</v>
      </c>
      <c r="G25" s="34">
        <f>ENERO!G25</f>
        <v>0</v>
      </c>
      <c r="H25" s="37"/>
      <c r="I25" s="38">
        <f t="shared" si="1"/>
        <v>0</v>
      </c>
      <c r="J25" s="2">
        <f>H25+ABRIL!J25</f>
        <v>0</v>
      </c>
      <c r="K25" s="35">
        <f>IFERROR(J25/G25,0)</f>
        <v>0</v>
      </c>
    </row>
    <row r="26" spans="2:16" x14ac:dyDescent="0.25">
      <c r="B26" s="33"/>
      <c r="C26" s="33"/>
      <c r="D26" s="36"/>
      <c r="E26" s="63"/>
      <c r="F26" s="33" t="s">
        <v>33</v>
      </c>
      <c r="G26" s="56">
        <f>ENERO!G26</f>
        <v>0</v>
      </c>
      <c r="H26" s="34"/>
      <c r="I26" s="35">
        <f t="shared" si="1"/>
        <v>0</v>
      </c>
      <c r="J26" s="1">
        <f>H26+ABRIL!J26</f>
        <v>0</v>
      </c>
      <c r="K26" s="35">
        <f t="shared" ref="K26" si="3">IFERROR(J26/G26,0)</f>
        <v>0</v>
      </c>
    </row>
    <row r="27" spans="2:16" x14ac:dyDescent="0.25">
      <c r="B27" s="57"/>
      <c r="C27" s="33"/>
      <c r="D27" s="55"/>
      <c r="E27" s="63"/>
      <c r="F27" s="33" t="s">
        <v>33</v>
      </c>
      <c r="G27" s="34">
        <f>ENERO!G27</f>
        <v>0</v>
      </c>
      <c r="H27" s="34"/>
      <c r="I27" s="35">
        <f t="shared" si="0"/>
        <v>0</v>
      </c>
      <c r="J27" s="1">
        <f>H27+ABRIL!J27</f>
        <v>0</v>
      </c>
      <c r="K27" s="35">
        <f>IFERROR(J27/G27,0)</f>
        <v>0</v>
      </c>
    </row>
    <row r="28" spans="2:16" x14ac:dyDescent="0.25">
      <c r="B28" s="33"/>
      <c r="C28" s="33"/>
      <c r="D28" s="36"/>
      <c r="E28" s="63"/>
      <c r="F28" s="32" t="s">
        <v>33</v>
      </c>
      <c r="G28" s="34">
        <f>ENERO!G28</f>
        <v>0</v>
      </c>
      <c r="H28" s="37"/>
      <c r="I28" s="38">
        <f t="shared" si="0"/>
        <v>0</v>
      </c>
      <c r="J28" s="2">
        <f>H28+ABRIL!J28</f>
        <v>0</v>
      </c>
      <c r="K28" s="35">
        <f>IFERROR(J28/G28,0)</f>
        <v>0</v>
      </c>
    </row>
    <row r="29" spans="2:16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H29+ABRIL!J29</f>
        <v>0</v>
      </c>
      <c r="K29" s="35">
        <f t="shared" ref="K29:K33" si="4">IFERROR(J29/G29,0)</f>
        <v>0</v>
      </c>
    </row>
    <row r="30" spans="2:16" s="14" customFormat="1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H30+ABRIL!J30</f>
        <v>0</v>
      </c>
      <c r="K30" s="35">
        <f t="shared" si="4"/>
        <v>0</v>
      </c>
      <c r="N30" s="39"/>
      <c r="P30" s="39"/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H31+ABRIL!J31</f>
        <v>0</v>
      </c>
      <c r="K31" s="35">
        <f t="shared" si="4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1">
        <f>H32+ABRIL!J32</f>
        <v>0</v>
      </c>
      <c r="K32" s="35">
        <f t="shared" si="4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H33+ABRIL!J33</f>
        <v>0</v>
      </c>
      <c r="K33" s="43">
        <f t="shared" si="4"/>
        <v>0</v>
      </c>
    </row>
    <row r="34" spans="2:16" x14ac:dyDescent="0.25">
      <c r="B34" s="12"/>
      <c r="C34" s="12"/>
      <c r="D34" s="12"/>
      <c r="E34" s="12"/>
      <c r="F34" s="21"/>
      <c r="G34" s="78" t="str">
        <f>+CONCATENATE("TOTAL A ",D9)</f>
        <v>TOTAL A MAYO</v>
      </c>
      <c r="H34" s="78"/>
      <c r="I34" s="78"/>
      <c r="J34" s="78" t="s">
        <v>34</v>
      </c>
      <c r="K34" s="78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2" t="s">
        <v>35</v>
      </c>
      <c r="C37" s="72"/>
      <c r="D37" s="73" t="s">
        <v>36</v>
      </c>
      <c r="E37" s="74"/>
      <c r="F37" s="74"/>
      <c r="G37" s="74"/>
      <c r="H37" s="74"/>
      <c r="I37" s="74"/>
      <c r="J37" s="74"/>
      <c r="K37" s="74"/>
    </row>
    <row r="38" spans="2:16" x14ac:dyDescent="0.25">
      <c r="B38" s="75" t="s">
        <v>37</v>
      </c>
      <c r="C38" s="75"/>
      <c r="D38" s="75"/>
      <c r="E38" s="75"/>
      <c r="F38" s="75"/>
      <c r="G38" s="75"/>
      <c r="H38" s="75"/>
      <c r="I38" s="75"/>
      <c r="J38" s="75"/>
      <c r="K38" s="75"/>
    </row>
    <row r="39" spans="2:16" ht="20.100000000000001" customHeight="1" x14ac:dyDescent="0.25"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76" t="s">
        <v>36</v>
      </c>
      <c r="E41" s="76"/>
      <c r="F41" s="76"/>
      <c r="G41" s="76"/>
      <c r="H41" s="76"/>
      <c r="I41" s="76"/>
      <c r="J41" s="76"/>
      <c r="K41" s="76"/>
    </row>
    <row r="42" spans="2:16" ht="20.100000000000001" customHeight="1" x14ac:dyDescent="0.3">
      <c r="B42" s="50" t="s">
        <v>40</v>
      </c>
      <c r="C42" s="51"/>
      <c r="D42" s="76"/>
      <c r="E42" s="76"/>
      <c r="F42" s="76"/>
      <c r="G42" s="76"/>
      <c r="H42" s="76"/>
      <c r="I42" s="76"/>
      <c r="J42" s="76"/>
      <c r="K42" s="76"/>
    </row>
    <row r="43" spans="2:16" x14ac:dyDescent="0.25">
      <c r="B43" s="77" t="s">
        <v>37</v>
      </c>
      <c r="C43" s="77"/>
      <c r="D43" s="77"/>
      <c r="E43" s="77"/>
      <c r="F43" s="77"/>
      <c r="G43" s="77"/>
      <c r="H43" s="77"/>
      <c r="I43" s="77"/>
      <c r="J43" s="77"/>
      <c r="K43" s="77"/>
    </row>
    <row r="44" spans="2:16" ht="15" customHeight="1" x14ac:dyDescent="0.25">
      <c r="B44" s="77"/>
      <c r="C44" s="77"/>
      <c r="D44" s="77"/>
      <c r="E44" s="77"/>
      <c r="F44" s="77"/>
      <c r="G44" s="77"/>
      <c r="H44" s="77"/>
      <c r="I44" s="77"/>
      <c r="J44" s="77"/>
      <c r="K44" s="77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76" t="s">
        <v>36</v>
      </c>
      <c r="E46" s="76"/>
      <c r="F46" s="76"/>
      <c r="G46" s="76"/>
      <c r="H46" s="76"/>
      <c r="I46" s="76"/>
      <c r="J46" s="76"/>
      <c r="K46" s="76"/>
    </row>
    <row r="47" spans="2:16" ht="20.100000000000001" customHeight="1" x14ac:dyDescent="0.3">
      <c r="B47" s="50" t="s">
        <v>40</v>
      </c>
      <c r="C47" s="51"/>
      <c r="D47" s="76"/>
      <c r="E47" s="76"/>
      <c r="F47" s="76"/>
      <c r="G47" s="76"/>
      <c r="H47" s="76"/>
      <c r="I47" s="76"/>
      <c r="J47" s="76"/>
      <c r="K47" s="76"/>
    </row>
    <row r="50" spans="2:10" ht="19.5" customHeight="1" x14ac:dyDescent="0.25">
      <c r="B50" s="69"/>
      <c r="C50" s="69"/>
      <c r="D50" s="69"/>
      <c r="G50" s="69"/>
      <c r="H50" s="69"/>
      <c r="I50" s="69"/>
      <c r="J50" s="69"/>
    </row>
    <row r="51" spans="2:10" ht="18" customHeight="1" x14ac:dyDescent="0.25">
      <c r="B51" s="12" t="s">
        <v>42</v>
      </c>
      <c r="C51" s="70"/>
      <c r="D51" s="70"/>
      <c r="G51" s="12" t="s">
        <v>43</v>
      </c>
      <c r="H51" s="71"/>
      <c r="I51" s="71"/>
      <c r="J51" s="7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</mergeCells>
  <conditionalFormatting sqref="G35">
    <cfRule type="cellIs" dxfId="56" priority="8" operator="greaterThan">
      <formula>350</formula>
    </cfRule>
  </conditionalFormatting>
  <conditionalFormatting sqref="K28:K33">
    <cfRule type="cellIs" dxfId="55" priority="7" operator="greaterThan">
      <formula>1</formula>
    </cfRule>
  </conditionalFormatting>
  <conditionalFormatting sqref="K27">
    <cfRule type="cellIs" dxfId="54" priority="6" operator="greaterThan">
      <formula>1</formula>
    </cfRule>
  </conditionalFormatting>
  <conditionalFormatting sqref="K15">
    <cfRule type="cellIs" dxfId="53" priority="5" operator="greaterThan">
      <formula>1</formula>
    </cfRule>
  </conditionalFormatting>
  <conditionalFormatting sqref="K17:K23">
    <cfRule type="cellIs" dxfId="52" priority="4" operator="greaterThan">
      <formula>1</formula>
    </cfRule>
  </conditionalFormatting>
  <conditionalFormatting sqref="K16">
    <cfRule type="cellIs" dxfId="51" priority="3" operator="greaterThan">
      <formula>1</formula>
    </cfRule>
  </conditionalFormatting>
  <conditionalFormatting sqref="K25:K26">
    <cfRule type="cellIs" dxfId="50" priority="2" operator="greaterThan">
      <formula>1</formula>
    </cfRule>
  </conditionalFormatting>
  <conditionalFormatting sqref="K24">
    <cfRule type="cellIs" dxfId="49" priority="1" operator="greaterThan">
      <formula>1</formula>
    </cfRule>
  </conditionalFormatting>
  <dataValidations count="3"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topLeftCell="A3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9" t="s">
        <v>1</v>
      </c>
      <c r="C2" s="79"/>
      <c r="D2" s="79"/>
      <c r="E2" s="79"/>
      <c r="F2" s="79"/>
      <c r="G2" s="79"/>
      <c r="H2" s="79"/>
      <c r="I2" s="79"/>
      <c r="J2" s="79"/>
      <c r="K2" s="79"/>
      <c r="P2" s="6" t="s">
        <v>2</v>
      </c>
    </row>
    <row r="3" spans="2:16" ht="18.75" customHeight="1" x14ac:dyDescent="0.25">
      <c r="B3" s="80" t="s">
        <v>3</v>
      </c>
      <c r="C3" s="81"/>
      <c r="D3" s="81"/>
      <c r="E3" s="81" t="s">
        <v>4</v>
      </c>
      <c r="F3" s="81"/>
      <c r="G3" s="81"/>
      <c r="H3" s="81"/>
      <c r="I3" s="81" t="s">
        <v>5</v>
      </c>
      <c r="J3" s="81"/>
      <c r="K3" s="82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83" t="s">
        <v>7</v>
      </c>
      <c r="C5" s="83"/>
      <c r="D5" s="10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83" t="s">
        <v>10</v>
      </c>
      <c r="C7" s="83"/>
      <c r="D7" s="87"/>
      <c r="E7" s="87"/>
      <c r="F7" s="87"/>
      <c r="G7" s="87"/>
      <c r="H7" s="87"/>
      <c r="I7" s="8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83" t="s">
        <v>13</v>
      </c>
      <c r="C9" s="83"/>
      <c r="D9" s="18" t="s">
        <v>12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83" t="s">
        <v>16</v>
      </c>
      <c r="C11" s="83"/>
      <c r="D11" s="22">
        <v>46203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2" t="s">
        <v>19</v>
      </c>
      <c r="C13" s="72"/>
      <c r="D13" s="72"/>
      <c r="E13" s="72"/>
      <c r="F13" s="72"/>
      <c r="G13" s="72"/>
      <c r="H13" s="83" t="s">
        <v>20</v>
      </c>
      <c r="I13" s="83"/>
      <c r="J13" s="83" t="s">
        <v>21</v>
      </c>
      <c r="K13" s="83"/>
      <c r="P13" s="6" t="s">
        <v>22</v>
      </c>
    </row>
    <row r="14" spans="2:16" ht="57.6" customHeight="1" x14ac:dyDescent="0.25">
      <c r="B14" s="27" t="s">
        <v>23</v>
      </c>
      <c r="C14" s="27" t="s">
        <v>24</v>
      </c>
      <c r="D14" s="27" t="s">
        <v>25</v>
      </c>
      <c r="E14" s="27" t="s">
        <v>26</v>
      </c>
      <c r="F14" s="27" t="s">
        <v>27</v>
      </c>
      <c r="G14" s="27" t="s">
        <v>28</v>
      </c>
      <c r="H14" s="27" t="s">
        <v>29</v>
      </c>
      <c r="I14" s="27" t="s">
        <v>30</v>
      </c>
      <c r="J14" s="27" t="s">
        <v>31</v>
      </c>
      <c r="K14" s="2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28" t="s">
        <v>33</v>
      </c>
      <c r="G15" s="29">
        <f>ENERO!G15</f>
        <v>0</v>
      </c>
      <c r="H15" s="29"/>
      <c r="I15" s="30">
        <f t="shared" ref="I15:I33" si="0">IFERROR(H15/G15,0)</f>
        <v>0</v>
      </c>
      <c r="J15" s="31">
        <f>H15+MAYO!J15</f>
        <v>0</v>
      </c>
      <c r="K15" s="30">
        <f>IFERROR(J15/G15,0)</f>
        <v>0</v>
      </c>
    </row>
    <row r="16" spans="2:16" x14ac:dyDescent="0.25">
      <c r="B16" s="57"/>
      <c r="C16" s="33"/>
      <c r="D16" s="55"/>
      <c r="E16" s="63"/>
      <c r="F16" s="33" t="s">
        <v>33</v>
      </c>
      <c r="G16" s="56">
        <f>ENERO!G16</f>
        <v>0</v>
      </c>
      <c r="H16" s="34"/>
      <c r="I16" s="35">
        <f t="shared" ref="I16:I23" si="1">IFERROR(H16/G16,0)</f>
        <v>0</v>
      </c>
      <c r="J16" s="1">
        <f>H16+MAYO!J16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H17+MAYO!J17</f>
        <v>0</v>
      </c>
      <c r="K17" s="35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H18+MAYO!J18</f>
        <v>0</v>
      </c>
      <c r="K18" s="35">
        <f t="shared" ref="K18:K23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H19+MAYO!J19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H20+MAYO!J20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si="1"/>
        <v>0</v>
      </c>
      <c r="J21" s="1">
        <f>H21+MAYO!J21</f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H22+MAYO!J22</f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56">
        <f>ENERO!G23</f>
        <v>0</v>
      </c>
      <c r="H23" s="34"/>
      <c r="I23" s="35">
        <f t="shared" si="1"/>
        <v>0</v>
      </c>
      <c r="J23" s="2">
        <f>H23+MAYO!J23</f>
        <v>0</v>
      </c>
      <c r="K23" s="35">
        <f t="shared" si="2"/>
        <v>0</v>
      </c>
    </row>
    <row r="24" spans="2:16" x14ac:dyDescent="0.25">
      <c r="B24" s="57"/>
      <c r="C24" s="33"/>
      <c r="D24" s="55"/>
      <c r="E24" s="63"/>
      <c r="F24" s="33" t="s">
        <v>33</v>
      </c>
      <c r="G24" s="34">
        <f>ENERO!G24</f>
        <v>0</v>
      </c>
      <c r="H24" s="34"/>
      <c r="I24" s="35">
        <f t="shared" si="0"/>
        <v>0</v>
      </c>
      <c r="J24" s="1">
        <f>H24+MAYO!J24</f>
        <v>0</v>
      </c>
      <c r="K24" s="35">
        <f>IFERROR(J24/G24,0)</f>
        <v>0</v>
      </c>
    </row>
    <row r="25" spans="2:16" x14ac:dyDescent="0.25">
      <c r="B25" s="33"/>
      <c r="C25" s="33"/>
      <c r="D25" s="36"/>
      <c r="E25" s="63"/>
      <c r="F25" s="32" t="s">
        <v>33</v>
      </c>
      <c r="G25" s="34">
        <f>ENERO!G25</f>
        <v>0</v>
      </c>
      <c r="H25" s="37"/>
      <c r="I25" s="38">
        <f t="shared" si="0"/>
        <v>0</v>
      </c>
      <c r="J25" s="2">
        <f>H25+MAYO!J25</f>
        <v>0</v>
      </c>
      <c r="K25" s="35">
        <f>IFERROR(J25/G25,0)</f>
        <v>0</v>
      </c>
    </row>
    <row r="26" spans="2:16" x14ac:dyDescent="0.25">
      <c r="B26" s="33"/>
      <c r="C26" s="33"/>
      <c r="D26" s="36"/>
      <c r="E26" s="63"/>
      <c r="F26" s="33" t="s">
        <v>33</v>
      </c>
      <c r="G26" s="56">
        <f>ENERO!G26</f>
        <v>0</v>
      </c>
      <c r="H26" s="34"/>
      <c r="I26" s="35">
        <f t="shared" ref="I26" si="3">IFERROR(H26/G26,0)</f>
        <v>0</v>
      </c>
      <c r="J26" s="1">
        <f>H26+MAYO!J26</f>
        <v>0</v>
      </c>
      <c r="K26" s="35">
        <f t="shared" ref="K26" si="4">IFERROR(J26/G26,0)</f>
        <v>0</v>
      </c>
    </row>
    <row r="27" spans="2:16" x14ac:dyDescent="0.25">
      <c r="B27" s="33"/>
      <c r="C27" s="33"/>
      <c r="D27" s="36"/>
      <c r="E27" s="63"/>
      <c r="F27" s="33" t="s">
        <v>33</v>
      </c>
      <c r="G27" s="34">
        <f>ENERO!G27</f>
        <v>0</v>
      </c>
      <c r="H27" s="34"/>
      <c r="I27" s="35">
        <f t="shared" si="0"/>
        <v>0</v>
      </c>
      <c r="J27" s="1">
        <f>H27+MAYO!J27</f>
        <v>0</v>
      </c>
      <c r="K27" s="35">
        <f t="shared" ref="K27:K33" si="5">IFERROR(J27/G27,0)</f>
        <v>0</v>
      </c>
    </row>
    <row r="28" spans="2:16" s="14" customFormat="1" x14ac:dyDescent="0.25">
      <c r="B28" s="33"/>
      <c r="C28" s="33"/>
      <c r="D28" s="36"/>
      <c r="E28" s="63"/>
      <c r="F28" s="33" t="s">
        <v>33</v>
      </c>
      <c r="G28" s="34">
        <f>ENERO!G28</f>
        <v>0</v>
      </c>
      <c r="H28" s="34"/>
      <c r="I28" s="35">
        <f t="shared" si="0"/>
        <v>0</v>
      </c>
      <c r="J28" s="1">
        <f>H28+MAYO!J28</f>
        <v>0</v>
      </c>
      <c r="K28" s="35">
        <f t="shared" si="5"/>
        <v>0</v>
      </c>
      <c r="N28" s="39"/>
      <c r="P28" s="39"/>
    </row>
    <row r="29" spans="2:16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H29+MAYO!J29</f>
        <v>0</v>
      </c>
      <c r="K29" s="35">
        <f t="shared" si="5"/>
        <v>0</v>
      </c>
    </row>
    <row r="30" spans="2:16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H30+MAYO!J30</f>
        <v>0</v>
      </c>
      <c r="K30" s="35">
        <f t="shared" si="5"/>
        <v>0</v>
      </c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H31+MAYO!J31</f>
        <v>0</v>
      </c>
      <c r="K31" s="35">
        <f t="shared" si="5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2">
        <f>H32+MAYO!J32</f>
        <v>0</v>
      </c>
      <c r="K32" s="35">
        <f t="shared" si="5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H33+MAYO!J33</f>
        <v>0</v>
      </c>
      <c r="K33" s="43">
        <f t="shared" si="5"/>
        <v>0</v>
      </c>
    </row>
    <row r="34" spans="2:16" x14ac:dyDescent="0.25">
      <c r="B34" s="12"/>
      <c r="C34" s="12"/>
      <c r="D34" s="12"/>
      <c r="E34" s="12"/>
      <c r="F34" s="21"/>
      <c r="G34" s="78" t="str">
        <f>+CONCATENATE("TOTAL A ",D9)</f>
        <v>TOTAL A JUNIO</v>
      </c>
      <c r="H34" s="78"/>
      <c r="I34" s="78"/>
      <c r="J34" s="78" t="s">
        <v>34</v>
      </c>
      <c r="K34" s="78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2" t="s">
        <v>35</v>
      </c>
      <c r="C37" s="72"/>
      <c r="D37" s="73" t="s">
        <v>36</v>
      </c>
      <c r="E37" s="74"/>
      <c r="F37" s="74"/>
      <c r="G37" s="74"/>
      <c r="H37" s="74"/>
      <c r="I37" s="74"/>
      <c r="J37" s="74"/>
      <c r="K37" s="74"/>
    </row>
    <row r="38" spans="2:16" x14ac:dyDescent="0.25">
      <c r="B38" s="75" t="s">
        <v>37</v>
      </c>
      <c r="C38" s="75"/>
      <c r="D38" s="75"/>
      <c r="E38" s="75"/>
      <c r="F38" s="75"/>
      <c r="G38" s="75"/>
      <c r="H38" s="75"/>
      <c r="I38" s="75"/>
      <c r="J38" s="75"/>
      <c r="K38" s="75"/>
    </row>
    <row r="39" spans="2:16" ht="20.100000000000001" customHeight="1" x14ac:dyDescent="0.25"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76" t="s">
        <v>36</v>
      </c>
      <c r="E41" s="76"/>
      <c r="F41" s="76"/>
      <c r="G41" s="76"/>
      <c r="H41" s="76"/>
      <c r="I41" s="76"/>
      <c r="J41" s="76"/>
      <c r="K41" s="76"/>
    </row>
    <row r="42" spans="2:16" ht="20.100000000000001" customHeight="1" x14ac:dyDescent="0.3">
      <c r="B42" s="50" t="s">
        <v>40</v>
      </c>
      <c r="C42" s="51"/>
      <c r="D42" s="76"/>
      <c r="E42" s="76"/>
      <c r="F42" s="76"/>
      <c r="G42" s="76"/>
      <c r="H42" s="76"/>
      <c r="I42" s="76"/>
      <c r="J42" s="76"/>
      <c r="K42" s="76"/>
    </row>
    <row r="43" spans="2:16" x14ac:dyDescent="0.25">
      <c r="B43" s="77" t="s">
        <v>37</v>
      </c>
      <c r="C43" s="77"/>
      <c r="D43" s="77"/>
      <c r="E43" s="77"/>
      <c r="F43" s="77"/>
      <c r="G43" s="77"/>
      <c r="H43" s="77"/>
      <c r="I43" s="77"/>
      <c r="J43" s="77"/>
      <c r="K43" s="77"/>
    </row>
    <row r="44" spans="2:16" ht="15" customHeight="1" x14ac:dyDescent="0.25">
      <c r="B44" s="77"/>
      <c r="C44" s="77"/>
      <c r="D44" s="77"/>
      <c r="E44" s="77"/>
      <c r="F44" s="77"/>
      <c r="G44" s="77"/>
      <c r="H44" s="77"/>
      <c r="I44" s="77"/>
      <c r="J44" s="77"/>
      <c r="K44" s="77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76" t="s">
        <v>36</v>
      </c>
      <c r="E46" s="76"/>
      <c r="F46" s="76"/>
      <c r="G46" s="76"/>
      <c r="H46" s="76"/>
      <c r="I46" s="76"/>
      <c r="J46" s="76"/>
      <c r="K46" s="76"/>
    </row>
    <row r="47" spans="2:16" ht="20.100000000000001" customHeight="1" x14ac:dyDescent="0.3">
      <c r="B47" s="50" t="s">
        <v>40</v>
      </c>
      <c r="C47" s="51"/>
      <c r="D47" s="76"/>
      <c r="E47" s="76"/>
      <c r="F47" s="76"/>
      <c r="G47" s="76"/>
      <c r="H47" s="76"/>
      <c r="I47" s="76"/>
      <c r="J47" s="76"/>
      <c r="K47" s="76"/>
    </row>
    <row r="50" spans="2:10" ht="19.5" customHeight="1" x14ac:dyDescent="0.25">
      <c r="B50" s="69"/>
      <c r="C50" s="69"/>
      <c r="D50" s="69"/>
      <c r="G50" s="69"/>
      <c r="H50" s="69"/>
      <c r="I50" s="69"/>
      <c r="J50" s="69"/>
    </row>
    <row r="51" spans="2:10" ht="18" customHeight="1" x14ac:dyDescent="0.25">
      <c r="B51" s="12" t="s">
        <v>42</v>
      </c>
      <c r="C51" s="70"/>
      <c r="D51" s="70"/>
      <c r="G51" s="12" t="s">
        <v>43</v>
      </c>
      <c r="H51" s="71"/>
      <c r="I51" s="71"/>
      <c r="J51" s="7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</mergeCells>
  <conditionalFormatting sqref="G35">
    <cfRule type="cellIs" dxfId="48" priority="7" operator="greaterThan">
      <formula>350</formula>
    </cfRule>
  </conditionalFormatting>
  <conditionalFormatting sqref="K25 K27:K33">
    <cfRule type="cellIs" dxfId="47" priority="6" operator="greaterThan">
      <formula>1</formula>
    </cfRule>
  </conditionalFormatting>
  <conditionalFormatting sqref="K24">
    <cfRule type="cellIs" dxfId="46" priority="5" operator="greaterThan">
      <formula>1</formula>
    </cfRule>
  </conditionalFormatting>
  <conditionalFormatting sqref="K15">
    <cfRule type="cellIs" dxfId="45" priority="4" operator="greaterThan">
      <formula>1</formula>
    </cfRule>
  </conditionalFormatting>
  <conditionalFormatting sqref="K17:K23">
    <cfRule type="cellIs" dxfId="44" priority="3" operator="greaterThan">
      <formula>1</formula>
    </cfRule>
  </conditionalFormatting>
  <conditionalFormatting sqref="K16">
    <cfRule type="cellIs" dxfId="43" priority="2" operator="greaterThan">
      <formula>1</formula>
    </cfRule>
  </conditionalFormatting>
  <conditionalFormatting sqref="K26">
    <cfRule type="cellIs" dxfId="42" priority="1" operator="greaterThan">
      <formula>1</formula>
    </cfRule>
  </conditionalFormatting>
  <dataValidations count="3"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topLeftCell="A3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9" t="s">
        <v>1</v>
      </c>
      <c r="C2" s="79"/>
      <c r="D2" s="79"/>
      <c r="E2" s="79"/>
      <c r="F2" s="79"/>
      <c r="G2" s="79"/>
      <c r="H2" s="79"/>
      <c r="I2" s="79"/>
      <c r="J2" s="79"/>
      <c r="K2" s="79"/>
      <c r="P2" s="6" t="s">
        <v>2</v>
      </c>
    </row>
    <row r="3" spans="2:16" ht="18.75" customHeight="1" x14ac:dyDescent="0.25">
      <c r="B3" s="80" t="s">
        <v>3</v>
      </c>
      <c r="C3" s="81"/>
      <c r="D3" s="81"/>
      <c r="E3" s="81" t="s">
        <v>4</v>
      </c>
      <c r="F3" s="81"/>
      <c r="G3" s="81"/>
      <c r="H3" s="81"/>
      <c r="I3" s="81" t="s">
        <v>5</v>
      </c>
      <c r="J3" s="81"/>
      <c r="K3" s="82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83" t="s">
        <v>7</v>
      </c>
      <c r="C5" s="83"/>
      <c r="D5" s="10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83" t="s">
        <v>10</v>
      </c>
      <c r="C7" s="83"/>
      <c r="D7" s="87"/>
      <c r="E7" s="87"/>
      <c r="F7" s="87"/>
      <c r="G7" s="87"/>
      <c r="H7" s="87"/>
      <c r="I7" s="8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83" t="s">
        <v>13</v>
      </c>
      <c r="C9" s="83"/>
      <c r="D9" s="18" t="s">
        <v>14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83" t="s">
        <v>16</v>
      </c>
      <c r="C11" s="83"/>
      <c r="D11" s="22">
        <v>46234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2" t="s">
        <v>19</v>
      </c>
      <c r="C13" s="72"/>
      <c r="D13" s="72"/>
      <c r="E13" s="72"/>
      <c r="F13" s="72"/>
      <c r="G13" s="72"/>
      <c r="H13" s="83" t="s">
        <v>20</v>
      </c>
      <c r="I13" s="83"/>
      <c r="J13" s="83" t="s">
        <v>21</v>
      </c>
      <c r="K13" s="83"/>
      <c r="P13" s="6" t="s">
        <v>22</v>
      </c>
    </row>
    <row r="14" spans="2:16" ht="57.6" customHeight="1" x14ac:dyDescent="0.25">
      <c r="B14" s="27" t="s">
        <v>23</v>
      </c>
      <c r="C14" s="27" t="s">
        <v>24</v>
      </c>
      <c r="D14" s="27" t="s">
        <v>25</v>
      </c>
      <c r="E14" s="27" t="s">
        <v>26</v>
      </c>
      <c r="F14" s="27" t="s">
        <v>27</v>
      </c>
      <c r="G14" s="27" t="s">
        <v>28</v>
      </c>
      <c r="H14" s="27" t="s">
        <v>29</v>
      </c>
      <c r="I14" s="27" t="s">
        <v>30</v>
      </c>
      <c r="J14" s="27" t="s">
        <v>31</v>
      </c>
      <c r="K14" s="2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28" t="s">
        <v>33</v>
      </c>
      <c r="G15" s="29">
        <f>ENERO!G15</f>
        <v>0</v>
      </c>
      <c r="H15" s="29"/>
      <c r="I15" s="30">
        <f t="shared" ref="I15:I33" si="0">IFERROR(H15/G15,0)</f>
        <v>0</v>
      </c>
      <c r="J15" s="31">
        <f>H15+JUNIO!J15</f>
        <v>0</v>
      </c>
      <c r="K15" s="30">
        <f>IFERROR(J15/G15,0)</f>
        <v>0</v>
      </c>
    </row>
    <row r="16" spans="2:16" x14ac:dyDescent="0.25">
      <c r="B16" s="57"/>
      <c r="C16" s="33"/>
      <c r="D16" s="55"/>
      <c r="E16" s="66"/>
      <c r="F16" s="33" t="s">
        <v>33</v>
      </c>
      <c r="G16" s="56">
        <f>ENERO!G16</f>
        <v>0</v>
      </c>
      <c r="H16" s="34"/>
      <c r="I16" s="35">
        <f t="shared" ref="I16:I23" si="1">IFERROR(H16/G16,0)</f>
        <v>0</v>
      </c>
      <c r="J16" s="1">
        <f>H16+JUNIO!J16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H17+JUNIO!J17</f>
        <v>0</v>
      </c>
      <c r="K17" s="35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H18+JUNIO!J18</f>
        <v>0</v>
      </c>
      <c r="K18" s="35">
        <f t="shared" ref="K18:K23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H19+JUNIO!J19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H20+JUNIO!J20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si="1"/>
        <v>0</v>
      </c>
      <c r="J21" s="1">
        <f>H21+JUNIO!J21</f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H22+JUNIO!J22</f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56">
        <f>ENERO!G23</f>
        <v>0</v>
      </c>
      <c r="H23" s="34"/>
      <c r="I23" s="35">
        <f t="shared" si="1"/>
        <v>0</v>
      </c>
      <c r="J23" s="2">
        <f>H23+JUNIO!J23</f>
        <v>0</v>
      </c>
      <c r="K23" s="35">
        <f t="shared" si="2"/>
        <v>0</v>
      </c>
    </row>
    <row r="24" spans="2:16" x14ac:dyDescent="0.25">
      <c r="B24" s="57"/>
      <c r="C24" s="33"/>
      <c r="D24" s="55"/>
      <c r="E24" s="66"/>
      <c r="F24" s="33" t="s">
        <v>33</v>
      </c>
      <c r="G24" s="34">
        <f>ENERO!G24</f>
        <v>0</v>
      </c>
      <c r="H24" s="34"/>
      <c r="I24" s="35">
        <f t="shared" si="0"/>
        <v>0</v>
      </c>
      <c r="J24" s="1">
        <f>H24+JUNIO!J24</f>
        <v>0</v>
      </c>
      <c r="K24" s="35">
        <f>IFERROR(J24/G24,0)</f>
        <v>0</v>
      </c>
    </row>
    <row r="25" spans="2:16" x14ac:dyDescent="0.25">
      <c r="B25" s="33"/>
      <c r="C25" s="33"/>
      <c r="D25" s="36"/>
      <c r="E25" s="63"/>
      <c r="F25" s="32" t="s">
        <v>33</v>
      </c>
      <c r="G25" s="34">
        <f>ENERO!G25</f>
        <v>0</v>
      </c>
      <c r="H25" s="37"/>
      <c r="I25" s="38">
        <f t="shared" si="0"/>
        <v>0</v>
      </c>
      <c r="J25" s="2">
        <f>H25+JUNIO!J25</f>
        <v>0</v>
      </c>
      <c r="K25" s="35">
        <f>IFERROR(J25/G25,0)</f>
        <v>0</v>
      </c>
    </row>
    <row r="26" spans="2:16" x14ac:dyDescent="0.25">
      <c r="B26" s="33"/>
      <c r="C26" s="33"/>
      <c r="D26" s="36"/>
      <c r="E26" s="63"/>
      <c r="F26" s="33" t="s">
        <v>33</v>
      </c>
      <c r="G26" s="56">
        <f>ENERO!G26</f>
        <v>0</v>
      </c>
      <c r="H26" s="34"/>
      <c r="I26" s="35">
        <f t="shared" si="0"/>
        <v>0</v>
      </c>
      <c r="J26" s="1">
        <f>H26+JUNIO!J26</f>
        <v>0</v>
      </c>
      <c r="K26" s="35">
        <f t="shared" ref="K26:K33" si="3">IFERROR(J26/G26,0)</f>
        <v>0</v>
      </c>
    </row>
    <row r="27" spans="2:16" s="14" customFormat="1" x14ac:dyDescent="0.25">
      <c r="B27" s="33"/>
      <c r="C27" s="33"/>
      <c r="D27" s="36"/>
      <c r="E27" s="63"/>
      <c r="F27" s="33" t="s">
        <v>33</v>
      </c>
      <c r="G27" s="34">
        <f>ENERO!G27</f>
        <v>0</v>
      </c>
      <c r="H27" s="34"/>
      <c r="I27" s="35">
        <f t="shared" ref="I27" si="4">IFERROR(H27/G27,0)</f>
        <v>0</v>
      </c>
      <c r="J27" s="1">
        <f>H27+JUNIO!J27</f>
        <v>0</v>
      </c>
      <c r="K27" s="35">
        <f t="shared" ref="K27" si="5">IFERROR(J27/G27,0)</f>
        <v>0</v>
      </c>
      <c r="N27" s="39"/>
      <c r="P27" s="39"/>
    </row>
    <row r="28" spans="2:16" s="14" customFormat="1" x14ac:dyDescent="0.25">
      <c r="B28" s="33"/>
      <c r="C28" s="33"/>
      <c r="D28" s="36"/>
      <c r="E28" s="63"/>
      <c r="F28" s="33" t="s">
        <v>33</v>
      </c>
      <c r="G28" s="34">
        <f>ENERO!G28</f>
        <v>0</v>
      </c>
      <c r="H28" s="34"/>
      <c r="I28" s="35">
        <f t="shared" si="0"/>
        <v>0</v>
      </c>
      <c r="J28" s="1">
        <f>H28+JUNIO!J28</f>
        <v>0</v>
      </c>
      <c r="K28" s="35">
        <f t="shared" si="3"/>
        <v>0</v>
      </c>
      <c r="N28" s="39"/>
      <c r="P28" s="39"/>
    </row>
    <row r="29" spans="2:16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H29+JUNIO!J29</f>
        <v>0</v>
      </c>
      <c r="K29" s="35">
        <f t="shared" si="3"/>
        <v>0</v>
      </c>
    </row>
    <row r="30" spans="2:16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H30+JUNIO!J30</f>
        <v>0</v>
      </c>
      <c r="K30" s="35">
        <f t="shared" si="3"/>
        <v>0</v>
      </c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H31+JUNIO!J31</f>
        <v>0</v>
      </c>
      <c r="K31" s="35">
        <f t="shared" si="3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2">
        <f>H32+JUNIO!J32</f>
        <v>0</v>
      </c>
      <c r="K32" s="35">
        <f t="shared" si="3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H33+JUNIO!J33</f>
        <v>0</v>
      </c>
      <c r="K33" s="43">
        <f t="shared" si="3"/>
        <v>0</v>
      </c>
    </row>
    <row r="34" spans="2:16" x14ac:dyDescent="0.25">
      <c r="B34" s="12"/>
      <c r="C34" s="12"/>
      <c r="D34" s="12"/>
      <c r="E34" s="12"/>
      <c r="F34" s="21"/>
      <c r="G34" s="78" t="str">
        <f>+CONCATENATE("TOTAL A ",D9)</f>
        <v>TOTAL A JULIO</v>
      </c>
      <c r="H34" s="78"/>
      <c r="I34" s="78"/>
      <c r="J34" s="78" t="s">
        <v>34</v>
      </c>
      <c r="K34" s="78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2" t="s">
        <v>35</v>
      </c>
      <c r="C37" s="72"/>
      <c r="D37" s="73" t="s">
        <v>36</v>
      </c>
      <c r="E37" s="74"/>
      <c r="F37" s="74"/>
      <c r="G37" s="74"/>
      <c r="H37" s="74"/>
      <c r="I37" s="74"/>
      <c r="J37" s="74"/>
      <c r="K37" s="74"/>
    </row>
    <row r="38" spans="2:16" x14ac:dyDescent="0.25">
      <c r="B38" s="75" t="s">
        <v>37</v>
      </c>
      <c r="C38" s="75"/>
      <c r="D38" s="75"/>
      <c r="E38" s="75"/>
      <c r="F38" s="75"/>
      <c r="G38" s="75"/>
      <c r="H38" s="75"/>
      <c r="I38" s="75"/>
      <c r="J38" s="75"/>
      <c r="K38" s="75"/>
    </row>
    <row r="39" spans="2:16" ht="20.100000000000001" customHeight="1" x14ac:dyDescent="0.25"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76" t="s">
        <v>36</v>
      </c>
      <c r="E41" s="76"/>
      <c r="F41" s="76"/>
      <c r="G41" s="76"/>
      <c r="H41" s="76"/>
      <c r="I41" s="76"/>
      <c r="J41" s="76"/>
      <c r="K41" s="76"/>
    </row>
    <row r="42" spans="2:16" ht="20.100000000000001" customHeight="1" x14ac:dyDescent="0.3">
      <c r="B42" s="50" t="s">
        <v>40</v>
      </c>
      <c r="C42" s="51"/>
      <c r="D42" s="76"/>
      <c r="E42" s="76"/>
      <c r="F42" s="76"/>
      <c r="G42" s="76"/>
      <c r="H42" s="76"/>
      <c r="I42" s="76"/>
      <c r="J42" s="76"/>
      <c r="K42" s="76"/>
    </row>
    <row r="43" spans="2:16" x14ac:dyDescent="0.25">
      <c r="B43" s="77" t="s">
        <v>37</v>
      </c>
      <c r="C43" s="77"/>
      <c r="D43" s="77"/>
      <c r="E43" s="77"/>
      <c r="F43" s="77"/>
      <c r="G43" s="77"/>
      <c r="H43" s="77"/>
      <c r="I43" s="77"/>
      <c r="J43" s="77"/>
      <c r="K43" s="77"/>
    </row>
    <row r="44" spans="2:16" ht="15" customHeight="1" x14ac:dyDescent="0.25">
      <c r="B44" s="77"/>
      <c r="C44" s="77"/>
      <c r="D44" s="77"/>
      <c r="E44" s="77"/>
      <c r="F44" s="77"/>
      <c r="G44" s="77"/>
      <c r="H44" s="77"/>
      <c r="I44" s="77"/>
      <c r="J44" s="77"/>
      <c r="K44" s="77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76" t="s">
        <v>36</v>
      </c>
      <c r="E46" s="76"/>
      <c r="F46" s="76"/>
      <c r="G46" s="76"/>
      <c r="H46" s="76"/>
      <c r="I46" s="76"/>
      <c r="J46" s="76"/>
      <c r="K46" s="76"/>
    </row>
    <row r="47" spans="2:16" ht="20.100000000000001" customHeight="1" x14ac:dyDescent="0.3">
      <c r="B47" s="50" t="s">
        <v>40</v>
      </c>
      <c r="C47" s="51"/>
      <c r="D47" s="76"/>
      <c r="E47" s="76"/>
      <c r="F47" s="76"/>
      <c r="G47" s="76"/>
      <c r="H47" s="76"/>
      <c r="I47" s="76"/>
      <c r="J47" s="76"/>
      <c r="K47" s="76"/>
    </row>
    <row r="50" spans="2:10" ht="19.5" customHeight="1" x14ac:dyDescent="0.25">
      <c r="B50" s="69"/>
      <c r="C50" s="69"/>
      <c r="D50" s="69"/>
      <c r="G50" s="69"/>
      <c r="H50" s="69"/>
      <c r="I50" s="69"/>
      <c r="J50" s="69"/>
    </row>
    <row r="51" spans="2:10" ht="18" customHeight="1" x14ac:dyDescent="0.25">
      <c r="B51" s="12" t="s">
        <v>42</v>
      </c>
      <c r="C51" s="70"/>
      <c r="D51" s="70"/>
      <c r="G51" s="12" t="s">
        <v>43</v>
      </c>
      <c r="H51" s="71"/>
      <c r="I51" s="71"/>
      <c r="J51" s="7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</mergeCells>
  <conditionalFormatting sqref="G35">
    <cfRule type="cellIs" dxfId="41" priority="7" operator="greaterThan">
      <formula>350</formula>
    </cfRule>
  </conditionalFormatting>
  <conditionalFormatting sqref="K25:K26 K28:K33">
    <cfRule type="cellIs" dxfId="40" priority="6" operator="greaterThan">
      <formula>1</formula>
    </cfRule>
  </conditionalFormatting>
  <conditionalFormatting sqref="K24">
    <cfRule type="cellIs" dxfId="39" priority="5" operator="greaterThan">
      <formula>1</formula>
    </cfRule>
  </conditionalFormatting>
  <conditionalFormatting sqref="K15">
    <cfRule type="cellIs" dxfId="38" priority="4" operator="greaterThan">
      <formula>1</formula>
    </cfRule>
  </conditionalFormatting>
  <conditionalFormatting sqref="K17:K23">
    <cfRule type="cellIs" dxfId="37" priority="3" operator="greaterThan">
      <formula>1</formula>
    </cfRule>
  </conditionalFormatting>
  <conditionalFormatting sqref="K16">
    <cfRule type="cellIs" dxfId="36" priority="2" operator="greaterThan">
      <formula>1</formula>
    </cfRule>
  </conditionalFormatting>
  <conditionalFormatting sqref="K27">
    <cfRule type="cellIs" dxfId="35" priority="1" operator="greaterThan">
      <formula>1</formula>
    </cfRule>
  </conditionalFormatting>
  <dataValidations count="3"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9" t="s">
        <v>1</v>
      </c>
      <c r="C2" s="79"/>
      <c r="D2" s="79"/>
      <c r="E2" s="79"/>
      <c r="F2" s="79"/>
      <c r="G2" s="79"/>
      <c r="H2" s="79"/>
      <c r="I2" s="79"/>
      <c r="J2" s="79"/>
      <c r="K2" s="79"/>
      <c r="P2" s="6" t="s">
        <v>2</v>
      </c>
    </row>
    <row r="3" spans="2:16" ht="18.75" customHeight="1" x14ac:dyDescent="0.25">
      <c r="B3" s="80" t="s">
        <v>3</v>
      </c>
      <c r="C3" s="81"/>
      <c r="D3" s="81"/>
      <c r="E3" s="81" t="s">
        <v>4</v>
      </c>
      <c r="F3" s="81"/>
      <c r="G3" s="81"/>
      <c r="H3" s="81"/>
      <c r="I3" s="81" t="s">
        <v>5</v>
      </c>
      <c r="J3" s="81"/>
      <c r="K3" s="82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83" t="s">
        <v>7</v>
      </c>
      <c r="C5" s="83"/>
      <c r="D5" s="10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83" t="s">
        <v>10</v>
      </c>
      <c r="C7" s="83"/>
      <c r="D7" s="87"/>
      <c r="E7" s="87"/>
      <c r="F7" s="87"/>
      <c r="G7" s="87"/>
      <c r="H7" s="87"/>
      <c r="I7" s="8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83" t="s">
        <v>13</v>
      </c>
      <c r="C9" s="83"/>
      <c r="D9" s="18" t="s">
        <v>15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83" t="s">
        <v>16</v>
      </c>
      <c r="C11" s="83"/>
      <c r="D11" s="22">
        <v>46265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2" t="s">
        <v>19</v>
      </c>
      <c r="C13" s="72"/>
      <c r="D13" s="72"/>
      <c r="E13" s="72"/>
      <c r="F13" s="72"/>
      <c r="G13" s="72"/>
      <c r="H13" s="83" t="s">
        <v>20</v>
      </c>
      <c r="I13" s="83"/>
      <c r="J13" s="83" t="s">
        <v>21</v>
      </c>
      <c r="K13" s="83"/>
      <c r="P13" s="6" t="s">
        <v>22</v>
      </c>
    </row>
    <row r="14" spans="2:16" ht="57.6" customHeight="1" x14ac:dyDescent="0.25">
      <c r="B14" s="27" t="s">
        <v>23</v>
      </c>
      <c r="C14" s="27" t="s">
        <v>24</v>
      </c>
      <c r="D14" s="27" t="s">
        <v>25</v>
      </c>
      <c r="E14" s="27" t="s">
        <v>26</v>
      </c>
      <c r="F14" s="27" t="s">
        <v>27</v>
      </c>
      <c r="G14" s="27" t="s">
        <v>28</v>
      </c>
      <c r="H14" s="27" t="s">
        <v>29</v>
      </c>
      <c r="I14" s="27" t="s">
        <v>30</v>
      </c>
      <c r="J14" s="27" t="s">
        <v>31</v>
      </c>
      <c r="K14" s="2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28" t="s">
        <v>33</v>
      </c>
      <c r="G15" s="29">
        <f>ENERO!G15</f>
        <v>0</v>
      </c>
      <c r="H15" s="29"/>
      <c r="I15" s="53">
        <f t="shared" ref="I15:I33" si="0">IFERROR(H15/G15,0)</f>
        <v>0</v>
      </c>
      <c r="J15" s="31">
        <f>H15+JULIO!J15</f>
        <v>0</v>
      </c>
      <c r="K15" s="53">
        <f>IFERROR(J15/G15,0)</f>
        <v>0</v>
      </c>
    </row>
    <row r="16" spans="2:16" x14ac:dyDescent="0.25">
      <c r="B16" s="57"/>
      <c r="C16" s="33"/>
      <c r="D16" s="55"/>
      <c r="E16" s="63"/>
      <c r="F16" s="33" t="s">
        <v>33</v>
      </c>
      <c r="G16" s="56">
        <f>ENERO!G16</f>
        <v>0</v>
      </c>
      <c r="H16" s="34"/>
      <c r="I16" s="35">
        <f t="shared" ref="I16:I23" si="1">IFERROR(H16/G16,0)</f>
        <v>0</v>
      </c>
      <c r="J16" s="1">
        <f>H16+JULIO!J16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H17+JULIO!J17</f>
        <v>0</v>
      </c>
      <c r="K17" s="38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H18+JULIO!J18</f>
        <v>0</v>
      </c>
      <c r="K18" s="35">
        <f t="shared" ref="K18:K23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H19+JULIO!J19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H20+JULIO!J20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si="1"/>
        <v>0</v>
      </c>
      <c r="J21" s="1">
        <f>H21+JULIO!J21</f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H22+JULIO!J22</f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56">
        <f>ENERO!G23</f>
        <v>0</v>
      </c>
      <c r="H23" s="34"/>
      <c r="I23" s="35">
        <f t="shared" si="1"/>
        <v>0</v>
      </c>
      <c r="J23" s="1">
        <f>H23+JULIO!J23</f>
        <v>0</v>
      </c>
      <c r="K23" s="35">
        <f t="shared" si="2"/>
        <v>0</v>
      </c>
    </row>
    <row r="24" spans="2:16" x14ac:dyDescent="0.25">
      <c r="B24" s="57"/>
      <c r="C24" s="33"/>
      <c r="D24" s="55"/>
      <c r="E24" s="63"/>
      <c r="F24" s="33" t="s">
        <v>33</v>
      </c>
      <c r="G24" s="34">
        <f>ENERO!G24</f>
        <v>0</v>
      </c>
      <c r="H24" s="34"/>
      <c r="I24" s="35">
        <f t="shared" si="0"/>
        <v>0</v>
      </c>
      <c r="J24" s="1">
        <f>H24+JULIO!J24</f>
        <v>0</v>
      </c>
      <c r="K24" s="35">
        <f>IFERROR(J24/G24,0)</f>
        <v>0</v>
      </c>
    </row>
    <row r="25" spans="2:16" x14ac:dyDescent="0.25">
      <c r="B25" s="33"/>
      <c r="C25" s="33"/>
      <c r="D25" s="36"/>
      <c r="E25" s="63"/>
      <c r="F25" s="32" t="s">
        <v>33</v>
      </c>
      <c r="G25" s="34">
        <f>ENERO!G25</f>
        <v>0</v>
      </c>
      <c r="H25" s="37"/>
      <c r="I25" s="38">
        <f t="shared" si="0"/>
        <v>0</v>
      </c>
      <c r="J25" s="2">
        <f>H25+JULIO!J25</f>
        <v>0</v>
      </c>
      <c r="K25" s="38">
        <f>IFERROR(J25/G25,0)</f>
        <v>0</v>
      </c>
    </row>
    <row r="26" spans="2:16" x14ac:dyDescent="0.25">
      <c r="B26" s="33"/>
      <c r="C26" s="33"/>
      <c r="D26" s="36"/>
      <c r="E26" s="63"/>
      <c r="F26" s="33" t="s">
        <v>33</v>
      </c>
      <c r="G26" s="56">
        <f>ENERO!G26</f>
        <v>0</v>
      </c>
      <c r="H26" s="34"/>
      <c r="I26" s="35">
        <f t="shared" ref="I26" si="3">IFERROR(H26/G26,0)</f>
        <v>0</v>
      </c>
      <c r="J26" s="1">
        <f>H26+JULIO!J26</f>
        <v>0</v>
      </c>
      <c r="K26" s="35">
        <f t="shared" ref="K26" si="4">IFERROR(J26/G26,0)</f>
        <v>0</v>
      </c>
    </row>
    <row r="27" spans="2:16" x14ac:dyDescent="0.25">
      <c r="B27" s="33"/>
      <c r="C27" s="33"/>
      <c r="D27" s="36"/>
      <c r="E27" s="63"/>
      <c r="F27" s="33" t="s">
        <v>33</v>
      </c>
      <c r="G27" s="34">
        <f>ENERO!G27</f>
        <v>0</v>
      </c>
      <c r="H27" s="34"/>
      <c r="I27" s="35">
        <f t="shared" si="0"/>
        <v>0</v>
      </c>
      <c r="J27" s="1">
        <f>H27+JULIO!J27</f>
        <v>0</v>
      </c>
      <c r="K27" s="35">
        <f t="shared" ref="K27:K33" si="5">IFERROR(J27/G27,0)</f>
        <v>0</v>
      </c>
    </row>
    <row r="28" spans="2:16" s="14" customFormat="1" x14ac:dyDescent="0.25">
      <c r="B28" s="33"/>
      <c r="C28" s="33"/>
      <c r="D28" s="36"/>
      <c r="E28" s="63"/>
      <c r="F28" s="33" t="s">
        <v>33</v>
      </c>
      <c r="G28" s="34">
        <f>ENERO!G28</f>
        <v>0</v>
      </c>
      <c r="H28" s="34"/>
      <c r="I28" s="35">
        <f t="shared" si="0"/>
        <v>0</v>
      </c>
      <c r="J28" s="1">
        <f>H28+JULIO!J28</f>
        <v>0</v>
      </c>
      <c r="K28" s="35">
        <f t="shared" si="5"/>
        <v>0</v>
      </c>
      <c r="N28" s="39"/>
      <c r="P28" s="39"/>
    </row>
    <row r="29" spans="2:16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H29+JULIO!J29</f>
        <v>0</v>
      </c>
      <c r="K29" s="35">
        <f t="shared" si="5"/>
        <v>0</v>
      </c>
    </row>
    <row r="30" spans="2:16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H30+JULIO!J30</f>
        <v>0</v>
      </c>
      <c r="K30" s="35">
        <f t="shared" si="5"/>
        <v>0</v>
      </c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H31+JULIO!J31</f>
        <v>0</v>
      </c>
      <c r="K31" s="35">
        <f t="shared" si="5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2">
        <f>H32+JULIO!J32</f>
        <v>0</v>
      </c>
      <c r="K32" s="35">
        <f t="shared" si="5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H33+JULIO!J33</f>
        <v>0</v>
      </c>
      <c r="K33" s="43">
        <f t="shared" si="5"/>
        <v>0</v>
      </c>
    </row>
    <row r="34" spans="2:16" x14ac:dyDescent="0.25">
      <c r="B34" s="12"/>
      <c r="C34" s="12"/>
      <c r="D34" s="12"/>
      <c r="E34" s="12"/>
      <c r="F34" s="21"/>
      <c r="G34" s="78" t="str">
        <f>+CONCATENATE("TOTAL A ",D9)</f>
        <v>TOTAL A AGOSTO</v>
      </c>
      <c r="H34" s="78"/>
      <c r="I34" s="78"/>
      <c r="J34" s="78" t="s">
        <v>34</v>
      </c>
      <c r="K34" s="78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2" t="s">
        <v>35</v>
      </c>
      <c r="C37" s="72"/>
      <c r="D37" s="73" t="s">
        <v>36</v>
      </c>
      <c r="E37" s="74"/>
      <c r="F37" s="74"/>
      <c r="G37" s="74"/>
      <c r="H37" s="74"/>
      <c r="I37" s="74"/>
      <c r="J37" s="74"/>
      <c r="K37" s="74"/>
    </row>
    <row r="38" spans="2:16" x14ac:dyDescent="0.25">
      <c r="B38" s="75" t="s">
        <v>37</v>
      </c>
      <c r="C38" s="75"/>
      <c r="D38" s="75"/>
      <c r="E38" s="75"/>
      <c r="F38" s="75"/>
      <c r="G38" s="75"/>
      <c r="H38" s="75"/>
      <c r="I38" s="75"/>
      <c r="J38" s="75"/>
      <c r="K38" s="75"/>
    </row>
    <row r="39" spans="2:16" ht="20.100000000000001" customHeight="1" x14ac:dyDescent="0.25"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76" t="s">
        <v>36</v>
      </c>
      <c r="E41" s="76"/>
      <c r="F41" s="76"/>
      <c r="G41" s="76"/>
      <c r="H41" s="76"/>
      <c r="I41" s="76"/>
      <c r="J41" s="76"/>
      <c r="K41" s="76"/>
    </row>
    <row r="42" spans="2:16" ht="20.100000000000001" customHeight="1" x14ac:dyDescent="0.3">
      <c r="B42" s="50" t="s">
        <v>40</v>
      </c>
      <c r="C42" s="51"/>
      <c r="D42" s="76"/>
      <c r="E42" s="76"/>
      <c r="F42" s="76"/>
      <c r="G42" s="76"/>
      <c r="H42" s="76"/>
      <c r="I42" s="76"/>
      <c r="J42" s="76"/>
      <c r="K42" s="76"/>
    </row>
    <row r="43" spans="2:16" x14ac:dyDescent="0.25">
      <c r="B43" s="77" t="s">
        <v>37</v>
      </c>
      <c r="C43" s="77"/>
      <c r="D43" s="77"/>
      <c r="E43" s="77"/>
      <c r="F43" s="77"/>
      <c r="G43" s="77"/>
      <c r="H43" s="77"/>
      <c r="I43" s="77"/>
      <c r="J43" s="77"/>
      <c r="K43" s="77"/>
    </row>
    <row r="44" spans="2:16" ht="15" customHeight="1" x14ac:dyDescent="0.25">
      <c r="B44" s="77"/>
      <c r="C44" s="77"/>
      <c r="D44" s="77"/>
      <c r="E44" s="77"/>
      <c r="F44" s="77"/>
      <c r="G44" s="77"/>
      <c r="H44" s="77"/>
      <c r="I44" s="77"/>
      <c r="J44" s="77"/>
      <c r="K44" s="77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76" t="s">
        <v>36</v>
      </c>
      <c r="E46" s="76"/>
      <c r="F46" s="76"/>
      <c r="G46" s="76"/>
      <c r="H46" s="76"/>
      <c r="I46" s="76"/>
      <c r="J46" s="76"/>
      <c r="K46" s="76"/>
    </row>
    <row r="47" spans="2:16" ht="20.100000000000001" customHeight="1" x14ac:dyDescent="0.3">
      <c r="B47" s="50" t="s">
        <v>40</v>
      </c>
      <c r="C47" s="51"/>
      <c r="D47" s="76"/>
      <c r="E47" s="76"/>
      <c r="F47" s="76"/>
      <c r="G47" s="76"/>
      <c r="H47" s="76"/>
      <c r="I47" s="76"/>
      <c r="J47" s="76"/>
      <c r="K47" s="76"/>
    </row>
    <row r="50" spans="2:10" ht="19.5" customHeight="1" x14ac:dyDescent="0.25">
      <c r="B50" s="69"/>
      <c r="C50" s="69"/>
      <c r="D50" s="69"/>
      <c r="G50" s="69"/>
      <c r="H50" s="69"/>
      <c r="I50" s="69"/>
      <c r="J50" s="69"/>
    </row>
    <row r="51" spans="2:10" ht="18" customHeight="1" x14ac:dyDescent="0.25">
      <c r="B51" s="12" t="s">
        <v>42</v>
      </c>
      <c r="C51" s="70"/>
      <c r="D51" s="70"/>
      <c r="G51" s="12" t="s">
        <v>43</v>
      </c>
      <c r="H51" s="71"/>
      <c r="I51" s="71"/>
      <c r="J51" s="7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</mergeCells>
  <conditionalFormatting sqref="G35">
    <cfRule type="cellIs" dxfId="34" priority="7" operator="greaterThan">
      <formula>350</formula>
    </cfRule>
  </conditionalFormatting>
  <conditionalFormatting sqref="K25 K27:K33">
    <cfRule type="cellIs" dxfId="33" priority="6" operator="greaterThan">
      <formula>1</formula>
    </cfRule>
  </conditionalFormatting>
  <conditionalFormatting sqref="K24">
    <cfRule type="cellIs" dxfId="32" priority="5" operator="greaterThan">
      <formula>1</formula>
    </cfRule>
  </conditionalFormatting>
  <conditionalFormatting sqref="K15">
    <cfRule type="cellIs" dxfId="31" priority="4" operator="greaterThan">
      <formula>1</formula>
    </cfRule>
  </conditionalFormatting>
  <conditionalFormatting sqref="K17:K23">
    <cfRule type="cellIs" dxfId="30" priority="3" operator="greaterThan">
      <formula>1</formula>
    </cfRule>
  </conditionalFormatting>
  <conditionalFormatting sqref="K16">
    <cfRule type="cellIs" dxfId="29" priority="2" operator="greaterThan">
      <formula>1</formula>
    </cfRule>
  </conditionalFormatting>
  <conditionalFormatting sqref="K26">
    <cfRule type="cellIs" dxfId="28" priority="1" operator="greaterThan">
      <formula>1</formula>
    </cfRule>
  </conditionalFormatting>
  <dataValidations count="3"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topLeftCell="A3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9" t="s">
        <v>1</v>
      </c>
      <c r="C2" s="79"/>
      <c r="D2" s="79"/>
      <c r="E2" s="79"/>
      <c r="F2" s="79"/>
      <c r="G2" s="79"/>
      <c r="H2" s="79"/>
      <c r="I2" s="79"/>
      <c r="J2" s="79"/>
      <c r="K2" s="79"/>
      <c r="P2" s="6" t="s">
        <v>2</v>
      </c>
    </row>
    <row r="3" spans="2:16" ht="18.75" customHeight="1" x14ac:dyDescent="0.25">
      <c r="B3" s="80" t="s">
        <v>3</v>
      </c>
      <c r="C3" s="81"/>
      <c r="D3" s="81"/>
      <c r="E3" s="81" t="s">
        <v>4</v>
      </c>
      <c r="F3" s="81"/>
      <c r="G3" s="81"/>
      <c r="H3" s="81"/>
      <c r="I3" s="81" t="s">
        <v>5</v>
      </c>
      <c r="J3" s="81"/>
      <c r="K3" s="82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83" t="s">
        <v>7</v>
      </c>
      <c r="C5" s="83"/>
      <c r="D5" s="10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83" t="s">
        <v>10</v>
      </c>
      <c r="C7" s="83"/>
      <c r="D7" s="87"/>
      <c r="E7" s="87"/>
      <c r="F7" s="87"/>
      <c r="G7" s="87"/>
      <c r="H7" s="87"/>
      <c r="I7" s="8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83" t="s">
        <v>13</v>
      </c>
      <c r="C9" s="83"/>
      <c r="D9" s="18" t="s">
        <v>17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83" t="s">
        <v>16</v>
      </c>
      <c r="C11" s="83"/>
      <c r="D11" s="22">
        <v>46295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2" t="s">
        <v>19</v>
      </c>
      <c r="C13" s="72"/>
      <c r="D13" s="72"/>
      <c r="E13" s="72"/>
      <c r="F13" s="72"/>
      <c r="G13" s="72"/>
      <c r="H13" s="83" t="s">
        <v>20</v>
      </c>
      <c r="I13" s="83"/>
      <c r="J13" s="83" t="s">
        <v>21</v>
      </c>
      <c r="K13" s="83"/>
      <c r="P13" s="6" t="s">
        <v>22</v>
      </c>
    </row>
    <row r="14" spans="2:16" ht="57.6" customHeight="1" x14ac:dyDescent="0.25">
      <c r="B14" s="27" t="s">
        <v>23</v>
      </c>
      <c r="C14" s="27" t="s">
        <v>24</v>
      </c>
      <c r="D14" s="27" t="s">
        <v>25</v>
      </c>
      <c r="E14" s="27" t="s">
        <v>26</v>
      </c>
      <c r="F14" s="27" t="s">
        <v>27</v>
      </c>
      <c r="G14" s="27" t="s">
        <v>28</v>
      </c>
      <c r="H14" s="27" t="s">
        <v>29</v>
      </c>
      <c r="I14" s="27" t="s">
        <v>30</v>
      </c>
      <c r="J14" s="27" t="s">
        <v>31</v>
      </c>
      <c r="K14" s="2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28" t="s">
        <v>33</v>
      </c>
      <c r="G15" s="29">
        <f>ENERO!G15</f>
        <v>0</v>
      </c>
      <c r="H15" s="29"/>
      <c r="I15" s="30">
        <f t="shared" ref="I15:I33" si="0">IFERROR(H15/G15,0)</f>
        <v>0</v>
      </c>
      <c r="J15" s="31">
        <f>H15+AGOSTO!J15</f>
        <v>0</v>
      </c>
      <c r="K15" s="30">
        <f>IFERROR(J15/G15,0)</f>
        <v>0</v>
      </c>
    </row>
    <row r="16" spans="2:16" x14ac:dyDescent="0.25">
      <c r="B16" s="57"/>
      <c r="C16" s="33"/>
      <c r="D16" s="55"/>
      <c r="E16" s="63"/>
      <c r="F16" s="33" t="s">
        <v>33</v>
      </c>
      <c r="G16" s="56">
        <f>ENERO!G16</f>
        <v>0</v>
      </c>
      <c r="H16" s="34"/>
      <c r="I16" s="35">
        <f t="shared" ref="I16:I23" si="1">IFERROR(H16/G16,0)</f>
        <v>0</v>
      </c>
      <c r="J16" s="1">
        <f>H16+AGOSTO!J16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H17+AGOSTO!J17</f>
        <v>0</v>
      </c>
      <c r="K17" s="35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H18+AGOSTO!J18</f>
        <v>0</v>
      </c>
      <c r="K18" s="35">
        <f t="shared" ref="K18:K23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H19+AGOSTO!J19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H20+AGOSTO!J20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si="1"/>
        <v>0</v>
      </c>
      <c r="J21" s="1">
        <f>H21+AGOSTO!J21</f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H22+AGOSTO!J22</f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56">
        <f>ENERO!G23</f>
        <v>0</v>
      </c>
      <c r="H23" s="34"/>
      <c r="I23" s="35">
        <f t="shared" si="1"/>
        <v>0</v>
      </c>
      <c r="J23" s="2">
        <f>H23+AGOSTO!J23</f>
        <v>0</v>
      </c>
      <c r="K23" s="35">
        <f t="shared" si="2"/>
        <v>0</v>
      </c>
    </row>
    <row r="24" spans="2:16" x14ac:dyDescent="0.25">
      <c r="B24" s="57"/>
      <c r="C24" s="33"/>
      <c r="D24" s="55"/>
      <c r="E24" s="63"/>
      <c r="F24" s="33" t="s">
        <v>33</v>
      </c>
      <c r="G24" s="34">
        <f>ENERO!G24</f>
        <v>0</v>
      </c>
      <c r="H24" s="34"/>
      <c r="I24" s="35">
        <f t="shared" si="0"/>
        <v>0</v>
      </c>
      <c r="J24" s="1">
        <f>H24+AGOSTO!J24</f>
        <v>0</v>
      </c>
      <c r="K24" s="35">
        <f>IFERROR(J24/G24,0)</f>
        <v>0</v>
      </c>
    </row>
    <row r="25" spans="2:16" x14ac:dyDescent="0.25">
      <c r="B25" s="33"/>
      <c r="C25" s="33"/>
      <c r="D25" s="36"/>
      <c r="E25" s="63"/>
      <c r="F25" s="32" t="s">
        <v>33</v>
      </c>
      <c r="G25" s="34">
        <f>ENERO!G25</f>
        <v>0</v>
      </c>
      <c r="H25" s="37"/>
      <c r="I25" s="38">
        <f t="shared" si="0"/>
        <v>0</v>
      </c>
      <c r="J25" s="2">
        <f>H25+AGOSTO!J25</f>
        <v>0</v>
      </c>
      <c r="K25" s="35">
        <f>IFERROR(J25/G25,0)</f>
        <v>0</v>
      </c>
    </row>
    <row r="26" spans="2:16" x14ac:dyDescent="0.25">
      <c r="B26" s="33"/>
      <c r="C26" s="33"/>
      <c r="D26" s="36"/>
      <c r="E26" s="63"/>
      <c r="F26" s="33" t="s">
        <v>33</v>
      </c>
      <c r="G26" s="56">
        <f>ENERO!G26</f>
        <v>0</v>
      </c>
      <c r="H26" s="34"/>
      <c r="I26" s="35">
        <f t="shared" ref="I26" si="3">IFERROR(H26/G26,0)</f>
        <v>0</v>
      </c>
      <c r="J26" s="1">
        <f>H26+AGOSTO!J26</f>
        <v>0</v>
      </c>
      <c r="K26" s="35">
        <f t="shared" ref="K26" si="4">IFERROR(J26/G26,0)</f>
        <v>0</v>
      </c>
    </row>
    <row r="27" spans="2:16" x14ac:dyDescent="0.25">
      <c r="B27" s="33"/>
      <c r="C27" s="33"/>
      <c r="D27" s="36"/>
      <c r="E27" s="63"/>
      <c r="F27" s="33" t="s">
        <v>33</v>
      </c>
      <c r="G27" s="34">
        <f>ENERO!G27</f>
        <v>0</v>
      </c>
      <c r="H27" s="34"/>
      <c r="I27" s="35">
        <f t="shared" si="0"/>
        <v>0</v>
      </c>
      <c r="J27" s="1">
        <f>H27+AGOSTO!J27</f>
        <v>0</v>
      </c>
      <c r="K27" s="35">
        <f t="shared" ref="K27:K33" si="5">IFERROR(J27/G27,0)</f>
        <v>0</v>
      </c>
    </row>
    <row r="28" spans="2:16" s="14" customFormat="1" x14ac:dyDescent="0.25">
      <c r="B28" s="33"/>
      <c r="C28" s="33"/>
      <c r="D28" s="36"/>
      <c r="E28" s="63"/>
      <c r="F28" s="33" t="s">
        <v>33</v>
      </c>
      <c r="G28" s="34">
        <f>ENERO!G28</f>
        <v>0</v>
      </c>
      <c r="H28" s="34"/>
      <c r="I28" s="35">
        <f t="shared" si="0"/>
        <v>0</v>
      </c>
      <c r="J28" s="1">
        <f>H28+AGOSTO!J28</f>
        <v>0</v>
      </c>
      <c r="K28" s="35">
        <f t="shared" si="5"/>
        <v>0</v>
      </c>
      <c r="N28" s="39"/>
      <c r="P28" s="39"/>
    </row>
    <row r="29" spans="2:16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H29+AGOSTO!J29</f>
        <v>0</v>
      </c>
      <c r="K29" s="35">
        <f t="shared" si="5"/>
        <v>0</v>
      </c>
    </row>
    <row r="30" spans="2:16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H30+AGOSTO!J30</f>
        <v>0</v>
      </c>
      <c r="K30" s="35">
        <f t="shared" si="5"/>
        <v>0</v>
      </c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H31+AGOSTO!J31</f>
        <v>0</v>
      </c>
      <c r="K31" s="35">
        <f t="shared" si="5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2">
        <f>H32+AGOSTO!J32</f>
        <v>0</v>
      </c>
      <c r="K32" s="35">
        <f t="shared" si="5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H33+AGOSTO!J33</f>
        <v>0</v>
      </c>
      <c r="K33" s="43">
        <f t="shared" si="5"/>
        <v>0</v>
      </c>
    </row>
    <row r="34" spans="2:16" x14ac:dyDescent="0.25">
      <c r="B34" s="12"/>
      <c r="C34" s="12"/>
      <c r="D34" s="12"/>
      <c r="E34" s="12"/>
      <c r="F34" s="21"/>
      <c r="G34" s="78" t="str">
        <f>+CONCATENATE("TOTAL A ",D9)</f>
        <v>TOTAL A SEPTIEMBRE</v>
      </c>
      <c r="H34" s="78"/>
      <c r="I34" s="78"/>
      <c r="J34" s="78" t="s">
        <v>34</v>
      </c>
      <c r="K34" s="78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2" t="s">
        <v>35</v>
      </c>
      <c r="C37" s="72"/>
      <c r="D37" s="73" t="s">
        <v>36</v>
      </c>
      <c r="E37" s="74"/>
      <c r="F37" s="74"/>
      <c r="G37" s="74"/>
      <c r="H37" s="74"/>
      <c r="I37" s="74"/>
      <c r="J37" s="74"/>
      <c r="K37" s="74"/>
    </row>
    <row r="38" spans="2:16" x14ac:dyDescent="0.25">
      <c r="B38" s="75" t="s">
        <v>37</v>
      </c>
      <c r="C38" s="75"/>
      <c r="D38" s="75"/>
      <c r="E38" s="75"/>
      <c r="F38" s="75"/>
      <c r="G38" s="75"/>
      <c r="H38" s="75"/>
      <c r="I38" s="75"/>
      <c r="J38" s="75"/>
      <c r="K38" s="75"/>
    </row>
    <row r="39" spans="2:16" ht="20.100000000000001" customHeight="1" x14ac:dyDescent="0.25"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76" t="s">
        <v>36</v>
      </c>
      <c r="E41" s="76"/>
      <c r="F41" s="76"/>
      <c r="G41" s="76"/>
      <c r="H41" s="76"/>
      <c r="I41" s="76"/>
      <c r="J41" s="76"/>
      <c r="K41" s="76"/>
    </row>
    <row r="42" spans="2:16" ht="20.100000000000001" customHeight="1" x14ac:dyDescent="0.3">
      <c r="B42" s="50" t="s">
        <v>40</v>
      </c>
      <c r="C42" s="51"/>
      <c r="D42" s="76"/>
      <c r="E42" s="76"/>
      <c r="F42" s="76"/>
      <c r="G42" s="76"/>
      <c r="H42" s="76"/>
      <c r="I42" s="76"/>
      <c r="J42" s="76"/>
      <c r="K42" s="76"/>
    </row>
    <row r="43" spans="2:16" x14ac:dyDescent="0.25">
      <c r="B43" s="77" t="s">
        <v>37</v>
      </c>
      <c r="C43" s="77"/>
      <c r="D43" s="77"/>
      <c r="E43" s="77"/>
      <c r="F43" s="77"/>
      <c r="G43" s="77"/>
      <c r="H43" s="77"/>
      <c r="I43" s="77"/>
      <c r="J43" s="77"/>
      <c r="K43" s="77"/>
    </row>
    <row r="44" spans="2:16" ht="15" customHeight="1" x14ac:dyDescent="0.25">
      <c r="B44" s="77"/>
      <c r="C44" s="77"/>
      <c r="D44" s="77"/>
      <c r="E44" s="77"/>
      <c r="F44" s="77"/>
      <c r="G44" s="77"/>
      <c r="H44" s="77"/>
      <c r="I44" s="77"/>
      <c r="J44" s="77"/>
      <c r="K44" s="77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76" t="s">
        <v>36</v>
      </c>
      <c r="E46" s="76"/>
      <c r="F46" s="76"/>
      <c r="G46" s="76"/>
      <c r="H46" s="76"/>
      <c r="I46" s="76"/>
      <c r="J46" s="76"/>
      <c r="K46" s="76"/>
    </row>
    <row r="47" spans="2:16" ht="20.100000000000001" customHeight="1" x14ac:dyDescent="0.3">
      <c r="B47" s="50" t="s">
        <v>40</v>
      </c>
      <c r="C47" s="51"/>
      <c r="D47" s="76"/>
      <c r="E47" s="76"/>
      <c r="F47" s="76"/>
      <c r="G47" s="76"/>
      <c r="H47" s="76"/>
      <c r="I47" s="76"/>
      <c r="J47" s="76"/>
      <c r="K47" s="76"/>
    </row>
    <row r="50" spans="2:10" ht="19.5" customHeight="1" x14ac:dyDescent="0.25">
      <c r="B50" s="69"/>
      <c r="C50" s="69"/>
      <c r="D50" s="69"/>
      <c r="G50" s="69"/>
      <c r="H50" s="69"/>
      <c r="I50" s="69"/>
      <c r="J50" s="69"/>
    </row>
    <row r="51" spans="2:10" ht="18" customHeight="1" x14ac:dyDescent="0.25">
      <c r="B51" s="12" t="s">
        <v>42</v>
      </c>
      <c r="C51" s="70"/>
      <c r="D51" s="70"/>
      <c r="G51" s="12" t="s">
        <v>43</v>
      </c>
      <c r="H51" s="71"/>
      <c r="I51" s="71"/>
      <c r="J51" s="7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</mergeCells>
  <conditionalFormatting sqref="G35">
    <cfRule type="cellIs" dxfId="27" priority="7" operator="greaterThan">
      <formula>350</formula>
    </cfRule>
  </conditionalFormatting>
  <conditionalFormatting sqref="K25 K27:K33">
    <cfRule type="cellIs" dxfId="26" priority="6" operator="greaterThan">
      <formula>1</formula>
    </cfRule>
  </conditionalFormatting>
  <conditionalFormatting sqref="K24">
    <cfRule type="cellIs" dxfId="25" priority="5" operator="greaterThan">
      <formula>1</formula>
    </cfRule>
  </conditionalFormatting>
  <conditionalFormatting sqref="K15">
    <cfRule type="cellIs" dxfId="24" priority="4" operator="greaterThan">
      <formula>1</formula>
    </cfRule>
  </conditionalFormatting>
  <conditionalFormatting sqref="K17:K23">
    <cfRule type="cellIs" dxfId="23" priority="3" operator="greaterThan">
      <formula>1</formula>
    </cfRule>
  </conditionalFormatting>
  <conditionalFormatting sqref="K16">
    <cfRule type="cellIs" dxfId="22" priority="2" operator="greaterThan">
      <formula>1</formula>
    </cfRule>
  </conditionalFormatting>
  <conditionalFormatting sqref="K26">
    <cfRule type="cellIs" dxfId="21" priority="1" operator="greaterThan">
      <formula>1</formula>
    </cfRule>
  </conditionalFormatting>
  <dataValidations count="3"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topLeftCell="A6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9" t="s">
        <v>1</v>
      </c>
      <c r="C2" s="79"/>
      <c r="D2" s="79"/>
      <c r="E2" s="79"/>
      <c r="F2" s="79"/>
      <c r="G2" s="79"/>
      <c r="H2" s="79"/>
      <c r="I2" s="79"/>
      <c r="J2" s="79"/>
      <c r="K2" s="79"/>
      <c r="P2" s="6" t="s">
        <v>2</v>
      </c>
    </row>
    <row r="3" spans="2:16" ht="18.75" customHeight="1" x14ac:dyDescent="0.25">
      <c r="B3" s="80" t="s">
        <v>3</v>
      </c>
      <c r="C3" s="81"/>
      <c r="D3" s="81"/>
      <c r="E3" s="81" t="s">
        <v>4</v>
      </c>
      <c r="F3" s="81"/>
      <c r="G3" s="81"/>
      <c r="H3" s="81"/>
      <c r="I3" s="81" t="s">
        <v>5</v>
      </c>
      <c r="J3" s="81"/>
      <c r="K3" s="82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83" t="s">
        <v>7</v>
      </c>
      <c r="C5" s="83"/>
      <c r="D5" s="10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83" t="s">
        <v>10</v>
      </c>
      <c r="C7" s="83"/>
      <c r="D7" s="87"/>
      <c r="E7" s="87"/>
      <c r="F7" s="87"/>
      <c r="G7" s="87"/>
      <c r="H7" s="87"/>
      <c r="I7" s="8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83" t="s">
        <v>13</v>
      </c>
      <c r="C9" s="83"/>
      <c r="D9" s="18" t="s">
        <v>18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83" t="s">
        <v>16</v>
      </c>
      <c r="C11" s="83"/>
      <c r="D11" s="22">
        <v>46326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2" t="s">
        <v>19</v>
      </c>
      <c r="C13" s="72"/>
      <c r="D13" s="72"/>
      <c r="E13" s="72"/>
      <c r="F13" s="72"/>
      <c r="G13" s="72"/>
      <c r="H13" s="83" t="s">
        <v>20</v>
      </c>
      <c r="I13" s="83"/>
      <c r="J13" s="83" t="s">
        <v>21</v>
      </c>
      <c r="K13" s="83"/>
      <c r="P13" s="6" t="s">
        <v>22</v>
      </c>
    </row>
    <row r="14" spans="2:16" ht="57.6" customHeight="1" x14ac:dyDescent="0.25">
      <c r="B14" s="27" t="s">
        <v>23</v>
      </c>
      <c r="C14" s="27" t="s">
        <v>24</v>
      </c>
      <c r="D14" s="27" t="s">
        <v>25</v>
      </c>
      <c r="E14" s="27" t="s">
        <v>26</v>
      </c>
      <c r="F14" s="27" t="s">
        <v>27</v>
      </c>
      <c r="G14" s="27" t="s">
        <v>28</v>
      </c>
      <c r="H14" s="27" t="s">
        <v>29</v>
      </c>
      <c r="I14" s="27" t="s">
        <v>30</v>
      </c>
      <c r="J14" s="27" t="s">
        <v>31</v>
      </c>
      <c r="K14" s="2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28" t="s">
        <v>33</v>
      </c>
      <c r="G15" s="29">
        <f>ENERO!G15</f>
        <v>0</v>
      </c>
      <c r="H15" s="29"/>
      <c r="I15" s="30">
        <f t="shared" ref="I15:I33" si="0">IFERROR(H15/G15,0)</f>
        <v>0</v>
      </c>
      <c r="J15" s="31">
        <f>H15+SEPTIEMBRE!J15</f>
        <v>0</v>
      </c>
      <c r="K15" s="30">
        <f>IFERROR(J15/G15,0)</f>
        <v>0</v>
      </c>
    </row>
    <row r="16" spans="2:16" x14ac:dyDescent="0.25">
      <c r="B16" s="57"/>
      <c r="C16" s="33"/>
      <c r="D16" s="55"/>
      <c r="E16" s="63"/>
      <c r="F16" s="33" t="s">
        <v>33</v>
      </c>
      <c r="G16" s="56">
        <f>ENERO!G16</f>
        <v>0</v>
      </c>
      <c r="H16" s="34"/>
      <c r="I16" s="35">
        <f t="shared" ref="I16:I23" si="1">IFERROR(H16/G16,0)</f>
        <v>0</v>
      </c>
      <c r="J16" s="1">
        <f>H16+SEPTIEMBRE!J16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H17+SEPTIEMBRE!J17</f>
        <v>0</v>
      </c>
      <c r="K17" s="35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H18+SEPTIEMBRE!J18</f>
        <v>0</v>
      </c>
      <c r="K18" s="35">
        <f t="shared" ref="K18:K23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H19+SEPTIEMBRE!J19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H20+SEPTIEMBRE!J20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si="1"/>
        <v>0</v>
      </c>
      <c r="J21" s="1">
        <f>H21+SEPTIEMBRE!J21</f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H22+SEPTIEMBRE!J22</f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56">
        <f>ENERO!G23</f>
        <v>0</v>
      </c>
      <c r="H23" s="34"/>
      <c r="I23" s="35">
        <f t="shared" si="1"/>
        <v>0</v>
      </c>
      <c r="J23" s="2">
        <f>H23+SEPTIEMBRE!J23</f>
        <v>0</v>
      </c>
      <c r="K23" s="35">
        <f t="shared" si="2"/>
        <v>0</v>
      </c>
    </row>
    <row r="24" spans="2:16" x14ac:dyDescent="0.25">
      <c r="B24" s="57"/>
      <c r="C24" s="33"/>
      <c r="D24" s="55"/>
      <c r="E24" s="63"/>
      <c r="F24" s="33" t="s">
        <v>33</v>
      </c>
      <c r="G24" s="34">
        <f>ENERO!G24</f>
        <v>0</v>
      </c>
      <c r="H24" s="34"/>
      <c r="I24" s="35">
        <f t="shared" si="0"/>
        <v>0</v>
      </c>
      <c r="J24" s="1">
        <f>H24+SEPTIEMBRE!J24</f>
        <v>0</v>
      </c>
      <c r="K24" s="35">
        <f>IFERROR(J24/G24,0)</f>
        <v>0</v>
      </c>
    </row>
    <row r="25" spans="2:16" x14ac:dyDescent="0.25">
      <c r="B25" s="33"/>
      <c r="C25" s="33"/>
      <c r="D25" s="36"/>
      <c r="E25" s="63"/>
      <c r="F25" s="32" t="s">
        <v>33</v>
      </c>
      <c r="G25" s="34">
        <f>ENERO!G25</f>
        <v>0</v>
      </c>
      <c r="H25" s="37"/>
      <c r="I25" s="38">
        <f t="shared" si="0"/>
        <v>0</v>
      </c>
      <c r="J25" s="2">
        <f>H25+SEPTIEMBRE!J25</f>
        <v>0</v>
      </c>
      <c r="K25" s="35">
        <f>IFERROR(J25/G25,0)</f>
        <v>0</v>
      </c>
    </row>
    <row r="26" spans="2:16" x14ac:dyDescent="0.25">
      <c r="B26" s="33"/>
      <c r="C26" s="33"/>
      <c r="D26" s="36"/>
      <c r="E26" s="63"/>
      <c r="F26" s="33" t="s">
        <v>33</v>
      </c>
      <c r="G26" s="56">
        <f>ENERO!G26</f>
        <v>0</v>
      </c>
      <c r="H26" s="34"/>
      <c r="I26" s="35">
        <f t="shared" ref="I26" si="3">IFERROR(H26/G26,0)</f>
        <v>0</v>
      </c>
      <c r="J26" s="1">
        <f>H26+SEPTIEMBRE!J26</f>
        <v>0</v>
      </c>
      <c r="K26" s="35">
        <f t="shared" ref="K26" si="4">IFERROR(J26/G26,0)</f>
        <v>0</v>
      </c>
    </row>
    <row r="27" spans="2:16" x14ac:dyDescent="0.25">
      <c r="B27" s="33"/>
      <c r="C27" s="33"/>
      <c r="D27" s="36"/>
      <c r="E27" s="63"/>
      <c r="F27" s="33" t="s">
        <v>33</v>
      </c>
      <c r="G27" s="34">
        <f>ENERO!G27</f>
        <v>0</v>
      </c>
      <c r="H27" s="34"/>
      <c r="I27" s="35">
        <f t="shared" si="0"/>
        <v>0</v>
      </c>
      <c r="J27" s="1">
        <f>H27+SEPTIEMBRE!J27</f>
        <v>0</v>
      </c>
      <c r="K27" s="35">
        <f t="shared" ref="K27:K33" si="5">IFERROR(J27/G27,0)</f>
        <v>0</v>
      </c>
    </row>
    <row r="28" spans="2:16" s="14" customFormat="1" x14ac:dyDescent="0.25">
      <c r="B28" s="33"/>
      <c r="C28" s="33"/>
      <c r="D28" s="36"/>
      <c r="E28" s="63"/>
      <c r="F28" s="33" t="s">
        <v>33</v>
      </c>
      <c r="G28" s="34">
        <f>ENERO!G28</f>
        <v>0</v>
      </c>
      <c r="H28" s="34"/>
      <c r="I28" s="35">
        <f t="shared" si="0"/>
        <v>0</v>
      </c>
      <c r="J28" s="1">
        <f>H28+SEPTIEMBRE!J28</f>
        <v>0</v>
      </c>
      <c r="K28" s="35">
        <f t="shared" si="5"/>
        <v>0</v>
      </c>
      <c r="N28" s="39"/>
      <c r="P28" s="39"/>
    </row>
    <row r="29" spans="2:16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H29+SEPTIEMBRE!J29</f>
        <v>0</v>
      </c>
      <c r="K29" s="35">
        <f t="shared" si="5"/>
        <v>0</v>
      </c>
    </row>
    <row r="30" spans="2:16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H30+SEPTIEMBRE!J30</f>
        <v>0</v>
      </c>
      <c r="K30" s="35">
        <f t="shared" si="5"/>
        <v>0</v>
      </c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H31+SEPTIEMBRE!J31</f>
        <v>0</v>
      </c>
      <c r="K31" s="35">
        <f t="shared" si="5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2">
        <f>H32+SEPTIEMBRE!J32</f>
        <v>0</v>
      </c>
      <c r="K32" s="35">
        <f t="shared" si="5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H33+SEPTIEMBRE!J33</f>
        <v>0</v>
      </c>
      <c r="K33" s="43">
        <f t="shared" si="5"/>
        <v>0</v>
      </c>
    </row>
    <row r="34" spans="2:16" x14ac:dyDescent="0.25">
      <c r="B34" s="12"/>
      <c r="C34" s="12"/>
      <c r="D34" s="12"/>
      <c r="E34" s="12"/>
      <c r="F34" s="21"/>
      <c r="G34" s="78" t="str">
        <f>+CONCATENATE("TOTAL A ",D9)</f>
        <v>TOTAL A OCTUBRE</v>
      </c>
      <c r="H34" s="78"/>
      <c r="I34" s="78"/>
      <c r="J34" s="78" t="s">
        <v>34</v>
      </c>
      <c r="K34" s="78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2" t="s">
        <v>35</v>
      </c>
      <c r="C37" s="72"/>
      <c r="D37" s="73" t="s">
        <v>36</v>
      </c>
      <c r="E37" s="74"/>
      <c r="F37" s="74"/>
      <c r="G37" s="74"/>
      <c r="H37" s="74"/>
      <c r="I37" s="74"/>
      <c r="J37" s="74"/>
      <c r="K37" s="74"/>
    </row>
    <row r="38" spans="2:16" x14ac:dyDescent="0.25">
      <c r="B38" s="75" t="s">
        <v>37</v>
      </c>
      <c r="C38" s="75"/>
      <c r="D38" s="75"/>
      <c r="E38" s="75"/>
      <c r="F38" s="75"/>
      <c r="G38" s="75"/>
      <c r="H38" s="75"/>
      <c r="I38" s="75"/>
      <c r="J38" s="75"/>
      <c r="K38" s="75"/>
    </row>
    <row r="39" spans="2:16" ht="20.100000000000001" customHeight="1" x14ac:dyDescent="0.25"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76" t="s">
        <v>36</v>
      </c>
      <c r="E41" s="76"/>
      <c r="F41" s="76"/>
      <c r="G41" s="76"/>
      <c r="H41" s="76"/>
      <c r="I41" s="76"/>
      <c r="J41" s="76"/>
      <c r="K41" s="76"/>
    </row>
    <row r="42" spans="2:16" ht="20.100000000000001" customHeight="1" x14ac:dyDescent="0.3">
      <c r="B42" s="50" t="s">
        <v>40</v>
      </c>
      <c r="C42" s="51"/>
      <c r="D42" s="76"/>
      <c r="E42" s="76"/>
      <c r="F42" s="76"/>
      <c r="G42" s="76"/>
      <c r="H42" s="76"/>
      <c r="I42" s="76"/>
      <c r="J42" s="76"/>
      <c r="K42" s="76"/>
    </row>
    <row r="43" spans="2:16" x14ac:dyDescent="0.25">
      <c r="B43" s="77" t="s">
        <v>37</v>
      </c>
      <c r="C43" s="77"/>
      <c r="D43" s="77"/>
      <c r="E43" s="77"/>
      <c r="F43" s="77"/>
      <c r="G43" s="77"/>
      <c r="H43" s="77"/>
      <c r="I43" s="77"/>
      <c r="J43" s="77"/>
      <c r="K43" s="77"/>
    </row>
    <row r="44" spans="2:16" ht="15" customHeight="1" x14ac:dyDescent="0.25">
      <c r="B44" s="77"/>
      <c r="C44" s="77"/>
      <c r="D44" s="77"/>
      <c r="E44" s="77"/>
      <c r="F44" s="77"/>
      <c r="G44" s="77"/>
      <c r="H44" s="77"/>
      <c r="I44" s="77"/>
      <c r="J44" s="77"/>
      <c r="K44" s="77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76" t="s">
        <v>36</v>
      </c>
      <c r="E46" s="76"/>
      <c r="F46" s="76"/>
      <c r="G46" s="76"/>
      <c r="H46" s="76"/>
      <c r="I46" s="76"/>
      <c r="J46" s="76"/>
      <c r="K46" s="76"/>
    </row>
    <row r="47" spans="2:16" ht="20.100000000000001" customHeight="1" x14ac:dyDescent="0.3">
      <c r="B47" s="50" t="s">
        <v>40</v>
      </c>
      <c r="C47" s="51"/>
      <c r="D47" s="76"/>
      <c r="E47" s="76"/>
      <c r="F47" s="76"/>
      <c r="G47" s="76"/>
      <c r="H47" s="76"/>
      <c r="I47" s="76"/>
      <c r="J47" s="76"/>
      <c r="K47" s="76"/>
    </row>
    <row r="50" spans="2:10" ht="19.5" customHeight="1" x14ac:dyDescent="0.25">
      <c r="B50" s="69"/>
      <c r="C50" s="69"/>
      <c r="D50" s="69"/>
      <c r="G50" s="69"/>
      <c r="H50" s="69"/>
      <c r="I50" s="69"/>
      <c r="J50" s="69"/>
    </row>
    <row r="51" spans="2:10" ht="18" customHeight="1" x14ac:dyDescent="0.25">
      <c r="B51" s="12" t="s">
        <v>42</v>
      </c>
      <c r="C51" s="70"/>
      <c r="D51" s="70"/>
      <c r="G51" s="12" t="s">
        <v>43</v>
      </c>
      <c r="H51" s="71"/>
      <c r="I51" s="71"/>
      <c r="J51" s="7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</mergeCells>
  <conditionalFormatting sqref="G35">
    <cfRule type="cellIs" dxfId="20" priority="7" operator="greaterThan">
      <formula>350</formula>
    </cfRule>
  </conditionalFormatting>
  <conditionalFormatting sqref="K25 K27:K33">
    <cfRule type="cellIs" dxfId="19" priority="6" operator="greaterThan">
      <formula>1</formula>
    </cfRule>
  </conditionalFormatting>
  <conditionalFormatting sqref="K24">
    <cfRule type="cellIs" dxfId="18" priority="5" operator="greaterThan">
      <formula>1</formula>
    </cfRule>
  </conditionalFormatting>
  <conditionalFormatting sqref="K15">
    <cfRule type="cellIs" dxfId="17" priority="4" operator="greaterThan">
      <formula>1</formula>
    </cfRule>
  </conditionalFormatting>
  <conditionalFormatting sqref="K17:K23">
    <cfRule type="cellIs" dxfId="16" priority="3" operator="greaterThan">
      <formula>1</formula>
    </cfRule>
  </conditionalFormatting>
  <conditionalFormatting sqref="K16">
    <cfRule type="cellIs" dxfId="15" priority="2" operator="greaterThan">
      <formula>1</formula>
    </cfRule>
  </conditionalFormatting>
  <conditionalFormatting sqref="K26">
    <cfRule type="cellIs" dxfId="14" priority="1" operator="greaterThan">
      <formula>1</formula>
    </cfRule>
  </conditionalFormatting>
  <dataValidations count="3"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topLeftCell="A3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9" t="s">
        <v>1</v>
      </c>
      <c r="C2" s="79"/>
      <c r="D2" s="79"/>
      <c r="E2" s="79"/>
      <c r="F2" s="79"/>
      <c r="G2" s="79"/>
      <c r="H2" s="79"/>
      <c r="I2" s="79"/>
      <c r="J2" s="79"/>
      <c r="K2" s="79"/>
      <c r="P2" s="6" t="s">
        <v>2</v>
      </c>
    </row>
    <row r="3" spans="2:16" ht="18.75" customHeight="1" x14ac:dyDescent="0.25">
      <c r="B3" s="80" t="s">
        <v>3</v>
      </c>
      <c r="C3" s="81"/>
      <c r="D3" s="81"/>
      <c r="E3" s="81" t="s">
        <v>4</v>
      </c>
      <c r="F3" s="81"/>
      <c r="G3" s="81"/>
      <c r="H3" s="81"/>
      <c r="I3" s="81" t="s">
        <v>5</v>
      </c>
      <c r="J3" s="81"/>
      <c r="K3" s="82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83" t="s">
        <v>7</v>
      </c>
      <c r="C5" s="83"/>
      <c r="D5" s="10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83" t="s">
        <v>10</v>
      </c>
      <c r="C7" s="83"/>
      <c r="D7" s="87"/>
      <c r="E7" s="87"/>
      <c r="F7" s="87"/>
      <c r="G7" s="87"/>
      <c r="H7" s="87"/>
      <c r="I7" s="8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83" t="s">
        <v>13</v>
      </c>
      <c r="C9" s="83"/>
      <c r="D9" s="18" t="s">
        <v>22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83" t="s">
        <v>16</v>
      </c>
      <c r="C11" s="83"/>
      <c r="D11" s="22">
        <v>46356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2" t="s">
        <v>19</v>
      </c>
      <c r="C13" s="72"/>
      <c r="D13" s="72"/>
      <c r="E13" s="72"/>
      <c r="F13" s="72"/>
      <c r="G13" s="72"/>
      <c r="H13" s="83" t="s">
        <v>20</v>
      </c>
      <c r="I13" s="83"/>
      <c r="J13" s="83" t="s">
        <v>21</v>
      </c>
      <c r="K13" s="83"/>
      <c r="P13" s="6" t="s">
        <v>22</v>
      </c>
    </row>
    <row r="14" spans="2:16" ht="57.6" customHeight="1" x14ac:dyDescent="0.25">
      <c r="B14" s="27" t="s">
        <v>23</v>
      </c>
      <c r="C14" s="27" t="s">
        <v>24</v>
      </c>
      <c r="D14" s="27" t="s">
        <v>25</v>
      </c>
      <c r="E14" s="27" t="s">
        <v>26</v>
      </c>
      <c r="F14" s="27" t="s">
        <v>27</v>
      </c>
      <c r="G14" s="27" t="s">
        <v>28</v>
      </c>
      <c r="H14" s="27" t="s">
        <v>29</v>
      </c>
      <c r="I14" s="27" t="s">
        <v>30</v>
      </c>
      <c r="J14" s="27" t="s">
        <v>31</v>
      </c>
      <c r="K14" s="2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28" t="s">
        <v>33</v>
      </c>
      <c r="G15" s="29">
        <f>ENERO!G15</f>
        <v>0</v>
      </c>
      <c r="H15" s="29"/>
      <c r="I15" s="30">
        <f t="shared" ref="I15:I33" si="0">IFERROR(H15/G15,0)</f>
        <v>0</v>
      </c>
      <c r="J15" s="31">
        <f>H15+OCTUBRE!J15</f>
        <v>0</v>
      </c>
      <c r="K15" s="30">
        <f>IFERROR(J15/G15,0)</f>
        <v>0</v>
      </c>
    </row>
    <row r="16" spans="2:16" x14ac:dyDescent="0.25">
      <c r="B16" s="57"/>
      <c r="C16" s="33"/>
      <c r="D16" s="55"/>
      <c r="E16" s="63"/>
      <c r="F16" s="33" t="s">
        <v>33</v>
      </c>
      <c r="G16" s="56">
        <f>ENERO!G16</f>
        <v>0</v>
      </c>
      <c r="H16" s="34"/>
      <c r="I16" s="35">
        <f t="shared" ref="I16:I24" si="1">IFERROR(H16/G16,0)</f>
        <v>0</v>
      </c>
      <c r="J16" s="1">
        <f>H16+OCTUBRE!J16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H17+OCTUBRE!J17</f>
        <v>0</v>
      </c>
      <c r="K17" s="35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H18+OCTUBRE!J18</f>
        <v>0</v>
      </c>
      <c r="K18" s="35">
        <f t="shared" ref="K18:K24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H19+OCTUBRE!J19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H20+OCTUBRE!J20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ref="I21" si="3">IFERROR(H21/G21,0)</f>
        <v>0</v>
      </c>
      <c r="J21" s="1">
        <f>H21+OCTUBRE!J21</f>
        <v>0</v>
      </c>
      <c r="K21" s="35">
        <f t="shared" ref="K21" si="4">IFERROR(J21/G21,0)</f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H22+OCTUBRE!J22</f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56">
        <f>ENERO!G23</f>
        <v>0</v>
      </c>
      <c r="H23" s="34"/>
      <c r="I23" s="35">
        <f t="shared" si="1"/>
        <v>0</v>
      </c>
      <c r="J23" s="1">
        <f>H23+OCTUBRE!J23</f>
        <v>0</v>
      </c>
      <c r="K23" s="35">
        <f t="shared" si="2"/>
        <v>0</v>
      </c>
    </row>
    <row r="24" spans="2:16" x14ac:dyDescent="0.25">
      <c r="B24" s="33"/>
      <c r="C24" s="33"/>
      <c r="D24" s="36"/>
      <c r="E24" s="63"/>
      <c r="F24" s="33" t="s">
        <v>33</v>
      </c>
      <c r="G24" s="34">
        <f>ENERO!G24</f>
        <v>0</v>
      </c>
      <c r="H24" s="34"/>
      <c r="I24" s="35">
        <f t="shared" si="1"/>
        <v>0</v>
      </c>
      <c r="J24" s="2">
        <f>H24+OCTUBRE!J24</f>
        <v>0</v>
      </c>
      <c r="K24" s="35">
        <f t="shared" si="2"/>
        <v>0</v>
      </c>
    </row>
    <row r="25" spans="2:16" x14ac:dyDescent="0.25">
      <c r="B25" s="57"/>
      <c r="C25" s="33"/>
      <c r="D25" s="55"/>
      <c r="E25" s="63"/>
      <c r="F25" s="33" t="s">
        <v>33</v>
      </c>
      <c r="G25" s="34">
        <f>ENERO!G25</f>
        <v>0</v>
      </c>
      <c r="H25" s="34"/>
      <c r="I25" s="35">
        <f t="shared" si="0"/>
        <v>0</v>
      </c>
      <c r="J25" s="1">
        <f>H25+OCTUBRE!J25</f>
        <v>0</v>
      </c>
      <c r="K25" s="35">
        <f>IFERROR(J25/G25,0)</f>
        <v>0</v>
      </c>
    </row>
    <row r="26" spans="2:16" x14ac:dyDescent="0.25">
      <c r="B26" s="33"/>
      <c r="C26" s="33"/>
      <c r="D26" s="36"/>
      <c r="E26" s="63"/>
      <c r="F26" s="32" t="s">
        <v>33</v>
      </c>
      <c r="G26" s="56">
        <f>ENERO!G26</f>
        <v>0</v>
      </c>
      <c r="H26" s="37"/>
      <c r="I26" s="38">
        <f t="shared" si="0"/>
        <v>0</v>
      </c>
      <c r="J26" s="2">
        <f>H26+OCTUBRE!J26</f>
        <v>0</v>
      </c>
      <c r="K26" s="35">
        <f>IFERROR(J26/G26,0)</f>
        <v>0</v>
      </c>
    </row>
    <row r="27" spans="2:16" x14ac:dyDescent="0.25">
      <c r="B27" s="33"/>
      <c r="C27" s="33"/>
      <c r="D27" s="36"/>
      <c r="E27" s="63"/>
      <c r="F27" s="33" t="s">
        <v>33</v>
      </c>
      <c r="G27" s="34">
        <f>ENERO!G27</f>
        <v>0</v>
      </c>
      <c r="H27" s="34"/>
      <c r="I27" s="35">
        <f t="shared" si="0"/>
        <v>0</v>
      </c>
      <c r="J27" s="1">
        <f>H27+OCTUBRE!J27</f>
        <v>0</v>
      </c>
      <c r="K27" s="35">
        <f t="shared" ref="K27:K33" si="5">IFERROR(J27/G27,0)</f>
        <v>0</v>
      </c>
    </row>
    <row r="28" spans="2:16" s="14" customFormat="1" x14ac:dyDescent="0.25">
      <c r="B28" s="33"/>
      <c r="C28" s="33"/>
      <c r="D28" s="36"/>
      <c r="E28" s="63"/>
      <c r="F28" s="33" t="s">
        <v>33</v>
      </c>
      <c r="G28" s="34">
        <f>ENERO!G28</f>
        <v>0</v>
      </c>
      <c r="H28" s="34"/>
      <c r="I28" s="35">
        <f t="shared" si="0"/>
        <v>0</v>
      </c>
      <c r="J28" s="1">
        <f>H28+OCTUBRE!J28</f>
        <v>0</v>
      </c>
      <c r="K28" s="35">
        <f t="shared" si="5"/>
        <v>0</v>
      </c>
      <c r="N28" s="39"/>
      <c r="P28" s="39"/>
    </row>
    <row r="29" spans="2:16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H29+OCTUBRE!J29</f>
        <v>0</v>
      </c>
      <c r="K29" s="35">
        <f t="shared" si="5"/>
        <v>0</v>
      </c>
    </row>
    <row r="30" spans="2:16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H30+OCTUBRE!J30</f>
        <v>0</v>
      </c>
      <c r="K30" s="35">
        <f t="shared" si="5"/>
        <v>0</v>
      </c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H31+OCTUBRE!J31</f>
        <v>0</v>
      </c>
      <c r="K31" s="35">
        <f t="shared" si="5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2">
        <f>H32+OCTUBRE!J32</f>
        <v>0</v>
      </c>
      <c r="K32" s="35">
        <f t="shared" si="5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H33+OCTUBRE!J33</f>
        <v>0</v>
      </c>
      <c r="K33" s="43">
        <f t="shared" si="5"/>
        <v>0</v>
      </c>
    </row>
    <row r="34" spans="2:16" x14ac:dyDescent="0.25">
      <c r="B34" s="12"/>
      <c r="C34" s="12"/>
      <c r="D34" s="12"/>
      <c r="E34" s="12"/>
      <c r="F34" s="21"/>
      <c r="G34" s="78" t="str">
        <f>+CONCATENATE("TOTAL A ",D9)</f>
        <v>TOTAL A NOVIEMBRE</v>
      </c>
      <c r="H34" s="78"/>
      <c r="I34" s="78"/>
      <c r="J34" s="78" t="s">
        <v>34</v>
      </c>
      <c r="K34" s="78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2" t="s">
        <v>35</v>
      </c>
      <c r="C37" s="72"/>
      <c r="D37" s="73" t="s">
        <v>36</v>
      </c>
      <c r="E37" s="74"/>
      <c r="F37" s="74"/>
      <c r="G37" s="74"/>
      <c r="H37" s="74"/>
      <c r="I37" s="74"/>
      <c r="J37" s="74"/>
      <c r="K37" s="74"/>
    </row>
    <row r="38" spans="2:16" x14ac:dyDescent="0.25">
      <c r="B38" s="75" t="s">
        <v>37</v>
      </c>
      <c r="C38" s="75"/>
      <c r="D38" s="75"/>
      <c r="E38" s="75"/>
      <c r="F38" s="75"/>
      <c r="G38" s="75"/>
      <c r="H38" s="75"/>
      <c r="I38" s="75"/>
      <c r="J38" s="75"/>
      <c r="K38" s="75"/>
    </row>
    <row r="39" spans="2:16" ht="20.100000000000001" customHeight="1" x14ac:dyDescent="0.25"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76" t="s">
        <v>36</v>
      </c>
      <c r="E41" s="76"/>
      <c r="F41" s="76"/>
      <c r="G41" s="76"/>
      <c r="H41" s="76"/>
      <c r="I41" s="76"/>
      <c r="J41" s="76"/>
      <c r="K41" s="76"/>
    </row>
    <row r="42" spans="2:16" ht="20.100000000000001" customHeight="1" x14ac:dyDescent="0.3">
      <c r="B42" s="50" t="s">
        <v>40</v>
      </c>
      <c r="C42" s="51"/>
      <c r="D42" s="76"/>
      <c r="E42" s="76"/>
      <c r="F42" s="76"/>
      <c r="G42" s="76"/>
      <c r="H42" s="76"/>
      <c r="I42" s="76"/>
      <c r="J42" s="76"/>
      <c r="K42" s="76"/>
    </row>
    <row r="43" spans="2:16" x14ac:dyDescent="0.25">
      <c r="B43" s="77" t="s">
        <v>37</v>
      </c>
      <c r="C43" s="77"/>
      <c r="D43" s="77"/>
      <c r="E43" s="77"/>
      <c r="F43" s="77"/>
      <c r="G43" s="77"/>
      <c r="H43" s="77"/>
      <c r="I43" s="77"/>
      <c r="J43" s="77"/>
      <c r="K43" s="77"/>
    </row>
    <row r="44" spans="2:16" ht="15" customHeight="1" x14ac:dyDescent="0.25">
      <c r="B44" s="77"/>
      <c r="C44" s="77"/>
      <c r="D44" s="77"/>
      <c r="E44" s="77"/>
      <c r="F44" s="77"/>
      <c r="G44" s="77"/>
      <c r="H44" s="77"/>
      <c r="I44" s="77"/>
      <c r="J44" s="77"/>
      <c r="K44" s="77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76" t="s">
        <v>36</v>
      </c>
      <c r="E46" s="76"/>
      <c r="F46" s="76"/>
      <c r="G46" s="76"/>
      <c r="H46" s="76"/>
      <c r="I46" s="76"/>
      <c r="J46" s="76"/>
      <c r="K46" s="76"/>
    </row>
    <row r="47" spans="2:16" ht="20.100000000000001" customHeight="1" x14ac:dyDescent="0.3">
      <c r="B47" s="50" t="s">
        <v>40</v>
      </c>
      <c r="C47" s="51"/>
      <c r="D47" s="76"/>
      <c r="E47" s="76"/>
      <c r="F47" s="76"/>
      <c r="G47" s="76"/>
      <c r="H47" s="76"/>
      <c r="I47" s="76"/>
      <c r="J47" s="76"/>
      <c r="K47" s="76"/>
    </row>
    <row r="50" spans="2:10" ht="19.5" customHeight="1" x14ac:dyDescent="0.25">
      <c r="B50" s="69"/>
      <c r="C50" s="69"/>
      <c r="D50" s="69"/>
      <c r="G50" s="69"/>
      <c r="H50" s="69"/>
      <c r="I50" s="69"/>
      <c r="J50" s="69"/>
    </row>
    <row r="51" spans="2:10" ht="18" customHeight="1" x14ac:dyDescent="0.25">
      <c r="B51" s="12" t="s">
        <v>42</v>
      </c>
      <c r="C51" s="70"/>
      <c r="D51" s="70"/>
      <c r="G51" s="12" t="s">
        <v>43</v>
      </c>
      <c r="H51" s="71"/>
      <c r="I51" s="71"/>
      <c r="J51" s="7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</mergeCells>
  <conditionalFormatting sqref="G35">
    <cfRule type="cellIs" dxfId="13" priority="7" operator="greaterThan">
      <formula>350</formula>
    </cfRule>
  </conditionalFormatting>
  <conditionalFormatting sqref="K26:K33">
    <cfRule type="cellIs" dxfId="12" priority="6" operator="greaterThan">
      <formula>1</formula>
    </cfRule>
  </conditionalFormatting>
  <conditionalFormatting sqref="K25">
    <cfRule type="cellIs" dxfId="11" priority="5" operator="greaterThan">
      <formula>1</formula>
    </cfRule>
  </conditionalFormatting>
  <conditionalFormatting sqref="K15">
    <cfRule type="cellIs" dxfId="10" priority="4" operator="greaterThan">
      <formula>1</formula>
    </cfRule>
  </conditionalFormatting>
  <conditionalFormatting sqref="K17:K20 K22:K24">
    <cfRule type="cellIs" dxfId="9" priority="3" operator="greaterThan">
      <formula>1</formula>
    </cfRule>
  </conditionalFormatting>
  <conditionalFormatting sqref="K16">
    <cfRule type="cellIs" dxfId="8" priority="2" operator="greaterThan">
      <formula>1</formula>
    </cfRule>
  </conditionalFormatting>
  <conditionalFormatting sqref="K21">
    <cfRule type="cellIs" dxfId="7" priority="1" operator="greaterThan">
      <formula>1</formula>
    </cfRule>
  </conditionalFormatting>
  <dataValidations count="3"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5"/>
  <sheetViews>
    <sheetView showGridLines="0" view="pageBreakPreview" topLeftCell="A7" zoomScale="90" zoomScaleNormal="100" zoomScaleSheetLayoutView="90" workbookViewId="0">
      <selection activeCell="D12" sqref="D12"/>
    </sheetView>
  </sheetViews>
  <sheetFormatPr baseColWidth="10" defaultColWidth="8.7109375" defaultRowHeight="15" x14ac:dyDescent="0.25"/>
  <cols>
    <col min="1" max="1" width="3.28515625" style="5" customWidth="1"/>
    <col min="2" max="2" width="15.7109375" style="4" customWidth="1"/>
    <col min="3" max="3" width="8.5703125" style="4" bestFit="1" customWidth="1"/>
    <col min="4" max="4" width="43.28515625" style="4" customWidth="1"/>
    <col min="5" max="5" width="14.140625" style="4" bestFit="1" customWidth="1"/>
    <col min="6" max="6" width="13.42578125" style="4" customWidth="1"/>
    <col min="7" max="7" width="13.7109375" style="4" customWidth="1"/>
    <col min="8" max="8" width="13.42578125" style="4" customWidth="1"/>
    <col min="9" max="9" width="10.42578125" style="4" customWidth="1"/>
    <col min="10" max="10" width="12.42578125" style="4" customWidth="1"/>
    <col min="11" max="11" width="12.28515625" style="4" customWidth="1"/>
    <col min="12" max="12" width="3.28515625" style="5" customWidth="1"/>
    <col min="13" max="13" width="16.42578125" style="5" customWidth="1"/>
    <col min="14" max="14" width="8.7109375" style="6"/>
    <col min="15" max="15" width="16.42578125" style="5" customWidth="1"/>
    <col min="16" max="16" width="0" style="6" hidden="1" customWidth="1"/>
    <col min="17" max="17" width="16.42578125" style="5" customWidth="1"/>
    <col min="18" max="16384" width="8.7109375" style="5"/>
  </cols>
  <sheetData>
    <row r="1" spans="2:16" ht="18" customHeight="1" x14ac:dyDescent="0.25">
      <c r="P1" s="6" t="s">
        <v>0</v>
      </c>
    </row>
    <row r="2" spans="2:16" ht="49.5" customHeight="1" x14ac:dyDescent="0.25">
      <c r="B2" s="79" t="s">
        <v>1</v>
      </c>
      <c r="C2" s="79"/>
      <c r="D2" s="79"/>
      <c r="E2" s="79"/>
      <c r="F2" s="79"/>
      <c r="G2" s="79"/>
      <c r="H2" s="79"/>
      <c r="I2" s="79"/>
      <c r="J2" s="79"/>
      <c r="K2" s="79"/>
      <c r="P2" s="6" t="s">
        <v>2</v>
      </c>
    </row>
    <row r="3" spans="2:16" ht="18.75" customHeight="1" x14ac:dyDescent="0.25">
      <c r="B3" s="80" t="s">
        <v>3</v>
      </c>
      <c r="C3" s="81"/>
      <c r="D3" s="81"/>
      <c r="E3" s="81" t="s">
        <v>4</v>
      </c>
      <c r="F3" s="81"/>
      <c r="G3" s="81"/>
      <c r="H3" s="81"/>
      <c r="I3" s="81" t="s">
        <v>5</v>
      </c>
      <c r="J3" s="81"/>
      <c r="K3" s="82"/>
    </row>
    <row r="4" spans="2:16" x14ac:dyDescent="0.25">
      <c r="B4" s="7"/>
      <c r="C4" s="8"/>
      <c r="K4" s="9"/>
      <c r="P4" s="6" t="s">
        <v>6</v>
      </c>
    </row>
    <row r="5" spans="2:16" s="14" customFormat="1" ht="27.6" customHeight="1" x14ac:dyDescent="0.25">
      <c r="B5" s="83" t="s">
        <v>7</v>
      </c>
      <c r="C5" s="83"/>
      <c r="D5" s="10"/>
      <c r="E5" s="11"/>
      <c r="F5" s="11"/>
      <c r="G5" s="12"/>
      <c r="H5" s="12"/>
      <c r="I5" s="12"/>
      <c r="J5" s="12"/>
      <c r="K5" s="13"/>
      <c r="N5" s="6"/>
      <c r="P5" s="6" t="s">
        <v>8</v>
      </c>
    </row>
    <row r="6" spans="2:16" x14ac:dyDescent="0.25">
      <c r="B6" s="15"/>
      <c r="K6" s="16"/>
      <c r="P6" s="6" t="s">
        <v>9</v>
      </c>
    </row>
    <row r="7" spans="2:16" s="14" customFormat="1" ht="33.75" customHeight="1" x14ac:dyDescent="0.25">
      <c r="B7" s="83" t="s">
        <v>10</v>
      </c>
      <c r="C7" s="83"/>
      <c r="D7" s="87"/>
      <c r="E7" s="87"/>
      <c r="F7" s="87"/>
      <c r="G7" s="87"/>
      <c r="H7" s="87"/>
      <c r="I7" s="87"/>
      <c r="J7" s="12"/>
      <c r="K7" s="13"/>
      <c r="N7" s="6"/>
      <c r="P7" s="6" t="s">
        <v>11</v>
      </c>
    </row>
    <row r="8" spans="2:16" s="14" customFormat="1" x14ac:dyDescent="0.25">
      <c r="B8" s="17"/>
      <c r="C8" s="12"/>
      <c r="D8" s="12"/>
      <c r="E8" s="12"/>
      <c r="F8" s="12"/>
      <c r="G8" s="12"/>
      <c r="H8" s="12"/>
      <c r="I8" s="12"/>
      <c r="J8" s="12"/>
      <c r="K8" s="13"/>
      <c r="N8" s="6"/>
      <c r="P8" s="6" t="s">
        <v>12</v>
      </c>
    </row>
    <row r="9" spans="2:16" s="14" customFormat="1" x14ac:dyDescent="0.25">
      <c r="B9" s="83" t="s">
        <v>13</v>
      </c>
      <c r="C9" s="83"/>
      <c r="D9" s="18" t="s">
        <v>32</v>
      </c>
      <c r="E9" s="19"/>
      <c r="F9" s="19"/>
      <c r="G9" s="12"/>
      <c r="H9" s="12"/>
      <c r="I9" s="12"/>
      <c r="J9" s="12"/>
      <c r="K9" s="13"/>
      <c r="N9" s="6"/>
      <c r="P9" s="6" t="s">
        <v>14</v>
      </c>
    </row>
    <row r="10" spans="2:16" s="14" customFormat="1" x14ac:dyDescent="0.25">
      <c r="B10" s="20"/>
      <c r="C10" s="21"/>
      <c r="D10" s="19"/>
      <c r="E10" s="19"/>
      <c r="F10" s="19"/>
      <c r="G10" s="12"/>
      <c r="H10" s="12"/>
      <c r="I10" s="12"/>
      <c r="J10" s="12"/>
      <c r="K10" s="13"/>
      <c r="N10" s="6"/>
      <c r="P10" s="6" t="s">
        <v>15</v>
      </c>
    </row>
    <row r="11" spans="2:16" s="14" customFormat="1" x14ac:dyDescent="0.25">
      <c r="B11" s="83" t="s">
        <v>16</v>
      </c>
      <c r="C11" s="83"/>
      <c r="D11" s="22">
        <v>46387</v>
      </c>
      <c r="E11" s="23"/>
      <c r="F11" s="23"/>
      <c r="G11" s="12"/>
      <c r="H11" s="12"/>
      <c r="I11" s="12"/>
      <c r="J11" s="12"/>
      <c r="K11" s="13"/>
      <c r="N11" s="6"/>
      <c r="P11" s="6" t="s">
        <v>17</v>
      </c>
    </row>
    <row r="12" spans="2:16" x14ac:dyDescent="0.25">
      <c r="B12" s="24"/>
      <c r="C12" s="25"/>
      <c r="K12" s="26"/>
      <c r="P12" s="6" t="s">
        <v>18</v>
      </c>
    </row>
    <row r="13" spans="2:16" ht="26.85" customHeight="1" x14ac:dyDescent="0.25">
      <c r="B13" s="72" t="s">
        <v>19</v>
      </c>
      <c r="C13" s="72"/>
      <c r="D13" s="72"/>
      <c r="E13" s="72"/>
      <c r="F13" s="72"/>
      <c r="G13" s="72"/>
      <c r="H13" s="83" t="s">
        <v>20</v>
      </c>
      <c r="I13" s="83"/>
      <c r="J13" s="83" t="s">
        <v>21</v>
      </c>
      <c r="K13" s="83"/>
      <c r="P13" s="6" t="s">
        <v>22</v>
      </c>
    </row>
    <row r="14" spans="2:16" ht="57.6" customHeight="1" x14ac:dyDescent="0.25">
      <c r="B14" s="27" t="s">
        <v>23</v>
      </c>
      <c r="C14" s="27" t="s">
        <v>24</v>
      </c>
      <c r="D14" s="27" t="s">
        <v>25</v>
      </c>
      <c r="E14" s="27" t="s">
        <v>26</v>
      </c>
      <c r="F14" s="27" t="s">
        <v>27</v>
      </c>
      <c r="G14" s="27" t="s">
        <v>28</v>
      </c>
      <c r="H14" s="27" t="s">
        <v>29</v>
      </c>
      <c r="I14" s="27" t="s">
        <v>30</v>
      </c>
      <c r="J14" s="27" t="s">
        <v>31</v>
      </c>
      <c r="K14" s="27" t="s">
        <v>30</v>
      </c>
      <c r="P14" s="6" t="s">
        <v>32</v>
      </c>
    </row>
    <row r="15" spans="2:16" x14ac:dyDescent="0.25">
      <c r="B15" s="54"/>
      <c r="C15" s="54"/>
      <c r="D15" s="52"/>
      <c r="E15" s="62"/>
      <c r="F15" s="28" t="s">
        <v>33</v>
      </c>
      <c r="G15" s="29">
        <f>ENERO!G15</f>
        <v>0</v>
      </c>
      <c r="H15" s="29"/>
      <c r="I15" s="30">
        <f t="shared" ref="I15:I33" si="0">IFERROR(H15/G15,0)</f>
        <v>0</v>
      </c>
      <c r="J15" s="31">
        <f>H15+NOVIEMBRE!J15</f>
        <v>0</v>
      </c>
      <c r="K15" s="30">
        <f>IFERROR(J15/G15,0)</f>
        <v>0</v>
      </c>
    </row>
    <row r="16" spans="2:16" x14ac:dyDescent="0.25">
      <c r="B16" s="57"/>
      <c r="C16" s="33"/>
      <c r="D16" s="55"/>
      <c r="E16" s="63"/>
      <c r="F16" s="33" t="s">
        <v>33</v>
      </c>
      <c r="G16" s="56">
        <f>ENERO!G16</f>
        <v>0</v>
      </c>
      <c r="H16" s="34"/>
      <c r="I16" s="35">
        <f t="shared" ref="I16:I24" si="1">IFERROR(H16/G16,0)</f>
        <v>0</v>
      </c>
      <c r="J16" s="1">
        <f>H16+NOVIEMBRE!J16</f>
        <v>0</v>
      </c>
      <c r="K16" s="35">
        <f>IFERROR(J16/G16,0)</f>
        <v>0</v>
      </c>
    </row>
    <row r="17" spans="2:16" x14ac:dyDescent="0.25">
      <c r="B17" s="33"/>
      <c r="C17" s="33"/>
      <c r="D17" s="36"/>
      <c r="E17" s="63"/>
      <c r="F17" s="32" t="s">
        <v>33</v>
      </c>
      <c r="G17" s="34">
        <f>ENERO!G17</f>
        <v>0</v>
      </c>
      <c r="H17" s="37"/>
      <c r="I17" s="38">
        <f t="shared" si="1"/>
        <v>0</v>
      </c>
      <c r="J17" s="2">
        <f>H17+NOVIEMBRE!J17</f>
        <v>0</v>
      </c>
      <c r="K17" s="35">
        <f>IFERROR(J17/G17,0)</f>
        <v>0</v>
      </c>
    </row>
    <row r="18" spans="2:16" x14ac:dyDescent="0.25">
      <c r="B18" s="33"/>
      <c r="C18" s="33"/>
      <c r="D18" s="36"/>
      <c r="E18" s="63"/>
      <c r="F18" s="33" t="s">
        <v>33</v>
      </c>
      <c r="G18" s="34">
        <f>ENERO!G18</f>
        <v>0</v>
      </c>
      <c r="H18" s="34"/>
      <c r="I18" s="35">
        <f t="shared" si="1"/>
        <v>0</v>
      </c>
      <c r="J18" s="1">
        <f>H18+NOVIEMBRE!J18</f>
        <v>0</v>
      </c>
      <c r="K18" s="35">
        <f t="shared" ref="K18:K24" si="2">IFERROR(J18/G18,0)</f>
        <v>0</v>
      </c>
    </row>
    <row r="19" spans="2:16" s="14" customFormat="1" x14ac:dyDescent="0.25">
      <c r="B19" s="33"/>
      <c r="C19" s="33"/>
      <c r="D19" s="36"/>
      <c r="E19" s="63"/>
      <c r="F19" s="33" t="s">
        <v>33</v>
      </c>
      <c r="G19" s="34">
        <f>ENERO!G19</f>
        <v>0</v>
      </c>
      <c r="H19" s="34"/>
      <c r="I19" s="35">
        <f t="shared" si="1"/>
        <v>0</v>
      </c>
      <c r="J19" s="1">
        <f>H19+NOVIEMBRE!J19</f>
        <v>0</v>
      </c>
      <c r="K19" s="35">
        <f t="shared" si="2"/>
        <v>0</v>
      </c>
      <c r="N19" s="39"/>
      <c r="P19" s="39"/>
    </row>
    <row r="20" spans="2:16" x14ac:dyDescent="0.25">
      <c r="B20" s="33"/>
      <c r="C20" s="33"/>
      <c r="D20" s="36"/>
      <c r="E20" s="63"/>
      <c r="F20" s="33" t="s">
        <v>33</v>
      </c>
      <c r="G20" s="34">
        <f>ENERO!G20</f>
        <v>0</v>
      </c>
      <c r="H20" s="34"/>
      <c r="I20" s="35">
        <f t="shared" si="1"/>
        <v>0</v>
      </c>
      <c r="J20" s="1">
        <f>H20+NOVIEMBRE!J20</f>
        <v>0</v>
      </c>
      <c r="K20" s="35">
        <f t="shared" si="2"/>
        <v>0</v>
      </c>
    </row>
    <row r="21" spans="2:16" x14ac:dyDescent="0.25">
      <c r="B21" s="33"/>
      <c r="C21" s="33"/>
      <c r="D21" s="36"/>
      <c r="E21" s="63"/>
      <c r="F21" s="33" t="s">
        <v>33</v>
      </c>
      <c r="G21" s="34">
        <f>ENERO!G21</f>
        <v>0</v>
      </c>
      <c r="H21" s="34"/>
      <c r="I21" s="35">
        <f t="shared" si="1"/>
        <v>0</v>
      </c>
      <c r="J21" s="1">
        <f>H21+NOVIEMBRE!J21</f>
        <v>0</v>
      </c>
      <c r="K21" s="35">
        <f t="shared" si="2"/>
        <v>0</v>
      </c>
    </row>
    <row r="22" spans="2:16" x14ac:dyDescent="0.25">
      <c r="B22" s="33"/>
      <c r="C22" s="33"/>
      <c r="D22" s="36"/>
      <c r="E22" s="63"/>
      <c r="F22" s="33" t="s">
        <v>33</v>
      </c>
      <c r="G22" s="34">
        <f>ENERO!G22</f>
        <v>0</v>
      </c>
      <c r="H22" s="34"/>
      <c r="I22" s="35">
        <f t="shared" si="1"/>
        <v>0</v>
      </c>
      <c r="J22" s="1">
        <f>H22+NOVIEMBRE!J22</f>
        <v>0</v>
      </c>
      <c r="K22" s="35">
        <f t="shared" si="2"/>
        <v>0</v>
      </c>
    </row>
    <row r="23" spans="2:16" x14ac:dyDescent="0.25">
      <c r="B23" s="33"/>
      <c r="C23" s="33"/>
      <c r="D23" s="36"/>
      <c r="E23" s="63"/>
      <c r="F23" s="33" t="s">
        <v>33</v>
      </c>
      <c r="G23" s="56">
        <f>ENERO!G23</f>
        <v>0</v>
      </c>
      <c r="H23" s="34"/>
      <c r="I23" s="35">
        <f t="shared" ref="I23" si="3">IFERROR(H23/G23,0)</f>
        <v>0</v>
      </c>
      <c r="J23" s="1">
        <f>H23+NOVIEMBRE!J23</f>
        <v>0</v>
      </c>
      <c r="K23" s="35">
        <f t="shared" ref="K23" si="4">IFERROR(J23/G23,0)</f>
        <v>0</v>
      </c>
    </row>
    <row r="24" spans="2:16" x14ac:dyDescent="0.25">
      <c r="B24" s="33"/>
      <c r="C24" s="33"/>
      <c r="D24" s="36"/>
      <c r="E24" s="63"/>
      <c r="F24" s="33" t="s">
        <v>33</v>
      </c>
      <c r="G24" s="34">
        <f>ENERO!G24</f>
        <v>0</v>
      </c>
      <c r="H24" s="34"/>
      <c r="I24" s="35">
        <f t="shared" si="1"/>
        <v>0</v>
      </c>
      <c r="J24" s="2">
        <f>H24+NOVIEMBRE!J24</f>
        <v>0</v>
      </c>
      <c r="K24" s="35">
        <f t="shared" si="2"/>
        <v>0</v>
      </c>
    </row>
    <row r="25" spans="2:16" x14ac:dyDescent="0.25">
      <c r="B25" s="57"/>
      <c r="C25" s="33"/>
      <c r="D25" s="55"/>
      <c r="E25" s="63"/>
      <c r="F25" s="33" t="s">
        <v>33</v>
      </c>
      <c r="G25" s="34">
        <f>ENERO!G25</f>
        <v>0</v>
      </c>
      <c r="H25" s="34"/>
      <c r="I25" s="35">
        <f t="shared" si="0"/>
        <v>0</v>
      </c>
      <c r="J25" s="1">
        <f>H25+NOVIEMBRE!J25</f>
        <v>0</v>
      </c>
      <c r="K25" s="35">
        <f>IFERROR(J25/G25,0)</f>
        <v>0</v>
      </c>
    </row>
    <row r="26" spans="2:16" x14ac:dyDescent="0.25">
      <c r="B26" s="33"/>
      <c r="C26" s="33"/>
      <c r="D26" s="36"/>
      <c r="E26" s="63"/>
      <c r="F26" s="32" t="s">
        <v>33</v>
      </c>
      <c r="G26" s="56">
        <f>ENERO!G26</f>
        <v>0</v>
      </c>
      <c r="H26" s="37"/>
      <c r="I26" s="38">
        <f t="shared" si="0"/>
        <v>0</v>
      </c>
      <c r="J26" s="2">
        <f>H26+NOVIEMBRE!J26</f>
        <v>0</v>
      </c>
      <c r="K26" s="35">
        <f>IFERROR(J26/G26,0)</f>
        <v>0</v>
      </c>
    </row>
    <row r="27" spans="2:16" x14ac:dyDescent="0.25">
      <c r="B27" s="33"/>
      <c r="C27" s="33"/>
      <c r="D27" s="36"/>
      <c r="E27" s="63"/>
      <c r="F27" s="33" t="s">
        <v>33</v>
      </c>
      <c r="G27" s="34">
        <f>ENERO!G27</f>
        <v>0</v>
      </c>
      <c r="H27" s="34"/>
      <c r="I27" s="35">
        <f t="shared" si="0"/>
        <v>0</v>
      </c>
      <c r="J27" s="1">
        <f>H27+NOVIEMBRE!J27</f>
        <v>0</v>
      </c>
      <c r="K27" s="35">
        <f t="shared" ref="K27:K33" si="5">IFERROR(J27/G27,0)</f>
        <v>0</v>
      </c>
    </row>
    <row r="28" spans="2:16" s="14" customFormat="1" x14ac:dyDescent="0.25">
      <c r="B28" s="33"/>
      <c r="C28" s="33"/>
      <c r="D28" s="36"/>
      <c r="E28" s="63"/>
      <c r="F28" s="33" t="s">
        <v>33</v>
      </c>
      <c r="G28" s="34">
        <f>ENERO!G28</f>
        <v>0</v>
      </c>
      <c r="H28" s="34"/>
      <c r="I28" s="35">
        <f t="shared" si="0"/>
        <v>0</v>
      </c>
      <c r="J28" s="1">
        <f>H28+NOVIEMBRE!J28</f>
        <v>0</v>
      </c>
      <c r="K28" s="35">
        <f t="shared" si="5"/>
        <v>0</v>
      </c>
      <c r="N28" s="39"/>
      <c r="P28" s="39"/>
    </row>
    <row r="29" spans="2:16" x14ac:dyDescent="0.25">
      <c r="B29" s="33"/>
      <c r="C29" s="33"/>
      <c r="D29" s="36"/>
      <c r="E29" s="63"/>
      <c r="F29" s="33" t="s">
        <v>33</v>
      </c>
      <c r="G29" s="34">
        <f>ENERO!G29</f>
        <v>0</v>
      </c>
      <c r="H29" s="34"/>
      <c r="I29" s="35">
        <f t="shared" si="0"/>
        <v>0</v>
      </c>
      <c r="J29" s="1">
        <f>H29+NOVIEMBRE!J29</f>
        <v>0</v>
      </c>
      <c r="K29" s="35">
        <f t="shared" si="5"/>
        <v>0</v>
      </c>
    </row>
    <row r="30" spans="2:16" x14ac:dyDescent="0.25">
      <c r="B30" s="33"/>
      <c r="C30" s="33"/>
      <c r="D30" s="36"/>
      <c r="E30" s="63"/>
      <c r="F30" s="33" t="s">
        <v>33</v>
      </c>
      <c r="G30" s="34">
        <f>ENERO!G30</f>
        <v>0</v>
      </c>
      <c r="H30" s="34"/>
      <c r="I30" s="35">
        <f t="shared" si="0"/>
        <v>0</v>
      </c>
      <c r="J30" s="1">
        <f>H30+NOVIEMBRE!J30</f>
        <v>0</v>
      </c>
      <c r="K30" s="35">
        <f t="shared" si="5"/>
        <v>0</v>
      </c>
    </row>
    <row r="31" spans="2:16" x14ac:dyDescent="0.25">
      <c r="B31" s="33"/>
      <c r="C31" s="33"/>
      <c r="D31" s="36"/>
      <c r="E31" s="63"/>
      <c r="F31" s="33" t="s">
        <v>33</v>
      </c>
      <c r="G31" s="34">
        <f>ENERO!G31</f>
        <v>0</v>
      </c>
      <c r="H31" s="34"/>
      <c r="I31" s="35">
        <f t="shared" si="0"/>
        <v>0</v>
      </c>
      <c r="J31" s="1">
        <f>H31+NOVIEMBRE!J31</f>
        <v>0</v>
      </c>
      <c r="K31" s="35">
        <f t="shared" si="5"/>
        <v>0</v>
      </c>
    </row>
    <row r="32" spans="2:16" x14ac:dyDescent="0.25">
      <c r="B32" s="33"/>
      <c r="C32" s="33"/>
      <c r="D32" s="36"/>
      <c r="E32" s="63"/>
      <c r="F32" s="33" t="s">
        <v>33</v>
      </c>
      <c r="G32" s="34">
        <f>ENERO!G32</f>
        <v>0</v>
      </c>
      <c r="H32" s="34"/>
      <c r="I32" s="35">
        <f t="shared" si="0"/>
        <v>0</v>
      </c>
      <c r="J32" s="2">
        <f>H32+NOVIEMBRE!J32</f>
        <v>0</v>
      </c>
      <c r="K32" s="35">
        <f t="shared" si="5"/>
        <v>0</v>
      </c>
    </row>
    <row r="33" spans="2:16" x14ac:dyDescent="0.25">
      <c r="B33" s="40"/>
      <c r="C33" s="40"/>
      <c r="D33" s="41"/>
      <c r="E33" s="65"/>
      <c r="F33" s="40" t="s">
        <v>33</v>
      </c>
      <c r="G33" s="42">
        <f>ENERO!G33</f>
        <v>0</v>
      </c>
      <c r="H33" s="42"/>
      <c r="I33" s="43">
        <f t="shared" si="0"/>
        <v>0</v>
      </c>
      <c r="J33" s="3">
        <f>H33+NOVIEMBRE!J33</f>
        <v>0</v>
      </c>
      <c r="K33" s="43">
        <f t="shared" si="5"/>
        <v>0</v>
      </c>
    </row>
    <row r="34" spans="2:16" x14ac:dyDescent="0.25">
      <c r="B34" s="12"/>
      <c r="C34" s="12"/>
      <c r="D34" s="12"/>
      <c r="E34" s="12"/>
      <c r="F34" s="21"/>
      <c r="G34" s="78" t="str">
        <f>+CONCATENATE("TOTAL A ",D9)</f>
        <v>TOTAL A DICIEMBRE</v>
      </c>
      <c r="H34" s="78"/>
      <c r="I34" s="78"/>
      <c r="J34" s="78" t="s">
        <v>34</v>
      </c>
      <c r="K34" s="78"/>
    </row>
    <row r="35" spans="2:16" s="14" customFormat="1" ht="16.5" customHeight="1" x14ac:dyDescent="0.25">
      <c r="B35" s="12"/>
      <c r="C35" s="12"/>
      <c r="G35" s="44">
        <f>+SUM(G15:G33)</f>
        <v>0</v>
      </c>
      <c r="H35" s="44">
        <f>+SUM(H15:H33)</f>
        <v>0</v>
      </c>
      <c r="I35" s="45">
        <f>IFERROR(H35/G35,0)</f>
        <v>0</v>
      </c>
      <c r="J35" s="46">
        <f>+SUM(J15:J33)</f>
        <v>0</v>
      </c>
      <c r="K35" s="45">
        <f>IFERROR(J35/G35,0)</f>
        <v>0</v>
      </c>
      <c r="N35" s="6"/>
      <c r="P35" s="6"/>
    </row>
    <row r="37" spans="2:16" ht="79.900000000000006" customHeight="1" x14ac:dyDescent="0.25">
      <c r="B37" s="72" t="s">
        <v>35</v>
      </c>
      <c r="C37" s="72"/>
      <c r="D37" s="73" t="s">
        <v>36</v>
      </c>
      <c r="E37" s="74"/>
      <c r="F37" s="74"/>
      <c r="G37" s="74"/>
      <c r="H37" s="74"/>
      <c r="I37" s="74"/>
      <c r="J37" s="74"/>
      <c r="K37" s="74"/>
    </row>
    <row r="38" spans="2:16" x14ac:dyDescent="0.25">
      <c r="B38" s="75" t="s">
        <v>37</v>
      </c>
      <c r="C38" s="75"/>
      <c r="D38" s="75"/>
      <c r="E38" s="75"/>
      <c r="F38" s="75"/>
      <c r="G38" s="75"/>
      <c r="H38" s="75"/>
      <c r="I38" s="75"/>
      <c r="J38" s="75"/>
      <c r="K38" s="75"/>
    </row>
    <row r="39" spans="2:16" ht="20.100000000000001" customHeight="1" x14ac:dyDescent="0.25"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spans="2:16" ht="19.350000000000001" customHeight="1" x14ac:dyDescent="0.25">
      <c r="B40" s="47" t="s">
        <v>38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2:16" ht="20.100000000000001" customHeight="1" x14ac:dyDescent="0.3">
      <c r="B41" s="50" t="s">
        <v>39</v>
      </c>
      <c r="C41" s="51"/>
      <c r="D41" s="76" t="s">
        <v>36</v>
      </c>
      <c r="E41" s="76"/>
      <c r="F41" s="76"/>
      <c r="G41" s="76"/>
      <c r="H41" s="76"/>
      <c r="I41" s="76"/>
      <c r="J41" s="76"/>
      <c r="K41" s="76"/>
    </row>
    <row r="42" spans="2:16" ht="20.100000000000001" customHeight="1" x14ac:dyDescent="0.3">
      <c r="B42" s="50" t="s">
        <v>40</v>
      </c>
      <c r="C42" s="51"/>
      <c r="D42" s="76"/>
      <c r="E42" s="76"/>
      <c r="F42" s="76"/>
      <c r="G42" s="76"/>
      <c r="H42" s="76"/>
      <c r="I42" s="76"/>
      <c r="J42" s="76"/>
      <c r="K42" s="76"/>
    </row>
    <row r="43" spans="2:16" x14ac:dyDescent="0.25">
      <c r="B43" s="77" t="s">
        <v>37</v>
      </c>
      <c r="C43" s="77"/>
      <c r="D43" s="77"/>
      <c r="E43" s="77"/>
      <c r="F43" s="77"/>
      <c r="G43" s="77"/>
      <c r="H43" s="77"/>
      <c r="I43" s="77"/>
      <c r="J43" s="77"/>
      <c r="K43" s="77"/>
    </row>
    <row r="44" spans="2:16" ht="15" customHeight="1" x14ac:dyDescent="0.25">
      <c r="B44" s="77"/>
      <c r="C44" s="77"/>
      <c r="D44" s="77"/>
      <c r="E44" s="77"/>
      <c r="F44" s="77"/>
      <c r="G44" s="77"/>
      <c r="H44" s="77"/>
      <c r="I44" s="77"/>
      <c r="J44" s="77"/>
      <c r="K44" s="77"/>
    </row>
    <row r="45" spans="2:16" x14ac:dyDescent="0.25">
      <c r="B45" s="47" t="s">
        <v>41</v>
      </c>
      <c r="C45" s="48"/>
      <c r="D45" s="48"/>
      <c r="E45" s="48"/>
      <c r="F45" s="48"/>
      <c r="G45" s="48"/>
      <c r="H45" s="48"/>
      <c r="I45" s="48"/>
      <c r="J45" s="48"/>
      <c r="K45" s="49"/>
    </row>
    <row r="46" spans="2:16" ht="20.100000000000001" customHeight="1" x14ac:dyDescent="0.3">
      <c r="B46" s="50" t="s">
        <v>39</v>
      </c>
      <c r="C46" s="51"/>
      <c r="D46" s="76" t="s">
        <v>36</v>
      </c>
      <c r="E46" s="76"/>
      <c r="F46" s="76"/>
      <c r="G46" s="76"/>
      <c r="H46" s="76"/>
      <c r="I46" s="76"/>
      <c r="J46" s="76"/>
      <c r="K46" s="76"/>
    </row>
    <row r="47" spans="2:16" ht="20.100000000000001" customHeight="1" x14ac:dyDescent="0.3">
      <c r="B47" s="50" t="s">
        <v>40</v>
      </c>
      <c r="C47" s="51"/>
      <c r="D47" s="76"/>
      <c r="E47" s="76"/>
      <c r="F47" s="76"/>
      <c r="G47" s="76"/>
      <c r="H47" s="76"/>
      <c r="I47" s="76"/>
      <c r="J47" s="76"/>
      <c r="K47" s="76"/>
    </row>
    <row r="50" spans="2:10" ht="19.5" customHeight="1" x14ac:dyDescent="0.25">
      <c r="B50" s="69"/>
      <c r="C50" s="69"/>
      <c r="D50" s="69"/>
      <c r="G50" s="69"/>
      <c r="H50" s="69"/>
      <c r="I50" s="69"/>
      <c r="J50" s="69"/>
    </row>
    <row r="51" spans="2:10" ht="18" customHeight="1" x14ac:dyDescent="0.25">
      <c r="B51" s="12" t="s">
        <v>42</v>
      </c>
      <c r="C51" s="70"/>
      <c r="D51" s="70"/>
      <c r="G51" s="12" t="s">
        <v>43</v>
      </c>
      <c r="H51" s="71"/>
      <c r="I51" s="71"/>
      <c r="J51" s="71"/>
    </row>
    <row r="83" spans="1:17" s="4" customFormat="1" hidden="1" x14ac:dyDescent="0.25">
      <c r="A83" s="6" t="s">
        <v>0</v>
      </c>
      <c r="B83" s="5"/>
      <c r="L83" s="5"/>
      <c r="M83" s="5"/>
      <c r="N83" s="6"/>
      <c r="O83" s="5"/>
      <c r="P83" s="6"/>
      <c r="Q83" s="5"/>
    </row>
    <row r="84" spans="1:17" s="4" customFormat="1" hidden="1" x14ac:dyDescent="0.25">
      <c r="A84" s="6" t="s">
        <v>2</v>
      </c>
      <c r="B84" s="5"/>
      <c r="L84" s="5"/>
      <c r="M84" s="5"/>
      <c r="N84" s="6"/>
      <c r="O84" s="5"/>
      <c r="P84" s="6"/>
      <c r="Q84" s="5"/>
    </row>
    <row r="85" spans="1:17" s="4" customFormat="1" hidden="1" x14ac:dyDescent="0.25">
      <c r="A85" s="6" t="s">
        <v>6</v>
      </c>
      <c r="B85" s="5"/>
      <c r="L85" s="5"/>
      <c r="M85" s="5"/>
      <c r="N85" s="6"/>
      <c r="O85" s="5"/>
      <c r="P85" s="6"/>
      <c r="Q85" s="5"/>
    </row>
    <row r="86" spans="1:17" s="4" customFormat="1" hidden="1" x14ac:dyDescent="0.25">
      <c r="A86" s="6" t="s">
        <v>8</v>
      </c>
      <c r="B86" s="14"/>
      <c r="L86" s="5"/>
      <c r="M86" s="5"/>
      <c r="N86" s="6"/>
      <c r="O86" s="5"/>
      <c r="P86" s="6"/>
      <c r="Q86" s="5"/>
    </row>
    <row r="87" spans="1:17" s="4" customFormat="1" hidden="1" x14ac:dyDescent="0.25">
      <c r="A87" s="6" t="s">
        <v>9</v>
      </c>
      <c r="B87" s="5"/>
      <c r="L87" s="5"/>
      <c r="M87" s="5"/>
      <c r="N87" s="6"/>
      <c r="O87" s="5"/>
      <c r="P87" s="6"/>
      <c r="Q87" s="5"/>
    </row>
    <row r="88" spans="1:17" s="4" customFormat="1" hidden="1" x14ac:dyDescent="0.25">
      <c r="A88" s="6" t="s">
        <v>11</v>
      </c>
      <c r="B88" s="14"/>
      <c r="L88" s="5"/>
      <c r="M88" s="5"/>
      <c r="N88" s="6"/>
      <c r="O88" s="5"/>
      <c r="P88" s="6"/>
      <c r="Q88" s="5"/>
    </row>
    <row r="89" spans="1:17" s="4" customFormat="1" hidden="1" x14ac:dyDescent="0.25">
      <c r="A89" s="6" t="s">
        <v>12</v>
      </c>
      <c r="B89" s="14"/>
      <c r="L89" s="5"/>
      <c r="M89" s="5"/>
      <c r="N89" s="6"/>
      <c r="O89" s="5"/>
      <c r="P89" s="6"/>
      <c r="Q89" s="5"/>
    </row>
    <row r="90" spans="1:17" s="4" customFormat="1" hidden="1" x14ac:dyDescent="0.25">
      <c r="A90" s="6" t="s">
        <v>14</v>
      </c>
      <c r="B90" s="14"/>
      <c r="L90" s="5"/>
      <c r="M90" s="5"/>
      <c r="N90" s="6"/>
      <c r="O90" s="5"/>
      <c r="P90" s="6"/>
      <c r="Q90" s="5"/>
    </row>
    <row r="91" spans="1:17" s="4" customFormat="1" hidden="1" x14ac:dyDescent="0.25">
      <c r="A91" s="6" t="s">
        <v>15</v>
      </c>
      <c r="B91" s="14"/>
      <c r="L91" s="5"/>
      <c r="M91" s="5"/>
      <c r="N91" s="6"/>
      <c r="O91" s="5"/>
      <c r="P91" s="6"/>
      <c r="Q91" s="5"/>
    </row>
    <row r="92" spans="1:17" s="4" customFormat="1" hidden="1" x14ac:dyDescent="0.25">
      <c r="A92" s="6" t="s">
        <v>17</v>
      </c>
      <c r="B92" s="14"/>
      <c r="L92" s="5"/>
      <c r="M92" s="5"/>
      <c r="N92" s="6"/>
      <c r="O92" s="5"/>
      <c r="P92" s="6"/>
      <c r="Q92" s="5"/>
    </row>
    <row r="93" spans="1:17" s="4" customFormat="1" hidden="1" x14ac:dyDescent="0.25">
      <c r="A93" s="6" t="s">
        <v>18</v>
      </c>
      <c r="B93" s="5"/>
      <c r="L93" s="5"/>
      <c r="M93" s="5"/>
      <c r="N93" s="6"/>
      <c r="O93" s="5"/>
      <c r="P93" s="6"/>
      <c r="Q93" s="5"/>
    </row>
    <row r="94" spans="1:17" s="4" customFormat="1" hidden="1" x14ac:dyDescent="0.25">
      <c r="A94" s="6" t="s">
        <v>22</v>
      </c>
      <c r="B94" s="5"/>
      <c r="L94" s="5"/>
      <c r="M94" s="5"/>
      <c r="N94" s="6"/>
      <c r="O94" s="5"/>
      <c r="P94" s="6"/>
      <c r="Q94" s="5"/>
    </row>
    <row r="95" spans="1:17" s="4" customFormat="1" hidden="1" x14ac:dyDescent="0.25">
      <c r="A95" s="6" t="s">
        <v>32</v>
      </c>
      <c r="B95" s="5"/>
      <c r="L95" s="5"/>
      <c r="M95" s="5"/>
      <c r="N95" s="6"/>
      <c r="O95" s="5"/>
      <c r="P95" s="6"/>
      <c r="Q95" s="5"/>
    </row>
  </sheetData>
  <sheetProtection formatCells="0" formatColumns="0" formatRows="0" insertColumns="0" insertRows="0" insertHyperlinks="0" deleteColumns="0" deleteRows="0" sort="0" autoFilter="0" pivotTables="0"/>
  <mergeCells count="24">
    <mergeCell ref="B50:D50"/>
    <mergeCell ref="G50:J50"/>
    <mergeCell ref="C51:D51"/>
    <mergeCell ref="H51:J51"/>
    <mergeCell ref="B37:C37"/>
    <mergeCell ref="D37:K37"/>
    <mergeCell ref="B38:K39"/>
    <mergeCell ref="D41:K42"/>
    <mergeCell ref="B43:K44"/>
    <mergeCell ref="D46:K47"/>
    <mergeCell ref="G34:I34"/>
    <mergeCell ref="J34:K34"/>
    <mergeCell ref="B2:K2"/>
    <mergeCell ref="B3:D3"/>
    <mergeCell ref="E3:H3"/>
    <mergeCell ref="I3:K3"/>
    <mergeCell ref="B5:C5"/>
    <mergeCell ref="B7:C7"/>
    <mergeCell ref="D7:I7"/>
    <mergeCell ref="B9:C9"/>
    <mergeCell ref="B11:C11"/>
    <mergeCell ref="B13:G13"/>
    <mergeCell ref="H13:I13"/>
    <mergeCell ref="J13:K13"/>
  </mergeCells>
  <conditionalFormatting sqref="G35">
    <cfRule type="cellIs" dxfId="6" priority="7" operator="greaterThan">
      <formula>350</formula>
    </cfRule>
  </conditionalFormatting>
  <conditionalFormatting sqref="K26:K33">
    <cfRule type="cellIs" dxfId="5" priority="6" operator="greaterThan">
      <formula>1</formula>
    </cfRule>
  </conditionalFormatting>
  <conditionalFormatting sqref="K25">
    <cfRule type="cellIs" dxfId="4" priority="5" operator="greaterThan">
      <formula>1</formula>
    </cfRule>
  </conditionalFormatting>
  <conditionalFormatting sqref="K15">
    <cfRule type="cellIs" dxfId="3" priority="4" operator="greaterThan">
      <formula>1</formula>
    </cfRule>
  </conditionalFormatting>
  <conditionalFormatting sqref="K17:K22 K24">
    <cfRule type="cellIs" dxfId="2" priority="3" operator="greaterThan">
      <formula>1</formula>
    </cfRule>
  </conditionalFormatting>
  <conditionalFormatting sqref="K16">
    <cfRule type="cellIs" dxfId="1" priority="2" operator="greaterThan">
      <formula>1</formula>
    </cfRule>
  </conditionalFormatting>
  <conditionalFormatting sqref="K23">
    <cfRule type="cellIs" dxfId="0" priority="1" operator="greaterThan">
      <formula>1</formula>
    </cfRule>
  </conditionalFormatting>
  <dataValidations count="3">
    <dataValidation type="list" allowBlank="1" showInputMessage="1" showErrorMessage="1" sqref="D9">
      <formula1>$A$84:$A$95</formula1>
    </dataValidation>
    <dataValidation type="whole" allowBlank="1" showInputMessage="1" showErrorMessage="1" errorTitle="¡Error!" error="Introduzca un número válido." promptTitle="¡Atención!" prompt="Introduzca un número entre 0 y 366" sqref="G35 G15:G33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15:H33">
      <formula1>0</formula1>
      <formula2>30</formula2>
    </dataValidation>
  </dataValidations>
  <pageMargins left="0.7" right="0.7" top="0.75" bottom="0.75" header="0.3" footer="0.3"/>
  <pageSetup scale="53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12</vt:i4>
      </vt:variant>
    </vt:vector>
  </HeadingPairs>
  <TitlesOfParts>
    <vt:vector size="24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ABRIL!Área_de_impresión</vt:lpstr>
      <vt:lpstr>AGOSTO!Área_de_impresión</vt:lpstr>
      <vt:lpstr>DICIEMBRE!Área_de_impresión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SEPTIEMBRE!Área_de_impresión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Meridian 0873</dc:creator>
  <cp:lastModifiedBy>Meridian</cp:lastModifiedBy>
  <dcterms:created xsi:type="dcterms:W3CDTF">2024-01-10T22:00:55Z</dcterms:created>
  <dcterms:modified xsi:type="dcterms:W3CDTF">2026-01-21T16:25:09Z</dcterms:modified>
</cp:coreProperties>
</file>