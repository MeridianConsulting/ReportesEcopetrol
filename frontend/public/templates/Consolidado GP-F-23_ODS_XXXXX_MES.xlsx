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R:\40_GES_PROY\48_PROYECTOS\ECOPETROL 3037132\2_EJECUCION\9_ODS\2026\90598918\1_Entregable\1_Enero\"/>
    </mc:Choice>
  </mc:AlternateContent>
  <xr:revisionPtr revIDLastSave="0" documentId="14_{0AE1D79F-55B0-4FCD-9C6F-DBC298735255}" xr6:coauthVersionLast="47" xr6:coauthVersionMax="47" xr10:uidLastSave="{00000000-0000-0000-0000-000000000000}"/>
  <bookViews>
    <workbookView xWindow="-108" yWindow="-108" windowWidth="23256" windowHeight="12456" xr2:uid="{00000000-000D-0000-FFFF-FFFF00000000}"/>
  </bookViews>
  <sheets>
    <sheet name="ENERO 2026" sheetId="28" r:id="rId1"/>
  </sheets>
  <definedNames>
    <definedName name="_xlnm._FilterDatabase" localSheetId="0" hidden="1">'ENERO 2026'!$B$12:$M$62</definedName>
    <definedName name="_xlnm.Print_Area" localSheetId="0">'ENERO 2026'!$A$1:$N$82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2" i="28" l="1"/>
  <c r="L62" i="28"/>
  <c r="K62" i="28"/>
  <c r="J62" i="28"/>
  <c r="I62" i="28"/>
  <c r="K50" i="28" l="1"/>
  <c r="L32" i="28" l="1"/>
  <c r="L31" i="28"/>
  <c r="L30" i="28"/>
  <c r="L29" i="28"/>
  <c r="L28" i="28"/>
  <c r="L27" i="28"/>
  <c r="L60" i="28"/>
  <c r="L59" i="28"/>
  <c r="L58" i="28"/>
  <c r="L57" i="28"/>
  <c r="L56" i="28"/>
  <c r="L55" i="28"/>
  <c r="L54" i="28"/>
  <c r="L53" i="28"/>
  <c r="L52" i="28"/>
  <c r="L51" i="28"/>
  <c r="L38" i="28"/>
  <c r="L37" i="28"/>
  <c r="L36" i="28"/>
  <c r="L35" i="28"/>
  <c r="L34" i="28"/>
  <c r="L33" i="28"/>
  <c r="L21" i="28"/>
  <c r="L20" i="28"/>
  <c r="L19" i="28"/>
  <c r="L18" i="28"/>
  <c r="L17" i="28"/>
  <c r="L16" i="28"/>
  <c r="L15" i="28"/>
  <c r="L14" i="28"/>
  <c r="L13" i="28"/>
  <c r="L26" i="28"/>
  <c r="L25" i="28"/>
  <c r="L24" i="28"/>
  <c r="L23" i="28"/>
  <c r="L22" i="28"/>
  <c r="L50" i="28"/>
  <c r="L49" i="28"/>
  <c r="L48" i="28"/>
  <c r="L41" i="28"/>
  <c r="L40" i="28"/>
  <c r="L39" i="28"/>
  <c r="L44" i="28"/>
  <c r="L43" i="28"/>
  <c r="L42" i="28"/>
  <c r="L47" i="28"/>
  <c r="L46" i="28"/>
  <c r="L45" i="28"/>
  <c r="K32" i="28" l="1"/>
  <c r="K31" i="28"/>
  <c r="K30" i="28"/>
  <c r="K29" i="28"/>
  <c r="K28" i="28"/>
  <c r="K27" i="28"/>
  <c r="K60" i="28"/>
  <c r="K59" i="28"/>
  <c r="K58" i="28"/>
  <c r="K57" i="28"/>
  <c r="K56" i="28"/>
  <c r="K55" i="28"/>
  <c r="K54" i="28"/>
  <c r="K53" i="28"/>
  <c r="K52" i="28"/>
  <c r="K51" i="28"/>
  <c r="K38" i="28"/>
  <c r="K37" i="28"/>
  <c r="K36" i="28"/>
  <c r="K35" i="28"/>
  <c r="K34" i="28"/>
  <c r="K33" i="28"/>
  <c r="K21" i="28"/>
  <c r="K20" i="28"/>
  <c r="K19" i="28"/>
  <c r="K18" i="28"/>
  <c r="K17" i="28"/>
  <c r="K16" i="28"/>
  <c r="K15" i="28"/>
  <c r="K14" i="28"/>
  <c r="K13" i="28"/>
  <c r="K26" i="28"/>
  <c r="K25" i="28"/>
  <c r="K24" i="28"/>
  <c r="K23" i="28"/>
  <c r="K22" i="28"/>
  <c r="K49" i="28"/>
  <c r="K48" i="28"/>
  <c r="K41" i="28"/>
  <c r="K40" i="28"/>
  <c r="K39" i="28"/>
  <c r="K44" i="28"/>
  <c r="K43" i="28"/>
  <c r="K42" i="28"/>
  <c r="K47" i="28"/>
  <c r="K46" i="28"/>
  <c r="K45" i="28"/>
  <c r="M45" i="28" l="1"/>
  <c r="M42" i="28" l="1"/>
  <c r="M43" i="28"/>
  <c r="M46" i="28"/>
  <c r="M47" i="28"/>
  <c r="M20" i="28" l="1"/>
  <c r="M34" i="28"/>
  <c r="M57" i="28"/>
  <c r="M36" i="28"/>
  <c r="M29" i="28"/>
  <c r="M30" i="28"/>
  <c r="M37" i="28"/>
  <c r="M44" i="28"/>
  <c r="M51" i="28"/>
  <c r="M60" i="28"/>
  <c r="M55" i="28"/>
  <c r="M52" i="28"/>
  <c r="M56" i="28"/>
  <c r="M35" i="28"/>
  <c r="M38" i="28"/>
  <c r="M54" i="28"/>
  <c r="M53" i="28"/>
  <c r="M21" i="28"/>
  <c r="M58" i="28"/>
  <c r="M28" i="28"/>
  <c r="M59" i="28"/>
  <c r="M31" i="28"/>
  <c r="M27" i="28"/>
  <c r="M33" i="28"/>
  <c r="M32" i="28"/>
  <c r="M39" i="28" l="1"/>
  <c r="M41" i="28"/>
  <c r="M40" i="28"/>
  <c r="M49" i="28"/>
  <c r="M15" i="28"/>
  <c r="M22" i="28"/>
  <c r="M50" i="28"/>
  <c r="M14" i="28"/>
  <c r="M16" i="28"/>
  <c r="M48" i="28"/>
  <c r="M19" i="28"/>
  <c r="M25" i="28"/>
  <c r="M23" i="28"/>
  <c r="M26" i="28"/>
  <c r="M18" i="28"/>
  <c r="M13" i="28"/>
  <c r="M24" i="28"/>
  <c r="M17"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L12" authorId="0" shapeId="0" xr:uid="{00000000-0006-0000-0000-000001000000}">
      <text>
        <r>
          <rPr>
            <sz val="9"/>
            <color indexed="81"/>
            <rFont val="Tahoma"/>
            <family val="2"/>
          </rPr>
          <t>Días acumulados del último reporte + Días del mes a reportar.</t>
        </r>
      </text>
    </comment>
    <comment ref="B81" authorId="0" shapeId="0" xr:uid="{00000000-0006-0000-0000-000002000000}">
      <text>
        <r>
          <rPr>
            <sz val="9"/>
            <color indexed="81"/>
            <rFont val="Tahoma"/>
            <family val="2"/>
          </rPr>
          <t>Firma de quién revisa</t>
        </r>
      </text>
    </comment>
    <comment ref="C82" authorId="0" shapeId="0" xr:uid="{00000000-0006-0000-0000-000003000000}">
      <text>
        <r>
          <rPr>
            <sz val="9"/>
            <color rgb="FF000000"/>
            <rFont val="Tahoma"/>
            <family val="2"/>
          </rPr>
          <t>Nombre completo de quién revisa</t>
        </r>
      </text>
    </comment>
    <comment ref="J82" authorId="0" shapeId="0" xr:uid="{00000000-0006-0000-0000-000004000000}">
      <text>
        <r>
          <rPr>
            <sz val="9"/>
            <color indexed="81"/>
            <rFont val="Tahoma"/>
            <family val="2"/>
          </rPr>
          <t>Nombre completo del interventor</t>
        </r>
      </text>
    </comment>
  </commentList>
</comments>
</file>

<file path=xl/sharedStrings.xml><?xml version="1.0" encoding="utf-8"?>
<sst xmlns="http://schemas.openxmlformats.org/spreadsheetml/2006/main" count="277" uniqueCount="159">
  <si>
    <t>MES</t>
  </si>
  <si>
    <t>REPORTE DE AVANCE</t>
  </si>
  <si>
    <t>ENERO</t>
  </si>
  <si>
    <t>Fecha: 29/06/2022</t>
  </si>
  <si>
    <t>Version: 01</t>
  </si>
  <si>
    <t>GP-F-23</t>
  </si>
  <si>
    <t>FEBRERO</t>
  </si>
  <si>
    <t>Código Orden de servicio</t>
  </si>
  <si>
    <t>MARZO</t>
  </si>
  <si>
    <t>ABRIL</t>
  </si>
  <si>
    <t>MAYO</t>
  </si>
  <si>
    <t>JUNIO</t>
  </si>
  <si>
    <t>Mes a reportar</t>
  </si>
  <si>
    <t>JULIO</t>
  </si>
  <si>
    <t>AGOSTO</t>
  </si>
  <si>
    <t>Fecha reporte</t>
  </si>
  <si>
    <t>SEPTIEMBRE</t>
  </si>
  <si>
    <t>OCTUBRE</t>
  </si>
  <si>
    <t>Clasificación del servicio</t>
  </si>
  <si>
    <t>Reporte mes por servicio</t>
  </si>
  <si>
    <t>Reporte acumulado por servicio</t>
  </si>
  <si>
    <t>NOVIEMBRE</t>
  </si>
  <si>
    <t>Ítem general</t>
  </si>
  <si>
    <t>ítem actividad</t>
  </si>
  <si>
    <t>Descripción de la actividad</t>
  </si>
  <si>
    <t>Soporte</t>
  </si>
  <si>
    <t>Medio de entrega</t>
  </si>
  <si>
    <t>Días</t>
  </si>
  <si>
    <t>% avance</t>
  </si>
  <si>
    <t xml:space="preserve">Días </t>
  </si>
  <si>
    <t>DICIEMBRE</t>
  </si>
  <si>
    <t>Digital</t>
  </si>
  <si>
    <t>TOTAL ACUMULADO</t>
  </si>
  <si>
    <t>Observaciones:</t>
  </si>
  <si>
    <t>Describa en este espacio su observación</t>
  </si>
  <si>
    <r>
      <t>¿Se presentó algún aspecto o situación que afecte la ejecución y calidad de los entregables? (</t>
    </r>
    <r>
      <rPr>
        <b/>
        <i/>
        <sz val="9"/>
        <color theme="1"/>
        <rFont val="Verdana"/>
        <family val="2"/>
      </rPr>
      <t>Marque con una X</t>
    </r>
    <r>
      <rPr>
        <b/>
        <sz val="9"/>
        <color theme="1"/>
        <rFont val="Verdana"/>
        <family val="2"/>
      </rPr>
      <t>)</t>
    </r>
  </si>
  <si>
    <t>PROFESIONAL</t>
  </si>
  <si>
    <t>SI</t>
  </si>
  <si>
    <t>NO</t>
  </si>
  <si>
    <t>INTERVENTOR O LIDER</t>
  </si>
  <si>
    <t>Revisa:</t>
  </si>
  <si>
    <t>3.13</t>
  </si>
  <si>
    <t>Generar base de datos de producción (OFM o la que se requiera)</t>
  </si>
  <si>
    <t>Base de Datos</t>
  </si>
  <si>
    <t>3.17</t>
  </si>
  <si>
    <t>Analizar data histórica de producción, productividad y daño por pozo</t>
  </si>
  <si>
    <t>Base de Datos - Informe de la Evaluación</t>
  </si>
  <si>
    <t>3.18</t>
  </si>
  <si>
    <t>5.1</t>
  </si>
  <si>
    <t>5.4</t>
  </si>
  <si>
    <t>Generar modelo de Pozos</t>
  </si>
  <si>
    <t>5.5</t>
  </si>
  <si>
    <t>5.6</t>
  </si>
  <si>
    <t>5.9</t>
  </si>
  <si>
    <t>8.2</t>
  </si>
  <si>
    <t>Carga de datos, procesamiento de datos, Análisis Estadístico descriptivo considerando hipótesis desde la teoría, y análisis descriptivo considerando hipótesis generadas desde la misma data (pasos 1, 2 y 3 teoría CRISP-DM).</t>
  </si>
  <si>
    <t>8.3</t>
  </si>
  <si>
    <t>Formulación matemática, razonamientos, seudocódigo, definiciones, supuestos, pruebas estadísticas, pruebas de generalización, etc.</t>
  </si>
  <si>
    <t>8.4</t>
  </si>
  <si>
    <t>8.5</t>
  </si>
  <si>
    <t>Código.</t>
  </si>
  <si>
    <t>8.6</t>
  </si>
  <si>
    <t>Días contratados Acta de Inicio</t>
  </si>
  <si>
    <t>Informe, con estadísticas descriptivas, histogramas, pruebas de ajuste, etc.</t>
  </si>
  <si>
    <t>Modelo poblado</t>
  </si>
  <si>
    <t>Información georeferenciada</t>
  </si>
  <si>
    <t>Profesional a cargo</t>
  </si>
  <si>
    <t>4.3</t>
  </si>
  <si>
    <t>Evaluación e interpretación de información de fluidos</t>
  </si>
  <si>
    <t>ETLWeb y EcoVisor PVT</t>
  </si>
  <si>
    <t>4.4</t>
  </si>
  <si>
    <t>Realizar QAQC de Datos de PVT y generar Base de Datos</t>
  </si>
  <si>
    <t>Solubilidad CO2 - Brine.xlsx</t>
  </si>
  <si>
    <t>4.8</t>
  </si>
  <si>
    <t>Construcción de modelos PVT: Caracterización de la fracción Cn+ a través de datos TBP, modelamiento Aceite Negro, Aceite Negro Extendido, Ecuaciones de Estado, modelos de variación de propiedades PVT /Composición con profundidad, modelos de crudo pesado y extra-pesado, modelos de precipitación de asfaltenos, parafinas, hidratos y emulsiones. Manejo de formatos para exportar modelos PVT con fines de cálculo de HIIP, simulación de yacimientos (aceite negro, composicional, crudo pesado y extra-pesado), ingeniería analítica de yacimientos y producción.</t>
  </si>
  <si>
    <t>CO2 - Water_Brine - DM.xlsx</t>
  </si>
  <si>
    <t>C:\Users\C102626W\Ecopetrol S.A\Juliana Giraldo Castro - JD\Ecopetrol 2026\Base de Datos</t>
  </si>
  <si>
    <t>C:\Users\C102626W\Ecopetrol S.A\Juliana Giraldo Castro - JD\Ecopetrol 2026\CCUS\Solubilidad</t>
  </si>
  <si>
    <t>C:\Users\C102626W\Ecopetrol S.A\Juliana Giraldo Castro - JD\Ecopetrol 2026\CPA y e-CPA\Solubilidad</t>
  </si>
  <si>
    <t>Informe trimestral sobre Análisis de caracterización avanzada de crudos</t>
  </si>
  <si>
    <t>Reporte trimestral /ecoVisor PVT</t>
  </si>
  <si>
    <t>Informe de evaluación de modelos PVT disponibles o construcción de modelos de fluidos según tipo de fluido, tablas PVT para usar en cálculo de HIIP, simulación de yacimientos, ingeniería analítica de yacimientos y producción</t>
  </si>
  <si>
    <t>Comparación de propiedades fluidos Loma Larga 10 vs muestras formación Honda</t>
  </si>
  <si>
    <t>Carga y revisión de reportes cargados a la base de datos ecoVisor PVT.</t>
  </si>
  <si>
    <t xml:space="preserve">Actualización presentación modelo de fluidos Palogrande, enfoque muestras y tablas PVT fm Honda - arenas intermedias. </t>
  </si>
  <si>
    <t>C:\Users\Usuario Meridian\OneDrive - Ecopetrol S.A\Camilo Santana\Ecopetrol 2026</t>
  </si>
  <si>
    <t xml:space="preserve">https://bogeswvgeop.red.ecopetrol.com.co/PvtEcovisor/
</t>
  </si>
  <si>
    <t>3.1</t>
  </si>
  <si>
    <t>Crear un modelo de simulación dinámica cuando esté disponible el modelo estático: identificación,  organización,  revisión y  análisis del modelo estático, fluido, roca, producción, terminación y datos de laboratorio que sean válidos y representativos del reservorio que se está investigando.  Realice el QA/QC del modelo estático y defina  la incertidumbre principal en los parámetros de comparación de modelo e parámetros de ajuste histórico, trabaje en estrecha colaboración con el geomodelador para el upscaling del modelo estático al modelo de simulación, ajustar el modelo con los datos de producción e inyección
y  realizar  el  ajuste  histórico.  Realizar  previsión  y  construir  plan  de desarrollo de campo</t>
  </si>
  <si>
    <t>3.4</t>
  </si>
  <si>
    <t>Construya un estudio de modelos conceptuales y modelos de laboratorio:  para  construir  un  modelo  conceptual  que  investigue temas  específicos.  Por  ejemplo:  tiempos  y  perfiles  de  ruptura  del trazador, meseta de relación WOR de depósitos de múltiples capas, para investigar la aplicación de nueva tecnología (basada en polímeros o basada en térmicas). Problemas de conformance, aplicabilidad del polímero en un campo específico, investigar el efecto del espaciamiento de  pozos  y  los  tipos  de  patrones  (5  puntos,  5 puntos  invertidos,  7 puntos,  unidad  de  línea)  en  proyectos  EOR  químicos.  Un  estudio conceptual para desarrollar una metodología práctica para tecnologías nuevas  y  actuales  basadas  en  datos  de  campo  y  de  laboratorio (metodología para modelar polímeros de preferencia cruzada, nano- surfactante).  Desarrollar  una  metodología  para  integrar  y  modelar pozos de múltiples segmentos y datos ILT.</t>
  </si>
  <si>
    <t xml:space="preserve">\\10.100.25.60\sya\CCUS\GALAN </t>
  </si>
  <si>
    <t>Modelo Dinámico con los archivos de entrada
Perfiles de producción e inyección Informe</t>
  </si>
  <si>
    <t>8.1</t>
  </si>
  <si>
    <t>Revisión bibliográfica de modelos / metodologías y sus aplicaciones existentes, así como refinación de objetivos si procede.</t>
  </si>
  <si>
    <t>Informe</t>
  </si>
  <si>
    <t>Construcción de modelo matemático utilizando las técnicas pertinentes de Ciencia de Datos (e.g. Programación Matemática / Optimización / Investigación de Operaciones, Modelamiento Probabilístico, Machine Learning, etc.), con dominio de conocimiento petrotecnico. Si el modelo es supervisado y no paramétrico, se debe generar el sustento y razonamiento respectivo, arquitectura, calibración de parámetros adecuado, pruebas de validación, generalización, desempeño, etc. La fase de modelamiento debe incluir el razonamiento del modelo y como se relaciona con los modelos petrotecnicos convencionales o actuales, en que difiere y cuál es su innovación en términos de analítica de datos. Lo anterior</t>
  </si>
  <si>
    <t>Análisis de resultados y análisis Estadístico - descriptivo de los resultados obtenidos, así como de las pruebas implementadas. Ejemplificación de la interpretación de resultados y auto-critica de los mismos. Mapeo de conclusiones, recomendaciones y validación de los objetivos con enfoque de valor. Es clave generar nociones para que los resultados puedan ser bien utilizados y/o asociados con otras metodologías. Si procede, se debe validar los resultados con los expertos o dolientes respectivos. Etapa 5 de la metodología CRISP- DM.</t>
  </si>
  <si>
    <t>Programación del modelo matemático en las herramientas que se considere más adecuada, e.g.  R, Python, SAS, C++, Java, Matlab, Visual, etc. Los scripts deben respetar los planteamientos y consideraciones contenidas en el informe, debe contener buenas prácticas de programación (e.g. comentarios, identación (anglicismo de “identation”), separación por métodos o funciones, etc. – el programa no necesariamente debe estar orientado a objetos y otros paradigmas, e.g. la programación funcional podría ser altamente recomendable).</t>
  </si>
  <si>
    <t>Diseño modelo de datos "satélite" para el modelo matemático o la metodología aplicada. Si es el caso, se debe implementar la base de datos, e.g. en SQL. Adicionalmente, si es el caso, revisión del flujo de información respecto a procesos y actividades, así como de posibles fuentes de error en las mediciones o captura de la data. También, de aplicar, un análisis del error acumulado que se pueda estar
generando antes de alimentar el modelo o metodología propuesta con la data.</t>
  </si>
  <si>
    <t>Generar  Modelo  Estático  del  yacimiento  integrando  la  información disponible.</t>
  </si>
  <si>
    <t>Modelo Estático - Informe de Modelo
- Cálculo de Volúmenes in Place</t>
  </si>
  <si>
    <t>Carga de información para poblar el modelo geocelular (direccionales, coordenadas,  surveys,  topes,  data  de  presión,  estados  mecánicos,
evento de pozos, etc.)</t>
  </si>
  <si>
    <t>Georeferenciación   de   Mapas,   pozos,   Imágenes   satélite,   etc.   y Definición de CRS (Cordinates Reference System)</t>
  </si>
  <si>
    <t>Calculo probabilístico de Volúmenes In situ.</t>
  </si>
  <si>
    <t>Calculo Volumétrico - Bases de Datos</t>
  </si>
  <si>
    <t>Caracterización  composicional  de  fluidos  de  hidrocarburos  mediante técnicas geoquímicas.</t>
  </si>
  <si>
    <t>Análisis geoquímicos de Fingerprinting</t>
  </si>
  <si>
    <t>Análisis e interpretación de imágenes de satélite</t>
  </si>
  <si>
    <t>Realizar caracterización Scal (interpretación)</t>
  </si>
  <si>
    <t>Generación de Modelos de Física de Rocas</t>
  </si>
  <si>
    <t>Carga de datos, procesamiento de datos, Análisis Estadístico descriptivo considerando hipótesis desde la teoría, y análisis
descriptivo considerando hipótesis generadas desde la misma data (pasos 1, 2 y 3 teoría CRISP-DM).</t>
  </si>
  <si>
    <t xml:space="preserve">Construcción de modelo matemático utilizando las técnicas pertinentes de Ciencia de Datos (e.g. Programación Matemática / Optimización / Investigación de Operaciones, Modelamiento Probabilístico, Machine Learning, etc.), con dominio de conocimiento petrotecnico. Si el modelo es supervisado y no paramétrico, se debe generar el sustento y razonamiento respectivo, arquitectura, calibración de parámetros adecuado, pruebas de validación, generalización, desempeño, etc. La fase de modelamiento debe incluir el razonamiento del modelo y como se relaciona con los modelos petrotecnicos convencionales o actuales, en que difiere y cuál es su innovación en términos de analítica de datos. </t>
  </si>
  <si>
    <t>Control de calidad del dato adquirido para valorar representatividad de la prueba en cuestión. De ser válidas, levantamiento de información de entrada para análisis e interpretación (registros de desviación, estado mecánico de cada pozo, caliper/bit size ("), espesor neto (pies TVD), porosidad  media  (phi),  Sw,  PVT,  producciones  asociadas,  corte  de agua, salinidades, mapa estructural, etc.</t>
  </si>
  <si>
    <t>Inventario - Informe de Representatividad (Preliminar)</t>
  </si>
  <si>
    <t>Generar  perfiles  de  Producción  por  pozos  para  pozos  existente  en escenarios Bajo, Medio y Alto</t>
  </si>
  <si>
    <t>Generar bases de datos de Eventos de</t>
  </si>
  <si>
    <t xml:space="preserve">Realizar el seguimiento de producción </t>
  </si>
  <si>
    <t>Construcción de modelo matemático utilizando las técnicas pertinentes de Ciencia de Datos (e.g. Programación Matemática / Optimización / Investigación de Operaciones, Modelamiento Probabilístico, Machine Learning, etc.), con dominio de conocimiento petrotecnico. Si el modelo es supervisado y no paramétrico, se debe generar el sustento y razonamiento respectivo, arquitectura, calibración de parámetros adecuado, pruebas de validación, generalización, desempeño, etc. La fase de modelamiento debe incluir el razonamiento del modelo y como se relaciona con los
modelos petrotecnicos convencionales o actuales, en que difiere y cuál es su innovación en términos de analítica de datos. Lo anterior</t>
  </si>
  <si>
    <t>Análisis de resultados y análisis Estadístico - descriptivo de los resultados obtenidos, así como de las pruebas implementadas. Ejemplificación de la interpretación de resultados y auto-critica de los mismos. Mapeo de conclusiones, recomendaciones y validación de los objetivos con enfoque de valor. Es clave generar nociones para que los resultados puedan ser bien utilizados y/o asociados con otras metodologías. Si procede, se debe validar los resultados con los
expertos o dolientes respectivos. Etapa 5 de la metodología CRISP- DM.</t>
  </si>
  <si>
    <t>Programación del modelo matemático en las herramientas que se considere más adecuada, e.g.  R, Python, SAS, C++, Java, Matlab, Visual, etc. Los scripts deben respetar los planteamientos y consideraciones contenidas en el informe, debe contener buenas prácticas de programación (e.g. comentarios, identación (anglicismo de “identation”), separación por métodos o funciones, etc. – el programa no necesariamente debe estar orientado a objetos y otros
paradigmas, e.g. la programación funcional podría ser altamente recomendable).</t>
  </si>
  <si>
    <t>Documento:
https://ecopetrol.sharepoint.com/:w:/s/vde/get/IQCJGX51Kg7mSpPiZhl1_-jCAb39voiLO1z7cqcxzk0aqys?email=jhonfr.gonzalez%40ecopetrol.com.co&amp;e=FLO6eU</t>
  </si>
  <si>
    <t>Carpeta:
https://ecopetrol.sharepoint.com/:u:/s/vde/get/IQCOq_mKpPMTT6rU8OdRuOlaAfLBNKQDI3-j9sz-QO90zLw?email=jhonfr.gonzalez%40ecopetrol.com.co&amp;e=H1thvC</t>
  </si>
  <si>
    <t>Codigo:
https://ecopetrol.sharepoint.com/:u:/s/vde/get/IQDB0O3kMc02RIGx7y_FEMvDATbak4CrloJVQgfgrhTqqWk?email=jhonfr.gonzalez%40ecopetrol.com.co&amp;e=cwWTuf</t>
  </si>
  <si>
    <t>Digital: https://teams.microsoft.com/l/team/19%3AakWiW_SGgm6r5QqnD3Z_PIjrA1AA1PWwgqy8IpC8XVo1%40thread.tacv2/conversations?groupId=743f1aac-014a-449a-a25c-71c2563e6417&amp;tenantId=a4305987-cf78-4f93-9d64-bf18af65397b</t>
  </si>
  <si>
    <t>Jesus David Arenas Navarro</t>
  </si>
  <si>
    <t>Jorge Felipe Alarcon Torres</t>
  </si>
  <si>
    <t>Oscar Ivan Jimenez Barandica</t>
  </si>
  <si>
    <t>Alejandra Arbelaez Londoño</t>
  </si>
  <si>
    <t>Camilo Andres Santana Otalora</t>
  </si>
  <si>
    <t>Nicolas Avendaño Vasquez</t>
  </si>
  <si>
    <t>Juan David Aristizabal Marulanda</t>
  </si>
  <si>
    <t>Yessica Del Carmen Mateus Tarazona</t>
  </si>
  <si>
    <t>Camila Fernanda Medina Sandoval</t>
  </si>
  <si>
    <t>Giovanni Martinez Leones</t>
  </si>
  <si>
    <t>Adelantar la evaluación de productividad en los activos</t>
  </si>
  <si>
    <t>Generar  los  análisis  asociados  a</t>
  </si>
  <si>
    <t>1.1</t>
  </si>
  <si>
    <t>1.15</t>
  </si>
  <si>
    <t>1.16</t>
  </si>
  <si>
    <t>1.17</t>
  </si>
  <si>
    <t>1.24</t>
  </si>
  <si>
    <t>1.25</t>
  </si>
  <si>
    <t>1.26</t>
  </si>
  <si>
    <t>2.5</t>
  </si>
  <si>
    <t>2.11</t>
  </si>
  <si>
    <r>
      <rPr>
        <b/>
        <sz val="9"/>
        <color theme="1"/>
        <rFont val="Verdana"/>
        <family val="2"/>
      </rPr>
      <t>4.3 4.4 4.8 Básico (NA):</t>
    </r>
    <r>
      <rPr>
        <sz val="9"/>
        <color theme="1"/>
        <rFont val="Verdana"/>
        <family val="2"/>
      </rPr>
      <t xml:space="preserve">
* Se interpreta información de pruebas de producción del pozo Loro-16ST formación Villeta N. 
* Se realizan prueba de escritorio de información PVT cargada en el año 2025. Se actualizan las tablas de información PVT que se comparten anualmente con la ANH. 
* Se calculan datos de densidad y viscosidad para el sistema de fluidos del campo Pachaquiaro a 200°F y 215°F entregados al equipo PVT VEX. 
* Se genera un set de tablas PVT que representa el comportamiento volumétrico del sistema de fluidos del campo Loro formación Villeta N. 
* Se construye una presentación del modelo de fluidos del campo Capachos-Andina.</t>
    </r>
  </si>
  <si>
    <r>
      <t xml:space="preserve">4.3 4.4 4.8 Básico (CS):
</t>
    </r>
    <r>
      <rPr>
        <sz val="9"/>
        <color theme="1"/>
        <rFont val="Verdana"/>
        <family val="2"/>
      </rPr>
      <t>* 4.3. Se trabaja en el análisis del comportamiento der las diferentes muestras analizadas en el ICPET de Loma Larga-10, se realiza sesión con el laboratorio para entender los comportamientos anómalos que se evidenciaron en los resultados experimentales y que son indicativo de que cada una de las zonas muestreadas tienen fluidos diferentes. Se trabaja en integrar información de cromatografías de campos cercanos de formación Honda para un análisis más completo con campo.
* 4.4. Retomando actividades del año 2025, se realiza la revisión de reportes cargados a la base de datos para aquellos que presentaban algún error en las herramientas de almacenamiento del reporte original, corrección de errores de carga. 
* 4.8. Para dar soporte para pruebas de desplazamiento en núcleos tomados en el pozo Palogrande-64, se trabaja en una actualización de la presentación del modelo de fluidos del campo Palogrande, haciendo énfasis en las muestras tomadas en las arenas intermedias de la formación Honda y las tablas PVT generadas en 2025.</t>
    </r>
  </si>
  <si>
    <r>
      <t xml:space="preserve">8.1 8.2 8.3 8.4 8.5 8.6 Junior (OJ): 
</t>
    </r>
    <r>
      <rPr>
        <sz val="9"/>
        <color theme="1"/>
        <rFont val="Verdana"/>
        <family val="2"/>
      </rPr>
      <t>* 1. Configuración de equipo e instalación de dependencias de la Solución Digital de Planes de Desarrollo.
* 2. Corrección de errores que se presentaron duranta la instalación de dependencias del item 1.
* 3. Elaboración de documento instructivo para la configuración y corrección de errores al instalar la Solución Digital de Planes de Desarrollo
* 4. Actualización parcial de la clase checkpoint_panel.py para la integración de escenarios de desarrollo generados con el modelo proxy económico
* 5. Recopilar de la Solución Digital de Planes de desarrollo la información paramétrica del plan de desarrollo del activo casabe del año 2024
* 6. Cargue y ejecución del modelo correspondiente al Plan de Desarrollo del año 2024 del activo Casabe en la versión actual de la Solución Digital de Planes de Desarrollo</t>
    </r>
  </si>
  <si>
    <t>Nivel contratado</t>
  </si>
  <si>
    <t>Junior</t>
  </si>
  <si>
    <t>Senior</t>
  </si>
  <si>
    <t>Básico</t>
  </si>
  <si>
    <t>Documentación del modelo de datos (E.g. diagrama relacional), definiciones, diccionarios, relaciones.*</t>
  </si>
  <si>
    <t>-</t>
  </si>
  <si>
    <t>Jose Mario Martínez Londoño</t>
  </si>
  <si>
    <t xml:space="preserve"> Se solicitaron y se aprobaron correctamente el acceso a los siguientes servicios: 
o Puesto Digital
o Correo, Teams
o VPN
o CMG
o Petrel
o Tnavigator
o Sahara
o Ecosearch
o Acceso a carpeta compartida \\10.100.25.60\sya\CCUS\GALAN 
 Se realizó reunión de verificación de hallazgos y conclusiones del trabajo finalizado en diciembre del 2025
 Se solicitó correr un caso de simulación actualizando los controles operativos más recientes y disponibles de los pozos Galn 80, 123, 124 y 133. Para el desarrollo de esta actividad, se realizaron reuniones con el equipo de la gerencia del activo, quienes suministraron los datos de BHP más recientes de los pozos. Se corrió simulación y se socializaron los resultados con el equipo de CCUS
 Se solicitó recopilar las reservas aprobadas para los pozos Galn-80, 123, 124 y 133. Para el desarrollo de esta actividad se solicitó dicha información al equipo de desarrollo del campo. Una vez compilados los datos, se socializaron con el equipo de CCUS
 Se solicitó correr el caso optimo definido por CMOST (Dic 2025) sin variar la tasa de inyección de gas, una vez se obtuvieron los resultados, estos fueron socializados en con el equipo CCUS
 Se solicitó realizar una corrida para evaluar el impacto en la producción acumulada de aceite al reducir la presurización del modelo. Se sigue trabajando en esta actividad.
 Actualmente se realiza construcción de estudio de análisis se incertidumbre en CMOST</t>
  </si>
  <si>
    <t>Código</t>
  </si>
  <si>
    <r>
      <t xml:space="preserve">4.3 4.4 4.8 Junior (JA): 
</t>
    </r>
    <r>
      <rPr>
        <sz val="9"/>
        <color theme="1"/>
        <rFont val="Verdana"/>
        <family val="2"/>
      </rPr>
      <t>* Se gestionaron y aprobaron de manera satisfactoria los accesos a los diferentes servicios, plataformas y herramientas tecnológicas necesarias para el desarrollo de las actividades operativas y técnicas. Entre los accesos habilitados se incluyen Puesto Digital, los servicios de comunicación institucional (Correo electrónico y Microsoft Teams), la conexión remota segura mediante VPN, así como las aplicaciones especializadas CMG, Petrel, TNavigator, Sahara y Ecosearch, garantizando así la disponibilidad de los recursos tecnológicos requeridos para el correcto desempeño de las funciones asignadas.
* Se realiza la revisión de la base de datos ecoVisor PVT, incluyendo la carga de la información faltante previamente asignada y correspondiente al periodo 2025, así como la ejecución de pruebas de escritorio orientadas a la validación y aseguramiento de la calidad de los datos almacenados. Estas actividades permiten verificar la correcta funcionalidad, consistencia e integridad de la información, así como la identificación de posibles incidencias tanto en la herramienta de visualización (ecoVisor PVT) como en el módulo de carga de datos (PVT – Reportes de Laboratorio).
* Comparación Modelos de Solubilidad en Salmuera e Información Experimental CoreLab e UNAL Sede Medellín para Galán. Un estudio de Solubilidad utilizando agua destilada, salmuera tipo Galán (50000 ppm) y CO2 fue diseñado y realizado por CoreLab y la UNAL en un amplio rango de presiones y temperatura de yacimiento (140ºF). Una vez la información experimental fue enviada por los laboratorios externos, se procedió a compararla con los diferentes modelos de Solubilidad con los que cuenta la compañía dentro de su Software corporativo ecoPVT+.
* Cálculo olubilidad de CO2 en un acuífero perteneciente al Valle Medio del Magdalena utilizando las energías calculadas por Dinámica Molecular y la ecuación de estado avanzada e-CPA.
* Se utilizaron las energías de asociación encontradas por dinámica molecular y los volúmenes de asociación reportados en literatura para un sistema CO2-Salmuera (50.000 ppm de NaCl) a 5 presiones diferentes (945, 1945, 3008, 4020, 4990 psia) y temperatura de 140ºF.</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</si>
</sst>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sz val="11"/>
      <color theme="1"/>
      <name val="Calibri"/>
      <family val="2"/>
      <scheme val="minor"/>
    </font>
    <font>
      <sz val="9"/>
      <color theme="1"/>
      <name val="Verdana"/>
      <family val="2"/>
    </font>
    <font>
      <sz val="9"/>
      <color theme="1"/>
      <name val="Calibri"/>
      <family val="2"/>
      <scheme val="minor"/>
    </font>
    <font>
      <b/>
      <sz val="9"/>
      <color theme="1"/>
      <name val="Verdana"/>
      <family val="2"/>
    </font>
    <font>
      <b/>
      <i/>
      <sz val="9"/>
      <color theme="1"/>
      <name val="Verdana"/>
      <family val="2"/>
    </font>
    <font>
      <sz val="20"/>
      <color theme="1"/>
      <name val="Verdana"/>
      <family val="2"/>
    </font>
    <font>
      <sz val="9"/>
      <color theme="0" tint="-0.499984740745262"/>
      <name val="Verdana"/>
      <family val="2"/>
    </font>
    <font>
      <sz val="9"/>
      <color indexed="81"/>
      <name val="Tahoma"/>
      <family val="2"/>
    </font>
    <font>
      <sz val="9"/>
      <color rgb="FF000000"/>
      <name val="Tahoma"/>
      <family val="2"/>
    </font>
    <font>
      <sz val="9"/>
      <color rgb="FF000000"/>
      <name val="Verdana"/>
      <family val="2"/>
    </font>
  </fonts>
  <fills count="5">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theme="0" tint="-0.14999847407452621"/>
        <bgColor indexed="64"/>
      </patternFill>
    </fill>
  </fills>
  <borders count="3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right/>
      <top/>
      <bottom style="thin">
        <color indexed="64"/>
      </bottom>
      <diagonal/>
    </border>
    <border>
      <left style="hair">
        <color indexed="64"/>
      </left>
      <right style="hair">
        <color indexed="64"/>
      </right>
      <top style="hair">
        <color indexed="64"/>
      </top>
      <bottom style="hair">
        <color indexed="64"/>
      </bottom>
      <diagonal/>
    </border>
    <border>
      <left style="thin">
        <color indexed="64"/>
      </left>
      <right style="thin">
        <color indexed="64"/>
      </right>
      <top style="thin">
        <color indexed="64"/>
      </top>
      <bottom/>
      <diagonal/>
    </border>
    <border>
      <left style="thin">
        <color indexed="64"/>
      </left>
      <right style="hair">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bottom/>
      <diagonal/>
    </border>
    <border>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hair">
        <color indexed="64"/>
      </bottom>
      <diagonal/>
    </border>
    <border>
      <left/>
      <right/>
      <top style="hair">
        <color indexed="64"/>
      </top>
      <bottom style="hair">
        <color indexed="64"/>
      </bottom>
      <diagonal/>
    </border>
    <border>
      <left/>
      <right/>
      <top style="hair">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n">
        <color indexed="64"/>
      </left>
      <right/>
      <top style="thin">
        <color indexed="64"/>
      </top>
      <bottom style="hair">
        <color indexed="64"/>
      </bottom>
      <diagonal/>
    </border>
    <border>
      <left style="thin">
        <color indexed="64"/>
      </left>
      <right/>
      <top style="hair">
        <color indexed="64"/>
      </top>
      <bottom style="thin">
        <color indexed="64"/>
      </bottom>
      <diagonal/>
    </border>
  </borders>
  <cellStyleXfs count="2">
    <xf numFmtId="0" fontId="0" fillId="0" borderId="0"/>
    <xf numFmtId="9" fontId="1" fillId="0" borderId="0" applyFont="0" applyFill="0" applyBorder="0" applyAlignment="0" applyProtection="0"/>
  </cellStyleXfs>
  <cellXfs count="111">
    <xf numFmtId="0" fontId="0" fillId="0" borderId="0" xfId="0"/>
    <xf numFmtId="0" fontId="2" fillId="0" borderId="0" xfId="0" applyFont="1"/>
    <xf numFmtId="0" fontId="3" fillId="0" borderId="0" xfId="0" applyFont="1"/>
    <xf numFmtId="0" fontId="2" fillId="0" borderId="5" xfId="0" applyFont="1" applyBorder="1"/>
    <xf numFmtId="0" fontId="2" fillId="0" borderId="0" xfId="0" applyFont="1" applyAlignment="1">
      <alignment vertical="center"/>
    </xf>
    <xf numFmtId="0" fontId="3" fillId="0" borderId="0" xfId="0" applyFont="1" applyAlignment="1">
      <alignment vertical="center"/>
    </xf>
    <xf numFmtId="49" fontId="4" fillId="2" borderId="7" xfId="0" applyNumberFormat="1" applyFont="1" applyFill="1" applyBorder="1" applyAlignment="1">
      <alignment horizontal="center" vertical="center"/>
    </xf>
    <xf numFmtId="14" fontId="4" fillId="2" borderId="7" xfId="0" applyNumberFormat="1" applyFont="1" applyFill="1" applyBorder="1" applyAlignment="1">
      <alignment horizontal="center" vertical="center"/>
    </xf>
    <xf numFmtId="0" fontId="0" fillId="0" borderId="0" xfId="0" applyAlignment="1">
      <alignment vertical="center"/>
    </xf>
    <xf numFmtId="164" fontId="4" fillId="0" borderId="7" xfId="1" applyNumberFormat="1" applyFont="1" applyBorder="1" applyAlignment="1" applyProtection="1">
      <alignment horizontal="center" vertical="center"/>
    </xf>
    <xf numFmtId="0" fontId="4" fillId="4" borderId="1" xfId="0" applyFont="1" applyFill="1" applyBorder="1" applyAlignment="1">
      <alignment vertical="center"/>
    </xf>
    <xf numFmtId="0" fontId="4" fillId="4" borderId="0" xfId="0" applyFont="1" applyFill="1" applyAlignment="1">
      <alignment vertical="center"/>
    </xf>
    <xf numFmtId="0" fontId="4" fillId="4" borderId="3" xfId="0" applyFont="1" applyFill="1" applyBorder="1" applyAlignment="1">
      <alignment vertical="center"/>
    </xf>
    <xf numFmtId="0" fontId="2" fillId="0" borderId="7" xfId="0" applyFont="1" applyBorder="1" applyAlignment="1">
      <alignment horizontal="center" vertical="center"/>
    </xf>
    <xf numFmtId="0" fontId="6" fillId="0" borderId="7" xfId="0" applyFont="1" applyBorder="1" applyAlignment="1">
      <alignment horizontal="center"/>
    </xf>
    <xf numFmtId="0" fontId="4" fillId="0" borderId="0" xfId="0" applyFont="1" applyAlignment="1">
      <alignment horizontal="center" vertical="center"/>
    </xf>
    <xf numFmtId="164" fontId="4" fillId="0" borderId="0" xfId="1" applyNumberFormat="1" applyFont="1" applyBorder="1" applyAlignment="1" applyProtection="1">
      <alignment horizontal="center" vertical="center"/>
    </xf>
    <xf numFmtId="1" fontId="4" fillId="0" borderId="0" xfId="0" applyNumberFormat="1" applyFont="1" applyAlignment="1">
      <alignment horizontal="center" vertical="center"/>
    </xf>
    <xf numFmtId="0" fontId="2" fillId="0" borderId="4" xfId="0" applyFont="1" applyBorder="1"/>
    <xf numFmtId="0" fontId="2" fillId="0" borderId="6" xfId="0" applyFont="1" applyBorder="1"/>
    <xf numFmtId="0" fontId="2" fillId="0" borderId="8" xfId="0" applyFont="1" applyBorder="1" applyAlignment="1">
      <alignment vertical="center"/>
    </xf>
    <xf numFmtId="0" fontId="2" fillId="0" borderId="9" xfId="0" applyFont="1" applyBorder="1" applyAlignment="1">
      <alignment vertical="center"/>
    </xf>
    <xf numFmtId="49" fontId="4" fillId="0" borderId="0" xfId="0" applyNumberFormat="1" applyFont="1" applyAlignment="1">
      <alignment horizontal="center" vertical="center"/>
    </xf>
    <xf numFmtId="14" fontId="4" fillId="0" borderId="0" xfId="0" applyNumberFormat="1" applyFont="1" applyAlignment="1">
      <alignment horizontal="center" vertical="center"/>
    </xf>
    <xf numFmtId="0" fontId="2" fillId="0" borderId="9" xfId="0" applyFont="1" applyBorder="1"/>
    <xf numFmtId="0" fontId="2" fillId="0" borderId="8" xfId="0" applyFont="1" applyBorder="1"/>
    <xf numFmtId="0" fontId="3" fillId="0" borderId="0" xfId="0" applyFont="1" applyAlignment="1">
      <alignment wrapText="1"/>
    </xf>
    <xf numFmtId="0" fontId="0" fillId="0" borderId="0" xfId="0" applyAlignment="1">
      <alignment wrapText="1"/>
    </xf>
    <xf numFmtId="0" fontId="3" fillId="0" borderId="0" xfId="0" applyFont="1" applyAlignment="1">
      <alignment vertical="center" wrapText="1"/>
    </xf>
    <xf numFmtId="0" fontId="3" fillId="0" borderId="0" xfId="0" applyFont="1" applyAlignment="1">
      <alignment horizontal="left" vertical="center" wrapText="1"/>
    </xf>
    <xf numFmtId="0" fontId="0" fillId="0" borderId="0" xfId="0" applyAlignment="1">
      <alignment horizontal="left" wrapText="1"/>
    </xf>
    <xf numFmtId="0" fontId="2" fillId="0" borderId="9" xfId="0" applyFont="1" applyBorder="1" applyAlignment="1">
      <alignment horizontal="center" vertical="center"/>
    </xf>
    <xf numFmtId="0" fontId="2" fillId="0" borderId="16" xfId="0" applyFont="1" applyBorder="1" applyAlignment="1">
      <alignment horizontal="center" vertical="center"/>
    </xf>
    <xf numFmtId="0" fontId="2" fillId="0" borderId="17" xfId="0" applyFont="1" applyBorder="1" applyAlignment="1">
      <alignment horizontal="center" vertical="center"/>
    </xf>
    <xf numFmtId="0" fontId="2" fillId="0" borderId="20" xfId="0" applyFont="1" applyBorder="1" applyAlignment="1">
      <alignment horizontal="left" vertical="center"/>
    </xf>
    <xf numFmtId="0" fontId="2" fillId="3" borderId="20" xfId="0" applyFont="1" applyFill="1" applyBorder="1" applyAlignment="1">
      <alignment horizontal="center" vertical="center"/>
    </xf>
    <xf numFmtId="0" fontId="2" fillId="0" borderId="20" xfId="0" applyFont="1" applyBorder="1" applyAlignment="1">
      <alignment horizontal="center" vertical="center"/>
    </xf>
    <xf numFmtId="9" fontId="2" fillId="0" borderId="20" xfId="1" applyFont="1" applyBorder="1" applyAlignment="1" applyProtection="1">
      <alignment horizontal="center" vertical="center"/>
    </xf>
    <xf numFmtId="1" fontId="2" fillId="0" borderId="20" xfId="0" applyNumberFormat="1" applyFont="1" applyBorder="1" applyAlignment="1">
      <alignment horizontal="center" vertical="center"/>
    </xf>
    <xf numFmtId="0" fontId="2" fillId="0" borderId="13" xfId="0" applyFont="1" applyBorder="1" applyAlignment="1">
      <alignment horizontal="center" vertical="center"/>
    </xf>
    <xf numFmtId="0" fontId="2" fillId="0" borderId="11" xfId="0" applyFont="1" applyBorder="1" applyAlignment="1">
      <alignment horizontal="center" vertical="center"/>
    </xf>
    <xf numFmtId="0" fontId="2" fillId="0" borderId="18" xfId="0" applyFont="1" applyBorder="1" applyAlignment="1">
      <alignment horizontal="left" vertical="center"/>
    </xf>
    <xf numFmtId="0" fontId="2" fillId="3" borderId="18" xfId="0" applyFont="1" applyFill="1" applyBorder="1" applyAlignment="1">
      <alignment horizontal="center" vertical="center"/>
    </xf>
    <xf numFmtId="0" fontId="2" fillId="0" borderId="18" xfId="0" applyFont="1" applyBorder="1" applyAlignment="1">
      <alignment horizontal="center" vertical="center"/>
    </xf>
    <xf numFmtId="9" fontId="2" fillId="0" borderId="18" xfId="1" applyFont="1" applyBorder="1" applyAlignment="1" applyProtection="1">
      <alignment horizontal="center" vertical="center"/>
    </xf>
    <xf numFmtId="1" fontId="2" fillId="0" borderId="18" xfId="0" applyNumberFormat="1"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2" fillId="0" borderId="19" xfId="0" applyFont="1" applyBorder="1" applyAlignment="1">
      <alignment horizontal="left" vertical="center"/>
    </xf>
    <xf numFmtId="0" fontId="2" fillId="3" borderId="19" xfId="0" applyFont="1" applyFill="1" applyBorder="1" applyAlignment="1">
      <alignment horizontal="center" vertical="center"/>
    </xf>
    <xf numFmtId="0" fontId="2" fillId="0" borderId="19" xfId="0" applyFont="1" applyBorder="1" applyAlignment="1">
      <alignment horizontal="center" vertical="center"/>
    </xf>
    <xf numFmtId="9" fontId="2" fillId="0" borderId="19" xfId="1" applyFont="1" applyBorder="1" applyAlignment="1" applyProtection="1">
      <alignment horizontal="center" vertical="center"/>
    </xf>
    <xf numFmtId="1" fontId="2" fillId="0" borderId="19" xfId="0" applyNumberFormat="1" applyFont="1" applyBorder="1" applyAlignment="1">
      <alignment horizontal="center" vertical="center"/>
    </xf>
    <xf numFmtId="9" fontId="2" fillId="0" borderId="20" xfId="1" applyFont="1" applyFill="1" applyBorder="1" applyAlignment="1" applyProtection="1">
      <alignment horizontal="center" vertical="center"/>
    </xf>
    <xf numFmtId="9" fontId="2" fillId="0" borderId="18" xfId="1" applyFont="1" applyFill="1" applyBorder="1" applyAlignment="1" applyProtection="1">
      <alignment horizontal="center" vertical="center"/>
    </xf>
    <xf numFmtId="9" fontId="2" fillId="0" borderId="19" xfId="1" applyFont="1" applyFill="1" applyBorder="1" applyAlignment="1" applyProtection="1">
      <alignment horizontal="center" vertical="center"/>
    </xf>
    <xf numFmtId="0" fontId="10" fillId="0" borderId="26" xfId="0" applyFont="1" applyBorder="1" applyAlignment="1">
      <alignment horizontal="left" vertical="center"/>
    </xf>
    <xf numFmtId="0" fontId="10" fillId="0" borderId="27" xfId="0" applyFont="1" applyBorder="1" applyAlignment="1">
      <alignment horizontal="left" vertical="center"/>
    </xf>
    <xf numFmtId="0" fontId="10" fillId="0" borderId="28" xfId="0" applyFont="1" applyBorder="1" applyAlignment="1">
      <alignment horizontal="left" vertical="center"/>
    </xf>
    <xf numFmtId="0" fontId="2" fillId="2" borderId="7" xfId="0" applyFont="1" applyFill="1" applyBorder="1" applyAlignment="1">
      <alignment horizontal="center" vertical="center" wrapText="1"/>
    </xf>
    <xf numFmtId="0" fontId="2" fillId="0" borderId="0" xfId="0" applyFont="1" applyAlignment="1">
      <alignment horizontal="center" vertical="center"/>
    </xf>
    <xf numFmtId="0" fontId="4" fillId="2" borderId="7" xfId="0" applyFont="1" applyFill="1" applyBorder="1" applyAlignment="1">
      <alignment horizontal="center" vertical="center"/>
    </xf>
    <xf numFmtId="0" fontId="4" fillId="0" borderId="7" xfId="0" applyFont="1" applyBorder="1" applyAlignment="1">
      <alignment horizontal="center" vertical="center"/>
    </xf>
    <xf numFmtId="0" fontId="10" fillId="0" borderId="22" xfId="0" applyFont="1" applyBorder="1" applyAlignment="1">
      <alignment horizontal="left" vertical="center"/>
    </xf>
    <xf numFmtId="0" fontId="10" fillId="0" borderId="23" xfId="0" applyFont="1" applyBorder="1" applyAlignment="1">
      <alignment horizontal="left" vertical="center"/>
    </xf>
    <xf numFmtId="0" fontId="10" fillId="0" borderId="24" xfId="0" applyFont="1" applyBorder="1" applyAlignment="1">
      <alignment horizontal="left" vertical="center"/>
    </xf>
    <xf numFmtId="0" fontId="2" fillId="0" borderId="29" xfId="0" applyFont="1" applyBorder="1" applyAlignment="1">
      <alignment horizontal="center" vertical="center"/>
    </xf>
    <xf numFmtId="0" fontId="2" fillId="0" borderId="30" xfId="0" applyFont="1" applyBorder="1" applyAlignment="1">
      <alignment horizontal="center" vertical="center"/>
    </xf>
    <xf numFmtId="0" fontId="2" fillId="0" borderId="7" xfId="0" applyFont="1" applyBorder="1" applyAlignment="1">
      <alignment horizontal="left" vertical="center"/>
    </xf>
    <xf numFmtId="0" fontId="10" fillId="0" borderId="3" xfId="0" applyFont="1" applyBorder="1" applyAlignment="1">
      <alignment horizontal="left" vertical="center"/>
    </xf>
    <xf numFmtId="0" fontId="2" fillId="3" borderId="7" xfId="0" applyFont="1" applyFill="1" applyBorder="1" applyAlignment="1">
      <alignment horizontal="center" vertical="center"/>
    </xf>
    <xf numFmtId="9" fontId="2" fillId="0" borderId="7" xfId="1" applyFont="1" applyBorder="1" applyAlignment="1" applyProtection="1">
      <alignment horizontal="center" vertical="center"/>
    </xf>
    <xf numFmtId="0" fontId="10" fillId="0" borderId="20" xfId="0" applyFont="1" applyBorder="1" applyAlignment="1">
      <alignment horizontal="left" vertical="center"/>
    </xf>
    <xf numFmtId="0" fontId="10" fillId="0" borderId="18" xfId="0" applyFont="1" applyBorder="1" applyAlignment="1">
      <alignment horizontal="left" vertical="center"/>
    </xf>
    <xf numFmtId="0" fontId="10" fillId="0" borderId="19" xfId="0" applyFont="1" applyBorder="1" applyAlignment="1">
      <alignment horizontal="left" vertical="center"/>
    </xf>
    <xf numFmtId="0" fontId="4" fillId="0" borderId="2" xfId="0" applyFont="1" applyBorder="1" applyAlignment="1">
      <alignment horizontal="center" vertical="center"/>
    </xf>
    <xf numFmtId="0" fontId="2" fillId="0" borderId="22" xfId="0" applyFont="1" applyBorder="1" applyAlignment="1">
      <alignment horizontal="left" vertical="center"/>
    </xf>
    <xf numFmtId="0" fontId="2" fillId="0" borderId="23" xfId="0" applyFont="1" applyBorder="1" applyAlignment="1">
      <alignment horizontal="left" vertical="center"/>
    </xf>
    <xf numFmtId="0" fontId="2" fillId="0" borderId="24" xfId="0" applyFont="1" applyBorder="1" applyAlignment="1">
      <alignment horizontal="left" vertical="center"/>
    </xf>
    <xf numFmtId="0" fontId="2" fillId="0" borderId="3" xfId="0" applyFont="1" applyBorder="1" applyAlignment="1">
      <alignment horizontal="left" vertical="center"/>
    </xf>
    <xf numFmtId="0" fontId="2" fillId="0" borderId="0" xfId="0" applyFont="1" applyAlignment="1">
      <alignment horizontal="center"/>
    </xf>
    <xf numFmtId="0" fontId="2" fillId="0" borderId="13" xfId="0" applyFont="1" applyBorder="1" applyAlignment="1">
      <alignment horizontal="left" vertical="center"/>
    </xf>
    <xf numFmtId="0" fontId="7" fillId="0" borderId="7" xfId="0" applyFont="1" applyBorder="1" applyAlignment="1">
      <alignment horizontal="left" vertical="top"/>
    </xf>
    <xf numFmtId="0" fontId="2" fillId="0" borderId="10" xfId="0" applyFont="1" applyBorder="1" applyAlignment="1">
      <alignment horizontal="center"/>
    </xf>
    <xf numFmtId="0" fontId="2" fillId="0" borderId="5" xfId="0" applyFon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4" fillId="0" borderId="7" xfId="0" applyFont="1" applyBorder="1" applyAlignment="1">
      <alignment horizontal="center" vertical="center"/>
    </xf>
    <xf numFmtId="0" fontId="2" fillId="2" borderId="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4" fillId="2" borderId="1" xfId="0" applyFont="1" applyFill="1" applyBorder="1" applyAlignment="1">
      <alignment horizontal="left" vertical="top" wrapText="1"/>
    </xf>
    <xf numFmtId="0" fontId="4" fillId="2" borderId="2" xfId="0" applyFont="1" applyFill="1" applyBorder="1" applyAlignment="1">
      <alignment horizontal="left" vertical="top" wrapText="1"/>
    </xf>
    <xf numFmtId="0" fontId="4" fillId="2" borderId="3" xfId="0" applyFont="1" applyFill="1" applyBorder="1" applyAlignment="1">
      <alignment horizontal="left" vertical="top" wrapText="1"/>
    </xf>
    <xf numFmtId="0" fontId="2" fillId="2" borderId="1" xfId="0" applyFont="1" applyFill="1" applyBorder="1" applyAlignment="1">
      <alignment horizontal="left" vertical="top" wrapText="1"/>
    </xf>
    <xf numFmtId="0" fontId="2" fillId="2" borderId="2" xfId="0" applyFont="1" applyFill="1" applyBorder="1" applyAlignment="1">
      <alignment horizontal="left" vertical="top" wrapText="1"/>
    </xf>
    <xf numFmtId="0" fontId="4" fillId="3" borderId="7" xfId="0" applyFont="1" applyFill="1" applyBorder="1" applyAlignment="1">
      <alignment horizontal="center" vertical="center"/>
    </xf>
    <xf numFmtId="0" fontId="4" fillId="2" borderId="7" xfId="0" applyFont="1" applyFill="1" applyBorder="1" applyAlignment="1">
      <alignment horizontal="center" vertical="center"/>
    </xf>
    <xf numFmtId="0" fontId="4" fillId="2" borderId="25" xfId="0" applyFont="1" applyFill="1" applyBorder="1" applyAlignment="1">
      <alignment horizontal="center" vertical="center"/>
    </xf>
    <xf numFmtId="0" fontId="4" fillId="0" borderId="12" xfId="0" applyFont="1" applyBorder="1" applyAlignment="1">
      <alignment horizontal="center" vertical="center"/>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2" fillId="2" borderId="7" xfId="0" applyFont="1" applyFill="1" applyBorder="1" applyAlignment="1">
      <alignment horizontal="center" vertical="center"/>
    </xf>
    <xf numFmtId="0" fontId="10" fillId="0" borderId="12" xfId="0" applyFont="1" applyFill="1" applyBorder="1" applyAlignment="1">
      <alignment horizontal="center" vertical="center" wrapText="1"/>
    </xf>
    <xf numFmtId="0" fontId="10" fillId="0" borderId="21" xfId="0" applyFont="1" applyFill="1" applyBorder="1" applyAlignment="1">
      <alignment horizontal="center" vertical="center" wrapText="1"/>
    </xf>
    <xf numFmtId="0" fontId="10" fillId="0" borderId="25" xfId="0" applyFont="1" applyFill="1" applyBorder="1" applyAlignment="1">
      <alignment horizontal="center" vertical="center" wrapText="1"/>
    </xf>
    <xf numFmtId="0" fontId="10" fillId="0" borderId="7" xfId="0" applyFont="1" applyFill="1" applyBorder="1" applyAlignment="1">
      <alignment horizontal="center" vertical="center" wrapText="1"/>
    </xf>
    <xf numFmtId="0" fontId="10" fillId="0" borderId="31" xfId="0" applyFont="1" applyBorder="1" applyAlignment="1">
      <alignment horizontal="left" vertical="center"/>
    </xf>
    <xf numFmtId="0" fontId="10" fillId="0" borderId="32" xfId="0" applyFont="1" applyBorder="1" applyAlignment="1">
      <alignment horizontal="left" vertical="center"/>
    </xf>
  </cellXfs>
  <cellStyles count="2">
    <cellStyle name="Normal" xfId="0" builtinId="0"/>
    <cellStyle name="Porcentaje" xfId="1" builtinId="5"/>
  </cellStyles>
  <dxfs count="4">
    <dxf>
      <fill>
        <patternFill>
          <bgColor rgb="FFFF0000"/>
        </patternFill>
      </fill>
    </dxf>
    <dxf>
      <font>
        <b val="0"/>
        <i val="0"/>
        <color auto="1"/>
      </font>
      <fill>
        <patternFill>
          <bgColor theme="9" tint="0.79998168889431442"/>
        </patternFill>
      </fill>
    </dxf>
    <dxf>
      <fill>
        <patternFill>
          <bgColor rgb="FFFF0000"/>
        </patternFill>
      </fill>
    </dxf>
    <dxf>
      <font>
        <b val="0"/>
        <i val="0"/>
        <color auto="1"/>
      </font>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1</xdr:col>
      <xdr:colOff>59531</xdr:colOff>
      <xdr:row>1</xdr:row>
      <xdr:rowOff>11907</xdr:rowOff>
    </xdr:from>
    <xdr:to>
      <xdr:col>3</xdr:col>
      <xdr:colOff>878680</xdr:colOff>
      <xdr:row>2</xdr:row>
      <xdr:rowOff>8854</xdr:rowOff>
    </xdr:to>
    <xdr:pic>
      <xdr:nvPicPr>
        <xdr:cNvPr id="2" name="Picture 17" descr="logo_meridian">
          <a:extLst>
            <a:ext uri="{FF2B5EF4-FFF2-40B4-BE49-F238E27FC236}">
              <a16:creationId xmlns:a16="http://schemas.microsoft.com/office/drawing/2014/main" id="{F9B80ED5-F718-411A-A788-AA9C68F70A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31006" y="240507"/>
          <a:ext cx="2171699" cy="64464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59531</xdr:colOff>
      <xdr:row>1</xdr:row>
      <xdr:rowOff>11907</xdr:rowOff>
    </xdr:from>
    <xdr:to>
      <xdr:col>3</xdr:col>
      <xdr:colOff>878680</xdr:colOff>
      <xdr:row>2</xdr:row>
      <xdr:rowOff>8854</xdr:rowOff>
    </xdr:to>
    <xdr:pic>
      <xdr:nvPicPr>
        <xdr:cNvPr id="3" name="Picture 17" descr="logo_meridian">
          <a:extLst>
            <a:ext uri="{FF2B5EF4-FFF2-40B4-BE49-F238E27FC236}">
              <a16:creationId xmlns:a16="http://schemas.microsoft.com/office/drawing/2014/main" id="{D92980AB-DAE3-4696-92E4-50EE1C3EFA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31006" y="240507"/>
          <a:ext cx="2171699" cy="64464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6"/>
  <sheetViews>
    <sheetView showGridLines="0" tabSelected="1" view="pageBreakPreview" zoomScaleNormal="80" zoomScaleSheetLayoutView="100" workbookViewId="0">
      <selection activeCell="B2" sqref="B2:M2"/>
    </sheetView>
  </sheetViews>
  <sheetFormatPr baseColWidth="10" defaultColWidth="8.6640625" defaultRowHeight="14.4" x14ac:dyDescent="0.3"/>
  <cols>
    <col min="1" max="1" width="5.5546875" style="2" customWidth="1"/>
    <col min="2" max="2" width="10.109375" style="1" customWidth="1"/>
    <col min="3" max="3" width="12.6640625" style="1" bestFit="1" customWidth="1"/>
    <col min="4" max="4" width="43.109375" style="1" customWidth="1"/>
    <col min="5" max="6" width="19.88671875" style="1" customWidth="1"/>
    <col min="7" max="7" width="14.109375" style="1" bestFit="1" customWidth="1"/>
    <col min="8" max="8" width="13.44140625" style="1" customWidth="1"/>
    <col min="9" max="9" width="13.6640625" style="1" customWidth="1"/>
    <col min="10" max="10" width="13.44140625" style="1" customWidth="1"/>
    <col min="11" max="11" width="10.44140625" style="1" customWidth="1"/>
    <col min="12" max="12" width="12.44140625" style="1" customWidth="1"/>
    <col min="13" max="13" width="12.33203125" style="1" customWidth="1"/>
    <col min="14" max="14" width="5.5546875" style="2" customWidth="1"/>
    <col min="15" max="15" width="16.44140625" style="2" customWidth="1"/>
    <col min="17" max="17" width="16.44140625" style="2" customWidth="1"/>
    <col min="18" max="18" width="0" hidden="1" customWidth="1"/>
    <col min="19" max="19" width="16.44140625" style="2" customWidth="1"/>
    <col min="20" max="16384" width="8.6640625" style="2"/>
  </cols>
  <sheetData>
    <row r="1" spans="2:18" ht="18" customHeight="1" x14ac:dyDescent="0.3">
      <c r="R1" t="s">
        <v>0</v>
      </c>
    </row>
    <row r="2" spans="2:18" ht="51" customHeight="1" x14ac:dyDescent="0.3">
      <c r="B2" s="100" t="s">
        <v>1</v>
      </c>
      <c r="C2" s="100"/>
      <c r="D2" s="100"/>
      <c r="E2" s="100"/>
      <c r="F2" s="100"/>
      <c r="G2" s="100"/>
      <c r="H2" s="100"/>
      <c r="I2" s="100"/>
      <c r="J2" s="100"/>
      <c r="K2" s="100"/>
      <c r="L2" s="100"/>
      <c r="M2" s="100"/>
      <c r="R2" t="s">
        <v>2</v>
      </c>
    </row>
    <row r="3" spans="2:18" x14ac:dyDescent="0.3">
      <c r="B3" s="101" t="s">
        <v>3</v>
      </c>
      <c r="C3" s="102"/>
      <c r="D3" s="102"/>
      <c r="E3" s="75"/>
      <c r="F3" s="75"/>
      <c r="G3" s="102" t="s">
        <v>4</v>
      </c>
      <c r="H3" s="102"/>
      <c r="I3" s="102"/>
      <c r="J3" s="102"/>
      <c r="K3" s="102" t="s">
        <v>5</v>
      </c>
      <c r="L3" s="102"/>
      <c r="M3" s="103"/>
    </row>
    <row r="4" spans="2:18" x14ac:dyDescent="0.3">
      <c r="B4" s="18"/>
      <c r="C4" s="3"/>
      <c r="M4" s="19"/>
      <c r="R4" t="s">
        <v>6</v>
      </c>
    </row>
    <row r="5" spans="2:18" s="5" customFormat="1" x14ac:dyDescent="0.3">
      <c r="B5" s="104" t="s">
        <v>7</v>
      </c>
      <c r="C5" s="104"/>
      <c r="D5" s="61">
        <v>90598918</v>
      </c>
      <c r="E5"/>
      <c r="F5"/>
      <c r="G5" s="15"/>
      <c r="H5" s="15"/>
      <c r="I5" s="15"/>
      <c r="K5" s="4"/>
      <c r="L5" s="4"/>
      <c r="M5" s="20"/>
      <c r="P5"/>
      <c r="R5" t="s">
        <v>8</v>
      </c>
    </row>
    <row r="6" spans="2:18" s="5" customFormat="1" x14ac:dyDescent="0.3">
      <c r="B6" s="21"/>
      <c r="C6" s="4"/>
      <c r="D6" s="4"/>
      <c r="E6"/>
      <c r="F6"/>
      <c r="G6" s="4"/>
      <c r="H6" s="4"/>
      <c r="I6" s="4"/>
      <c r="J6" s="4"/>
      <c r="K6" s="4"/>
      <c r="L6" s="4"/>
      <c r="M6" s="20"/>
      <c r="P6"/>
      <c r="R6" t="s">
        <v>11</v>
      </c>
    </row>
    <row r="7" spans="2:18" s="5" customFormat="1" x14ac:dyDescent="0.3">
      <c r="B7" s="104" t="s">
        <v>12</v>
      </c>
      <c r="C7" s="104"/>
      <c r="D7" s="6" t="s">
        <v>2</v>
      </c>
      <c r="E7"/>
      <c r="F7"/>
      <c r="G7" s="22"/>
      <c r="H7" s="22"/>
      <c r="I7" s="22"/>
      <c r="J7" s="4"/>
      <c r="K7" s="4"/>
      <c r="L7" s="4"/>
      <c r="M7" s="20"/>
      <c r="P7"/>
      <c r="R7" t="s">
        <v>13</v>
      </c>
    </row>
    <row r="8" spans="2:18" s="5" customFormat="1" x14ac:dyDescent="0.3">
      <c r="B8" s="31"/>
      <c r="C8" s="60"/>
      <c r="D8" s="22"/>
      <c r="E8"/>
      <c r="F8"/>
      <c r="G8" s="22"/>
      <c r="H8" s="22"/>
      <c r="I8" s="22"/>
      <c r="J8" s="4"/>
      <c r="K8" s="4"/>
      <c r="L8" s="4"/>
      <c r="M8" s="20"/>
      <c r="P8"/>
      <c r="R8" t="s">
        <v>14</v>
      </c>
    </row>
    <row r="9" spans="2:18" s="5" customFormat="1" x14ac:dyDescent="0.3">
      <c r="B9" s="104" t="s">
        <v>15</v>
      </c>
      <c r="C9" s="104"/>
      <c r="D9" s="7">
        <v>46053</v>
      </c>
      <c r="E9"/>
      <c r="F9"/>
      <c r="G9" s="23"/>
      <c r="H9" s="23"/>
      <c r="I9" s="23"/>
      <c r="J9" s="4"/>
      <c r="K9" s="4"/>
      <c r="L9" s="4"/>
      <c r="M9" s="20"/>
      <c r="P9"/>
      <c r="R9" t="s">
        <v>16</v>
      </c>
    </row>
    <row r="10" spans="2:18" x14ac:dyDescent="0.3">
      <c r="B10" s="24"/>
      <c r="M10" s="25"/>
      <c r="R10" t="s">
        <v>17</v>
      </c>
    </row>
    <row r="11" spans="2:18" x14ac:dyDescent="0.3">
      <c r="B11" s="104" t="s">
        <v>18</v>
      </c>
      <c r="C11" s="104"/>
      <c r="D11" s="104"/>
      <c r="E11" s="104"/>
      <c r="F11" s="104"/>
      <c r="G11" s="104"/>
      <c r="H11" s="104"/>
      <c r="I11" s="104"/>
      <c r="J11" s="104" t="s">
        <v>19</v>
      </c>
      <c r="K11" s="104"/>
      <c r="L11" s="104" t="s">
        <v>20</v>
      </c>
      <c r="M11" s="104"/>
      <c r="R11" t="s">
        <v>21</v>
      </c>
    </row>
    <row r="12" spans="2:18" s="26" customFormat="1" ht="42.6" customHeight="1" x14ac:dyDescent="0.3">
      <c r="B12" s="59" t="s">
        <v>22</v>
      </c>
      <c r="C12" s="59" t="s">
        <v>23</v>
      </c>
      <c r="D12" s="59" t="s">
        <v>24</v>
      </c>
      <c r="E12" s="59" t="s">
        <v>66</v>
      </c>
      <c r="F12" s="59" t="s">
        <v>149</v>
      </c>
      <c r="G12" s="59" t="s">
        <v>25</v>
      </c>
      <c r="H12" s="59" t="s">
        <v>26</v>
      </c>
      <c r="I12" s="59" t="s">
        <v>62</v>
      </c>
      <c r="J12" s="59" t="s">
        <v>27</v>
      </c>
      <c r="K12" s="59" t="s">
        <v>28</v>
      </c>
      <c r="L12" s="59" t="s">
        <v>29</v>
      </c>
      <c r="M12" s="59" t="s">
        <v>28</v>
      </c>
      <c r="P12" s="27"/>
      <c r="R12" s="27" t="s">
        <v>30</v>
      </c>
    </row>
    <row r="13" spans="2:18" ht="22.5" customHeight="1" x14ac:dyDescent="0.3">
      <c r="B13" s="32">
        <v>1</v>
      </c>
      <c r="C13" s="33" t="s">
        <v>137</v>
      </c>
      <c r="D13" s="34" t="s">
        <v>100</v>
      </c>
      <c r="E13" s="105" t="s">
        <v>125</v>
      </c>
      <c r="F13" s="105" t="s">
        <v>150</v>
      </c>
      <c r="G13" s="63" t="s">
        <v>101</v>
      </c>
      <c r="H13" s="76" t="s">
        <v>31</v>
      </c>
      <c r="I13" s="36">
        <v>25</v>
      </c>
      <c r="J13" s="35">
        <v>3</v>
      </c>
      <c r="K13" s="37">
        <f t="shared" ref="K13:K45" si="0">IFERROR(J13/I13,0)</f>
        <v>0.12</v>
      </c>
      <c r="L13" s="35">
        <f t="shared" ref="L13:L45" si="1">J13</f>
        <v>3</v>
      </c>
      <c r="M13" s="37">
        <f t="shared" ref="M13:M25" si="2">IFERROR(L13/I13,0)</f>
        <v>0.12</v>
      </c>
    </row>
    <row r="14" spans="2:18" s="5" customFormat="1" x14ac:dyDescent="0.3">
      <c r="B14" s="39">
        <v>1</v>
      </c>
      <c r="C14" s="40" t="s">
        <v>138</v>
      </c>
      <c r="D14" s="41" t="s">
        <v>102</v>
      </c>
      <c r="E14" s="106"/>
      <c r="F14" s="106"/>
      <c r="G14" s="64" t="s">
        <v>64</v>
      </c>
      <c r="H14" s="77" t="s">
        <v>31</v>
      </c>
      <c r="I14" s="43">
        <v>25</v>
      </c>
      <c r="J14" s="42">
        <v>3</v>
      </c>
      <c r="K14" s="44">
        <f t="shared" si="0"/>
        <v>0.12</v>
      </c>
      <c r="L14" s="42">
        <f t="shared" si="1"/>
        <v>3</v>
      </c>
      <c r="M14" s="44">
        <f t="shared" si="2"/>
        <v>0.12</v>
      </c>
      <c r="P14" s="8"/>
      <c r="R14" s="8"/>
    </row>
    <row r="15" spans="2:18" x14ac:dyDescent="0.3">
      <c r="B15" s="39">
        <v>1</v>
      </c>
      <c r="C15" s="40" t="s">
        <v>139</v>
      </c>
      <c r="D15" s="41" t="s">
        <v>103</v>
      </c>
      <c r="E15" s="106"/>
      <c r="F15" s="106"/>
      <c r="G15" s="64" t="s">
        <v>65</v>
      </c>
      <c r="H15" s="77" t="s">
        <v>31</v>
      </c>
      <c r="I15" s="43">
        <v>25</v>
      </c>
      <c r="J15" s="42">
        <v>3</v>
      </c>
      <c r="K15" s="44">
        <f t="shared" si="0"/>
        <v>0.12</v>
      </c>
      <c r="L15" s="42">
        <f t="shared" si="1"/>
        <v>3</v>
      </c>
      <c r="M15" s="44">
        <f t="shared" si="2"/>
        <v>0.12</v>
      </c>
    </row>
    <row r="16" spans="2:18" x14ac:dyDescent="0.3">
      <c r="B16" s="39">
        <v>1</v>
      </c>
      <c r="C16" s="40" t="s">
        <v>140</v>
      </c>
      <c r="D16" s="41" t="s">
        <v>104</v>
      </c>
      <c r="E16" s="106"/>
      <c r="F16" s="106"/>
      <c r="G16" s="64" t="s">
        <v>105</v>
      </c>
      <c r="H16" s="77" t="s">
        <v>31</v>
      </c>
      <c r="I16" s="43">
        <v>25</v>
      </c>
      <c r="J16" s="42">
        <v>3</v>
      </c>
      <c r="K16" s="44">
        <f t="shared" si="0"/>
        <v>0.12</v>
      </c>
      <c r="L16" s="42">
        <f t="shared" si="1"/>
        <v>3</v>
      </c>
      <c r="M16" s="44">
        <f t="shared" si="2"/>
        <v>0.12</v>
      </c>
    </row>
    <row r="17" spans="2:18" x14ac:dyDescent="0.3">
      <c r="B17" s="39">
        <v>1</v>
      </c>
      <c r="C17" s="40" t="s">
        <v>141</v>
      </c>
      <c r="D17" s="41" t="s">
        <v>106</v>
      </c>
      <c r="E17" s="106"/>
      <c r="F17" s="106"/>
      <c r="G17" s="64" t="s">
        <v>154</v>
      </c>
      <c r="H17" s="77" t="s">
        <v>154</v>
      </c>
      <c r="I17" s="43">
        <v>25</v>
      </c>
      <c r="J17" s="42">
        <v>0</v>
      </c>
      <c r="K17" s="44">
        <f t="shared" si="0"/>
        <v>0</v>
      </c>
      <c r="L17" s="42">
        <f t="shared" si="1"/>
        <v>0</v>
      </c>
      <c r="M17" s="44">
        <f t="shared" si="2"/>
        <v>0</v>
      </c>
    </row>
    <row r="18" spans="2:18" x14ac:dyDescent="0.3">
      <c r="B18" s="39">
        <v>1</v>
      </c>
      <c r="C18" s="40" t="s">
        <v>142</v>
      </c>
      <c r="D18" s="41" t="s">
        <v>107</v>
      </c>
      <c r="E18" s="106"/>
      <c r="F18" s="106"/>
      <c r="G18" s="64" t="s">
        <v>154</v>
      </c>
      <c r="H18" s="77" t="s">
        <v>154</v>
      </c>
      <c r="I18" s="43">
        <v>25</v>
      </c>
      <c r="J18" s="42">
        <v>0</v>
      </c>
      <c r="K18" s="44">
        <f t="shared" si="0"/>
        <v>0</v>
      </c>
      <c r="L18" s="42">
        <f t="shared" si="1"/>
        <v>0</v>
      </c>
      <c r="M18" s="44">
        <f t="shared" si="2"/>
        <v>0</v>
      </c>
    </row>
    <row r="19" spans="2:18" x14ac:dyDescent="0.3">
      <c r="B19" s="39">
        <v>1</v>
      </c>
      <c r="C19" s="40" t="s">
        <v>143</v>
      </c>
      <c r="D19" s="41" t="s">
        <v>108</v>
      </c>
      <c r="E19" s="106"/>
      <c r="F19" s="106"/>
      <c r="G19" s="64" t="s">
        <v>154</v>
      </c>
      <c r="H19" s="77" t="s">
        <v>154</v>
      </c>
      <c r="I19" s="43">
        <v>25</v>
      </c>
      <c r="J19" s="42">
        <v>0</v>
      </c>
      <c r="K19" s="44">
        <f t="shared" si="0"/>
        <v>0</v>
      </c>
      <c r="L19" s="42">
        <f t="shared" si="1"/>
        <v>0</v>
      </c>
      <c r="M19" s="44">
        <f t="shared" si="2"/>
        <v>0</v>
      </c>
    </row>
    <row r="20" spans="2:18" ht="15" customHeight="1" x14ac:dyDescent="0.3">
      <c r="B20" s="39">
        <v>2</v>
      </c>
      <c r="C20" s="40" t="s">
        <v>144</v>
      </c>
      <c r="D20" s="41" t="s">
        <v>109</v>
      </c>
      <c r="E20" s="106"/>
      <c r="F20" s="106"/>
      <c r="G20" s="64" t="s">
        <v>95</v>
      </c>
      <c r="H20" s="77" t="s">
        <v>31</v>
      </c>
      <c r="I20" s="43">
        <v>25</v>
      </c>
      <c r="J20" s="42">
        <v>3</v>
      </c>
      <c r="K20" s="44">
        <f t="shared" si="0"/>
        <v>0.12</v>
      </c>
      <c r="L20" s="42">
        <f t="shared" si="1"/>
        <v>3</v>
      </c>
      <c r="M20" s="44">
        <f t="shared" si="2"/>
        <v>0.12</v>
      </c>
    </row>
    <row r="21" spans="2:18" x14ac:dyDescent="0.3">
      <c r="B21" s="46">
        <v>2</v>
      </c>
      <c r="C21" s="47" t="s">
        <v>145</v>
      </c>
      <c r="D21" s="48" t="s">
        <v>110</v>
      </c>
      <c r="E21" s="107"/>
      <c r="F21" s="107"/>
      <c r="G21" s="65" t="s">
        <v>154</v>
      </c>
      <c r="H21" s="78" t="s">
        <v>154</v>
      </c>
      <c r="I21" s="49">
        <v>25</v>
      </c>
      <c r="J21" s="49">
        <v>0</v>
      </c>
      <c r="K21" s="51">
        <f t="shared" si="0"/>
        <v>0</v>
      </c>
      <c r="L21" s="49">
        <f t="shared" si="1"/>
        <v>0</v>
      </c>
      <c r="M21" s="55">
        <f t="shared" si="2"/>
        <v>0</v>
      </c>
    </row>
    <row r="22" spans="2:18" x14ac:dyDescent="0.3">
      <c r="B22" s="32">
        <v>8</v>
      </c>
      <c r="C22" s="33" t="s">
        <v>93</v>
      </c>
      <c r="D22" s="34" t="s">
        <v>94</v>
      </c>
      <c r="E22" s="105" t="s">
        <v>126</v>
      </c>
      <c r="F22" s="105" t="s">
        <v>150</v>
      </c>
      <c r="G22" s="63" t="s">
        <v>95</v>
      </c>
      <c r="H22" s="76" t="s">
        <v>31</v>
      </c>
      <c r="I22" s="36">
        <v>45</v>
      </c>
      <c r="J22" s="35">
        <v>3</v>
      </c>
      <c r="K22" s="37">
        <f t="shared" si="0"/>
        <v>6.6666666666666666E-2</v>
      </c>
      <c r="L22" s="35">
        <f t="shared" si="1"/>
        <v>3</v>
      </c>
      <c r="M22" s="37">
        <f t="shared" si="2"/>
        <v>6.6666666666666666E-2</v>
      </c>
    </row>
    <row r="23" spans="2:18" x14ac:dyDescent="0.3">
      <c r="B23" s="39">
        <v>8</v>
      </c>
      <c r="C23" s="40" t="s">
        <v>54</v>
      </c>
      <c r="D23" s="41" t="s">
        <v>55</v>
      </c>
      <c r="E23" s="106"/>
      <c r="F23" s="106"/>
      <c r="G23" s="64" t="s">
        <v>63</v>
      </c>
      <c r="H23" s="77" t="s">
        <v>31</v>
      </c>
      <c r="I23" s="43">
        <v>45</v>
      </c>
      <c r="J23" s="42">
        <v>3</v>
      </c>
      <c r="K23" s="44">
        <f t="shared" si="0"/>
        <v>6.6666666666666666E-2</v>
      </c>
      <c r="L23" s="42">
        <f t="shared" si="1"/>
        <v>3</v>
      </c>
      <c r="M23" s="44">
        <f t="shared" si="2"/>
        <v>6.6666666666666666E-2</v>
      </c>
    </row>
    <row r="24" spans="2:18" x14ac:dyDescent="0.3">
      <c r="B24" s="39">
        <v>8</v>
      </c>
      <c r="C24" s="40" t="s">
        <v>56</v>
      </c>
      <c r="D24" s="41" t="s">
        <v>96</v>
      </c>
      <c r="E24" s="106"/>
      <c r="F24" s="106"/>
      <c r="G24" s="64" t="s">
        <v>57</v>
      </c>
      <c r="H24" s="77" t="s">
        <v>31</v>
      </c>
      <c r="I24" s="43">
        <v>45</v>
      </c>
      <c r="J24" s="42">
        <v>3</v>
      </c>
      <c r="K24" s="44">
        <f t="shared" si="0"/>
        <v>6.6666666666666666E-2</v>
      </c>
      <c r="L24" s="42">
        <f t="shared" si="1"/>
        <v>3</v>
      </c>
      <c r="M24" s="44">
        <f t="shared" si="2"/>
        <v>6.6666666666666666E-2</v>
      </c>
    </row>
    <row r="25" spans="2:18" x14ac:dyDescent="0.3">
      <c r="B25" s="39">
        <v>8</v>
      </c>
      <c r="C25" s="40" t="s">
        <v>59</v>
      </c>
      <c r="D25" s="41" t="s">
        <v>98</v>
      </c>
      <c r="E25" s="106"/>
      <c r="F25" s="106"/>
      <c r="G25" s="64" t="s">
        <v>157</v>
      </c>
      <c r="H25" s="77" t="s">
        <v>31</v>
      </c>
      <c r="I25" s="43">
        <v>45</v>
      </c>
      <c r="J25" s="42">
        <v>3</v>
      </c>
      <c r="K25" s="44">
        <f t="shared" si="0"/>
        <v>6.6666666666666666E-2</v>
      </c>
      <c r="L25" s="42">
        <f t="shared" si="1"/>
        <v>3</v>
      </c>
      <c r="M25" s="44">
        <f t="shared" si="2"/>
        <v>6.6666666666666666E-2</v>
      </c>
    </row>
    <row r="26" spans="2:18" x14ac:dyDescent="0.3">
      <c r="B26" s="46">
        <v>8</v>
      </c>
      <c r="C26" s="47" t="s">
        <v>61</v>
      </c>
      <c r="D26" s="48" t="s">
        <v>99</v>
      </c>
      <c r="E26" s="107"/>
      <c r="F26" s="107"/>
      <c r="G26" s="65" t="s">
        <v>153</v>
      </c>
      <c r="H26" s="78" t="s">
        <v>31</v>
      </c>
      <c r="I26" s="50">
        <v>45</v>
      </c>
      <c r="J26" s="49">
        <v>3</v>
      </c>
      <c r="K26" s="51">
        <f t="shared" si="0"/>
        <v>6.6666666666666666E-2</v>
      </c>
      <c r="L26" s="49">
        <f t="shared" si="1"/>
        <v>3</v>
      </c>
      <c r="M26" s="51">
        <f t="shared" ref="M26" si="3">IFERROR(L26/I26,0)</f>
        <v>6.6666666666666666E-2</v>
      </c>
    </row>
    <row r="27" spans="2:18" x14ac:dyDescent="0.3">
      <c r="B27" s="32">
        <v>8</v>
      </c>
      <c r="C27" s="33" t="s">
        <v>93</v>
      </c>
      <c r="D27" s="34" t="s">
        <v>94</v>
      </c>
      <c r="E27" s="105" t="s">
        <v>127</v>
      </c>
      <c r="F27" s="105" t="s">
        <v>150</v>
      </c>
      <c r="G27" s="72" t="s">
        <v>95</v>
      </c>
      <c r="H27" s="76" t="s">
        <v>121</v>
      </c>
      <c r="I27" s="38">
        <v>30</v>
      </c>
      <c r="J27" s="35">
        <v>5</v>
      </c>
      <c r="K27" s="37">
        <f t="shared" si="0"/>
        <v>0.16666666666666666</v>
      </c>
      <c r="L27" s="38">
        <f t="shared" si="1"/>
        <v>5</v>
      </c>
      <c r="M27" s="53">
        <f t="shared" ref="M27:M33" si="4">IFERROR(L27/I27,0)</f>
        <v>0.16666666666666666</v>
      </c>
    </row>
    <row r="28" spans="2:18" x14ac:dyDescent="0.3">
      <c r="B28" s="39">
        <v>8</v>
      </c>
      <c r="C28" s="40" t="s">
        <v>54</v>
      </c>
      <c r="D28" s="41" t="s">
        <v>111</v>
      </c>
      <c r="E28" s="106"/>
      <c r="F28" s="106"/>
      <c r="G28" s="73" t="s">
        <v>63</v>
      </c>
      <c r="H28" s="77" t="s">
        <v>122</v>
      </c>
      <c r="I28" s="45">
        <v>30</v>
      </c>
      <c r="J28" s="42">
        <v>5</v>
      </c>
      <c r="K28" s="44">
        <f t="shared" si="0"/>
        <v>0.16666666666666666</v>
      </c>
      <c r="L28" s="45">
        <f t="shared" si="1"/>
        <v>5</v>
      </c>
      <c r="M28" s="54">
        <f t="shared" si="4"/>
        <v>0.16666666666666666</v>
      </c>
    </row>
    <row r="29" spans="2:18" s="5" customFormat="1" x14ac:dyDescent="0.3">
      <c r="B29" s="39">
        <v>8</v>
      </c>
      <c r="C29" s="40" t="s">
        <v>56</v>
      </c>
      <c r="D29" s="41" t="s">
        <v>118</v>
      </c>
      <c r="E29" s="106"/>
      <c r="F29" s="106"/>
      <c r="G29" s="73" t="s">
        <v>57</v>
      </c>
      <c r="H29" s="77" t="s">
        <v>123</v>
      </c>
      <c r="I29" s="45">
        <v>60</v>
      </c>
      <c r="J29" s="42">
        <v>5</v>
      </c>
      <c r="K29" s="44">
        <f t="shared" si="0"/>
        <v>8.3333333333333329E-2</v>
      </c>
      <c r="L29" s="45">
        <f t="shared" si="1"/>
        <v>5</v>
      </c>
      <c r="M29" s="54">
        <f t="shared" si="4"/>
        <v>8.3333333333333329E-2</v>
      </c>
      <c r="P29" s="8"/>
      <c r="R29" s="8"/>
    </row>
    <row r="30" spans="2:18" x14ac:dyDescent="0.3">
      <c r="B30" s="39">
        <v>8</v>
      </c>
      <c r="C30" s="40" t="s">
        <v>58</v>
      </c>
      <c r="D30" s="41" t="s">
        <v>119</v>
      </c>
      <c r="E30" s="106"/>
      <c r="F30" s="106"/>
      <c r="G30" s="73" t="s">
        <v>154</v>
      </c>
      <c r="H30" s="77" t="s">
        <v>154</v>
      </c>
      <c r="I30" s="45">
        <v>30</v>
      </c>
      <c r="J30" s="42">
        <v>0</v>
      </c>
      <c r="K30" s="44">
        <f t="shared" si="0"/>
        <v>0</v>
      </c>
      <c r="L30" s="45">
        <f t="shared" si="1"/>
        <v>0</v>
      </c>
      <c r="M30" s="54">
        <f t="shared" si="4"/>
        <v>0</v>
      </c>
    </row>
    <row r="31" spans="2:18" x14ac:dyDescent="0.3">
      <c r="B31" s="39">
        <v>8</v>
      </c>
      <c r="C31" s="40" t="s">
        <v>59</v>
      </c>
      <c r="D31" s="41" t="s">
        <v>120</v>
      </c>
      <c r="E31" s="106"/>
      <c r="F31" s="106"/>
      <c r="G31" s="73" t="s">
        <v>154</v>
      </c>
      <c r="H31" s="77" t="s">
        <v>154</v>
      </c>
      <c r="I31" s="45">
        <v>45</v>
      </c>
      <c r="J31" s="42">
        <v>0</v>
      </c>
      <c r="K31" s="44">
        <f t="shared" si="0"/>
        <v>0</v>
      </c>
      <c r="L31" s="45">
        <f t="shared" si="1"/>
        <v>0</v>
      </c>
      <c r="M31" s="54">
        <f t="shared" si="4"/>
        <v>0</v>
      </c>
    </row>
    <row r="32" spans="2:18" x14ac:dyDescent="0.3">
      <c r="B32" s="46">
        <v>8</v>
      </c>
      <c r="C32" s="47" t="s">
        <v>61</v>
      </c>
      <c r="D32" s="48" t="s">
        <v>99</v>
      </c>
      <c r="E32" s="107"/>
      <c r="F32" s="107"/>
      <c r="G32" s="74" t="s">
        <v>154</v>
      </c>
      <c r="H32" s="78" t="s">
        <v>154</v>
      </c>
      <c r="I32" s="52">
        <v>30</v>
      </c>
      <c r="J32" s="49">
        <v>0</v>
      </c>
      <c r="K32" s="51">
        <f t="shared" si="0"/>
        <v>0</v>
      </c>
      <c r="L32" s="52">
        <f t="shared" si="1"/>
        <v>0</v>
      </c>
      <c r="M32" s="55">
        <f t="shared" si="4"/>
        <v>0</v>
      </c>
    </row>
    <row r="33" spans="2:18" ht="14.4" customHeight="1" x14ac:dyDescent="0.3">
      <c r="B33" s="32">
        <v>8</v>
      </c>
      <c r="C33" s="33" t="s">
        <v>93</v>
      </c>
      <c r="D33" s="34" t="s">
        <v>94</v>
      </c>
      <c r="E33" s="105" t="s">
        <v>128</v>
      </c>
      <c r="F33" s="105" t="s">
        <v>151</v>
      </c>
      <c r="G33" s="72" t="s">
        <v>95</v>
      </c>
      <c r="H33" s="76" t="s">
        <v>31</v>
      </c>
      <c r="I33" s="35">
        <v>45</v>
      </c>
      <c r="J33" s="35">
        <v>8</v>
      </c>
      <c r="K33" s="37">
        <f t="shared" si="0"/>
        <v>0.17777777777777778</v>
      </c>
      <c r="L33" s="35">
        <f t="shared" si="1"/>
        <v>8</v>
      </c>
      <c r="M33" s="53">
        <f t="shared" si="4"/>
        <v>0.17777777777777778</v>
      </c>
    </row>
    <row r="34" spans="2:18" x14ac:dyDescent="0.3">
      <c r="B34" s="39">
        <v>8</v>
      </c>
      <c r="C34" s="40" t="s">
        <v>54</v>
      </c>
      <c r="D34" s="41" t="s">
        <v>111</v>
      </c>
      <c r="E34" s="106"/>
      <c r="F34" s="106"/>
      <c r="G34" s="73" t="s">
        <v>154</v>
      </c>
      <c r="H34" s="81" t="s">
        <v>154</v>
      </c>
      <c r="I34" s="43">
        <v>40</v>
      </c>
      <c r="J34" s="42">
        <v>0</v>
      </c>
      <c r="K34" s="44">
        <f t="shared" si="0"/>
        <v>0</v>
      </c>
      <c r="L34" s="42">
        <f t="shared" si="1"/>
        <v>0</v>
      </c>
      <c r="M34" s="43">
        <f t="shared" ref="M34:M35" si="5">IFERROR(L34/I34,0)</f>
        <v>0</v>
      </c>
    </row>
    <row r="35" spans="2:18" s="5" customFormat="1" x14ac:dyDescent="0.3">
      <c r="B35" s="39">
        <v>8</v>
      </c>
      <c r="C35" s="40" t="s">
        <v>56</v>
      </c>
      <c r="D35" s="41" t="s">
        <v>112</v>
      </c>
      <c r="E35" s="106"/>
      <c r="F35" s="106"/>
      <c r="G35" s="64" t="s">
        <v>57</v>
      </c>
      <c r="H35" s="81" t="s">
        <v>31</v>
      </c>
      <c r="I35" s="43">
        <v>40</v>
      </c>
      <c r="J35" s="42">
        <v>7</v>
      </c>
      <c r="K35" s="44">
        <f t="shared" si="0"/>
        <v>0.17499999999999999</v>
      </c>
      <c r="L35" s="42">
        <f t="shared" si="1"/>
        <v>7</v>
      </c>
      <c r="M35" s="43">
        <f t="shared" si="5"/>
        <v>0.17499999999999999</v>
      </c>
      <c r="P35" s="8"/>
      <c r="R35" s="8"/>
    </row>
    <row r="36" spans="2:18" x14ac:dyDescent="0.3">
      <c r="B36" s="39">
        <v>8</v>
      </c>
      <c r="C36" s="40" t="s">
        <v>58</v>
      </c>
      <c r="D36" s="41" t="s">
        <v>97</v>
      </c>
      <c r="E36" s="106"/>
      <c r="F36" s="106"/>
      <c r="G36" s="64" t="s">
        <v>154</v>
      </c>
      <c r="H36" s="81" t="s">
        <v>154</v>
      </c>
      <c r="I36" s="43">
        <v>40</v>
      </c>
      <c r="J36" s="42">
        <v>0</v>
      </c>
      <c r="K36" s="44">
        <f t="shared" si="0"/>
        <v>0</v>
      </c>
      <c r="L36" s="42">
        <f t="shared" si="1"/>
        <v>0</v>
      </c>
      <c r="M36" s="43">
        <f t="shared" ref="M36:M44" si="6">IFERROR(L36/I36,0)</f>
        <v>0</v>
      </c>
    </row>
    <row r="37" spans="2:18" x14ac:dyDescent="0.3">
      <c r="B37" s="39">
        <v>8</v>
      </c>
      <c r="C37" s="40" t="s">
        <v>59</v>
      </c>
      <c r="D37" s="41" t="s">
        <v>98</v>
      </c>
      <c r="E37" s="106"/>
      <c r="F37" s="106"/>
      <c r="G37" s="73" t="s">
        <v>154</v>
      </c>
      <c r="H37" s="77" t="s">
        <v>154</v>
      </c>
      <c r="I37" s="45">
        <v>40</v>
      </c>
      <c r="J37" s="42">
        <v>0</v>
      </c>
      <c r="K37" s="44">
        <f t="shared" si="0"/>
        <v>0</v>
      </c>
      <c r="L37" s="45">
        <f t="shared" si="1"/>
        <v>0</v>
      </c>
      <c r="M37" s="54">
        <f t="shared" si="6"/>
        <v>0</v>
      </c>
    </row>
    <row r="38" spans="2:18" x14ac:dyDescent="0.3">
      <c r="B38" s="46">
        <v>8</v>
      </c>
      <c r="C38" s="47" t="s">
        <v>61</v>
      </c>
      <c r="D38" s="48" t="s">
        <v>99</v>
      </c>
      <c r="E38" s="107"/>
      <c r="F38" s="107"/>
      <c r="G38" s="74" t="s">
        <v>154</v>
      </c>
      <c r="H38" s="78" t="s">
        <v>154</v>
      </c>
      <c r="I38" s="52">
        <v>20</v>
      </c>
      <c r="J38" s="49">
        <v>0</v>
      </c>
      <c r="K38" s="51">
        <f t="shared" si="0"/>
        <v>0</v>
      </c>
      <c r="L38" s="52">
        <f t="shared" si="1"/>
        <v>0</v>
      </c>
      <c r="M38" s="55">
        <f t="shared" si="6"/>
        <v>0</v>
      </c>
    </row>
    <row r="39" spans="2:18" x14ac:dyDescent="0.3">
      <c r="B39" s="32">
        <v>4</v>
      </c>
      <c r="C39" s="33" t="s">
        <v>67</v>
      </c>
      <c r="D39" s="34" t="s">
        <v>68</v>
      </c>
      <c r="E39" s="105" t="s">
        <v>129</v>
      </c>
      <c r="F39" s="105" t="s">
        <v>152</v>
      </c>
      <c r="G39" s="56" t="s">
        <v>82</v>
      </c>
      <c r="H39" s="34" t="s">
        <v>85</v>
      </c>
      <c r="I39" s="36">
        <v>75</v>
      </c>
      <c r="J39" s="35">
        <v>5</v>
      </c>
      <c r="K39" s="37">
        <f t="shared" si="0"/>
        <v>6.6666666666666666E-2</v>
      </c>
      <c r="L39" s="35">
        <f t="shared" si="1"/>
        <v>5</v>
      </c>
      <c r="M39" s="37">
        <f t="shared" si="6"/>
        <v>6.6666666666666666E-2</v>
      </c>
    </row>
    <row r="40" spans="2:18" x14ac:dyDescent="0.3">
      <c r="B40" s="39">
        <v>4</v>
      </c>
      <c r="C40" s="40" t="s">
        <v>70</v>
      </c>
      <c r="D40" s="41" t="s">
        <v>71</v>
      </c>
      <c r="E40" s="106"/>
      <c r="F40" s="106"/>
      <c r="G40" s="57" t="s">
        <v>83</v>
      </c>
      <c r="H40" s="41" t="s">
        <v>86</v>
      </c>
      <c r="I40" s="43">
        <v>75</v>
      </c>
      <c r="J40" s="42">
        <v>5</v>
      </c>
      <c r="K40" s="44">
        <f t="shared" si="0"/>
        <v>6.6666666666666666E-2</v>
      </c>
      <c r="L40" s="42">
        <f t="shared" si="1"/>
        <v>5</v>
      </c>
      <c r="M40" s="44">
        <f t="shared" si="6"/>
        <v>6.6666666666666666E-2</v>
      </c>
    </row>
    <row r="41" spans="2:18" x14ac:dyDescent="0.3">
      <c r="B41" s="46">
        <v>4</v>
      </c>
      <c r="C41" s="47" t="s">
        <v>73</v>
      </c>
      <c r="D41" s="48" t="s">
        <v>74</v>
      </c>
      <c r="E41" s="107"/>
      <c r="F41" s="107"/>
      <c r="G41" s="58" t="s">
        <v>84</v>
      </c>
      <c r="H41" s="48" t="s">
        <v>85</v>
      </c>
      <c r="I41" s="50">
        <v>75</v>
      </c>
      <c r="J41" s="49">
        <v>5</v>
      </c>
      <c r="K41" s="51">
        <f t="shared" si="0"/>
        <v>6.6666666666666666E-2</v>
      </c>
      <c r="L41" s="49">
        <f t="shared" si="1"/>
        <v>5</v>
      </c>
      <c r="M41" s="51">
        <f t="shared" si="6"/>
        <v>6.6666666666666666E-2</v>
      </c>
    </row>
    <row r="42" spans="2:18" ht="14.4" customHeight="1" x14ac:dyDescent="0.3">
      <c r="B42" s="32">
        <v>4</v>
      </c>
      <c r="C42" s="33" t="s">
        <v>67</v>
      </c>
      <c r="D42" s="34" t="s">
        <v>68</v>
      </c>
      <c r="E42" s="105" t="s">
        <v>130</v>
      </c>
      <c r="F42" s="105" t="s">
        <v>152</v>
      </c>
      <c r="G42" s="63" t="s">
        <v>79</v>
      </c>
      <c r="H42" s="76" t="s">
        <v>31</v>
      </c>
      <c r="I42" s="36">
        <v>75</v>
      </c>
      <c r="J42" s="36">
        <v>5</v>
      </c>
      <c r="K42" s="37">
        <f t="shared" si="0"/>
        <v>6.6666666666666666E-2</v>
      </c>
      <c r="L42" s="38">
        <f t="shared" si="1"/>
        <v>5</v>
      </c>
      <c r="M42" s="37">
        <f t="shared" si="6"/>
        <v>6.6666666666666666E-2</v>
      </c>
    </row>
    <row r="43" spans="2:18" s="5" customFormat="1" x14ac:dyDescent="0.3">
      <c r="B43" s="39">
        <v>4</v>
      </c>
      <c r="C43" s="40" t="s">
        <v>70</v>
      </c>
      <c r="D43" s="41" t="s">
        <v>71</v>
      </c>
      <c r="E43" s="106"/>
      <c r="F43" s="106"/>
      <c r="G43" s="64" t="s">
        <v>80</v>
      </c>
      <c r="H43" s="77" t="s">
        <v>31</v>
      </c>
      <c r="I43" s="43">
        <v>75</v>
      </c>
      <c r="J43" s="43">
        <v>5</v>
      </c>
      <c r="K43" s="44">
        <f t="shared" si="0"/>
        <v>6.6666666666666666E-2</v>
      </c>
      <c r="L43" s="45">
        <f t="shared" si="1"/>
        <v>5</v>
      </c>
      <c r="M43" s="44">
        <f t="shared" si="6"/>
        <v>6.6666666666666666E-2</v>
      </c>
      <c r="P43" s="8"/>
      <c r="R43" s="8"/>
    </row>
    <row r="44" spans="2:18" ht="15" customHeight="1" x14ac:dyDescent="0.3">
      <c r="B44" s="46">
        <v>4</v>
      </c>
      <c r="C44" s="47" t="s">
        <v>73</v>
      </c>
      <c r="D44" s="48" t="s">
        <v>74</v>
      </c>
      <c r="E44" s="107"/>
      <c r="F44" s="107"/>
      <c r="G44" s="65" t="s">
        <v>81</v>
      </c>
      <c r="H44" s="78" t="s">
        <v>31</v>
      </c>
      <c r="I44" s="50">
        <v>75</v>
      </c>
      <c r="J44" s="50">
        <v>5</v>
      </c>
      <c r="K44" s="51">
        <f t="shared" si="0"/>
        <v>6.6666666666666666E-2</v>
      </c>
      <c r="L44" s="52">
        <f t="shared" si="1"/>
        <v>5</v>
      </c>
      <c r="M44" s="51">
        <f t="shared" si="6"/>
        <v>6.6666666666666666E-2</v>
      </c>
    </row>
    <row r="45" spans="2:18" x14ac:dyDescent="0.3">
      <c r="B45" s="32">
        <v>4</v>
      </c>
      <c r="C45" s="33" t="s">
        <v>67</v>
      </c>
      <c r="D45" s="34" t="s">
        <v>68</v>
      </c>
      <c r="E45" s="105" t="s">
        <v>131</v>
      </c>
      <c r="F45" s="105" t="s">
        <v>150</v>
      </c>
      <c r="G45" s="63" t="s">
        <v>69</v>
      </c>
      <c r="H45" s="76" t="s">
        <v>76</v>
      </c>
      <c r="I45" s="36">
        <v>75</v>
      </c>
      <c r="J45" s="36">
        <v>5</v>
      </c>
      <c r="K45" s="37">
        <f t="shared" si="0"/>
        <v>6.6666666666666666E-2</v>
      </c>
      <c r="L45" s="38">
        <f t="shared" si="1"/>
        <v>5</v>
      </c>
      <c r="M45" s="37">
        <f t="shared" ref="M45:M47" si="7">IFERROR(L45/I45,0)</f>
        <v>6.6666666666666666E-2</v>
      </c>
    </row>
    <row r="46" spans="2:18" x14ac:dyDescent="0.3">
      <c r="B46" s="39">
        <v>4</v>
      </c>
      <c r="C46" s="40" t="s">
        <v>70</v>
      </c>
      <c r="D46" s="41" t="s">
        <v>71</v>
      </c>
      <c r="E46" s="106"/>
      <c r="F46" s="106"/>
      <c r="G46" s="64" t="s">
        <v>72</v>
      </c>
      <c r="H46" s="77" t="s">
        <v>77</v>
      </c>
      <c r="I46" s="43">
        <v>75</v>
      </c>
      <c r="J46" s="43">
        <v>5</v>
      </c>
      <c r="K46" s="44">
        <f t="shared" ref="K46:K60" si="8">IFERROR(J46/I46,0)</f>
        <v>6.6666666666666666E-2</v>
      </c>
      <c r="L46" s="45">
        <f t="shared" ref="L46:L60" si="9">J46</f>
        <v>5</v>
      </c>
      <c r="M46" s="44">
        <f t="shared" si="7"/>
        <v>6.6666666666666666E-2</v>
      </c>
    </row>
    <row r="47" spans="2:18" x14ac:dyDescent="0.3">
      <c r="B47" s="46">
        <v>4</v>
      </c>
      <c r="C47" s="47" t="s">
        <v>73</v>
      </c>
      <c r="D47" s="48" t="s">
        <v>74</v>
      </c>
      <c r="E47" s="107"/>
      <c r="F47" s="107"/>
      <c r="G47" s="65" t="s">
        <v>75</v>
      </c>
      <c r="H47" s="78" t="s">
        <v>78</v>
      </c>
      <c r="I47" s="50">
        <v>75</v>
      </c>
      <c r="J47" s="50">
        <v>5</v>
      </c>
      <c r="K47" s="51">
        <f t="shared" si="8"/>
        <v>6.6666666666666666E-2</v>
      </c>
      <c r="L47" s="52">
        <f t="shared" si="9"/>
        <v>5</v>
      </c>
      <c r="M47" s="51">
        <f t="shared" si="7"/>
        <v>6.6666666666666666E-2</v>
      </c>
    </row>
    <row r="48" spans="2:18" s="5" customFormat="1" x14ac:dyDescent="0.3">
      <c r="B48" s="32">
        <v>3</v>
      </c>
      <c r="C48" s="33" t="s">
        <v>87</v>
      </c>
      <c r="D48" s="34" t="s">
        <v>88</v>
      </c>
      <c r="E48" s="105" t="s">
        <v>132</v>
      </c>
      <c r="F48" s="105" t="s">
        <v>151</v>
      </c>
      <c r="G48" s="109" t="s">
        <v>154</v>
      </c>
      <c r="H48" s="34" t="s">
        <v>154</v>
      </c>
      <c r="I48" s="36">
        <v>90</v>
      </c>
      <c r="J48" s="35">
        <v>0</v>
      </c>
      <c r="K48" s="37">
        <f t="shared" si="8"/>
        <v>0</v>
      </c>
      <c r="L48" s="35">
        <f t="shared" si="9"/>
        <v>0</v>
      </c>
      <c r="M48" s="37">
        <f t="shared" ref="M48:M50" si="10">IFERROR(L48/I48,0)</f>
        <v>0</v>
      </c>
      <c r="P48" s="8"/>
      <c r="R48" s="8"/>
    </row>
    <row r="49" spans="2:18" x14ac:dyDescent="0.3">
      <c r="B49" s="46">
        <v>3</v>
      </c>
      <c r="C49" s="47" t="s">
        <v>89</v>
      </c>
      <c r="D49" s="48" t="s">
        <v>90</v>
      </c>
      <c r="E49" s="107"/>
      <c r="F49" s="107"/>
      <c r="G49" s="110" t="s">
        <v>156</v>
      </c>
      <c r="H49" s="48" t="s">
        <v>91</v>
      </c>
      <c r="I49" s="50">
        <v>90</v>
      </c>
      <c r="J49" s="49">
        <v>15</v>
      </c>
      <c r="K49" s="51">
        <f t="shared" si="8"/>
        <v>0.16666666666666666</v>
      </c>
      <c r="L49" s="49">
        <f t="shared" si="9"/>
        <v>15</v>
      </c>
      <c r="M49" s="51">
        <f t="shared" si="10"/>
        <v>0.16666666666666666</v>
      </c>
    </row>
    <row r="50" spans="2:18" ht="22.8" x14ac:dyDescent="0.3">
      <c r="B50" s="66">
        <v>3</v>
      </c>
      <c r="C50" s="67" t="s">
        <v>89</v>
      </c>
      <c r="D50" s="68" t="s">
        <v>90</v>
      </c>
      <c r="E50" s="108" t="s">
        <v>133</v>
      </c>
      <c r="F50" s="108" t="s">
        <v>151</v>
      </c>
      <c r="G50" s="69" t="s">
        <v>92</v>
      </c>
      <c r="H50" s="79" t="s">
        <v>124</v>
      </c>
      <c r="I50" s="13">
        <v>225</v>
      </c>
      <c r="J50" s="70">
        <v>15</v>
      </c>
      <c r="K50" s="71">
        <f t="shared" si="8"/>
        <v>6.6666666666666666E-2</v>
      </c>
      <c r="L50" s="70">
        <f t="shared" si="9"/>
        <v>15</v>
      </c>
      <c r="M50" s="71">
        <f t="shared" si="10"/>
        <v>6.6666666666666666E-2</v>
      </c>
    </row>
    <row r="51" spans="2:18" ht="14.4" customHeight="1" x14ac:dyDescent="0.3">
      <c r="B51" s="32">
        <v>3</v>
      </c>
      <c r="C51" s="33" t="s">
        <v>87</v>
      </c>
      <c r="D51" s="34" t="s">
        <v>113</v>
      </c>
      <c r="E51" s="105" t="s">
        <v>134</v>
      </c>
      <c r="F51" s="105" t="s">
        <v>150</v>
      </c>
      <c r="G51" s="63" t="s">
        <v>114</v>
      </c>
      <c r="H51" s="76" t="s">
        <v>31</v>
      </c>
      <c r="I51" s="38">
        <v>23</v>
      </c>
      <c r="J51" s="35">
        <v>1</v>
      </c>
      <c r="K51" s="37">
        <f t="shared" si="8"/>
        <v>4.3478260869565216E-2</v>
      </c>
      <c r="L51" s="38">
        <f t="shared" si="9"/>
        <v>1</v>
      </c>
      <c r="M51" s="53">
        <f t="shared" ref="M51:M56" si="11">IFERROR(L51/I51,0)</f>
        <v>4.3478260869565216E-2</v>
      </c>
    </row>
    <row r="52" spans="2:18" x14ac:dyDescent="0.3">
      <c r="B52" s="39">
        <v>3</v>
      </c>
      <c r="C52" s="40" t="s">
        <v>41</v>
      </c>
      <c r="D52" s="41" t="s">
        <v>42</v>
      </c>
      <c r="E52" s="106"/>
      <c r="F52" s="106"/>
      <c r="G52" s="64" t="s">
        <v>43</v>
      </c>
      <c r="H52" s="77" t="s">
        <v>31</v>
      </c>
      <c r="I52" s="45">
        <v>23</v>
      </c>
      <c r="J52" s="42">
        <v>1</v>
      </c>
      <c r="K52" s="44">
        <f t="shared" si="8"/>
        <v>4.3478260869565216E-2</v>
      </c>
      <c r="L52" s="45">
        <f t="shared" si="9"/>
        <v>1</v>
      </c>
      <c r="M52" s="54">
        <f t="shared" si="11"/>
        <v>4.3478260869565216E-2</v>
      </c>
    </row>
    <row r="53" spans="2:18" s="5" customFormat="1" x14ac:dyDescent="0.3">
      <c r="B53" s="39">
        <v>3</v>
      </c>
      <c r="C53" s="40" t="s">
        <v>44</v>
      </c>
      <c r="D53" s="41" t="s">
        <v>45</v>
      </c>
      <c r="E53" s="106"/>
      <c r="F53" s="106"/>
      <c r="G53" s="64" t="s">
        <v>46</v>
      </c>
      <c r="H53" s="77" t="s">
        <v>31</v>
      </c>
      <c r="I53" s="45">
        <v>23</v>
      </c>
      <c r="J53" s="42">
        <v>1</v>
      </c>
      <c r="K53" s="44">
        <f t="shared" si="8"/>
        <v>4.3478260869565216E-2</v>
      </c>
      <c r="L53" s="45">
        <f t="shared" si="9"/>
        <v>1</v>
      </c>
      <c r="M53" s="54">
        <f t="shared" si="11"/>
        <v>4.3478260869565216E-2</v>
      </c>
      <c r="P53" s="8"/>
      <c r="R53" s="8"/>
    </row>
    <row r="54" spans="2:18" x14ac:dyDescent="0.3">
      <c r="B54" s="39">
        <v>3</v>
      </c>
      <c r="C54" s="40" t="s">
        <v>47</v>
      </c>
      <c r="D54" s="41" t="s">
        <v>115</v>
      </c>
      <c r="E54" s="106"/>
      <c r="F54" s="106"/>
      <c r="G54" s="64" t="s">
        <v>46</v>
      </c>
      <c r="H54" s="77" t="s">
        <v>31</v>
      </c>
      <c r="I54" s="45">
        <v>23</v>
      </c>
      <c r="J54" s="42">
        <v>2</v>
      </c>
      <c r="K54" s="44">
        <f t="shared" si="8"/>
        <v>8.6956521739130432E-2</v>
      </c>
      <c r="L54" s="45">
        <f t="shared" si="9"/>
        <v>2</v>
      </c>
      <c r="M54" s="54">
        <f t="shared" si="11"/>
        <v>8.6956521739130432E-2</v>
      </c>
    </row>
    <row r="55" spans="2:18" x14ac:dyDescent="0.3">
      <c r="B55" s="39">
        <v>5</v>
      </c>
      <c r="C55" s="40" t="s">
        <v>48</v>
      </c>
      <c r="D55" s="41" t="s">
        <v>116</v>
      </c>
      <c r="E55" s="106"/>
      <c r="F55" s="106"/>
      <c r="G55" s="64" t="s">
        <v>43</v>
      </c>
      <c r="H55" s="77" t="s">
        <v>31</v>
      </c>
      <c r="I55" s="45">
        <v>23</v>
      </c>
      <c r="J55" s="42">
        <v>2</v>
      </c>
      <c r="K55" s="44">
        <f t="shared" si="8"/>
        <v>8.6956521739130432E-2</v>
      </c>
      <c r="L55" s="45">
        <f t="shared" si="9"/>
        <v>2</v>
      </c>
      <c r="M55" s="54">
        <f t="shared" si="11"/>
        <v>8.6956521739130432E-2</v>
      </c>
    </row>
    <row r="56" spans="2:18" x14ac:dyDescent="0.3">
      <c r="B56" s="39">
        <v>5</v>
      </c>
      <c r="C56" s="40" t="s">
        <v>49</v>
      </c>
      <c r="D56" s="41" t="s">
        <v>50</v>
      </c>
      <c r="E56" s="106"/>
      <c r="F56" s="106"/>
      <c r="G56" s="64" t="s">
        <v>46</v>
      </c>
      <c r="H56" s="77" t="s">
        <v>31</v>
      </c>
      <c r="I56" s="45">
        <v>22</v>
      </c>
      <c r="J56" s="42">
        <v>1</v>
      </c>
      <c r="K56" s="44">
        <f t="shared" si="8"/>
        <v>4.5454545454545456E-2</v>
      </c>
      <c r="L56" s="45">
        <f t="shared" si="9"/>
        <v>1</v>
      </c>
      <c r="M56" s="54">
        <f t="shared" si="11"/>
        <v>4.5454545454545456E-2</v>
      </c>
    </row>
    <row r="57" spans="2:18" x14ac:dyDescent="0.3">
      <c r="B57" s="39">
        <v>5</v>
      </c>
      <c r="C57" s="40" t="s">
        <v>51</v>
      </c>
      <c r="D57" s="41" t="s">
        <v>135</v>
      </c>
      <c r="E57" s="106"/>
      <c r="F57" s="106"/>
      <c r="G57" s="64" t="s">
        <v>46</v>
      </c>
      <c r="H57" s="77" t="s">
        <v>31</v>
      </c>
      <c r="I57" s="45">
        <v>22</v>
      </c>
      <c r="J57" s="42">
        <v>2</v>
      </c>
      <c r="K57" s="44">
        <f t="shared" si="8"/>
        <v>9.0909090909090912E-2</v>
      </c>
      <c r="L57" s="45">
        <f t="shared" si="9"/>
        <v>2</v>
      </c>
      <c r="M57" s="54">
        <f>IFERROR(L57/I57,0)</f>
        <v>9.0909090909090912E-2</v>
      </c>
    </row>
    <row r="58" spans="2:18" x14ac:dyDescent="0.3">
      <c r="B58" s="39">
        <v>5</v>
      </c>
      <c r="C58" s="40" t="s">
        <v>52</v>
      </c>
      <c r="D58" s="41" t="s">
        <v>136</v>
      </c>
      <c r="E58" s="106"/>
      <c r="F58" s="106"/>
      <c r="G58" s="64" t="s">
        <v>46</v>
      </c>
      <c r="H58" s="77" t="s">
        <v>31</v>
      </c>
      <c r="I58" s="45">
        <v>22</v>
      </c>
      <c r="J58" s="42">
        <v>2</v>
      </c>
      <c r="K58" s="44">
        <f t="shared" si="8"/>
        <v>9.0909090909090912E-2</v>
      </c>
      <c r="L58" s="45">
        <f t="shared" si="9"/>
        <v>2</v>
      </c>
      <c r="M58" s="54">
        <f>IFERROR(L58/I58,0)</f>
        <v>9.0909090909090912E-2</v>
      </c>
    </row>
    <row r="59" spans="2:18" x14ac:dyDescent="0.3">
      <c r="B59" s="39">
        <v>5</v>
      </c>
      <c r="C59" s="40" t="s">
        <v>53</v>
      </c>
      <c r="D59" s="41" t="s">
        <v>117</v>
      </c>
      <c r="E59" s="106"/>
      <c r="F59" s="106"/>
      <c r="G59" s="64" t="s">
        <v>46</v>
      </c>
      <c r="H59" s="77" t="s">
        <v>31</v>
      </c>
      <c r="I59" s="45">
        <v>22</v>
      </c>
      <c r="J59" s="42">
        <v>2</v>
      </c>
      <c r="K59" s="44">
        <f t="shared" si="8"/>
        <v>9.0909090909090912E-2</v>
      </c>
      <c r="L59" s="45">
        <f t="shared" si="9"/>
        <v>2</v>
      </c>
      <c r="M59" s="54">
        <f>IFERROR(L59/I59,0)</f>
        <v>9.0909090909090912E-2</v>
      </c>
    </row>
    <row r="60" spans="2:18" x14ac:dyDescent="0.3">
      <c r="B60" s="46">
        <v>8</v>
      </c>
      <c r="C60" s="47" t="s">
        <v>59</v>
      </c>
      <c r="D60" s="48" t="s">
        <v>98</v>
      </c>
      <c r="E60" s="107"/>
      <c r="F60" s="107"/>
      <c r="G60" s="65" t="s">
        <v>60</v>
      </c>
      <c r="H60" s="78" t="s">
        <v>31</v>
      </c>
      <c r="I60" s="52">
        <v>22</v>
      </c>
      <c r="J60" s="49">
        <v>1</v>
      </c>
      <c r="K60" s="51">
        <f t="shared" si="8"/>
        <v>4.5454545454545456E-2</v>
      </c>
      <c r="L60" s="52">
        <f t="shared" si="9"/>
        <v>1</v>
      </c>
      <c r="M60" s="55">
        <f t="shared" ref="M60" si="12">IFERROR(L60/I60,0)</f>
        <v>4.5454545454545456E-2</v>
      </c>
    </row>
    <row r="61" spans="2:18" s="5" customFormat="1" x14ac:dyDescent="0.3">
      <c r="B61" s="4"/>
      <c r="C61" s="4"/>
      <c r="D61" s="4"/>
      <c r="E61" s="4"/>
      <c r="F61" s="4"/>
      <c r="G61" s="4"/>
      <c r="H61" s="60"/>
      <c r="I61" s="98" t="s">
        <v>32</v>
      </c>
      <c r="J61" s="98"/>
      <c r="K61" s="98"/>
      <c r="L61" s="99"/>
      <c r="M61" s="98"/>
      <c r="P61"/>
      <c r="R61"/>
    </row>
    <row r="62" spans="2:18" s="5" customFormat="1" x14ac:dyDescent="0.3">
      <c r="B62" s="4"/>
      <c r="C62" s="4"/>
      <c r="I62" s="62">
        <f>+SUM(I13:I60)</f>
        <v>2205</v>
      </c>
      <c r="J62" s="62">
        <f>+SUM(J13:J60)</f>
        <v>150</v>
      </c>
      <c r="K62" s="9">
        <f>IFERROR(J62/I62,0)</f>
        <v>6.8027210884353748E-2</v>
      </c>
      <c r="L62" s="62">
        <f>+SUM(L13:L60)</f>
        <v>150</v>
      </c>
      <c r="M62" s="9">
        <f>IFERROR(L62/I62,0)</f>
        <v>6.8027210884353748E-2</v>
      </c>
      <c r="P62"/>
      <c r="R62"/>
    </row>
    <row r="63" spans="2:18" s="5" customFormat="1" x14ac:dyDescent="0.3">
      <c r="B63" s="4"/>
      <c r="C63" s="4"/>
      <c r="J63" s="15"/>
      <c r="K63" s="16"/>
      <c r="L63" s="17"/>
      <c r="M63" s="16"/>
      <c r="P63"/>
      <c r="R63"/>
    </row>
    <row r="64" spans="2:18" s="5" customFormat="1" x14ac:dyDescent="0.3">
      <c r="B64" s="4"/>
      <c r="C64" s="4"/>
      <c r="J64" s="15"/>
      <c r="K64" s="16"/>
      <c r="L64" s="17"/>
      <c r="M64" s="16"/>
      <c r="P64"/>
      <c r="R64"/>
    </row>
    <row r="65" spans="2:18" s="28" customFormat="1" ht="151.80000000000001" customHeight="1" x14ac:dyDescent="0.3">
      <c r="B65" s="88" t="s">
        <v>33</v>
      </c>
      <c r="C65" s="89"/>
      <c r="D65" s="92" t="s">
        <v>158</v>
      </c>
      <c r="E65" s="93"/>
      <c r="F65" s="93"/>
      <c r="G65" s="93"/>
      <c r="H65" s="93"/>
      <c r="I65" s="93"/>
      <c r="J65" s="93"/>
      <c r="K65" s="93"/>
      <c r="L65" s="93"/>
      <c r="M65" s="94"/>
      <c r="P65" s="27"/>
      <c r="R65" s="27"/>
    </row>
    <row r="66" spans="2:18" s="28" customFormat="1" ht="72.599999999999994" customHeight="1" x14ac:dyDescent="0.3">
      <c r="B66" s="90"/>
      <c r="C66" s="91"/>
      <c r="D66" s="95" t="s">
        <v>146</v>
      </c>
      <c r="E66" s="96"/>
      <c r="F66" s="96"/>
      <c r="G66" s="93"/>
      <c r="H66" s="93"/>
      <c r="I66" s="93"/>
      <c r="J66" s="93"/>
      <c r="K66" s="93"/>
      <c r="L66" s="93"/>
      <c r="M66" s="94"/>
      <c r="P66" s="27"/>
      <c r="R66" s="27"/>
    </row>
    <row r="67" spans="2:18" s="28" customFormat="1" ht="97.95" customHeight="1" x14ac:dyDescent="0.3">
      <c r="B67" s="90"/>
      <c r="C67" s="91"/>
      <c r="D67" s="92" t="s">
        <v>147</v>
      </c>
      <c r="E67" s="93"/>
      <c r="F67" s="93"/>
      <c r="G67" s="93"/>
      <c r="H67" s="93"/>
      <c r="I67" s="93"/>
      <c r="J67" s="93"/>
      <c r="K67" s="93"/>
      <c r="L67" s="93"/>
      <c r="M67" s="94"/>
      <c r="P67" s="27"/>
      <c r="R67" s="27"/>
    </row>
    <row r="68" spans="2:18" s="29" customFormat="1" ht="85.95" customHeight="1" x14ac:dyDescent="0.3">
      <c r="B68" s="90"/>
      <c r="C68" s="91"/>
      <c r="D68" s="92" t="s">
        <v>148</v>
      </c>
      <c r="E68" s="93"/>
      <c r="F68" s="93"/>
      <c r="G68" s="93"/>
      <c r="H68" s="93"/>
      <c r="I68" s="93"/>
      <c r="J68" s="93"/>
      <c r="K68" s="93"/>
      <c r="L68" s="93"/>
      <c r="M68" s="94"/>
      <c r="P68" s="30"/>
      <c r="R68" s="30"/>
    </row>
    <row r="69" spans="2:18" x14ac:dyDescent="0.3">
      <c r="B69" s="97" t="s">
        <v>35</v>
      </c>
      <c r="C69" s="97"/>
      <c r="D69" s="97"/>
      <c r="E69" s="97"/>
      <c r="F69" s="97"/>
      <c r="G69" s="97"/>
      <c r="H69" s="97"/>
      <c r="I69" s="97"/>
      <c r="J69" s="97"/>
      <c r="K69" s="97"/>
      <c r="L69" s="97"/>
      <c r="M69" s="97"/>
    </row>
    <row r="70" spans="2:18" x14ac:dyDescent="0.3">
      <c r="B70" s="97"/>
      <c r="C70" s="97"/>
      <c r="D70" s="97"/>
      <c r="E70" s="97"/>
      <c r="F70" s="97"/>
      <c r="G70" s="97"/>
      <c r="H70" s="97"/>
      <c r="I70" s="97"/>
      <c r="J70" s="97"/>
      <c r="K70" s="97"/>
      <c r="L70" s="97"/>
      <c r="M70" s="97"/>
    </row>
    <row r="71" spans="2:18" x14ac:dyDescent="0.3">
      <c r="B71" s="10" t="s">
        <v>36</v>
      </c>
      <c r="C71" s="11"/>
      <c r="D71" s="11"/>
      <c r="E71" s="11"/>
      <c r="F71" s="11"/>
      <c r="G71" s="11"/>
      <c r="H71" s="11"/>
      <c r="I71" s="11"/>
      <c r="J71" s="11"/>
      <c r="K71" s="11"/>
      <c r="L71" s="11"/>
      <c r="M71" s="12"/>
    </row>
    <row r="72" spans="2:18" ht="24.6" x14ac:dyDescent="0.4">
      <c r="B72" s="13" t="s">
        <v>37</v>
      </c>
      <c r="C72" s="14"/>
      <c r="D72" s="82" t="s">
        <v>34</v>
      </c>
      <c r="E72" s="82"/>
      <c r="F72" s="82"/>
      <c r="G72" s="82"/>
      <c r="H72" s="82"/>
      <c r="I72" s="82"/>
      <c r="J72" s="82"/>
      <c r="K72" s="82"/>
      <c r="L72" s="82"/>
      <c r="M72" s="82"/>
    </row>
    <row r="73" spans="2:18" ht="24.6" x14ac:dyDescent="0.4">
      <c r="B73" s="13" t="s">
        <v>38</v>
      </c>
      <c r="C73" s="14"/>
      <c r="D73" s="82"/>
      <c r="E73" s="82"/>
      <c r="F73" s="82"/>
      <c r="G73" s="82"/>
      <c r="H73" s="82"/>
      <c r="I73" s="82"/>
      <c r="J73" s="82"/>
      <c r="K73" s="82"/>
      <c r="L73" s="82"/>
      <c r="M73" s="82"/>
    </row>
    <row r="74" spans="2:18" x14ac:dyDescent="0.3">
      <c r="B74" s="87" t="s">
        <v>35</v>
      </c>
      <c r="C74" s="87"/>
      <c r="D74" s="87"/>
      <c r="E74" s="87"/>
      <c r="F74" s="87"/>
      <c r="G74" s="87"/>
      <c r="H74" s="87"/>
      <c r="I74" s="87"/>
      <c r="J74" s="87"/>
      <c r="K74" s="87"/>
      <c r="L74" s="87"/>
      <c r="M74" s="87"/>
    </row>
    <row r="75" spans="2:18" x14ac:dyDescent="0.3">
      <c r="B75" s="87"/>
      <c r="C75" s="87"/>
      <c r="D75" s="87"/>
      <c r="E75" s="87"/>
      <c r="F75" s="87"/>
      <c r="G75" s="87"/>
      <c r="H75" s="87"/>
      <c r="I75" s="87"/>
      <c r="J75" s="87"/>
      <c r="K75" s="87"/>
      <c r="L75" s="87"/>
      <c r="M75" s="87"/>
    </row>
    <row r="76" spans="2:18" x14ac:dyDescent="0.3">
      <c r="B76" s="10" t="s">
        <v>39</v>
      </c>
      <c r="C76" s="11"/>
      <c r="D76" s="11"/>
      <c r="E76" s="11"/>
      <c r="F76" s="11"/>
      <c r="G76" s="11"/>
      <c r="H76" s="11"/>
      <c r="I76" s="11"/>
      <c r="J76" s="11"/>
      <c r="K76" s="11"/>
      <c r="L76" s="11"/>
      <c r="M76" s="12"/>
    </row>
    <row r="77" spans="2:18" ht="24.6" x14ac:dyDescent="0.4">
      <c r="B77" s="13" t="s">
        <v>37</v>
      </c>
      <c r="C77" s="14"/>
      <c r="D77" s="82" t="s">
        <v>34</v>
      </c>
      <c r="E77" s="82"/>
      <c r="F77" s="82"/>
      <c r="G77" s="82"/>
      <c r="H77" s="82"/>
      <c r="I77" s="82"/>
      <c r="J77" s="82"/>
      <c r="K77" s="82"/>
      <c r="L77" s="82"/>
      <c r="M77" s="82"/>
    </row>
    <row r="78" spans="2:18" ht="24.6" x14ac:dyDescent="0.4">
      <c r="B78" s="13" t="s">
        <v>38</v>
      </c>
      <c r="C78" s="14"/>
      <c r="D78" s="82"/>
      <c r="E78" s="82"/>
      <c r="F78" s="82"/>
      <c r="G78" s="82"/>
      <c r="H78" s="82"/>
      <c r="I78" s="82"/>
      <c r="J78" s="82"/>
      <c r="K78" s="82"/>
      <c r="L78" s="82"/>
      <c r="M78" s="82"/>
    </row>
    <row r="81" spans="2:12" x14ac:dyDescent="0.3">
      <c r="B81" s="83"/>
      <c r="C81" s="83"/>
      <c r="D81" s="83"/>
      <c r="E81" s="80"/>
      <c r="F81" s="80"/>
      <c r="J81" s="83"/>
      <c r="K81" s="83"/>
      <c r="L81" s="83"/>
    </row>
    <row r="82" spans="2:12" ht="19.2" customHeight="1" x14ac:dyDescent="0.3">
      <c r="B82" s="4" t="s">
        <v>40</v>
      </c>
      <c r="C82" s="84"/>
      <c r="D82" s="84"/>
      <c r="E82" s="60"/>
      <c r="F82" s="60"/>
      <c r="J82" s="85" t="s">
        <v>155</v>
      </c>
      <c r="K82" s="86"/>
      <c r="L82" s="86"/>
    </row>
    <row r="109" spans="1:19" s="1" customFormat="1" x14ac:dyDescent="0.3">
      <c r="A109" t="s">
        <v>0</v>
      </c>
      <c r="N109" s="2"/>
      <c r="O109" s="2"/>
      <c r="P109"/>
      <c r="Q109" s="2"/>
      <c r="R109"/>
      <c r="S109" s="2"/>
    </row>
    <row r="110" spans="1:19" s="1" customFormat="1" x14ac:dyDescent="0.3">
      <c r="A110" t="s">
        <v>2</v>
      </c>
      <c r="N110" s="2"/>
      <c r="O110" s="2"/>
      <c r="P110"/>
      <c r="Q110" s="2"/>
      <c r="R110"/>
      <c r="S110" s="2"/>
    </row>
    <row r="111" spans="1:19" s="1" customFormat="1" x14ac:dyDescent="0.3">
      <c r="A111" t="s">
        <v>6</v>
      </c>
      <c r="N111" s="2"/>
      <c r="O111" s="2"/>
      <c r="P111"/>
      <c r="Q111" s="2"/>
      <c r="R111"/>
      <c r="S111" s="2"/>
    </row>
    <row r="112" spans="1:19" s="1" customFormat="1" x14ac:dyDescent="0.3">
      <c r="A112" t="s">
        <v>8</v>
      </c>
      <c r="N112" s="2"/>
      <c r="O112" s="2"/>
      <c r="P112"/>
      <c r="Q112" s="2"/>
      <c r="R112"/>
      <c r="S112" s="2"/>
    </row>
    <row r="113" spans="1:19" s="1" customFormat="1" x14ac:dyDescent="0.3">
      <c r="A113" t="s">
        <v>9</v>
      </c>
      <c r="N113" s="2"/>
      <c r="O113" s="2"/>
      <c r="P113"/>
      <c r="Q113" s="2"/>
      <c r="R113"/>
      <c r="S113" s="2"/>
    </row>
    <row r="114" spans="1:19" s="1" customFormat="1" x14ac:dyDescent="0.3">
      <c r="A114" t="s">
        <v>10</v>
      </c>
      <c r="B114" s="2"/>
      <c r="N114" s="2"/>
      <c r="O114" s="2"/>
      <c r="P114"/>
      <c r="Q114" s="2"/>
      <c r="R114"/>
      <c r="S114" s="2"/>
    </row>
    <row r="115" spans="1:19" s="1" customFormat="1" x14ac:dyDescent="0.3">
      <c r="A115" t="s">
        <v>11</v>
      </c>
      <c r="B115" s="2"/>
      <c r="N115" s="2"/>
      <c r="O115" s="2"/>
      <c r="P115"/>
      <c r="Q115" s="2"/>
      <c r="R115"/>
      <c r="S115" s="2"/>
    </row>
    <row r="116" spans="1:19" s="1" customFormat="1" x14ac:dyDescent="0.3">
      <c r="A116" t="s">
        <v>13</v>
      </c>
      <c r="B116" s="2"/>
      <c r="N116" s="2"/>
      <c r="O116" s="2"/>
      <c r="P116"/>
      <c r="Q116" s="2"/>
      <c r="R116"/>
      <c r="S116" s="2"/>
    </row>
    <row r="117" spans="1:19" s="1" customFormat="1" x14ac:dyDescent="0.3">
      <c r="A117" t="s">
        <v>14</v>
      </c>
      <c r="B117" s="5"/>
      <c r="N117" s="2"/>
      <c r="O117" s="2"/>
      <c r="P117"/>
      <c r="Q117" s="2"/>
      <c r="R117"/>
      <c r="S117" s="2"/>
    </row>
    <row r="118" spans="1:19" s="1" customFormat="1" x14ac:dyDescent="0.3">
      <c r="A118" t="s">
        <v>16</v>
      </c>
      <c r="B118" s="2"/>
      <c r="N118" s="2"/>
      <c r="O118" s="2"/>
      <c r="P118"/>
      <c r="Q118" s="2"/>
      <c r="R118"/>
      <c r="S118" s="2"/>
    </row>
    <row r="119" spans="1:19" s="1" customFormat="1" x14ac:dyDescent="0.3">
      <c r="A119" t="s">
        <v>17</v>
      </c>
      <c r="B119" s="5"/>
      <c r="N119" s="2"/>
      <c r="O119" s="2"/>
      <c r="P119"/>
      <c r="Q119" s="2"/>
      <c r="R119"/>
      <c r="S119" s="2"/>
    </row>
    <row r="120" spans="1:19" s="1" customFormat="1" x14ac:dyDescent="0.3">
      <c r="A120" t="s">
        <v>21</v>
      </c>
      <c r="B120" s="5"/>
      <c r="N120" s="2"/>
      <c r="O120" s="2"/>
      <c r="P120"/>
      <c r="Q120" s="2"/>
      <c r="R120"/>
      <c r="S120" s="2"/>
    </row>
    <row r="121" spans="1:19" s="1" customFormat="1" x14ac:dyDescent="0.3">
      <c r="A121" t="s">
        <v>30</v>
      </c>
      <c r="B121" s="5"/>
      <c r="N121" s="2"/>
      <c r="O121" s="2"/>
      <c r="P121"/>
      <c r="Q121" s="2"/>
      <c r="R121"/>
      <c r="S121" s="2"/>
    </row>
    <row r="122" spans="1:19" x14ac:dyDescent="0.3">
      <c r="B122" s="5"/>
    </row>
    <row r="123" spans="1:19" x14ac:dyDescent="0.3">
      <c r="B123" s="5"/>
    </row>
    <row r="124" spans="1:19" s="1" customFormat="1" x14ac:dyDescent="0.3">
      <c r="B124" s="2"/>
      <c r="N124" s="2"/>
      <c r="O124" s="2"/>
      <c r="P124"/>
      <c r="Q124" s="2"/>
      <c r="R124"/>
    </row>
    <row r="125" spans="1:19" s="1" customFormat="1" x14ac:dyDescent="0.3">
      <c r="B125" s="2"/>
      <c r="N125" s="2"/>
      <c r="O125" s="2"/>
      <c r="P125"/>
      <c r="Q125" s="2"/>
      <c r="R125"/>
    </row>
    <row r="126" spans="1:19" s="1" customFormat="1" x14ac:dyDescent="0.3">
      <c r="B126" s="2"/>
      <c r="N126" s="2"/>
      <c r="O126" s="2"/>
      <c r="P126"/>
      <c r="Q126" s="2"/>
      <c r="R126"/>
    </row>
  </sheetData>
  <sheetProtection formatCells="0" formatColumns="0" formatRows="0" insertColumns="0" insertRows="0" insertHyperlinks="0" deleteColumns="0" deleteRows="0" sort="0" autoFilter="0" pivotTables="0"/>
  <autoFilter ref="B12:M62" xr:uid="{00000000-0009-0000-0000-000000000000}"/>
  <mergeCells count="42">
    <mergeCell ref="I61:M61"/>
    <mergeCell ref="B2:M2"/>
    <mergeCell ref="B3:D3"/>
    <mergeCell ref="G3:J3"/>
    <mergeCell ref="K3:M3"/>
    <mergeCell ref="B5:C5"/>
    <mergeCell ref="B7:C7"/>
    <mergeCell ref="B9:C9"/>
    <mergeCell ref="B11:I11"/>
    <mergeCell ref="J11:K11"/>
    <mergeCell ref="L11:M11"/>
    <mergeCell ref="F13:F21"/>
    <mergeCell ref="F33:F38"/>
    <mergeCell ref="F51:F60"/>
    <mergeCell ref="F27:F32"/>
    <mergeCell ref="E13:E21"/>
    <mergeCell ref="B74:M75"/>
    <mergeCell ref="B65:C68"/>
    <mergeCell ref="D65:M65"/>
    <mergeCell ref="D66:M66"/>
    <mergeCell ref="D67:M67"/>
    <mergeCell ref="D68:M68"/>
    <mergeCell ref="B69:M70"/>
    <mergeCell ref="D72:M73"/>
    <mergeCell ref="D77:M78"/>
    <mergeCell ref="B81:D81"/>
    <mergeCell ref="J81:L81"/>
    <mergeCell ref="C82:D82"/>
    <mergeCell ref="J82:L82"/>
    <mergeCell ref="F48:F49"/>
    <mergeCell ref="F22:F26"/>
    <mergeCell ref="E51:E60"/>
    <mergeCell ref="E33:E38"/>
    <mergeCell ref="E39:E41"/>
    <mergeCell ref="E42:E44"/>
    <mergeCell ref="E45:E47"/>
    <mergeCell ref="E48:E49"/>
    <mergeCell ref="E22:E26"/>
    <mergeCell ref="E27:E32"/>
    <mergeCell ref="F45:F47"/>
    <mergeCell ref="F42:F44"/>
    <mergeCell ref="F39:F41"/>
  </mergeCells>
  <conditionalFormatting sqref="M13:M33">
    <cfRule type="cellIs" dxfId="3" priority="1" operator="equal">
      <formula>1</formula>
    </cfRule>
    <cfRule type="cellIs" dxfId="2" priority="2" operator="greaterThan">
      <formula>1</formula>
    </cfRule>
  </conditionalFormatting>
  <conditionalFormatting sqref="M37:M60">
    <cfRule type="cellIs" dxfId="1" priority="5" operator="equal">
      <formula>1</formula>
    </cfRule>
    <cfRule type="cellIs" dxfId="0" priority="6" operator="greaterThan">
      <formula>1</formula>
    </cfRule>
  </conditionalFormatting>
  <dataValidations count="3">
    <dataValidation type="list" allowBlank="1" showInputMessage="1" showErrorMessage="1" sqref="D7" xr:uid="{00000000-0002-0000-0000-000000000000}">
      <formula1>$A$110:$A$121</formula1>
    </dataValidation>
    <dataValidation type="whole" allowBlank="1" showInputMessage="1" showErrorMessage="1" errorTitle="¡Error!" error="Introduzca un número válido." promptTitle="¡Atención!" prompt="Introduzca un número entre 0 y 366" sqref="I27:J60 J20:J23 I13:I26" xr:uid="{00000000-0002-0000-0000-000001000000}">
      <formula1>0</formula1>
      <formula2>366</formula2>
    </dataValidation>
    <dataValidation type="whole" allowBlank="1" showInputMessage="1" showErrorMessage="1" errorTitle="¡Error!" error="Introduzca un número válido." promptTitle="¡Atención!" prompt="Introduzca un número entre 0 y 30" sqref="J13:J19 J24:J26" xr:uid="{00000000-0002-0000-0000-000002000000}">
      <formula1>0</formula1>
      <formula2>30</formula2>
    </dataValidation>
  </dataValidations>
  <pageMargins left="0.7" right="0.7" top="0.75" bottom="0.75" header="0.3" footer="0.3"/>
  <pageSetup scale="10"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ENERO 2026</vt:lpstr>
      <vt:lpstr>'ENERO 2026'!Área_de_impresión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 Meridian 0873</dc:creator>
  <cp:lastModifiedBy>Petroservicios Ocho</cp:lastModifiedBy>
  <dcterms:created xsi:type="dcterms:W3CDTF">2024-01-10T22:00:55Z</dcterms:created>
  <dcterms:modified xsi:type="dcterms:W3CDTF">2026-02-09T20:37:58Z</dcterms:modified>
</cp:coreProperties>
</file>