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ReportesEcopetrol\frontend\public\templates\"/>
    </mc:Choice>
  </mc:AlternateContent>
  <bookViews>
    <workbookView xWindow="0" yWindow="0" windowWidth="28800" windowHeight="11715"/>
  </bookViews>
  <sheets>
    <sheet name="ENERO" sheetId="1" r:id="rId1"/>
    <sheet name="FEBRERO" sheetId="2" r:id="rId2"/>
    <sheet name="MARZO" sheetId="13" r:id="rId3"/>
    <sheet name="ABRIL" sheetId="14" r:id="rId4"/>
    <sheet name="MAYO" sheetId="15" r:id="rId5"/>
    <sheet name="JUNIO" sheetId="16" r:id="rId6"/>
    <sheet name="JULIO" sheetId="17" r:id="rId7"/>
    <sheet name="AGOSTO" sheetId="18" r:id="rId8"/>
    <sheet name="SEPTIEMBRE" sheetId="19" r:id="rId9"/>
    <sheet name="OCTUBRE" sheetId="20" r:id="rId10"/>
    <sheet name="NOVIEMBRE" sheetId="21" r:id="rId11"/>
    <sheet name="DICIEMBRE" sheetId="22" r:id="rId12"/>
  </sheets>
  <definedNames>
    <definedName name="_xlnm.Print_Area" localSheetId="3">ABRIL!$A$1:$L$51</definedName>
    <definedName name="_xlnm.Print_Area" localSheetId="7">AGOSTO!$A$1:$L$51</definedName>
    <definedName name="_xlnm.Print_Area" localSheetId="11">DICIEMBRE!$A$1:$L$51</definedName>
    <definedName name="_xlnm.Print_Area" localSheetId="0">ENERO!$A$1:$L$51</definedName>
    <definedName name="_xlnm.Print_Area" localSheetId="1">FEBRERO!$A$1:$L$51</definedName>
    <definedName name="_xlnm.Print_Area" localSheetId="6">JULIO!$A$1:$L$51</definedName>
    <definedName name="_xlnm.Print_Area" localSheetId="5">JUNIO!$A$1:$L$51</definedName>
    <definedName name="_xlnm.Print_Area" localSheetId="2">MARZO!$A$1:$L$51</definedName>
    <definedName name="_xlnm.Print_Area" localSheetId="4">MAYO!$A$1:$L$51</definedName>
    <definedName name="_xlnm.Print_Area" localSheetId="10">NOVIEMBRE!$A$1:$L$51</definedName>
    <definedName name="_xlnm.Print_Area" localSheetId="9">OCTUBRE!$A$1:$L$51</definedName>
    <definedName name="_xlnm.Print_Area" localSheetId="8">SEPTIEMBRE!$A$1:$L$51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22" l="1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35" i="22" l="1"/>
  <c r="G35" i="21"/>
  <c r="G35" i="20"/>
  <c r="G35" i="19"/>
  <c r="G35" i="18"/>
  <c r="G35" i="17"/>
  <c r="G35" i="16"/>
  <c r="G35" i="15"/>
  <c r="G35" i="14"/>
  <c r="G35" i="13"/>
  <c r="G35" i="2"/>
  <c r="G35" i="1"/>
  <c r="H35" i="1" l="1"/>
  <c r="H35" i="20"/>
  <c r="H35" i="19"/>
  <c r="H35" i="16"/>
  <c r="H35" i="18"/>
  <c r="H35" i="17"/>
  <c r="J26" i="14"/>
  <c r="I23" i="22"/>
  <c r="I24" i="22"/>
  <c r="I22" i="22"/>
  <c r="I21" i="22"/>
  <c r="I20" i="22"/>
  <c r="I19" i="22"/>
  <c r="I18" i="22"/>
  <c r="I17" i="22"/>
  <c r="I16" i="22"/>
  <c r="H35" i="22"/>
  <c r="I21" i="21"/>
  <c r="I24" i="21"/>
  <c r="I23" i="21"/>
  <c r="I22" i="21"/>
  <c r="I20" i="21"/>
  <c r="I19" i="21"/>
  <c r="I18" i="21"/>
  <c r="I17" i="21"/>
  <c r="I16" i="21"/>
  <c r="H35" i="21"/>
  <c r="I26" i="20"/>
  <c r="I23" i="20"/>
  <c r="I22" i="20"/>
  <c r="I21" i="20"/>
  <c r="I20" i="20"/>
  <c r="I19" i="20"/>
  <c r="I18" i="20"/>
  <c r="I17" i="20"/>
  <c r="I16" i="20"/>
  <c r="I26" i="19"/>
  <c r="I23" i="19"/>
  <c r="I22" i="19"/>
  <c r="I21" i="19"/>
  <c r="I20" i="19"/>
  <c r="I19" i="19"/>
  <c r="I18" i="19"/>
  <c r="I17" i="19"/>
  <c r="I16" i="19"/>
  <c r="I26" i="18"/>
  <c r="I23" i="18"/>
  <c r="I22" i="18"/>
  <c r="I21" i="18"/>
  <c r="I20" i="18"/>
  <c r="I19" i="18"/>
  <c r="I18" i="18"/>
  <c r="I17" i="18"/>
  <c r="I16" i="18"/>
  <c r="I27" i="17"/>
  <c r="I23" i="17"/>
  <c r="I22" i="17"/>
  <c r="I21" i="17"/>
  <c r="I20" i="17"/>
  <c r="I19" i="17"/>
  <c r="I18" i="17"/>
  <c r="I17" i="17"/>
  <c r="I16" i="17"/>
  <c r="I26" i="16"/>
  <c r="I23" i="16"/>
  <c r="I22" i="16"/>
  <c r="I21" i="16"/>
  <c r="I20" i="16"/>
  <c r="I19" i="16"/>
  <c r="I18" i="16"/>
  <c r="I17" i="16"/>
  <c r="I16" i="16"/>
  <c r="J28" i="13"/>
  <c r="J28" i="14" s="1"/>
  <c r="J27" i="13"/>
  <c r="J27" i="14" s="1"/>
  <c r="J26" i="13"/>
  <c r="J33" i="2"/>
  <c r="J33" i="13" s="1"/>
  <c r="J33" i="14" s="1"/>
  <c r="J32" i="2"/>
  <c r="J32" i="13" s="1"/>
  <c r="J32" i="14" s="1"/>
  <c r="J31" i="2"/>
  <c r="J31" i="13" s="1"/>
  <c r="J31" i="14" s="1"/>
  <c r="J30" i="2"/>
  <c r="J30" i="13" s="1"/>
  <c r="J30" i="14" s="1"/>
  <c r="J29" i="2"/>
  <c r="J29" i="13" s="1"/>
  <c r="J29" i="14" s="1"/>
  <c r="J28" i="2"/>
  <c r="J27" i="2"/>
  <c r="J26" i="2"/>
  <c r="J25" i="2"/>
  <c r="J25" i="13" s="1"/>
  <c r="J25" i="14" s="1"/>
  <c r="J24" i="2"/>
  <c r="J24" i="13" s="1"/>
  <c r="J24" i="14" s="1"/>
  <c r="J23" i="2"/>
  <c r="J23" i="13" s="1"/>
  <c r="J23" i="14" s="1"/>
  <c r="J22" i="2"/>
  <c r="J22" i="13" s="1"/>
  <c r="J22" i="14" s="1"/>
  <c r="J21" i="2"/>
  <c r="K21" i="2" s="1"/>
  <c r="J20" i="2"/>
  <c r="J20" i="13" s="1"/>
  <c r="J20" i="14" s="1"/>
  <c r="J19" i="2"/>
  <c r="K19" i="2" s="1"/>
  <c r="J18" i="2"/>
  <c r="J17" i="2"/>
  <c r="J17" i="13" s="1"/>
  <c r="J17" i="14" s="1"/>
  <c r="J16" i="2"/>
  <c r="K16" i="2" s="1"/>
  <c r="J15" i="2"/>
  <c r="H35" i="15"/>
  <c r="I26" i="15"/>
  <c r="I25" i="15"/>
  <c r="I24" i="15"/>
  <c r="I23" i="15"/>
  <c r="I22" i="15"/>
  <c r="I21" i="15"/>
  <c r="I20" i="15"/>
  <c r="I19" i="15"/>
  <c r="I18" i="15"/>
  <c r="I17" i="15"/>
  <c r="I16" i="15"/>
  <c r="H35" i="14"/>
  <c r="I26" i="14"/>
  <c r="I25" i="14"/>
  <c r="I24" i="14"/>
  <c r="I23" i="14"/>
  <c r="I22" i="14"/>
  <c r="I21" i="14"/>
  <c r="I20" i="14"/>
  <c r="I19" i="14"/>
  <c r="I18" i="14"/>
  <c r="I17" i="14"/>
  <c r="I16" i="14"/>
  <c r="H35" i="2"/>
  <c r="H35" i="13"/>
  <c r="I25" i="13"/>
  <c r="I24" i="13"/>
  <c r="I23" i="13"/>
  <c r="I26" i="13"/>
  <c r="I22" i="13"/>
  <c r="I21" i="13"/>
  <c r="I20" i="13"/>
  <c r="I19" i="13"/>
  <c r="I18" i="13"/>
  <c r="I17" i="13"/>
  <c r="I16" i="13"/>
  <c r="I25" i="2"/>
  <c r="K24" i="2"/>
  <c r="I24" i="2"/>
  <c r="K23" i="2"/>
  <c r="I23" i="2"/>
  <c r="I22" i="2"/>
  <c r="I21" i="2"/>
  <c r="I20" i="2"/>
  <c r="I19" i="2"/>
  <c r="I18" i="2"/>
  <c r="I17" i="2"/>
  <c r="I16" i="2"/>
  <c r="J35" i="1"/>
  <c r="J23" i="1"/>
  <c r="K23" i="1" s="1"/>
  <c r="I23" i="1"/>
  <c r="K22" i="1"/>
  <c r="J22" i="1"/>
  <c r="I22" i="1"/>
  <c r="K21" i="1"/>
  <c r="J21" i="1"/>
  <c r="I21" i="1"/>
  <c r="K20" i="1"/>
  <c r="J20" i="1"/>
  <c r="I20" i="1"/>
  <c r="J19" i="1"/>
  <c r="K19" i="1" s="1"/>
  <c r="I19" i="1"/>
  <c r="J18" i="1"/>
  <c r="K18" i="1" s="1"/>
  <c r="I18" i="1"/>
  <c r="J17" i="1"/>
  <c r="K17" i="1" s="1"/>
  <c r="I17" i="1"/>
  <c r="J16" i="1"/>
  <c r="K16" i="1" s="1"/>
  <c r="I16" i="1"/>
  <c r="J15" i="1"/>
  <c r="K15" i="1" s="1"/>
  <c r="I15" i="1"/>
  <c r="J16" i="13" l="1"/>
  <c r="J16" i="14" s="1"/>
  <c r="J18" i="13"/>
  <c r="J18" i="14" s="1"/>
  <c r="J19" i="13"/>
  <c r="J19" i="14" s="1"/>
  <c r="J21" i="13"/>
  <c r="J21" i="14" s="1"/>
  <c r="K21" i="13"/>
  <c r="K18" i="13"/>
  <c r="K22" i="13"/>
  <c r="K17" i="13"/>
  <c r="K24" i="13"/>
  <c r="K18" i="2"/>
  <c r="K23" i="13"/>
  <c r="K20" i="14"/>
  <c r="K19" i="13"/>
  <c r="K16" i="14"/>
  <c r="J35" i="2"/>
  <c r="K22" i="2"/>
  <c r="K22" i="14"/>
  <c r="J22" i="15"/>
  <c r="J22" i="16" s="1"/>
  <c r="J22" i="17" s="1"/>
  <c r="J22" i="18" s="1"/>
  <c r="J22" i="19" s="1"/>
  <c r="J22" i="20" s="1"/>
  <c r="J22" i="21" s="1"/>
  <c r="J22" i="22" s="1"/>
  <c r="K26" i="13"/>
  <c r="K20" i="2"/>
  <c r="K25" i="2"/>
  <c r="K25" i="13"/>
  <c r="K17" i="2"/>
  <c r="I35" i="22"/>
  <c r="G34" i="22"/>
  <c r="I33" i="22"/>
  <c r="I32" i="22"/>
  <c r="I31" i="22"/>
  <c r="I30" i="22"/>
  <c r="I29" i="22"/>
  <c r="I28" i="22"/>
  <c r="I27" i="22"/>
  <c r="I26" i="22"/>
  <c r="I25" i="22"/>
  <c r="I15" i="22"/>
  <c r="I35" i="21"/>
  <c r="G34" i="21"/>
  <c r="I33" i="21"/>
  <c r="I32" i="21"/>
  <c r="I31" i="21"/>
  <c r="I30" i="21"/>
  <c r="I29" i="21"/>
  <c r="I28" i="21"/>
  <c r="I27" i="21"/>
  <c r="I26" i="21"/>
  <c r="I25" i="21"/>
  <c r="I15" i="21"/>
  <c r="I35" i="20"/>
  <c r="G34" i="20"/>
  <c r="I33" i="20"/>
  <c r="I32" i="20"/>
  <c r="I31" i="20"/>
  <c r="I30" i="20"/>
  <c r="I29" i="20"/>
  <c r="I28" i="20"/>
  <c r="I27" i="20"/>
  <c r="I25" i="20"/>
  <c r="I24" i="20"/>
  <c r="I15" i="20"/>
  <c r="I35" i="19"/>
  <c r="G34" i="19"/>
  <c r="I33" i="19"/>
  <c r="I32" i="19"/>
  <c r="I31" i="19"/>
  <c r="I30" i="19"/>
  <c r="I29" i="19"/>
  <c r="I28" i="19"/>
  <c r="I27" i="19"/>
  <c r="I25" i="19"/>
  <c r="I24" i="19"/>
  <c r="I15" i="19"/>
  <c r="G34" i="18"/>
  <c r="I33" i="18"/>
  <c r="I32" i="18"/>
  <c r="I31" i="18"/>
  <c r="I30" i="18"/>
  <c r="I29" i="18"/>
  <c r="I28" i="18"/>
  <c r="I27" i="18"/>
  <c r="I25" i="18"/>
  <c r="I24" i="18"/>
  <c r="I15" i="18"/>
  <c r="K16" i="13" l="1"/>
  <c r="K22" i="15"/>
  <c r="I35" i="18"/>
  <c r="K21" i="14"/>
  <c r="K24" i="14"/>
  <c r="J16" i="15"/>
  <c r="J16" i="16" s="1"/>
  <c r="J16" i="17" s="1"/>
  <c r="J16" i="18" s="1"/>
  <c r="J16" i="19" s="1"/>
  <c r="J16" i="20" s="1"/>
  <c r="J16" i="21" s="1"/>
  <c r="J16" i="22" s="1"/>
  <c r="J20" i="15"/>
  <c r="J20" i="16" s="1"/>
  <c r="J20" i="17" s="1"/>
  <c r="J20" i="18" s="1"/>
  <c r="J20" i="19" s="1"/>
  <c r="J20" i="20" s="1"/>
  <c r="J20" i="21" s="1"/>
  <c r="J20" i="22" s="1"/>
  <c r="K20" i="13"/>
  <c r="K26" i="14"/>
  <c r="J26" i="15"/>
  <c r="J26" i="16" s="1"/>
  <c r="J26" i="17" s="1"/>
  <c r="J26" i="18" s="1"/>
  <c r="J26" i="19" s="1"/>
  <c r="J26" i="20" s="1"/>
  <c r="J26" i="21" s="1"/>
  <c r="J26" i="22" s="1"/>
  <c r="K25" i="14"/>
  <c r="J25" i="15"/>
  <c r="J25" i="16" s="1"/>
  <c r="J25" i="17" s="1"/>
  <c r="J25" i="18" s="1"/>
  <c r="J25" i="19" s="1"/>
  <c r="J25" i="20" s="1"/>
  <c r="J25" i="21" s="1"/>
  <c r="J25" i="22" s="1"/>
  <c r="K23" i="14"/>
  <c r="J23" i="15"/>
  <c r="J23" i="16" s="1"/>
  <c r="J23" i="17" s="1"/>
  <c r="J23" i="18" s="1"/>
  <c r="J23" i="19" s="1"/>
  <c r="J23" i="20" s="1"/>
  <c r="J23" i="21" s="1"/>
  <c r="J23" i="22" s="1"/>
  <c r="K18" i="14"/>
  <c r="J18" i="15"/>
  <c r="J18" i="16" s="1"/>
  <c r="J18" i="17" s="1"/>
  <c r="J18" i="18" s="1"/>
  <c r="J18" i="19" s="1"/>
  <c r="J18" i="20" s="1"/>
  <c r="J18" i="21" s="1"/>
  <c r="J18" i="22" s="1"/>
  <c r="K19" i="14"/>
  <c r="J19" i="15"/>
  <c r="J19" i="16" s="1"/>
  <c r="J19" i="17" s="1"/>
  <c r="J19" i="18" s="1"/>
  <c r="J19" i="19" s="1"/>
  <c r="J19" i="20" s="1"/>
  <c r="J19" i="21" s="1"/>
  <c r="J19" i="22" s="1"/>
  <c r="J21" i="15"/>
  <c r="J21" i="16" s="1"/>
  <c r="J21" i="17" s="1"/>
  <c r="J21" i="18" s="1"/>
  <c r="J21" i="19" s="1"/>
  <c r="J21" i="20" s="1"/>
  <c r="J21" i="21" s="1"/>
  <c r="J21" i="22" s="1"/>
  <c r="G34" i="17"/>
  <c r="I33" i="17"/>
  <c r="I32" i="17"/>
  <c r="I31" i="17"/>
  <c r="I30" i="17"/>
  <c r="I29" i="17"/>
  <c r="I28" i="17"/>
  <c r="I26" i="17"/>
  <c r="I25" i="17"/>
  <c r="I24" i="17"/>
  <c r="I15" i="17"/>
  <c r="G34" i="16"/>
  <c r="I33" i="16"/>
  <c r="I32" i="16"/>
  <c r="I31" i="16"/>
  <c r="I30" i="16"/>
  <c r="I29" i="16"/>
  <c r="I28" i="16"/>
  <c r="I27" i="16"/>
  <c r="I25" i="16"/>
  <c r="I24" i="16"/>
  <c r="I15" i="16"/>
  <c r="I35" i="15"/>
  <c r="G34" i="15"/>
  <c r="I33" i="15"/>
  <c r="I32" i="15"/>
  <c r="I31" i="15"/>
  <c r="I30" i="15"/>
  <c r="I29" i="15"/>
  <c r="I28" i="15"/>
  <c r="I27" i="15"/>
  <c r="I15" i="15"/>
  <c r="I35" i="14"/>
  <c r="G34" i="14"/>
  <c r="I33" i="14"/>
  <c r="I32" i="14"/>
  <c r="I31" i="14"/>
  <c r="I30" i="14"/>
  <c r="I29" i="14"/>
  <c r="I28" i="14"/>
  <c r="I27" i="14"/>
  <c r="I15" i="14"/>
  <c r="G34" i="13"/>
  <c r="I33" i="13"/>
  <c r="I32" i="13"/>
  <c r="I31" i="13"/>
  <c r="I30" i="13"/>
  <c r="I29" i="13"/>
  <c r="I28" i="13"/>
  <c r="I27" i="13"/>
  <c r="I15" i="13"/>
  <c r="I35" i="2"/>
  <c r="G34" i="2"/>
  <c r="I33" i="2"/>
  <c r="I32" i="2"/>
  <c r="I31" i="2"/>
  <c r="I30" i="2"/>
  <c r="I29" i="2"/>
  <c r="I28" i="2"/>
  <c r="I27" i="2"/>
  <c r="I26" i="2"/>
  <c r="I15" i="2"/>
  <c r="J24" i="1"/>
  <c r="I24" i="1"/>
  <c r="J25" i="1"/>
  <c r="K25" i="1" s="1"/>
  <c r="I25" i="1"/>
  <c r="G34" i="1"/>
  <c r="J33" i="1"/>
  <c r="K33" i="1" s="1"/>
  <c r="I33" i="1"/>
  <c r="J32" i="1"/>
  <c r="K32" i="1" s="1"/>
  <c r="I32" i="1"/>
  <c r="J31" i="1"/>
  <c r="K31" i="1" s="1"/>
  <c r="I31" i="1"/>
  <c r="J30" i="1"/>
  <c r="K30" i="1" s="1"/>
  <c r="I30" i="1"/>
  <c r="J29" i="1"/>
  <c r="K29" i="1" s="1"/>
  <c r="I29" i="1"/>
  <c r="J28" i="1"/>
  <c r="K28" i="1" s="1"/>
  <c r="I28" i="1"/>
  <c r="J27" i="1"/>
  <c r="K27" i="1" s="1"/>
  <c r="I27" i="1"/>
  <c r="J26" i="1"/>
  <c r="K27" i="2" s="1"/>
  <c r="I26" i="1"/>
  <c r="K22" i="16" l="1"/>
  <c r="K20" i="15"/>
  <c r="K16" i="15"/>
  <c r="K25" i="15"/>
  <c r="K23" i="15"/>
  <c r="K21" i="15"/>
  <c r="K19" i="15"/>
  <c r="K26" i="15"/>
  <c r="K18" i="15"/>
  <c r="J24" i="15"/>
  <c r="J24" i="16" s="1"/>
  <c r="J24" i="17" s="1"/>
  <c r="J24" i="18" s="1"/>
  <c r="J24" i="19" s="1"/>
  <c r="J24" i="20" s="1"/>
  <c r="J24" i="21" s="1"/>
  <c r="J24" i="22" s="1"/>
  <c r="K17" i="14"/>
  <c r="J17" i="15"/>
  <c r="J17" i="16" s="1"/>
  <c r="J17" i="17" s="1"/>
  <c r="J17" i="18" s="1"/>
  <c r="J17" i="19" s="1"/>
  <c r="J17" i="20" s="1"/>
  <c r="J17" i="21" s="1"/>
  <c r="J17" i="22" s="1"/>
  <c r="J15" i="13"/>
  <c r="I35" i="17"/>
  <c r="I35" i="16"/>
  <c r="I35" i="13"/>
  <c r="K32" i="2"/>
  <c r="K24" i="1"/>
  <c r="K15" i="2"/>
  <c r="K35" i="1"/>
  <c r="I35" i="1"/>
  <c r="K26" i="1"/>
  <c r="K22" i="17" l="1"/>
  <c r="K26" i="16"/>
  <c r="K17" i="15"/>
  <c r="K24" i="15"/>
  <c r="K21" i="16"/>
  <c r="K19" i="16"/>
  <c r="K16" i="16"/>
  <c r="K20" i="16"/>
  <c r="K18" i="16"/>
  <c r="K23" i="16"/>
  <c r="J15" i="14"/>
  <c r="K15" i="14" s="1"/>
  <c r="K15" i="13"/>
  <c r="J33" i="15"/>
  <c r="J33" i="16" s="1"/>
  <c r="J33" i="17" s="1"/>
  <c r="J33" i="18" s="1"/>
  <c r="J33" i="19" s="1"/>
  <c r="J33" i="20" s="1"/>
  <c r="J33" i="21" s="1"/>
  <c r="J33" i="22" s="1"/>
  <c r="K30" i="2"/>
  <c r="K28" i="13"/>
  <c r="J28" i="15"/>
  <c r="J28" i="16" s="1"/>
  <c r="J28" i="17" s="1"/>
  <c r="J28" i="18" s="1"/>
  <c r="J28" i="19" s="1"/>
  <c r="J28" i="20" s="1"/>
  <c r="J28" i="21" s="1"/>
  <c r="J28" i="22" s="1"/>
  <c r="K29" i="2"/>
  <c r="K28" i="2"/>
  <c r="K26" i="2"/>
  <c r="K35" i="2"/>
  <c r="K31" i="2"/>
  <c r="K33" i="2"/>
  <c r="K17" i="16" l="1"/>
  <c r="K23" i="17"/>
  <c r="K26" i="18"/>
  <c r="K16" i="17"/>
  <c r="K19" i="17"/>
  <c r="K18" i="17"/>
  <c r="K21" i="17"/>
  <c r="K22" i="18"/>
  <c r="K20" i="17"/>
  <c r="K24" i="21"/>
  <c r="K24" i="22"/>
  <c r="J35" i="13"/>
  <c r="K35" i="13" s="1"/>
  <c r="J15" i="15"/>
  <c r="K33" i="13"/>
  <c r="K32" i="13"/>
  <c r="J32" i="15"/>
  <c r="J32" i="16" s="1"/>
  <c r="J32" i="17" s="1"/>
  <c r="J32" i="18" s="1"/>
  <c r="J32" i="19" s="1"/>
  <c r="J32" i="20" s="1"/>
  <c r="J32" i="21" s="1"/>
  <c r="J32" i="22" s="1"/>
  <c r="K33" i="14"/>
  <c r="K29" i="13"/>
  <c r="J29" i="15"/>
  <c r="J29" i="16" s="1"/>
  <c r="J29" i="17" s="1"/>
  <c r="J29" i="18" s="1"/>
  <c r="J29" i="19" s="1"/>
  <c r="J29" i="20" s="1"/>
  <c r="J29" i="21" s="1"/>
  <c r="J29" i="22" s="1"/>
  <c r="K31" i="13"/>
  <c r="J31" i="15"/>
  <c r="J31" i="16" s="1"/>
  <c r="J31" i="17" s="1"/>
  <c r="J31" i="18" s="1"/>
  <c r="J31" i="19" s="1"/>
  <c r="J31" i="20" s="1"/>
  <c r="J31" i="21" s="1"/>
  <c r="J31" i="22" s="1"/>
  <c r="K27" i="13"/>
  <c r="J27" i="15"/>
  <c r="J27" i="16" s="1"/>
  <c r="J27" i="17" s="1"/>
  <c r="J27" i="18" s="1"/>
  <c r="J27" i="19" s="1"/>
  <c r="J27" i="20" s="1"/>
  <c r="J27" i="21" s="1"/>
  <c r="J27" i="22" s="1"/>
  <c r="K30" i="13"/>
  <c r="J30" i="15"/>
  <c r="J30" i="16" s="1"/>
  <c r="J30" i="17" s="1"/>
  <c r="J30" i="18" s="1"/>
  <c r="J30" i="19" s="1"/>
  <c r="J30" i="20" s="1"/>
  <c r="J30" i="21" s="1"/>
  <c r="J30" i="22" s="1"/>
  <c r="K28" i="14"/>
  <c r="K27" i="17" l="1"/>
  <c r="K21" i="18"/>
  <c r="K18" i="18"/>
  <c r="K22" i="19"/>
  <c r="K26" i="19"/>
  <c r="K17" i="17"/>
  <c r="K20" i="18"/>
  <c r="K23" i="18"/>
  <c r="K19" i="18"/>
  <c r="K16" i="18"/>
  <c r="J35" i="14"/>
  <c r="K35" i="14" s="1"/>
  <c r="J15" i="16"/>
  <c r="K15" i="15"/>
  <c r="K27" i="14"/>
  <c r="J35" i="15"/>
  <c r="K32" i="14"/>
  <c r="K28" i="15"/>
  <c r="K31" i="14"/>
  <c r="K29" i="14"/>
  <c r="K30" i="14"/>
  <c r="K33" i="15"/>
  <c r="K26" i="20" l="1"/>
  <c r="K23" i="19"/>
  <c r="K19" i="19"/>
  <c r="K18" i="19"/>
  <c r="K20" i="19"/>
  <c r="K22" i="20"/>
  <c r="K17" i="18"/>
  <c r="K16" i="19"/>
  <c r="K21" i="19"/>
  <c r="K15" i="16"/>
  <c r="J15" i="17"/>
  <c r="J35" i="17" s="1"/>
  <c r="K31" i="15"/>
  <c r="K32" i="15"/>
  <c r="K30" i="15"/>
  <c r="K25" i="16"/>
  <c r="K29" i="15"/>
  <c r="K31" i="16"/>
  <c r="K35" i="15"/>
  <c r="K27" i="15"/>
  <c r="K16" i="20" l="1"/>
  <c r="K17" i="19"/>
  <c r="K19" i="20"/>
  <c r="K20" i="20"/>
  <c r="K18" i="20"/>
  <c r="K22" i="21"/>
  <c r="K22" i="22"/>
  <c r="K23" i="20"/>
  <c r="K21" i="20"/>
  <c r="J15" i="18"/>
  <c r="K15" i="17"/>
  <c r="K31" i="17"/>
  <c r="K32" i="16"/>
  <c r="K28" i="16"/>
  <c r="K30" i="16"/>
  <c r="K27" i="16"/>
  <c r="K25" i="17"/>
  <c r="J35" i="16"/>
  <c r="K35" i="16" s="1"/>
  <c r="K24" i="16"/>
  <c r="K29" i="16"/>
  <c r="K33" i="16"/>
  <c r="K16" i="21" l="1"/>
  <c r="K16" i="22"/>
  <c r="K21" i="22"/>
  <c r="K21" i="21"/>
  <c r="K20" i="22"/>
  <c r="K20" i="21"/>
  <c r="K19" i="21"/>
  <c r="K19" i="22"/>
  <c r="K23" i="22"/>
  <c r="K23" i="21"/>
  <c r="K17" i="20"/>
  <c r="K18" i="21"/>
  <c r="K18" i="22"/>
  <c r="K15" i="18"/>
  <c r="J15" i="19"/>
  <c r="J35" i="19" s="1"/>
  <c r="K30" i="17"/>
  <c r="K31" i="18"/>
  <c r="K24" i="17"/>
  <c r="K35" i="17"/>
  <c r="K28" i="17"/>
  <c r="K25" i="18"/>
  <c r="K33" i="17"/>
  <c r="K26" i="17"/>
  <c r="K32" i="17"/>
  <c r="K29" i="17"/>
  <c r="K17" i="21" l="1"/>
  <c r="K17" i="22"/>
  <c r="K15" i="19"/>
  <c r="J15" i="20"/>
  <c r="J35" i="20" s="1"/>
  <c r="K33" i="18"/>
  <c r="K24" i="18"/>
  <c r="J35" i="18"/>
  <c r="K35" i="18" s="1"/>
  <c r="K31" i="19"/>
  <c r="K27" i="18"/>
  <c r="K29" i="18"/>
  <c r="K32" i="18"/>
  <c r="K25" i="19"/>
  <c r="K28" i="18"/>
  <c r="K30" i="18"/>
  <c r="K15" i="20" l="1"/>
  <c r="J15" i="21"/>
  <c r="K29" i="19"/>
  <c r="K30" i="19"/>
  <c r="K27" i="19"/>
  <c r="K32" i="19"/>
  <c r="K28" i="19"/>
  <c r="K24" i="19"/>
  <c r="K35" i="19"/>
  <c r="K25" i="20"/>
  <c r="K31" i="20"/>
  <c r="K33" i="19"/>
  <c r="J15" i="22" l="1"/>
  <c r="K15" i="21"/>
  <c r="K28" i="20"/>
  <c r="K26" i="22"/>
  <c r="K26" i="21"/>
  <c r="K32" i="20"/>
  <c r="K27" i="20"/>
  <c r="K29" i="20"/>
  <c r="K24" i="20"/>
  <c r="K35" i="20"/>
  <c r="K33" i="20"/>
  <c r="K30" i="20"/>
  <c r="K31" i="21"/>
  <c r="K31" i="22"/>
  <c r="K15" i="22" l="1"/>
  <c r="J35" i="22"/>
  <c r="J35" i="21"/>
  <c r="K35" i="21" s="1"/>
  <c r="K33" i="21"/>
  <c r="K33" i="22"/>
  <c r="K27" i="21"/>
  <c r="K27" i="22"/>
  <c r="K29" i="22"/>
  <c r="K29" i="21"/>
  <c r="K30" i="22"/>
  <c r="K30" i="21"/>
  <c r="K32" i="22"/>
  <c r="K32" i="21"/>
  <c r="K25" i="21"/>
  <c r="K28" i="21"/>
  <c r="K28" i="22"/>
  <c r="K25" i="22" l="1"/>
  <c r="K35" i="22"/>
</calcChain>
</file>

<file path=xl/comments1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1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2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<sst xmlns="http://schemas.openxmlformats.org/spreadsheetml/2006/main" count="984" uniqueCount="44">
  <si>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</si>
  <si>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</si>
  <si>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</si>
  <si>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</si>
  <si>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</si>
  <si>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</si>
  <si>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</si>
  <si>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</si>
  <si>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</si>
  <si>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</si>
  <si>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Nombre del profesional (Reporta)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</si>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</sst>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1" fontId="2" fillId="0" borderId="15" xfId="0" applyNumberFormat="1" applyFont="1" applyBorder="1" applyAlignment="1" applyProtection="1">
      <alignment horizontal="center" vertical="center" wrapText="1"/>
    </xf>
    <xf numFmtId="1" fontId="2" fillId="0" borderId="16" xfId="0" applyNumberFormat="1" applyFont="1" applyBorder="1" applyAlignment="1" applyProtection="1">
      <alignment horizontal="center" vertical="center" wrapText="1"/>
    </xf>
    <xf numFmtId="1" fontId="2" fillId="0" borderId="17" xfId="0" applyNumberFormat="1" applyFont="1" applyBorder="1" applyAlignment="1" applyProtection="1">
      <alignment horizontal="center" vertical="center" wrapText="1"/>
    </xf>
    <xf numFmtId="0" fontId="2" fillId="0" borderId="0" xfId="0" applyFont="1" applyProtection="1"/>
    <xf numFmtId="0" fontId="3" fillId="0" borderId="0" xfId="0" applyFont="1" applyProtection="1"/>
    <xf numFmtId="0" fontId="0" fillId="0" borderId="0" xfId="0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4" fillId="2" borderId="8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2" fillId="0" borderId="9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2" fillId="0" borderId="10" xfId="0" applyFont="1" applyBorder="1" applyProtection="1"/>
    <xf numFmtId="0" fontId="2" fillId="0" borderId="9" xfId="0" applyFont="1" applyBorder="1" applyProtection="1"/>
    <xf numFmtId="0" fontId="2" fillId="0" borderId="10" xfId="0" applyFont="1" applyBorder="1" applyAlignment="1" applyProtection="1">
      <alignment vertical="center"/>
    </xf>
    <xf numFmtId="49" fontId="4" fillId="2" borderId="8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14" fontId="4" fillId="2" borderId="8" xfId="0" applyNumberFormat="1" applyFont="1" applyFill="1" applyBorder="1" applyAlignment="1" applyProtection="1">
      <alignment horizontal="center" vertical="center"/>
    </xf>
    <xf numFmtId="14" fontId="4" fillId="0" borderId="0" xfId="0" applyNumberFormat="1" applyFont="1" applyAlignment="1" applyProtection="1">
      <alignment horizontal="center" vertical="center"/>
    </xf>
    <xf numFmtId="0" fontId="2" fillId="0" borderId="11" xfId="0" applyFont="1" applyBorder="1" applyProtection="1"/>
    <xf numFmtId="0" fontId="2" fillId="0" borderId="12" xfId="0" applyFont="1" applyBorder="1" applyProtection="1"/>
    <xf numFmtId="0" fontId="2" fillId="0" borderId="13" xfId="0" applyFont="1" applyBorder="1" applyProtection="1"/>
    <xf numFmtId="0" fontId="2" fillId="2" borderId="8" xfId="0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9" fontId="2" fillId="0" borderId="1" xfId="1" applyFont="1" applyBorder="1" applyAlignment="1" applyProtection="1">
      <alignment horizontal="center" vertical="center" wrapText="1"/>
    </xf>
    <xf numFmtId="1" fontId="2" fillId="0" borderId="14" xfId="0" applyNumberFormat="1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9" fontId="2" fillId="0" borderId="15" xfId="1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left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9" fontId="2" fillId="0" borderId="20" xfId="1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2" fillId="0" borderId="17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left" vertical="center" wrapText="1"/>
    </xf>
    <xf numFmtId="0" fontId="2" fillId="3" borderId="17" xfId="0" applyFont="1" applyFill="1" applyBorder="1" applyAlignment="1" applyProtection="1">
      <alignment horizontal="center" vertical="center" wrapText="1"/>
    </xf>
    <xf numFmtId="9" fontId="2" fillId="0" borderId="17" xfId="1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/>
    </xf>
    <xf numFmtId="164" fontId="4" fillId="0" borderId="8" xfId="1" applyNumberFormat="1" applyFont="1" applyBorder="1" applyAlignment="1" applyProtection="1">
      <alignment horizontal="center" vertical="center"/>
    </xf>
    <xf numFmtId="1" fontId="4" fillId="0" borderId="8" xfId="0" applyNumberFormat="1" applyFont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4" borderId="4" xfId="0" applyFont="1" applyFill="1" applyBorder="1" applyAlignment="1" applyProtection="1">
      <alignment vertical="center"/>
    </xf>
    <xf numFmtId="0" fontId="2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/>
    </xf>
    <xf numFmtId="0" fontId="2" fillId="0" borderId="14" xfId="0" applyFont="1" applyBorder="1" applyAlignment="1" applyProtection="1">
      <alignment horizontal="left" vertical="center" wrapText="1"/>
    </xf>
    <xf numFmtId="9" fontId="2" fillId="0" borderId="14" xfId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left" vertical="center" wrapText="1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1" fontId="2" fillId="0" borderId="20" xfId="0" applyNumberFormat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left" vertical="center" wrapText="1"/>
    </xf>
    <xf numFmtId="0" fontId="2" fillId="3" borderId="16" xfId="0" applyFont="1" applyFill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 applyProtection="1">
      <alignment horizontal="left" vertical="top"/>
    </xf>
    <xf numFmtId="0" fontId="4" fillId="3" borderId="8" xfId="0" applyFont="1" applyFill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left" vertical="top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/>
    </xf>
  </cellXfs>
  <cellStyles count="2">
    <cellStyle name="Normal" xfId="0" builtinId="0"/>
    <cellStyle name="Porcentaje" xfId="1" builtinId="5"/>
  </cellStyles>
  <dxfs count="8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tabSelected="1" view="pageBreakPreview" zoomScaleNormal="100" zoomScaleSheetLayoutView="100" workbookViewId="0">
      <selection activeCell="F10" sqref="F10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68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75"/>
      <c r="E7" s="76"/>
      <c r="F7" s="76"/>
      <c r="G7" s="76"/>
      <c r="H7" s="76"/>
      <c r="I7" s="7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46053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67" t="s">
        <v>23</v>
      </c>
      <c r="C14" s="67" t="s">
        <v>24</v>
      </c>
      <c r="D14" s="67" t="s">
        <v>25</v>
      </c>
      <c r="E14" s="67" t="s">
        <v>26</v>
      </c>
      <c r="F14" s="67" t="s">
        <v>27</v>
      </c>
      <c r="G14" s="67" t="s">
        <v>28</v>
      </c>
      <c r="H14" s="67" t="s">
        <v>29</v>
      </c>
      <c r="I14" s="67" t="s">
        <v>30</v>
      </c>
      <c r="J14" s="67" t="s">
        <v>31</v>
      </c>
      <c r="K14" s="6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54" t="s">
        <v>33</v>
      </c>
      <c r="G15" s="29">
        <v>0</v>
      </c>
      <c r="H15" s="29"/>
      <c r="I15" s="53">
        <f t="shared" ref="I15:I23" si="0">IFERROR(H15/G15,0)</f>
        <v>0</v>
      </c>
      <c r="J15" s="31">
        <f>H15</f>
        <v>0</v>
      </c>
      <c r="K15" s="53">
        <f>IFERROR(J15/G15,0)</f>
        <v>0</v>
      </c>
    </row>
    <row r="16" spans="2:16" x14ac:dyDescent="0.25">
      <c r="B16" s="57"/>
      <c r="C16" s="33"/>
      <c r="D16" s="55"/>
      <c r="E16" s="63"/>
      <c r="F16" s="57" t="s">
        <v>33</v>
      </c>
      <c r="G16" s="56">
        <v>0</v>
      </c>
      <c r="H16" s="34"/>
      <c r="I16" s="38">
        <f t="shared" si="0"/>
        <v>0</v>
      </c>
      <c r="J16" s="58">
        <f>H16</f>
        <v>0</v>
      </c>
      <c r="K16" s="38">
        <f>IFERROR(J16/G16,0)</f>
        <v>0</v>
      </c>
    </row>
    <row r="17" spans="2:16" x14ac:dyDescent="0.25">
      <c r="B17" s="33"/>
      <c r="C17" s="33"/>
      <c r="D17" s="36"/>
      <c r="E17" s="63"/>
      <c r="F17" s="33" t="s">
        <v>33</v>
      </c>
      <c r="G17" s="34">
        <v>0</v>
      </c>
      <c r="H17" s="37"/>
      <c r="I17" s="38">
        <f t="shared" si="0"/>
        <v>0</v>
      </c>
      <c r="J17" s="2">
        <f>H17</f>
        <v>0</v>
      </c>
      <c r="K17" s="38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v>0</v>
      </c>
      <c r="H18" s="34"/>
      <c r="I18" s="35">
        <f t="shared" si="0"/>
        <v>0</v>
      </c>
      <c r="J18" s="1">
        <f t="shared" ref="J18:J23" si="1">H18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v>0</v>
      </c>
      <c r="H19" s="34"/>
      <c r="I19" s="35">
        <f t="shared" si="0"/>
        <v>0</v>
      </c>
      <c r="J19" s="1">
        <f t="shared" si="1"/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v>0</v>
      </c>
      <c r="H20" s="34"/>
      <c r="I20" s="35">
        <f t="shared" si="0"/>
        <v>0</v>
      </c>
      <c r="J20" s="1">
        <f t="shared" si="1"/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v>0</v>
      </c>
      <c r="H21" s="34"/>
      <c r="I21" s="35">
        <f t="shared" si="0"/>
        <v>0</v>
      </c>
      <c r="J21" s="1">
        <f t="shared" si="1"/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v>0</v>
      </c>
      <c r="H22" s="34"/>
      <c r="I22" s="35">
        <f t="shared" si="0"/>
        <v>0</v>
      </c>
      <c r="J22" s="1">
        <f t="shared" si="1"/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34">
        <v>0</v>
      </c>
      <c r="H23" s="34"/>
      <c r="I23" s="35">
        <f t="shared" si="0"/>
        <v>0</v>
      </c>
      <c r="J23" s="1">
        <f t="shared" si="1"/>
        <v>0</v>
      </c>
      <c r="K23" s="35">
        <f t="shared" si="2"/>
        <v>0</v>
      </c>
    </row>
    <row r="24" spans="2:16" x14ac:dyDescent="0.25">
      <c r="B24" s="59"/>
      <c r="C24" s="59"/>
      <c r="D24" s="60"/>
      <c r="E24" s="64"/>
      <c r="F24" s="59" t="s">
        <v>33</v>
      </c>
      <c r="G24" s="61">
        <v>0</v>
      </c>
      <c r="H24" s="61"/>
      <c r="I24" s="38">
        <f t="shared" ref="I24" si="3">IFERROR(H24/G24,0)</f>
        <v>0</v>
      </c>
      <c r="J24" s="58">
        <f>H24</f>
        <v>0</v>
      </c>
      <c r="K24" s="38">
        <f>IFERROR(J24/G24,0)</f>
        <v>0</v>
      </c>
    </row>
    <row r="25" spans="2:16" x14ac:dyDescent="0.25">
      <c r="B25" s="57"/>
      <c r="C25" s="33"/>
      <c r="D25" s="55"/>
      <c r="E25" s="63"/>
      <c r="F25" s="57" t="s">
        <v>33</v>
      </c>
      <c r="G25" s="56">
        <v>0</v>
      </c>
      <c r="H25" s="34"/>
      <c r="I25" s="38">
        <f t="shared" ref="I25" si="4">IFERROR(H25/G25,0)</f>
        <v>0</v>
      </c>
      <c r="J25" s="58">
        <f>H25</f>
        <v>0</v>
      </c>
      <c r="K25" s="38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34">
        <v>0</v>
      </c>
      <c r="H26" s="37"/>
      <c r="I26" s="38">
        <f t="shared" ref="I26:I33" si="5">IFERROR(H26/G26,0)</f>
        <v>0</v>
      </c>
      <c r="J26" s="2">
        <f>H26</f>
        <v>0</v>
      </c>
      <c r="K26" s="38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v>0</v>
      </c>
      <c r="H27" s="34"/>
      <c r="I27" s="35">
        <f t="shared" si="5"/>
        <v>0</v>
      </c>
      <c r="J27" s="1">
        <f t="shared" ref="J27:J33" si="6">H27</f>
        <v>0</v>
      </c>
      <c r="K27" s="35">
        <f t="shared" ref="K27:K33" si="7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v>0</v>
      </c>
      <c r="H28" s="34"/>
      <c r="I28" s="35">
        <f t="shared" si="5"/>
        <v>0</v>
      </c>
      <c r="J28" s="1">
        <f t="shared" si="6"/>
        <v>0</v>
      </c>
      <c r="K28" s="35">
        <f t="shared" si="7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v>0</v>
      </c>
      <c r="H29" s="34"/>
      <c r="I29" s="35">
        <f t="shared" si="5"/>
        <v>0</v>
      </c>
      <c r="J29" s="1">
        <f t="shared" si="6"/>
        <v>0</v>
      </c>
      <c r="K29" s="35">
        <f t="shared" si="7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v>0</v>
      </c>
      <c r="H30" s="34"/>
      <c r="I30" s="35">
        <f t="shared" si="5"/>
        <v>0</v>
      </c>
      <c r="J30" s="1">
        <f t="shared" si="6"/>
        <v>0</v>
      </c>
      <c r="K30" s="35">
        <f t="shared" si="7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v>0</v>
      </c>
      <c r="H31" s="34"/>
      <c r="I31" s="35">
        <f t="shared" si="5"/>
        <v>0</v>
      </c>
      <c r="J31" s="1">
        <f t="shared" si="6"/>
        <v>0</v>
      </c>
      <c r="K31" s="35">
        <f t="shared" si="7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v>0</v>
      </c>
      <c r="H32" s="34"/>
      <c r="I32" s="35">
        <f t="shared" si="5"/>
        <v>0</v>
      </c>
      <c r="J32" s="2">
        <f t="shared" si="6"/>
        <v>0</v>
      </c>
      <c r="K32" s="35">
        <f t="shared" si="7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v>0</v>
      </c>
      <c r="H33" s="42"/>
      <c r="I33" s="43">
        <f t="shared" si="5"/>
        <v>0</v>
      </c>
      <c r="J33" s="3">
        <f t="shared" si="6"/>
        <v>0</v>
      </c>
      <c r="K33" s="43">
        <f t="shared" si="7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ENERO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88" priority="7" operator="greaterThan">
      <formula>350</formula>
    </cfRule>
  </conditionalFormatting>
  <conditionalFormatting sqref="K26:K33">
    <cfRule type="cellIs" dxfId="87" priority="6" operator="greaterThan">
      <formula>1</formula>
    </cfRule>
  </conditionalFormatting>
  <conditionalFormatting sqref="K25">
    <cfRule type="cellIs" dxfId="86" priority="5" operator="greaterThan">
      <formula>1</formula>
    </cfRule>
  </conditionalFormatting>
  <conditionalFormatting sqref="K24">
    <cfRule type="cellIs" dxfId="85" priority="4" operator="greaterThan">
      <formula>1</formula>
    </cfRule>
  </conditionalFormatting>
  <conditionalFormatting sqref="K17:K23">
    <cfRule type="cellIs" dxfId="84" priority="3" operator="greaterThan">
      <formula>1</formula>
    </cfRule>
  </conditionalFormatting>
  <conditionalFormatting sqref="K16">
    <cfRule type="cellIs" dxfId="83" priority="2" operator="greaterThan">
      <formula>1</formula>
    </cfRule>
  </conditionalFormatting>
  <conditionalFormatting sqref="K15">
    <cfRule type="cellIs" dxfId="82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4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68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75"/>
      <c r="E7" s="76"/>
      <c r="F7" s="76"/>
      <c r="G7" s="76"/>
      <c r="H7" s="76"/>
      <c r="I7" s="7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6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46081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67" t="s">
        <v>23</v>
      </c>
      <c r="C14" s="67" t="s">
        <v>24</v>
      </c>
      <c r="D14" s="67" t="s">
        <v>25</v>
      </c>
      <c r="E14" s="67" t="s">
        <v>26</v>
      </c>
      <c r="F14" s="67" t="s">
        <v>27</v>
      </c>
      <c r="G14" s="67" t="s">
        <v>28</v>
      </c>
      <c r="H14" s="67" t="s">
        <v>29</v>
      </c>
      <c r="I14" s="67" t="s">
        <v>30</v>
      </c>
      <c r="J14" s="67" t="s">
        <v>31</v>
      </c>
      <c r="K14" s="67" t="s">
        <v>30</v>
      </c>
      <c r="P14" s="6" t="s">
        <v>32</v>
      </c>
    </row>
    <row r="15" spans="2:16" x14ac:dyDescent="0.25">
      <c r="B15" s="54"/>
      <c r="C15" s="54"/>
      <c r="D15" s="52"/>
      <c r="E15" s="63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H15+ENERO!J15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5" si="1">IFERROR(H16/G16,0)</f>
        <v>0</v>
      </c>
      <c r="J16" s="1">
        <f>H16+ENERO!J16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H17+ENERO!J17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H18+ENERO!J18</f>
        <v>0</v>
      </c>
      <c r="K18" s="35">
        <f t="shared" ref="K18:K22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H19+ENERO!J19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H20+ENERO!J20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H21+ENERO!J21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H22+ENERO!J22</f>
        <v>0</v>
      </c>
      <c r="K22" s="35">
        <f t="shared" si="2"/>
        <v>0</v>
      </c>
    </row>
    <row r="23" spans="2:16" x14ac:dyDescent="0.25">
      <c r="B23" s="57"/>
      <c r="C23" s="33"/>
      <c r="D23" s="55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H23+ENERO!J23</f>
        <v>0</v>
      </c>
      <c r="K23" s="35">
        <f>IFERROR(J23/G23,0)</f>
        <v>0</v>
      </c>
    </row>
    <row r="24" spans="2:16" x14ac:dyDescent="0.25">
      <c r="B24" s="33"/>
      <c r="C24" s="33"/>
      <c r="D24" s="36"/>
      <c r="E24" s="63"/>
      <c r="F24" s="32" t="s">
        <v>33</v>
      </c>
      <c r="G24" s="34">
        <f>ENERO!G24</f>
        <v>0</v>
      </c>
      <c r="H24" s="37"/>
      <c r="I24" s="38">
        <f t="shared" si="1"/>
        <v>0</v>
      </c>
      <c r="J24" s="2">
        <f>H24+ENERO!J24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3" t="s">
        <v>33</v>
      </c>
      <c r="G25" s="34">
        <f>ENERO!G25</f>
        <v>0</v>
      </c>
      <c r="H25" s="34"/>
      <c r="I25" s="35">
        <f t="shared" si="1"/>
        <v>0</v>
      </c>
      <c r="J25" s="1">
        <f>H25+ENERO!J25</f>
        <v>0</v>
      </c>
      <c r="K25" s="35">
        <f t="shared" ref="K25" si="3">IFERROR(J25/G25,0)</f>
        <v>0</v>
      </c>
    </row>
    <row r="26" spans="2:16" x14ac:dyDescent="0.25">
      <c r="B26" s="57"/>
      <c r="C26" s="33"/>
      <c r="D26" s="55"/>
      <c r="E26" s="63"/>
      <c r="F26" s="33" t="s">
        <v>33</v>
      </c>
      <c r="G26" s="56">
        <f>ENERO!G26</f>
        <v>0</v>
      </c>
      <c r="H26" s="34"/>
      <c r="I26" s="35">
        <f t="shared" si="0"/>
        <v>0</v>
      </c>
      <c r="J26" s="1">
        <f>H26+ENERO!J26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2" t="s">
        <v>33</v>
      </c>
      <c r="G27" s="34">
        <f>ENERO!G27</f>
        <v>0</v>
      </c>
      <c r="H27" s="37"/>
      <c r="I27" s="38">
        <f t="shared" si="0"/>
        <v>0</v>
      </c>
      <c r="J27" s="2">
        <f>H27+ENERO!J27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H28+ENERO!J28</f>
        <v>0</v>
      </c>
      <c r="K28" s="35">
        <f t="shared" ref="K28:K33" si="4">IFERROR(J28/G28,0)</f>
        <v>0</v>
      </c>
    </row>
    <row r="29" spans="2:16" s="14" customFormat="1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H29+ENERO!J29</f>
        <v>0</v>
      </c>
      <c r="K29" s="35">
        <f t="shared" si="4"/>
        <v>0</v>
      </c>
      <c r="N29" s="39"/>
      <c r="P29" s="39"/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H30+ENERO!J30</f>
        <v>0</v>
      </c>
      <c r="K30" s="35">
        <f t="shared" si="4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H31+ENERO!J31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H32+ENERO!J32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H33+ENERO!J33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FEBRERO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81" priority="8" operator="greaterThan">
      <formula>350</formula>
    </cfRule>
  </conditionalFormatting>
  <conditionalFormatting sqref="K27:K33">
    <cfRule type="cellIs" dxfId="80" priority="7" operator="greaterThan">
      <formula>1</formula>
    </cfRule>
  </conditionalFormatting>
  <conditionalFormatting sqref="K26">
    <cfRule type="cellIs" dxfId="79" priority="6" operator="greaterThan">
      <formula>1</formula>
    </cfRule>
  </conditionalFormatting>
  <conditionalFormatting sqref="K15">
    <cfRule type="cellIs" dxfId="78" priority="5" operator="greaterThan">
      <formula>1</formula>
    </cfRule>
  </conditionalFormatting>
  <conditionalFormatting sqref="K17:K22">
    <cfRule type="cellIs" dxfId="77" priority="4" operator="greaterThan">
      <formula>1</formula>
    </cfRule>
  </conditionalFormatting>
  <conditionalFormatting sqref="K16">
    <cfRule type="cellIs" dxfId="76" priority="3" operator="greaterThan">
      <formula>1</formula>
    </cfRule>
  </conditionalFormatting>
  <conditionalFormatting sqref="K24:K25">
    <cfRule type="cellIs" dxfId="75" priority="2" operator="greaterThan">
      <formula>1</formula>
    </cfRule>
  </conditionalFormatting>
  <conditionalFormatting sqref="K23">
    <cfRule type="cellIs" dxfId="74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7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8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46112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H15+FEBRERO!J15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H16+FEBRERO!J16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H17+FEBRERO!J17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H18+FEBRERO!J18</f>
        <v>0</v>
      </c>
      <c r="K18" s="35">
        <f t="shared" ref="K18:K26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H19+FEBRERO!J19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H20+FEBRERO!J20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H21+FEBRERO!J21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H22+FEBRERO!J22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ref="I23:I25" si="3">IFERROR(H23/G23,0)</f>
        <v>0</v>
      </c>
      <c r="J23" s="2">
        <f>H23+FEBRERO!J23</f>
        <v>0</v>
      </c>
      <c r="K23" s="35">
        <f t="shared" ref="K23" si="4">IFERROR(J23/G23,0)</f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3"/>
        <v>0</v>
      </c>
      <c r="J24" s="1">
        <f>H24+FEBRERO!J24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3"/>
        <v>0</v>
      </c>
      <c r="J25" s="1">
        <f>H25+FEBRERO!J25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H26+FEBRERO!J26</f>
        <v>0</v>
      </c>
      <c r="K26" s="35">
        <f t="shared" si="2"/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H27+FEBRERO!J27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H28+FEBRERO!J28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H29+FEBRERO!J29</f>
        <v>0</v>
      </c>
      <c r="K29" s="35">
        <f t="shared" ref="K29:K33" si="5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H30+FEBRERO!J30</f>
        <v>0</v>
      </c>
      <c r="K30" s="35">
        <f t="shared" si="5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H31+FEBRERO!J31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H32+FEBRERO!J32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H33+FEBRERO!J33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MARZO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73" priority="9" operator="greaterThan">
      <formula>350</formula>
    </cfRule>
  </conditionalFormatting>
  <conditionalFormatting sqref="K28:K33">
    <cfRule type="cellIs" dxfId="72" priority="8" operator="greaterThan">
      <formula>1</formula>
    </cfRule>
  </conditionalFormatting>
  <conditionalFormatting sqref="K27">
    <cfRule type="cellIs" dxfId="71" priority="7" operator="greaterThan">
      <formula>1</formula>
    </cfRule>
  </conditionalFormatting>
  <conditionalFormatting sqref="K15">
    <cfRule type="cellIs" dxfId="70" priority="6" operator="greaterThan">
      <formula>1</formula>
    </cfRule>
  </conditionalFormatting>
  <conditionalFormatting sqref="K17:K22 K26">
    <cfRule type="cellIs" dxfId="69" priority="5" operator="greaterThan">
      <formula>1</formula>
    </cfRule>
  </conditionalFormatting>
  <conditionalFormatting sqref="K16">
    <cfRule type="cellIs" dxfId="68" priority="4" operator="greaterThan">
      <formula>1</formula>
    </cfRule>
  </conditionalFormatting>
  <conditionalFormatting sqref="K25">
    <cfRule type="cellIs" dxfId="67" priority="3" operator="greaterThan">
      <formula>1</formula>
    </cfRule>
  </conditionalFormatting>
  <conditionalFormatting sqref="K24">
    <cfRule type="cellIs" dxfId="66" priority="2" operator="greaterThan">
      <formula>1</formula>
    </cfRule>
  </conditionalFormatting>
  <conditionalFormatting sqref="K23">
    <cfRule type="cellIs" dxfId="65" priority="1" operator="greaterThan">
      <formula>1</formula>
    </cfRule>
  </conditionalFormatting>
  <dataValidations xWindow="783" yWindow="670"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9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9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46142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H15+MARZO!J15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H16+MARZO!J16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H17+MARZO!J17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H18+MARZO!J18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H19+MARZO!J19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H20+MARZO!J20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H21+MARZO!J21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H22+MARZO!J22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H23+MARZO!J23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1">
        <f>H24+MARZO!J24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1"/>
        <v>0</v>
      </c>
      <c r="J25" s="2">
        <f>H25+MARZO!J25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H26+MARZO!J26</f>
        <v>0</v>
      </c>
      <c r="K26" s="35">
        <f t="shared" ref="K26" si="3">IFERROR(J26/G26,0)</f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H27+MARZO!J27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H28+MARZO!J28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H29+MARZO!J29</f>
        <v>0</v>
      </c>
      <c r="K29" s="35">
        <f t="shared" ref="K29:K33" si="4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H30+MARZO!J30</f>
        <v>0</v>
      </c>
      <c r="K30" s="35">
        <f t="shared" si="4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H31+MARZO!J31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H32+MARZO!J32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H33+MARZO!J33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ABRIL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64" priority="8" operator="greaterThan">
      <formula>350</formula>
    </cfRule>
  </conditionalFormatting>
  <conditionalFormatting sqref="K28:K33">
    <cfRule type="cellIs" dxfId="63" priority="7" operator="greaterThan">
      <formula>1</formula>
    </cfRule>
  </conditionalFormatting>
  <conditionalFormatting sqref="K27">
    <cfRule type="cellIs" dxfId="62" priority="6" operator="greaterThan">
      <formula>1</formula>
    </cfRule>
  </conditionalFormatting>
  <conditionalFormatting sqref="K15">
    <cfRule type="cellIs" dxfId="61" priority="5" operator="greaterThan">
      <formula>1</formula>
    </cfRule>
  </conditionalFormatting>
  <conditionalFormatting sqref="K17:K23">
    <cfRule type="cellIs" dxfId="60" priority="4" operator="greaterThan">
      <formula>1</formula>
    </cfRule>
  </conditionalFormatting>
  <conditionalFormatting sqref="K16">
    <cfRule type="cellIs" dxfId="59" priority="3" operator="greaterThan">
      <formula>1</formula>
    </cfRule>
  </conditionalFormatting>
  <conditionalFormatting sqref="K25:K26">
    <cfRule type="cellIs" dxfId="58" priority="2" operator="greaterThan">
      <formula>1</formula>
    </cfRule>
  </conditionalFormatting>
  <conditionalFormatting sqref="K24">
    <cfRule type="cellIs" dxfId="57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9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11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46173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H15+ABRIL!J15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H16+ABRIL!J16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H17+ABRIL!J17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H18+ABRIL!J18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H19+ABRIL!J19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H20+ABRIL!J20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H21+ABRIL!J21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H22+ABRIL!J22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H23+ABRIL!J23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1">
        <f>H24+ABRIL!J24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1"/>
        <v>0</v>
      </c>
      <c r="J25" s="2">
        <f>H25+ABRIL!J25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H26+ABRIL!J26</f>
        <v>0</v>
      </c>
      <c r="K26" s="35">
        <f t="shared" ref="K26" si="3">IFERROR(J26/G26,0)</f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H27+ABRIL!J27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H28+ABRIL!J28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H29+ABRIL!J29</f>
        <v>0</v>
      </c>
      <c r="K29" s="35">
        <f t="shared" ref="K29:K33" si="4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H30+ABRIL!J30</f>
        <v>0</v>
      </c>
      <c r="K30" s="35">
        <f t="shared" si="4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H31+ABRIL!J31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H32+ABRIL!J32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H33+ABRIL!J33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MAYO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56" priority="8" operator="greaterThan">
      <formula>350</formula>
    </cfRule>
  </conditionalFormatting>
  <conditionalFormatting sqref="K28:K33">
    <cfRule type="cellIs" dxfId="55" priority="7" operator="greaterThan">
      <formula>1</formula>
    </cfRule>
  </conditionalFormatting>
  <conditionalFormatting sqref="K27">
    <cfRule type="cellIs" dxfId="54" priority="6" operator="greaterThan">
      <formula>1</formula>
    </cfRule>
  </conditionalFormatting>
  <conditionalFormatting sqref="K15">
    <cfRule type="cellIs" dxfId="53" priority="5" operator="greaterThan">
      <formula>1</formula>
    </cfRule>
  </conditionalFormatting>
  <conditionalFormatting sqref="K17:K23">
    <cfRule type="cellIs" dxfId="52" priority="4" operator="greaterThan">
      <formula>1</formula>
    </cfRule>
  </conditionalFormatting>
  <conditionalFormatting sqref="K16">
    <cfRule type="cellIs" dxfId="51" priority="3" operator="greaterThan">
      <formula>1</formula>
    </cfRule>
  </conditionalFormatting>
  <conditionalFormatting sqref="K25:K26">
    <cfRule type="cellIs" dxfId="50" priority="2" operator="greaterThan">
      <formula>1</formula>
    </cfRule>
  </conditionalFormatting>
  <conditionalFormatting sqref="K24">
    <cfRule type="cellIs" dxfId="49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46203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H15+MAYO!J15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H16+MAYO!J16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H17+MAYO!J17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H18+MAYO!J18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H19+MAYO!J19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H20+MAYO!J20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H21+MAYO!J21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H22+MAYO!J22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H23+MAYO!J23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H24+MAYO!J24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H25+MAYO!J25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H26+MAYO!J26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H27+MAYO!J27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H28+MAYO!J28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H29+MAYO!J29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H30+MAYO!J30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H31+MAYO!J31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H32+MAYO!J32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H33+MAYO!J33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JUNIO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48" priority="7" operator="greaterThan">
      <formula>350</formula>
    </cfRule>
  </conditionalFormatting>
  <conditionalFormatting sqref="K25 K27:K33">
    <cfRule type="cellIs" dxfId="47" priority="6" operator="greaterThan">
      <formula>1</formula>
    </cfRule>
  </conditionalFormatting>
  <conditionalFormatting sqref="K24">
    <cfRule type="cellIs" dxfId="46" priority="5" operator="greaterThan">
      <formula>1</formula>
    </cfRule>
  </conditionalFormatting>
  <conditionalFormatting sqref="K15">
    <cfRule type="cellIs" dxfId="45" priority="4" operator="greaterThan">
      <formula>1</formula>
    </cfRule>
  </conditionalFormatting>
  <conditionalFormatting sqref="K17:K23">
    <cfRule type="cellIs" dxfId="44" priority="3" operator="greaterThan">
      <formula>1</formula>
    </cfRule>
  </conditionalFormatting>
  <conditionalFormatting sqref="K16">
    <cfRule type="cellIs" dxfId="43" priority="2" operator="greaterThan">
      <formula>1</formula>
    </cfRule>
  </conditionalFormatting>
  <conditionalFormatting sqref="K26">
    <cfRule type="cellIs" dxfId="42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14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46234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H15+JUNIO!J15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6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H16+JUNIO!J16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H17+JUNIO!J17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H18+JUNIO!J18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H19+JUNIO!J19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H20+JUNIO!J20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H21+JUNIO!J21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H22+JUNIO!J22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H23+JUNIO!J23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6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H24+JUNIO!J24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H25+JUNIO!J25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0"/>
        <v>0</v>
      </c>
      <c r="J26" s="1">
        <f>H26+JUNIO!J26</f>
        <v>0</v>
      </c>
      <c r="K26" s="35">
        <f t="shared" ref="K26:K33" si="3">IFERROR(J26/G26,0)</f>
        <v>0</v>
      </c>
    </row>
    <row r="27" spans="2:16" s="14" customFormat="1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ref="I27" si="4">IFERROR(H27/G27,0)</f>
        <v>0</v>
      </c>
      <c r="J27" s="1">
        <f>H27+JUNIO!J27</f>
        <v>0</v>
      </c>
      <c r="K27" s="35">
        <f t="shared" ref="K27" si="5">IFERROR(J27/G27,0)</f>
        <v>0</v>
      </c>
      <c r="N27" s="39"/>
      <c r="P27" s="39"/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H28+JUNIO!J28</f>
        <v>0</v>
      </c>
      <c r="K28" s="35">
        <f t="shared" si="3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H29+JUNIO!J29</f>
        <v>0</v>
      </c>
      <c r="K29" s="35">
        <f t="shared" si="3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H30+JUNIO!J30</f>
        <v>0</v>
      </c>
      <c r="K30" s="35">
        <f t="shared" si="3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H31+JUNIO!J31</f>
        <v>0</v>
      </c>
      <c r="K31" s="35">
        <f t="shared" si="3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H32+JUNIO!J32</f>
        <v>0</v>
      </c>
      <c r="K32" s="35">
        <f t="shared" si="3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H33+JUNIO!J33</f>
        <v>0</v>
      </c>
      <c r="K33" s="43">
        <f t="shared" si="3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JULIO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41" priority="7" operator="greaterThan">
      <formula>350</formula>
    </cfRule>
  </conditionalFormatting>
  <conditionalFormatting sqref="K25:K26 K28:K33">
    <cfRule type="cellIs" dxfId="40" priority="6" operator="greaterThan">
      <formula>1</formula>
    </cfRule>
  </conditionalFormatting>
  <conditionalFormatting sqref="K24">
    <cfRule type="cellIs" dxfId="39" priority="5" operator="greaterThan">
      <formula>1</formula>
    </cfRule>
  </conditionalFormatting>
  <conditionalFormatting sqref="K15">
    <cfRule type="cellIs" dxfId="38" priority="4" operator="greaterThan">
      <formula>1</formula>
    </cfRule>
  </conditionalFormatting>
  <conditionalFormatting sqref="K17:K23">
    <cfRule type="cellIs" dxfId="37" priority="3" operator="greaterThan">
      <formula>1</formula>
    </cfRule>
  </conditionalFormatting>
  <conditionalFormatting sqref="K16">
    <cfRule type="cellIs" dxfId="36" priority="2" operator="greaterThan">
      <formula>1</formula>
    </cfRule>
  </conditionalFormatting>
  <conditionalFormatting sqref="K27">
    <cfRule type="cellIs" dxfId="35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15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46265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53">
        <f t="shared" ref="I15:I33" si="0">IFERROR(H15/G15,0)</f>
        <v>0</v>
      </c>
      <c r="J15" s="31">
        <f>H15+JULIO!J15</f>
        <v>0</v>
      </c>
      <c r="K15" s="53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H16+JULIO!J16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H17+JULIO!J17</f>
        <v>0</v>
      </c>
      <c r="K17" s="38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H18+JULIO!J18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H19+JULIO!J19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H20+JULIO!J20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H21+JULIO!J21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H22+JULIO!J22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H23+JULIO!J23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H24+JULIO!J24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H25+JULIO!J25</f>
        <v>0</v>
      </c>
      <c r="K25" s="38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H26+JULIO!J26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H27+JULIO!J27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H28+JULIO!J28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H29+JULIO!J29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H30+JULIO!J30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H31+JULIO!J31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H32+JULIO!J32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H33+JULIO!J33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AGOSTO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34" priority="7" operator="greaterThan">
      <formula>350</formula>
    </cfRule>
  </conditionalFormatting>
  <conditionalFormatting sqref="K25 K27:K33">
    <cfRule type="cellIs" dxfId="33" priority="6" operator="greaterThan">
      <formula>1</formula>
    </cfRule>
  </conditionalFormatting>
  <conditionalFormatting sqref="K24">
    <cfRule type="cellIs" dxfId="32" priority="5" operator="greaterThan">
      <formula>1</formula>
    </cfRule>
  </conditionalFormatting>
  <conditionalFormatting sqref="K15">
    <cfRule type="cellIs" dxfId="31" priority="4" operator="greaterThan">
      <formula>1</formula>
    </cfRule>
  </conditionalFormatting>
  <conditionalFormatting sqref="K17:K23">
    <cfRule type="cellIs" dxfId="30" priority="3" operator="greaterThan">
      <formula>1</formula>
    </cfRule>
  </conditionalFormatting>
  <conditionalFormatting sqref="K16">
    <cfRule type="cellIs" dxfId="29" priority="2" operator="greaterThan">
      <formula>1</formula>
    </cfRule>
  </conditionalFormatting>
  <conditionalFormatting sqref="K26">
    <cfRule type="cellIs" dxfId="28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17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46295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H15+AGOSTO!J15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H16+AGOSTO!J16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H17+AGOSTO!J17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H18+AGOSTO!J18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H19+AGOSTO!J19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H20+AGOSTO!J20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H21+AGOSTO!J21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H22+AGOSTO!J22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H23+AGOSTO!J23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H24+AGOSTO!J24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H25+AGOSTO!J25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H26+AGOSTO!J26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H27+AGOSTO!J27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H28+AGOSTO!J28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H29+AGOSTO!J29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H30+AGOSTO!J30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H31+AGOSTO!J31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H32+AGOSTO!J32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H33+AGOSTO!J33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SEPTIEMBRE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27" priority="7" operator="greaterThan">
      <formula>350</formula>
    </cfRule>
  </conditionalFormatting>
  <conditionalFormatting sqref="K25 K27:K33">
    <cfRule type="cellIs" dxfId="26" priority="6" operator="greaterThan">
      <formula>1</formula>
    </cfRule>
  </conditionalFormatting>
  <conditionalFormatting sqref="K24">
    <cfRule type="cellIs" dxfId="25" priority="5" operator="greaterThan">
      <formula>1</formula>
    </cfRule>
  </conditionalFormatting>
  <conditionalFormatting sqref="K15">
    <cfRule type="cellIs" dxfId="24" priority="4" operator="greaterThan">
      <formula>1</formula>
    </cfRule>
  </conditionalFormatting>
  <conditionalFormatting sqref="K17:K23">
    <cfRule type="cellIs" dxfId="23" priority="3" operator="greaterThan">
      <formula>1</formula>
    </cfRule>
  </conditionalFormatting>
  <conditionalFormatting sqref="K16">
    <cfRule type="cellIs" dxfId="22" priority="2" operator="greaterThan">
      <formula>1</formula>
    </cfRule>
  </conditionalFormatting>
  <conditionalFormatting sqref="K26">
    <cfRule type="cellIs" dxfId="21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6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18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46326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H15+SEPTIEMBRE!J15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H16+SEPTIEMBRE!J16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H17+SEPTIEMBRE!J17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H18+SEPTIEMBRE!J18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H19+SEPTIEMBRE!J19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H20+SEPTIEMBRE!J20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H21+SEPTIEMBRE!J21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H22+SEPTIEMBRE!J22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H23+SEPTIEMBRE!J23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H24+SEPTIEMBRE!J24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H25+SEPTIEMBRE!J25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H26+SEPTIEMBRE!J26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H27+SEPTIEMBRE!J27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H28+SEPTIEMBRE!J28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H29+SEPTIEMBRE!J29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H30+SEPTIEMBRE!J30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H31+SEPTIEMBRE!J31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H32+SEPTIEMBRE!J32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H33+SEPTIEMBRE!J33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OCTUBRE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20" priority="7" operator="greaterThan">
      <formula>350</formula>
    </cfRule>
  </conditionalFormatting>
  <conditionalFormatting sqref="K25 K27:K33">
    <cfRule type="cellIs" dxfId="19" priority="6" operator="greaterThan">
      <formula>1</formula>
    </cfRule>
  </conditionalFormatting>
  <conditionalFormatting sqref="K24">
    <cfRule type="cellIs" dxfId="18" priority="5" operator="greaterThan">
      <formula>1</formula>
    </cfRule>
  </conditionalFormatting>
  <conditionalFormatting sqref="K15">
    <cfRule type="cellIs" dxfId="17" priority="4" operator="greaterThan">
      <formula>1</formula>
    </cfRule>
  </conditionalFormatting>
  <conditionalFormatting sqref="K17:K23">
    <cfRule type="cellIs" dxfId="16" priority="3" operator="greaterThan">
      <formula>1</formula>
    </cfRule>
  </conditionalFormatting>
  <conditionalFormatting sqref="K16">
    <cfRule type="cellIs" dxfId="15" priority="2" operator="greaterThan">
      <formula>1</formula>
    </cfRule>
  </conditionalFormatting>
  <conditionalFormatting sqref="K26">
    <cfRule type="cellIs" dxfId="14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22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46356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H15+OCTUBRE!J15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4" si="1">IFERROR(H16/G16,0)</f>
        <v>0</v>
      </c>
      <c r="J16" s="1">
        <f>H16+OCTUBRE!J16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H17+OCTUBRE!J17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H18+OCTUBRE!J18</f>
        <v>0</v>
      </c>
      <c r="K18" s="35">
        <f t="shared" ref="K18:K24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H19+OCTUBRE!J19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H20+OCTUBRE!J20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ref="I21" si="3">IFERROR(H21/G21,0)</f>
        <v>0</v>
      </c>
      <c r="J21" s="1">
        <f>H21+OCTUBRE!J21</f>
        <v>0</v>
      </c>
      <c r="K21" s="35">
        <f t="shared" ref="K21" si="4">IFERROR(J21/G21,0)</f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H22+OCTUBRE!J22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H23+OCTUBRE!J23</f>
        <v>0</v>
      </c>
      <c r="K23" s="35">
        <f t="shared" si="2"/>
        <v>0</v>
      </c>
    </row>
    <row r="24" spans="2:16" x14ac:dyDescent="0.25">
      <c r="B24" s="33"/>
      <c r="C24" s="33"/>
      <c r="D24" s="36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2">
        <f>H24+OCTUBRE!J24</f>
        <v>0</v>
      </c>
      <c r="K24" s="35">
        <f t="shared" si="2"/>
        <v>0</v>
      </c>
    </row>
    <row r="25" spans="2:16" x14ac:dyDescent="0.25">
      <c r="B25" s="57"/>
      <c r="C25" s="33"/>
      <c r="D25" s="55"/>
      <c r="E25" s="63"/>
      <c r="F25" s="33" t="s">
        <v>33</v>
      </c>
      <c r="G25" s="34">
        <f>ENERO!G25</f>
        <v>0</v>
      </c>
      <c r="H25" s="34"/>
      <c r="I25" s="35">
        <f t="shared" si="0"/>
        <v>0</v>
      </c>
      <c r="J25" s="1">
        <f>H25+OCTUBRE!J25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2" t="s">
        <v>33</v>
      </c>
      <c r="G26" s="56">
        <f>ENERO!G26</f>
        <v>0</v>
      </c>
      <c r="H26" s="37"/>
      <c r="I26" s="38">
        <f t="shared" si="0"/>
        <v>0</v>
      </c>
      <c r="J26" s="2">
        <f>H26+OCTUBRE!J26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H27+OCTUBRE!J27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H28+OCTUBRE!J28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H29+OCTUBRE!J29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H30+OCTUBRE!J30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H31+OCTUBRE!J31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H32+OCTUBRE!J32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H33+OCTUBRE!J33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NOVIEMBRE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13" priority="7" operator="greaterThan">
      <formula>350</formula>
    </cfRule>
  </conditionalFormatting>
  <conditionalFormatting sqref="K26:K33">
    <cfRule type="cellIs" dxfId="12" priority="6" operator="greaterThan">
      <formula>1</formula>
    </cfRule>
  </conditionalFormatting>
  <conditionalFormatting sqref="K25">
    <cfRule type="cellIs" dxfId="11" priority="5" operator="greaterThan">
      <formula>1</formula>
    </cfRule>
  </conditionalFormatting>
  <conditionalFormatting sqref="K15">
    <cfRule type="cellIs" dxfId="10" priority="4" operator="greaterThan">
      <formula>1</formula>
    </cfRule>
  </conditionalFormatting>
  <conditionalFormatting sqref="K17:K20 K22:K24">
    <cfRule type="cellIs" dxfId="9" priority="3" operator="greaterThan">
      <formula>1</formula>
    </cfRule>
  </conditionalFormatting>
  <conditionalFormatting sqref="K16">
    <cfRule type="cellIs" dxfId="8" priority="2" operator="greaterThan">
      <formula>1</formula>
    </cfRule>
  </conditionalFormatting>
  <conditionalFormatting sqref="K21">
    <cfRule type="cellIs" dxfId="7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7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P2" s="6" t="s">
        <v>2</v>
      </c>
    </row>
    <row r="3" spans="2:16" ht="18.75" customHeight="1" x14ac:dyDescent="0.25">
      <c r="B3" s="71" t="s">
        <v>3</v>
      </c>
      <c r="C3" s="72"/>
      <c r="D3" s="72"/>
      <c r="E3" s="72" t="s">
        <v>4</v>
      </c>
      <c r="F3" s="72"/>
      <c r="G3" s="72"/>
      <c r="H3" s="72"/>
      <c r="I3" s="72" t="s">
        <v>5</v>
      </c>
      <c r="J3" s="72"/>
      <c r="K3" s="73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74" t="s">
        <v>7</v>
      </c>
      <c r="C5" s="74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74" t="s">
        <v>10</v>
      </c>
      <c r="C7" s="74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74" t="s">
        <v>13</v>
      </c>
      <c r="C9" s="74"/>
      <c r="D9" s="18" t="s">
        <v>32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74" t="s">
        <v>16</v>
      </c>
      <c r="C11" s="74"/>
      <c r="D11" s="22">
        <v>46387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8" t="s">
        <v>19</v>
      </c>
      <c r="C13" s="78"/>
      <c r="D13" s="78"/>
      <c r="E13" s="78"/>
      <c r="F13" s="78"/>
      <c r="G13" s="78"/>
      <c r="H13" s="74" t="s">
        <v>20</v>
      </c>
      <c r="I13" s="74"/>
      <c r="J13" s="74" t="s">
        <v>21</v>
      </c>
      <c r="K13" s="74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H15+NOVIEMBRE!J15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4" si="1">IFERROR(H16/G16,0)</f>
        <v>0</v>
      </c>
      <c r="J16" s="1">
        <f>H16+NOVIEMBRE!J16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H17+NOVIEMBRE!J17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H18+NOVIEMBRE!J18</f>
        <v>0</v>
      </c>
      <c r="K18" s="35">
        <f t="shared" ref="K18:K24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H19+NOVIEMBRE!J19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H20+NOVIEMBRE!J20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H21+NOVIEMBRE!J21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H22+NOVIEMBRE!J22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ref="I23" si="3">IFERROR(H23/G23,0)</f>
        <v>0</v>
      </c>
      <c r="J23" s="1">
        <f>H23+NOVIEMBRE!J23</f>
        <v>0</v>
      </c>
      <c r="K23" s="35">
        <f t="shared" ref="K23" si="4">IFERROR(J23/G23,0)</f>
        <v>0</v>
      </c>
    </row>
    <row r="24" spans="2:16" x14ac:dyDescent="0.25">
      <c r="B24" s="33"/>
      <c r="C24" s="33"/>
      <c r="D24" s="36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2">
        <f>H24+NOVIEMBRE!J24</f>
        <v>0</v>
      </c>
      <c r="K24" s="35">
        <f t="shared" si="2"/>
        <v>0</v>
      </c>
    </row>
    <row r="25" spans="2:16" x14ac:dyDescent="0.25">
      <c r="B25" s="57"/>
      <c r="C25" s="33"/>
      <c r="D25" s="55"/>
      <c r="E25" s="63"/>
      <c r="F25" s="33" t="s">
        <v>33</v>
      </c>
      <c r="G25" s="34">
        <f>ENERO!G25</f>
        <v>0</v>
      </c>
      <c r="H25" s="34"/>
      <c r="I25" s="35">
        <f t="shared" si="0"/>
        <v>0</v>
      </c>
      <c r="J25" s="1">
        <f>H25+NOVIEMBRE!J25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2" t="s">
        <v>33</v>
      </c>
      <c r="G26" s="56">
        <f>ENERO!G26</f>
        <v>0</v>
      </c>
      <c r="H26" s="37"/>
      <c r="I26" s="38">
        <f t="shared" si="0"/>
        <v>0</v>
      </c>
      <c r="J26" s="2">
        <f>H26+NOVIEMBRE!J26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H27+NOVIEMBRE!J27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H28+NOVIEMBRE!J28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H29+NOVIEMBRE!J29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H30+NOVIEMBRE!J30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H31+NOVIEMBRE!J31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H32+NOVIEMBRE!J32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H33+NOVIEMBRE!J33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69" t="str">
        <f>+CONCATENATE("TOTAL A ",D9)</f>
        <v>TOTAL A DICIEMBRE</v>
      </c>
      <c r="H34" s="69"/>
      <c r="I34" s="69"/>
      <c r="J34" s="69" t="s">
        <v>34</v>
      </c>
      <c r="K34" s="69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8" t="s">
        <v>35</v>
      </c>
      <c r="C37" s="78"/>
      <c r="D37" s="82" t="s">
        <v>36</v>
      </c>
      <c r="E37" s="83"/>
      <c r="F37" s="83"/>
      <c r="G37" s="83"/>
      <c r="H37" s="83"/>
      <c r="I37" s="83"/>
      <c r="J37" s="83"/>
      <c r="K37" s="83"/>
    </row>
    <row r="38" spans="2:16" x14ac:dyDescent="0.25">
      <c r="B38" s="84" t="s">
        <v>37</v>
      </c>
      <c r="C38" s="84"/>
      <c r="D38" s="84"/>
      <c r="E38" s="84"/>
      <c r="F38" s="84"/>
      <c r="G38" s="84"/>
      <c r="H38" s="84"/>
      <c r="I38" s="84"/>
      <c r="J38" s="84"/>
      <c r="K38" s="84"/>
    </row>
    <row r="39" spans="2:16" ht="20.100000000000001" customHeight="1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85" t="s">
        <v>36</v>
      </c>
      <c r="E41" s="85"/>
      <c r="F41" s="85"/>
      <c r="G41" s="85"/>
      <c r="H41" s="85"/>
      <c r="I41" s="85"/>
      <c r="J41" s="85"/>
      <c r="K41" s="85"/>
    </row>
    <row r="42" spans="2:16" ht="20.100000000000001" customHeight="1" x14ac:dyDescent="0.3">
      <c r="B42" s="50" t="s">
        <v>40</v>
      </c>
      <c r="C42" s="51"/>
      <c r="D42" s="85"/>
      <c r="E42" s="85"/>
      <c r="F42" s="85"/>
      <c r="G42" s="85"/>
      <c r="H42" s="85"/>
      <c r="I42" s="85"/>
      <c r="J42" s="85"/>
      <c r="K42" s="85"/>
    </row>
    <row r="43" spans="2:16" x14ac:dyDescent="0.25">
      <c r="B43" s="86" t="s">
        <v>37</v>
      </c>
      <c r="C43" s="86"/>
      <c r="D43" s="86"/>
      <c r="E43" s="86"/>
      <c r="F43" s="86"/>
      <c r="G43" s="86"/>
      <c r="H43" s="86"/>
      <c r="I43" s="86"/>
      <c r="J43" s="86"/>
      <c r="K43" s="86"/>
    </row>
    <row r="44" spans="2:16" ht="15" customHeight="1" x14ac:dyDescent="0.25">
      <c r="B44" s="86"/>
      <c r="C44" s="86"/>
      <c r="D44" s="86"/>
      <c r="E44" s="86"/>
      <c r="F44" s="86"/>
      <c r="G44" s="86"/>
      <c r="H44" s="86"/>
      <c r="I44" s="86"/>
      <c r="J44" s="86"/>
      <c r="K44" s="86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85" t="s">
        <v>36</v>
      </c>
      <c r="E46" s="85"/>
      <c r="F46" s="85"/>
      <c r="G46" s="85"/>
      <c r="H46" s="85"/>
      <c r="I46" s="85"/>
      <c r="J46" s="85"/>
      <c r="K46" s="85"/>
    </row>
    <row r="47" spans="2:16" ht="20.100000000000001" customHeight="1" x14ac:dyDescent="0.3">
      <c r="B47" s="50" t="s">
        <v>40</v>
      </c>
      <c r="C47" s="51"/>
      <c r="D47" s="85"/>
      <c r="E47" s="85"/>
      <c r="F47" s="85"/>
      <c r="G47" s="85"/>
      <c r="H47" s="85"/>
      <c r="I47" s="85"/>
      <c r="J47" s="85"/>
      <c r="K47" s="85"/>
    </row>
    <row r="50" spans="2:10" ht="19.5" customHeight="1" x14ac:dyDescent="0.25">
      <c r="B50" s="79"/>
      <c r="C50" s="79"/>
      <c r="D50" s="79"/>
      <c r="G50" s="79"/>
      <c r="H50" s="79"/>
      <c r="I50" s="79"/>
      <c r="J50" s="79"/>
    </row>
    <row r="51" spans="2:10" ht="18" customHeight="1" x14ac:dyDescent="0.25">
      <c r="B51" s="12" t="s">
        <v>42</v>
      </c>
      <c r="C51" s="80"/>
      <c r="D51" s="80"/>
      <c r="G51" s="12" t="s">
        <v>43</v>
      </c>
      <c r="H51" s="81"/>
      <c r="I51" s="81"/>
      <c r="J51" s="8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6" priority="7" operator="greaterThan">
      <formula>350</formula>
    </cfRule>
  </conditionalFormatting>
  <conditionalFormatting sqref="K26:K33">
    <cfRule type="cellIs" dxfId="5" priority="6" operator="greaterThan">
      <formula>1</formula>
    </cfRule>
  </conditionalFormatting>
  <conditionalFormatting sqref="K25">
    <cfRule type="cellIs" dxfId="4" priority="5" operator="greaterThan">
      <formula>1</formula>
    </cfRule>
  </conditionalFormatting>
  <conditionalFormatting sqref="K15">
    <cfRule type="cellIs" dxfId="3" priority="4" operator="greaterThan">
      <formula>1</formula>
    </cfRule>
  </conditionalFormatting>
  <conditionalFormatting sqref="K17:K22 K24">
    <cfRule type="cellIs" dxfId="2" priority="3" operator="greaterThan">
      <formula>1</formula>
    </cfRule>
  </conditionalFormatting>
  <conditionalFormatting sqref="K16">
    <cfRule type="cellIs" dxfId="1" priority="2" operator="greaterThan">
      <formula>1</formula>
    </cfRule>
  </conditionalFormatting>
  <conditionalFormatting sqref="K23">
    <cfRule type="cellIs" dxfId="0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2026-02-26T17:35:08Z</dcterms:modified>
</cp:coreProperties>
</file>